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lark-PC\Documents\Mini Project\Airline Analysis\"/>
    </mc:Choice>
  </mc:AlternateContent>
  <xr:revisionPtr revIDLastSave="0" documentId="13_ncr:1_{BC51BCF4-9435-4830-8D6C-8CFC7FF01C3E}" xr6:coauthVersionLast="47" xr6:coauthVersionMax="47" xr10:uidLastSave="{00000000-0000-0000-0000-000000000000}"/>
  <bookViews>
    <workbookView xWindow="-19310" yWindow="3580" windowWidth="19420" windowHeight="11020" xr2:uid="{00000000-000D-0000-FFFF-FFFF00000000}"/>
  </bookViews>
  <sheets>
    <sheet name="AirlineData" sheetId="1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2" i="1"/>
</calcChain>
</file>

<file path=xl/sharedStrings.xml><?xml version="1.0" encoding="utf-8"?>
<sst xmlns="http://schemas.openxmlformats.org/spreadsheetml/2006/main" count="25039" uniqueCount="41">
  <si>
    <t>FlightID</t>
  </si>
  <si>
    <t>FlightDate</t>
  </si>
  <si>
    <t>Airline</t>
  </si>
  <si>
    <t>DepartureAirport</t>
  </si>
  <si>
    <t>ArrivalAirport</t>
  </si>
  <si>
    <t>Class</t>
  </si>
  <si>
    <t>Passengers</t>
  </si>
  <si>
    <t>TicketPrice</t>
  </si>
  <si>
    <t>DelayMinutes</t>
  </si>
  <si>
    <t>Status</t>
  </si>
  <si>
    <t>Revenue</t>
  </si>
  <si>
    <t>Asiana</t>
  </si>
  <si>
    <t>GMP</t>
  </si>
  <si>
    <t>ICN</t>
  </si>
  <si>
    <t>Economy</t>
  </si>
  <si>
    <t>On Time</t>
  </si>
  <si>
    <t>Korean Air</t>
  </si>
  <si>
    <t>BKK</t>
  </si>
  <si>
    <t>Jin Air</t>
  </si>
  <si>
    <t>PUS</t>
  </si>
  <si>
    <t>MNL</t>
  </si>
  <si>
    <t>Business</t>
  </si>
  <si>
    <t>KIX</t>
  </si>
  <si>
    <t>NRT</t>
  </si>
  <si>
    <t>Premium Economy</t>
  </si>
  <si>
    <t>Air Busan</t>
  </si>
  <si>
    <t>Jeju Air</t>
  </si>
  <si>
    <t>SIN</t>
  </si>
  <si>
    <t>Cancelled</t>
  </si>
  <si>
    <t>CJU</t>
  </si>
  <si>
    <t>Delayed</t>
  </si>
  <si>
    <t>T'way Air</t>
  </si>
  <si>
    <t>Month</t>
  </si>
  <si>
    <t>Year</t>
  </si>
  <si>
    <t>Revenue Check</t>
  </si>
  <si>
    <t>Delay Category</t>
  </si>
  <si>
    <t>Row Labels</t>
  </si>
  <si>
    <t>Grand Total</t>
  </si>
  <si>
    <t>Sum of Revenue</t>
  </si>
  <si>
    <t>Sum of Passengers</t>
  </si>
  <si>
    <t>Average of DelayMinutes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</si>
</sst>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k-PC" refreshedDate="46187.567362615744" createdVersion="7" refreshedVersion="7" minRefreshableVersion="3" recordCount="5000" xr:uid="{69FA78DF-C128-4109-AE50-F3E1F37BE9FB}">
  <cacheSource type="worksheet">
    <worksheetSource ref="A1:O5001" sheet="AirlineData"/>
  </cacheSource>
  <cacheFields count="15">
    <cacheField name="FlightID" numFmtId="0">
      <sharedItems containsSemiMixedTypes="0" containsString="0" containsNumber="1" containsInteger="1" minValue="1" maxValue="5000"/>
    </cacheField>
    <cacheField name="FlightDate" numFmtId="164">
      <sharedItems containsSemiMixedTypes="0" containsNonDate="0" containsDate="1" containsString="0" minDate="2025-01-01T00:00:00" maxDate="2026-01-01T00:00:00"/>
    </cacheField>
    <cacheField name="Airline" numFmtId="0">
      <sharedItems count="6">
        <s v="Asiana"/>
        <s v="Korean Air"/>
        <s v="Jin Air"/>
        <s v="Air Busan"/>
        <s v="Jeju Air"/>
        <s v="T'way Air"/>
      </sharedItems>
    </cacheField>
    <cacheField name="DepartureAirport" numFmtId="0">
      <sharedItems count="9">
        <s v="GMP"/>
        <s v="BKK"/>
        <s v="PUS"/>
        <s v="KIX"/>
        <s v="NRT"/>
        <s v="ICN"/>
        <s v="SIN"/>
        <s v="CJU"/>
        <s v="MNL"/>
      </sharedItems>
    </cacheField>
    <cacheField name="ArrivalAirport" numFmtId="0">
      <sharedItems/>
    </cacheField>
    <cacheField name="Class" numFmtId="0">
      <sharedItems/>
    </cacheField>
    <cacheField name="Passengers" numFmtId="0">
      <sharedItems containsSemiMixedTypes="0" containsString="0" containsNumber="1" containsInteger="1" minValue="50" maxValue="300"/>
    </cacheField>
    <cacheField name="TicketPrice" numFmtId="0">
      <sharedItems containsSemiMixedTypes="0" containsString="0" containsNumber="1" minValue="60.06" maxValue="799.98"/>
    </cacheField>
    <cacheField name="DelayMinutes" numFmtId="0">
      <sharedItems containsSemiMixedTypes="0" containsString="0" containsNumber="1" containsInteger="1" minValue="0" maxValue="100"/>
    </cacheField>
    <cacheField name="Status" numFmtId="0">
      <sharedItems/>
    </cacheField>
    <cacheField name="Revenue" numFmtId="0">
      <sharedItems containsSemiMixedTypes="0" containsString="0" containsNumber="1" minValue="3250.26" maxValue="234555.8"/>
    </cacheField>
    <cacheField name="Month" numFmtId="0">
      <sharedItems/>
    </cacheField>
    <cacheField name="Year" numFmtId="0">
      <sharedItems containsSemiMixedTypes="0" containsString="0" containsNumber="1" containsInteger="1" minValue="2025" maxValue="2025"/>
    </cacheField>
    <cacheField name="Revenue Check" numFmtId="0">
      <sharedItems containsSemiMixedTypes="0" containsString="0" containsNumber="1" minValue="3250.2599999999998" maxValue="234555.80000000002"/>
    </cacheField>
    <cacheField name="Delay 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d v="2025-05-21T00:00:00"/>
    <x v="0"/>
    <x v="0"/>
    <s v="ICN"/>
    <s v="Economy"/>
    <n v="85"/>
    <n v="604.99"/>
    <n v="0"/>
    <s v="On Time"/>
    <n v="51424.15"/>
    <s v="May"/>
    <n v="2025"/>
    <n v="51424.15"/>
    <s v="On Time"/>
  </r>
  <r>
    <n v="2"/>
    <d v="2025-01-16T00:00:00"/>
    <x v="1"/>
    <x v="1"/>
    <s v="ICN"/>
    <s v="Economy"/>
    <n v="109"/>
    <n v="433.96"/>
    <n v="0"/>
    <s v="On Time"/>
    <n v="47301.64"/>
    <s v="Jan"/>
    <n v="2025"/>
    <n v="47301.64"/>
    <s v="On Time"/>
  </r>
  <r>
    <n v="3"/>
    <d v="2025-04-23T00:00:00"/>
    <x v="2"/>
    <x v="2"/>
    <s v="MNL"/>
    <s v="Business"/>
    <n v="121"/>
    <n v="658.98"/>
    <n v="65"/>
    <s v="On Time"/>
    <n v="79736.58"/>
    <s v="Apr"/>
    <n v="2025"/>
    <n v="79736.58"/>
    <s v="Major Delay"/>
  </r>
  <r>
    <n v="4"/>
    <d v="2025-03-21T00:00:00"/>
    <x v="0"/>
    <x v="3"/>
    <s v="NRT"/>
    <s v="Premium Economy"/>
    <n v="76"/>
    <n v="128.63"/>
    <n v="21"/>
    <s v="On Time"/>
    <n v="9775.8799999999992"/>
    <s v="Mar"/>
    <n v="2025"/>
    <n v="9775.8799999999992"/>
    <s v="Minor Delay"/>
  </r>
  <r>
    <n v="5"/>
    <d v="2025-01-23T00:00:00"/>
    <x v="3"/>
    <x v="3"/>
    <s v="NRT"/>
    <s v="Premium Economy"/>
    <n v="187"/>
    <n v="152.37"/>
    <n v="28"/>
    <s v="On Time"/>
    <n v="28493.19"/>
    <s v="Jan"/>
    <n v="2025"/>
    <n v="28493.190000000002"/>
    <s v="Minor Delay"/>
  </r>
  <r>
    <n v="6"/>
    <d v="2025-12-27T00:00:00"/>
    <x v="1"/>
    <x v="3"/>
    <s v="PUS"/>
    <s v="Economy"/>
    <n v="219"/>
    <n v="228.64"/>
    <n v="15"/>
    <s v="On Time"/>
    <n v="50072.160000000003"/>
    <s v="Dec"/>
    <n v="2025"/>
    <n v="50072.159999999996"/>
    <s v="Minor Delay"/>
  </r>
  <r>
    <n v="7"/>
    <d v="2025-02-21T00:00:00"/>
    <x v="2"/>
    <x v="0"/>
    <s v="NRT"/>
    <s v="Premium Economy"/>
    <n v="166"/>
    <n v="530.41"/>
    <n v="4"/>
    <s v="On Time"/>
    <n v="88048.06"/>
    <s v="Feb"/>
    <n v="2025"/>
    <n v="88048.06"/>
    <s v="Minor Delay"/>
  </r>
  <r>
    <n v="8"/>
    <d v="2025-11-08T00:00:00"/>
    <x v="3"/>
    <x v="4"/>
    <s v="GMP"/>
    <s v="Economy"/>
    <n v="186"/>
    <n v="599.54999999999995"/>
    <n v="38"/>
    <s v="On Time"/>
    <n v="111516.3"/>
    <s v="Nov"/>
    <n v="2025"/>
    <n v="111516.29999999999"/>
    <s v="Moderate Delay"/>
  </r>
  <r>
    <n v="9"/>
    <d v="2025-11-24T00:00:00"/>
    <x v="3"/>
    <x v="1"/>
    <s v="NRT"/>
    <s v="Business"/>
    <n v="106"/>
    <n v="566.61"/>
    <n v="43"/>
    <s v="On Time"/>
    <n v="60060.66"/>
    <s v="Nov"/>
    <n v="2025"/>
    <n v="60060.66"/>
    <s v="Moderate Delay"/>
  </r>
  <r>
    <n v="10"/>
    <d v="2025-07-25T00:00:00"/>
    <x v="4"/>
    <x v="5"/>
    <s v="BKK"/>
    <s v="Economy"/>
    <n v="104"/>
    <n v="735.72"/>
    <n v="0"/>
    <s v="On Time"/>
    <n v="76514.880000000005"/>
    <s v="Jul"/>
    <n v="2025"/>
    <n v="76514.880000000005"/>
    <s v="On Time"/>
  </r>
  <r>
    <n v="11"/>
    <d v="2025-12-02T00:00:00"/>
    <x v="2"/>
    <x v="3"/>
    <s v="PUS"/>
    <s v="Premium Economy"/>
    <n v="276"/>
    <n v="736.77"/>
    <n v="1"/>
    <s v="On Time"/>
    <n v="203348.52"/>
    <s v="Dec"/>
    <n v="2025"/>
    <n v="203348.52"/>
    <s v="Minor Delay"/>
  </r>
  <r>
    <n v="12"/>
    <d v="2025-10-27T00:00:00"/>
    <x v="2"/>
    <x v="6"/>
    <s v="NRT"/>
    <s v="Business"/>
    <n v="152"/>
    <n v="327.88"/>
    <n v="25"/>
    <s v="Cancelled"/>
    <n v="49837.760000000002"/>
    <s v="Oct"/>
    <n v="2025"/>
    <n v="49837.760000000002"/>
    <s v="Minor Delay"/>
  </r>
  <r>
    <n v="13"/>
    <d v="2025-02-16T00:00:00"/>
    <x v="1"/>
    <x v="7"/>
    <s v="SIN"/>
    <s v="Economy"/>
    <n v="89"/>
    <n v="524.30999999999995"/>
    <n v="26"/>
    <s v="On Time"/>
    <n v="46663.59"/>
    <s v="Feb"/>
    <n v="2025"/>
    <n v="46663.59"/>
    <s v="Minor Delay"/>
  </r>
  <r>
    <n v="14"/>
    <d v="2025-09-28T00:00:00"/>
    <x v="4"/>
    <x v="1"/>
    <s v="SIN"/>
    <s v="Business"/>
    <n v="270"/>
    <n v="757.4"/>
    <n v="0"/>
    <s v="On Time"/>
    <n v="204498"/>
    <s v="Sep"/>
    <n v="2025"/>
    <n v="204498"/>
    <s v="On Time"/>
  </r>
  <r>
    <n v="15"/>
    <d v="2025-11-25T00:00:00"/>
    <x v="4"/>
    <x v="0"/>
    <s v="KIX"/>
    <s v="Economy"/>
    <n v="125"/>
    <n v="381.73"/>
    <n v="0"/>
    <s v="Delayed"/>
    <n v="47716.25"/>
    <s v="Nov"/>
    <n v="2025"/>
    <n v="47716.25"/>
    <s v="On Time"/>
  </r>
  <r>
    <n v="16"/>
    <d v="2025-09-17T00:00:00"/>
    <x v="1"/>
    <x v="4"/>
    <s v="CJU"/>
    <s v="Business"/>
    <n v="126"/>
    <n v="682.84"/>
    <n v="37"/>
    <s v="On Time"/>
    <n v="86037.84"/>
    <s v="Sep"/>
    <n v="2025"/>
    <n v="86037.840000000011"/>
    <s v="Moderate Delay"/>
  </r>
  <r>
    <n v="17"/>
    <d v="2025-07-11T00:00:00"/>
    <x v="0"/>
    <x v="2"/>
    <s v="CJU"/>
    <s v="Business"/>
    <n v="294"/>
    <n v="636.17999999999995"/>
    <n v="19"/>
    <s v="On Time"/>
    <n v="187036.92"/>
    <s v="Jul"/>
    <n v="2025"/>
    <n v="187036.91999999998"/>
    <s v="Minor Delay"/>
  </r>
  <r>
    <n v="18"/>
    <d v="2025-07-05T00:00:00"/>
    <x v="4"/>
    <x v="5"/>
    <s v="CJU"/>
    <s v="Economy"/>
    <n v="64"/>
    <n v="238.24"/>
    <n v="19"/>
    <s v="On Time"/>
    <n v="15247.36"/>
    <s v="Jul"/>
    <n v="2025"/>
    <n v="15247.36"/>
    <s v="Minor Delay"/>
  </r>
  <r>
    <n v="19"/>
    <d v="2025-09-06T00:00:00"/>
    <x v="1"/>
    <x v="0"/>
    <s v="CJU"/>
    <s v="Business"/>
    <n v="246"/>
    <n v="153.06"/>
    <n v="0"/>
    <s v="On Time"/>
    <n v="37652.76"/>
    <s v="Sep"/>
    <n v="2025"/>
    <n v="37652.76"/>
    <s v="On Time"/>
  </r>
  <r>
    <n v="20"/>
    <d v="2025-04-19T00:00:00"/>
    <x v="5"/>
    <x v="6"/>
    <s v="BKK"/>
    <s v="Business"/>
    <n v="226"/>
    <n v="208.85"/>
    <n v="0"/>
    <s v="On Time"/>
    <n v="47200.1"/>
    <s v="Apr"/>
    <n v="2025"/>
    <n v="47200.1"/>
    <s v="On Time"/>
  </r>
  <r>
    <n v="21"/>
    <d v="2025-09-22T00:00:00"/>
    <x v="2"/>
    <x v="3"/>
    <s v="SIN"/>
    <s v="Economy"/>
    <n v="113"/>
    <n v="226.28"/>
    <n v="2"/>
    <s v="On Time"/>
    <n v="25569.64"/>
    <s v="Sep"/>
    <n v="2025"/>
    <n v="25569.64"/>
    <s v="Minor Delay"/>
  </r>
  <r>
    <n v="22"/>
    <d v="2025-02-06T00:00:00"/>
    <x v="3"/>
    <x v="2"/>
    <s v="ICN"/>
    <s v="Business"/>
    <n v="65"/>
    <n v="229.42"/>
    <n v="48"/>
    <s v="Delayed"/>
    <n v="14912.3"/>
    <s v="Feb"/>
    <n v="2025"/>
    <n v="14912.3"/>
    <s v="Moderate Delay"/>
  </r>
  <r>
    <n v="23"/>
    <d v="2025-09-21T00:00:00"/>
    <x v="0"/>
    <x v="3"/>
    <s v="GMP"/>
    <s v="Premium Economy"/>
    <n v="221"/>
    <n v="419.21"/>
    <n v="0"/>
    <s v="Delayed"/>
    <n v="92645.41"/>
    <s v="Sep"/>
    <n v="2025"/>
    <n v="92645.409999999989"/>
    <s v="On Time"/>
  </r>
  <r>
    <n v="24"/>
    <d v="2025-08-31T00:00:00"/>
    <x v="2"/>
    <x v="8"/>
    <s v="PUS"/>
    <s v="Economy"/>
    <n v="74"/>
    <n v="131.72999999999999"/>
    <n v="10"/>
    <s v="On Time"/>
    <n v="9748.02"/>
    <s v="Aug"/>
    <n v="2025"/>
    <n v="9748.0199999999986"/>
    <s v="Minor Delay"/>
  </r>
  <r>
    <n v="25"/>
    <d v="2025-08-28T00:00:00"/>
    <x v="3"/>
    <x v="1"/>
    <s v="MNL"/>
    <s v="Economy"/>
    <n v="222"/>
    <n v="543.55999999999995"/>
    <n v="14"/>
    <s v="On Time"/>
    <n v="120670.32"/>
    <s v="Aug"/>
    <n v="2025"/>
    <n v="120670.31999999999"/>
    <s v="Minor Delay"/>
  </r>
  <r>
    <n v="26"/>
    <d v="2025-04-09T00:00:00"/>
    <x v="0"/>
    <x v="0"/>
    <s v="NRT"/>
    <s v="Business"/>
    <n v="164"/>
    <n v="163.72999999999999"/>
    <n v="12"/>
    <s v="On Time"/>
    <n v="26851.72"/>
    <s v="Apr"/>
    <n v="2025"/>
    <n v="26851.719999999998"/>
    <s v="Minor Delay"/>
  </r>
  <r>
    <n v="27"/>
    <d v="2025-02-08T00:00:00"/>
    <x v="2"/>
    <x v="8"/>
    <s v="PUS"/>
    <s v="Business"/>
    <n v="75"/>
    <n v="97.44"/>
    <n v="67"/>
    <s v="Delayed"/>
    <n v="7308"/>
    <s v="Feb"/>
    <n v="2025"/>
    <n v="7308"/>
    <s v="Major Delay"/>
  </r>
  <r>
    <n v="28"/>
    <d v="2025-07-28T00:00:00"/>
    <x v="2"/>
    <x v="2"/>
    <s v="CJU"/>
    <s v="Premium Economy"/>
    <n v="104"/>
    <n v="699.84"/>
    <n v="19"/>
    <s v="Delayed"/>
    <n v="72783.360000000001"/>
    <s v="Jul"/>
    <n v="2025"/>
    <n v="72783.360000000001"/>
    <s v="Minor Delay"/>
  </r>
  <r>
    <n v="29"/>
    <d v="2025-01-02T00:00:00"/>
    <x v="2"/>
    <x v="7"/>
    <s v="MNL"/>
    <s v="Premium Economy"/>
    <n v="287"/>
    <n v="640.21"/>
    <n v="0"/>
    <s v="Delayed"/>
    <n v="183740.27"/>
    <s v="Jan"/>
    <n v="2025"/>
    <n v="183740.27000000002"/>
    <s v="On Time"/>
  </r>
  <r>
    <n v="30"/>
    <d v="2025-03-21T00:00:00"/>
    <x v="0"/>
    <x v="6"/>
    <s v="MNL"/>
    <s v="Premium Economy"/>
    <n v="105"/>
    <n v="776.84"/>
    <n v="27"/>
    <s v="On Time"/>
    <n v="81568.2"/>
    <s v="Mar"/>
    <n v="2025"/>
    <n v="81568.2"/>
    <s v="Minor Delay"/>
  </r>
  <r>
    <n v="31"/>
    <d v="2025-06-10T00:00:00"/>
    <x v="1"/>
    <x v="6"/>
    <s v="ICN"/>
    <s v="Economy"/>
    <n v="199"/>
    <n v="412.82"/>
    <n v="46"/>
    <s v="On Time"/>
    <n v="82151.179999999993"/>
    <s v="Jun"/>
    <n v="2025"/>
    <n v="82151.179999999993"/>
    <s v="Moderate Delay"/>
  </r>
  <r>
    <n v="32"/>
    <d v="2025-04-06T00:00:00"/>
    <x v="1"/>
    <x v="6"/>
    <s v="GMP"/>
    <s v="Business"/>
    <n v="67"/>
    <n v="559.66"/>
    <n v="5"/>
    <s v="On Time"/>
    <n v="37497.22"/>
    <s v="Apr"/>
    <n v="2025"/>
    <n v="37497.22"/>
    <s v="Minor Delay"/>
  </r>
  <r>
    <n v="33"/>
    <d v="2025-10-24T00:00:00"/>
    <x v="5"/>
    <x v="0"/>
    <s v="NRT"/>
    <s v="Economy"/>
    <n v="208"/>
    <n v="120.67"/>
    <n v="2"/>
    <s v="On Time"/>
    <n v="25099.360000000001"/>
    <s v="Oct"/>
    <n v="2025"/>
    <n v="25099.360000000001"/>
    <s v="Minor Delay"/>
  </r>
  <r>
    <n v="34"/>
    <d v="2025-12-09T00:00:00"/>
    <x v="3"/>
    <x v="4"/>
    <s v="PUS"/>
    <s v="Premium Economy"/>
    <n v="111"/>
    <n v="256.55"/>
    <n v="0"/>
    <s v="On Time"/>
    <n v="28477.05"/>
    <s v="Dec"/>
    <n v="2025"/>
    <n v="28477.050000000003"/>
    <s v="On Time"/>
  </r>
  <r>
    <n v="35"/>
    <d v="2025-06-11T00:00:00"/>
    <x v="1"/>
    <x v="4"/>
    <s v="SIN"/>
    <s v="Economy"/>
    <n v="167"/>
    <n v="519.66"/>
    <n v="9"/>
    <s v="On Time"/>
    <n v="86783.22"/>
    <s v="Jun"/>
    <n v="2025"/>
    <n v="86783.22"/>
    <s v="Minor Delay"/>
  </r>
  <r>
    <n v="36"/>
    <d v="2025-03-09T00:00:00"/>
    <x v="4"/>
    <x v="6"/>
    <s v="NRT"/>
    <s v="Economy"/>
    <n v="275"/>
    <n v="240.77"/>
    <n v="15"/>
    <s v="On Time"/>
    <n v="66211.75"/>
    <s v="Mar"/>
    <n v="2025"/>
    <n v="66211.75"/>
    <s v="Minor Delay"/>
  </r>
  <r>
    <n v="37"/>
    <d v="2025-11-10T00:00:00"/>
    <x v="3"/>
    <x v="8"/>
    <s v="NRT"/>
    <s v="Business"/>
    <n v="52"/>
    <n v="554.22"/>
    <n v="0"/>
    <s v="On Time"/>
    <n v="28819.439999999999"/>
    <s v="Nov"/>
    <n v="2025"/>
    <n v="28819.440000000002"/>
    <s v="On Time"/>
  </r>
  <r>
    <n v="38"/>
    <d v="2025-03-01T00:00:00"/>
    <x v="1"/>
    <x v="7"/>
    <s v="KIX"/>
    <s v="Business"/>
    <n v="191"/>
    <n v="175.03"/>
    <n v="0"/>
    <s v="On Time"/>
    <n v="33430.730000000003"/>
    <s v="Mar"/>
    <n v="2025"/>
    <n v="33430.730000000003"/>
    <s v="On Time"/>
  </r>
  <r>
    <n v="39"/>
    <d v="2025-04-15T00:00:00"/>
    <x v="3"/>
    <x v="2"/>
    <s v="BKK"/>
    <s v="Business"/>
    <n v="268"/>
    <n v="255.35"/>
    <n v="0"/>
    <s v="Delayed"/>
    <n v="68433.8"/>
    <s v="Apr"/>
    <n v="2025"/>
    <n v="68433.8"/>
    <s v="On Time"/>
  </r>
  <r>
    <n v="40"/>
    <d v="2025-05-22T00:00:00"/>
    <x v="1"/>
    <x v="0"/>
    <s v="MNL"/>
    <s v="Economy"/>
    <n v="135"/>
    <n v="630.63"/>
    <n v="23"/>
    <s v="On Time"/>
    <n v="85135.05"/>
    <s v="May"/>
    <n v="2025"/>
    <n v="85135.05"/>
    <s v="Minor Delay"/>
  </r>
  <r>
    <n v="41"/>
    <d v="2025-08-15T00:00:00"/>
    <x v="5"/>
    <x v="4"/>
    <s v="CJU"/>
    <s v="Business"/>
    <n v="159"/>
    <n v="475.07"/>
    <n v="65"/>
    <s v="On Time"/>
    <n v="75536.13"/>
    <s v="Aug"/>
    <n v="2025"/>
    <n v="75536.13"/>
    <s v="Major Delay"/>
  </r>
  <r>
    <n v="42"/>
    <d v="2025-07-09T00:00:00"/>
    <x v="5"/>
    <x v="7"/>
    <s v="ICN"/>
    <s v="Business"/>
    <n v="87"/>
    <n v="378.04"/>
    <n v="58"/>
    <s v="On Time"/>
    <n v="32889.480000000003"/>
    <s v="Jul"/>
    <n v="2025"/>
    <n v="32889.480000000003"/>
    <s v="Moderate Delay"/>
  </r>
  <r>
    <n v="43"/>
    <d v="2025-07-03T00:00:00"/>
    <x v="0"/>
    <x v="3"/>
    <s v="ICN"/>
    <s v="Business"/>
    <n v="113"/>
    <n v="553.53"/>
    <n v="0"/>
    <s v="Delayed"/>
    <n v="62548.89"/>
    <s v="Jul"/>
    <n v="2025"/>
    <n v="62548.89"/>
    <s v="On Time"/>
  </r>
  <r>
    <n v="44"/>
    <d v="2025-03-25T00:00:00"/>
    <x v="0"/>
    <x v="7"/>
    <s v="NRT"/>
    <s v="Premium Economy"/>
    <n v="56"/>
    <n v="192.73"/>
    <n v="45"/>
    <s v="Delayed"/>
    <n v="10792.88"/>
    <s v="Mar"/>
    <n v="2025"/>
    <n v="10792.88"/>
    <s v="Moderate Delay"/>
  </r>
  <r>
    <n v="45"/>
    <d v="2025-05-17T00:00:00"/>
    <x v="0"/>
    <x v="1"/>
    <s v="PUS"/>
    <s v="Business"/>
    <n v="77"/>
    <n v="343.08"/>
    <n v="47"/>
    <s v="On Time"/>
    <n v="26417.16"/>
    <s v="May"/>
    <n v="2025"/>
    <n v="26417.16"/>
    <s v="Moderate Delay"/>
  </r>
  <r>
    <n v="46"/>
    <d v="2025-06-06T00:00:00"/>
    <x v="0"/>
    <x v="8"/>
    <s v="KIX"/>
    <s v="Economy"/>
    <n v="56"/>
    <n v="548.41999999999996"/>
    <n v="26"/>
    <s v="On Time"/>
    <n v="30711.52"/>
    <s v="Jun"/>
    <n v="2025"/>
    <n v="30711.519999999997"/>
    <s v="Minor Delay"/>
  </r>
  <r>
    <n v="47"/>
    <d v="2025-05-23T00:00:00"/>
    <x v="4"/>
    <x v="4"/>
    <s v="GMP"/>
    <s v="Business"/>
    <n v="180"/>
    <n v="355.76"/>
    <n v="50"/>
    <s v="Delayed"/>
    <n v="64036.800000000003"/>
    <s v="May"/>
    <n v="2025"/>
    <n v="64036.799999999996"/>
    <s v="Moderate Delay"/>
  </r>
  <r>
    <n v="48"/>
    <d v="2025-04-02T00:00:00"/>
    <x v="5"/>
    <x v="0"/>
    <s v="KIX"/>
    <s v="Premium Economy"/>
    <n v="59"/>
    <n v="140.22"/>
    <n v="16"/>
    <s v="On Time"/>
    <n v="8272.98"/>
    <s v="Apr"/>
    <n v="2025"/>
    <n v="8272.98"/>
    <s v="Minor Delay"/>
  </r>
  <r>
    <n v="49"/>
    <d v="2025-11-07T00:00:00"/>
    <x v="5"/>
    <x v="3"/>
    <s v="MNL"/>
    <s v="Economy"/>
    <n v="148"/>
    <n v="725.63"/>
    <n v="22"/>
    <s v="On Time"/>
    <n v="107393.24"/>
    <s v="Nov"/>
    <n v="2025"/>
    <n v="107393.24"/>
    <s v="Minor Delay"/>
  </r>
  <r>
    <n v="50"/>
    <d v="2025-07-06T00:00:00"/>
    <x v="2"/>
    <x v="6"/>
    <s v="PUS"/>
    <s v="Economy"/>
    <n v="292"/>
    <n v="551.54"/>
    <n v="27"/>
    <s v="On Time"/>
    <n v="161049.68"/>
    <s v="Jul"/>
    <n v="2025"/>
    <n v="161049.68"/>
    <s v="Minor Delay"/>
  </r>
  <r>
    <n v="51"/>
    <d v="2025-06-03T00:00:00"/>
    <x v="5"/>
    <x v="3"/>
    <s v="GMP"/>
    <s v="Premium Economy"/>
    <n v="220"/>
    <n v="362.21"/>
    <n v="2"/>
    <s v="On Time"/>
    <n v="79686.2"/>
    <s v="Jun"/>
    <n v="2025"/>
    <n v="79686.2"/>
    <s v="Minor Delay"/>
  </r>
  <r>
    <n v="52"/>
    <d v="2025-12-13T00:00:00"/>
    <x v="3"/>
    <x v="1"/>
    <s v="MNL"/>
    <s v="Economy"/>
    <n v="207"/>
    <n v="481.14"/>
    <n v="32"/>
    <s v="On Time"/>
    <n v="99595.98"/>
    <s v="Dec"/>
    <n v="2025"/>
    <n v="99595.98"/>
    <s v="Moderate Delay"/>
  </r>
  <r>
    <n v="53"/>
    <d v="2025-05-27T00:00:00"/>
    <x v="0"/>
    <x v="5"/>
    <s v="KIX"/>
    <s v="Premium Economy"/>
    <n v="251"/>
    <n v="489.19"/>
    <n v="4"/>
    <s v="On Time"/>
    <n v="122786.69"/>
    <s v="May"/>
    <n v="2025"/>
    <n v="122786.69"/>
    <s v="Minor Delay"/>
  </r>
  <r>
    <n v="54"/>
    <d v="2025-03-28T00:00:00"/>
    <x v="3"/>
    <x v="2"/>
    <s v="SIN"/>
    <s v="Economy"/>
    <n v="122"/>
    <n v="441.43"/>
    <n v="0"/>
    <s v="On Time"/>
    <n v="53854.46"/>
    <s v="Mar"/>
    <n v="2025"/>
    <n v="53854.46"/>
    <s v="On Time"/>
  </r>
  <r>
    <n v="55"/>
    <d v="2025-05-01T00:00:00"/>
    <x v="3"/>
    <x v="3"/>
    <s v="GMP"/>
    <s v="Premium Economy"/>
    <n v="107"/>
    <n v="656.86"/>
    <n v="24"/>
    <s v="Cancelled"/>
    <n v="70284.02"/>
    <s v="May"/>
    <n v="2025"/>
    <n v="70284.02"/>
    <s v="Minor Delay"/>
  </r>
  <r>
    <n v="56"/>
    <d v="2025-08-01T00:00:00"/>
    <x v="3"/>
    <x v="0"/>
    <s v="SIN"/>
    <s v="Business"/>
    <n v="99"/>
    <n v="591.58000000000004"/>
    <n v="26"/>
    <s v="On Time"/>
    <n v="58566.42"/>
    <s v="Aug"/>
    <n v="2025"/>
    <n v="58566.420000000006"/>
    <s v="Minor Delay"/>
  </r>
  <r>
    <n v="57"/>
    <d v="2025-03-17T00:00:00"/>
    <x v="3"/>
    <x v="1"/>
    <s v="PUS"/>
    <s v="Business"/>
    <n v="51"/>
    <n v="720.57"/>
    <n v="53"/>
    <s v="On Time"/>
    <n v="36749.07"/>
    <s v="Mar"/>
    <n v="2025"/>
    <n v="36749.07"/>
    <s v="Moderate Delay"/>
  </r>
  <r>
    <n v="58"/>
    <d v="2025-12-23T00:00:00"/>
    <x v="5"/>
    <x v="2"/>
    <s v="CJU"/>
    <s v="Premium Economy"/>
    <n v="62"/>
    <n v="472.48"/>
    <n v="0"/>
    <s v="Delayed"/>
    <n v="29293.759999999998"/>
    <s v="Dec"/>
    <n v="2025"/>
    <n v="29293.760000000002"/>
    <s v="On Time"/>
  </r>
  <r>
    <n v="59"/>
    <d v="2025-03-10T00:00:00"/>
    <x v="2"/>
    <x v="0"/>
    <s v="SIN"/>
    <s v="Business"/>
    <n v="185"/>
    <n v="791.04"/>
    <n v="0"/>
    <s v="Delayed"/>
    <n v="146342.39999999999"/>
    <s v="Mar"/>
    <n v="2025"/>
    <n v="146342.39999999999"/>
    <s v="On Time"/>
  </r>
  <r>
    <n v="60"/>
    <d v="2025-10-08T00:00:00"/>
    <x v="2"/>
    <x v="6"/>
    <s v="BKK"/>
    <s v="Economy"/>
    <n v="240"/>
    <n v="697.51"/>
    <n v="0"/>
    <s v="On Time"/>
    <n v="167402.4"/>
    <s v="Oct"/>
    <n v="2025"/>
    <n v="167402.4"/>
    <s v="On Time"/>
  </r>
  <r>
    <n v="61"/>
    <d v="2025-09-24T00:00:00"/>
    <x v="2"/>
    <x v="2"/>
    <s v="KIX"/>
    <s v="Business"/>
    <n v="111"/>
    <n v="263.2"/>
    <n v="38"/>
    <s v="On Time"/>
    <n v="29215.200000000001"/>
    <s v="Sep"/>
    <n v="2025"/>
    <n v="29215.199999999997"/>
    <s v="Moderate Delay"/>
  </r>
  <r>
    <n v="62"/>
    <d v="2025-03-12T00:00:00"/>
    <x v="0"/>
    <x v="3"/>
    <s v="GMP"/>
    <s v="Economy"/>
    <n v="148"/>
    <n v="573.52"/>
    <n v="29"/>
    <s v="On Time"/>
    <n v="84880.960000000006"/>
    <s v="Mar"/>
    <n v="2025"/>
    <n v="84880.959999999992"/>
    <s v="Minor Delay"/>
  </r>
  <r>
    <n v="63"/>
    <d v="2025-07-28T00:00:00"/>
    <x v="4"/>
    <x v="0"/>
    <s v="MNL"/>
    <s v="Business"/>
    <n v="169"/>
    <n v="367.67"/>
    <n v="26"/>
    <s v="Delayed"/>
    <n v="62136.23"/>
    <s v="Jul"/>
    <n v="2025"/>
    <n v="62136.23"/>
    <s v="Minor Delay"/>
  </r>
  <r>
    <n v="64"/>
    <d v="2025-09-02T00:00:00"/>
    <x v="1"/>
    <x v="5"/>
    <s v="MNL"/>
    <s v="Premium Economy"/>
    <n v="126"/>
    <n v="617.57000000000005"/>
    <n v="45"/>
    <s v="Delayed"/>
    <n v="77813.820000000007"/>
    <s v="Sep"/>
    <n v="2025"/>
    <n v="77813.820000000007"/>
    <s v="Moderate Delay"/>
  </r>
  <r>
    <n v="65"/>
    <d v="2025-09-07T00:00:00"/>
    <x v="0"/>
    <x v="1"/>
    <s v="PUS"/>
    <s v="Premium Economy"/>
    <n v="161"/>
    <n v="419.38"/>
    <n v="0"/>
    <s v="On Time"/>
    <n v="67520.179999999993"/>
    <s v="Sep"/>
    <n v="2025"/>
    <n v="67520.179999999993"/>
    <s v="On Time"/>
  </r>
  <r>
    <n v="66"/>
    <d v="2025-03-07T00:00:00"/>
    <x v="5"/>
    <x v="7"/>
    <s v="SIN"/>
    <s v="Business"/>
    <n v="56"/>
    <n v="731.13"/>
    <n v="43"/>
    <s v="On Time"/>
    <n v="40943.279999999999"/>
    <s v="Mar"/>
    <n v="2025"/>
    <n v="40943.279999999999"/>
    <s v="Moderate Delay"/>
  </r>
  <r>
    <n v="67"/>
    <d v="2025-11-26T00:00:00"/>
    <x v="2"/>
    <x v="5"/>
    <s v="CJU"/>
    <s v="Economy"/>
    <n v="271"/>
    <n v="401.66"/>
    <n v="43"/>
    <s v="On Time"/>
    <n v="108849.86"/>
    <s v="Nov"/>
    <n v="2025"/>
    <n v="108849.86"/>
    <s v="Moderate Delay"/>
  </r>
  <r>
    <n v="68"/>
    <d v="2025-07-14T00:00:00"/>
    <x v="4"/>
    <x v="3"/>
    <s v="BKK"/>
    <s v="Premium Economy"/>
    <n v="114"/>
    <n v="677.83"/>
    <n v="27"/>
    <s v="On Time"/>
    <n v="77272.62"/>
    <s v="Jul"/>
    <n v="2025"/>
    <n v="77272.62000000001"/>
    <s v="Minor Delay"/>
  </r>
  <r>
    <n v="69"/>
    <d v="2025-06-29T00:00:00"/>
    <x v="0"/>
    <x v="6"/>
    <s v="ICN"/>
    <s v="Business"/>
    <n v="67"/>
    <n v="638.11"/>
    <n v="0"/>
    <s v="Delayed"/>
    <n v="42753.37"/>
    <s v="Jun"/>
    <n v="2025"/>
    <n v="42753.37"/>
    <s v="On Time"/>
  </r>
  <r>
    <n v="70"/>
    <d v="2025-11-15T00:00:00"/>
    <x v="0"/>
    <x v="2"/>
    <s v="ICN"/>
    <s v="Economy"/>
    <n v="82"/>
    <n v="410.44"/>
    <n v="0"/>
    <s v="On Time"/>
    <n v="33656.080000000002"/>
    <s v="Nov"/>
    <n v="2025"/>
    <n v="33656.080000000002"/>
    <s v="On Time"/>
  </r>
  <r>
    <n v="71"/>
    <d v="2025-12-25T00:00:00"/>
    <x v="4"/>
    <x v="2"/>
    <s v="SIN"/>
    <s v="Premium Economy"/>
    <n v="92"/>
    <n v="508.36"/>
    <n v="58"/>
    <s v="On Time"/>
    <n v="46769.120000000003"/>
    <s v="Dec"/>
    <n v="2025"/>
    <n v="46769.120000000003"/>
    <s v="Moderate Delay"/>
  </r>
  <r>
    <n v="72"/>
    <d v="2025-02-25T00:00:00"/>
    <x v="5"/>
    <x v="7"/>
    <s v="KIX"/>
    <s v="Economy"/>
    <n v="287"/>
    <n v="290.85000000000002"/>
    <n v="11"/>
    <s v="On Time"/>
    <n v="83473.95"/>
    <s v="Feb"/>
    <n v="2025"/>
    <n v="83473.950000000012"/>
    <s v="Minor Delay"/>
  </r>
  <r>
    <n v="73"/>
    <d v="2025-04-12T00:00:00"/>
    <x v="1"/>
    <x v="1"/>
    <s v="MNL"/>
    <s v="Business"/>
    <n v="226"/>
    <n v="674.62"/>
    <n v="21"/>
    <s v="On Time"/>
    <n v="152464.12"/>
    <s v="Apr"/>
    <n v="2025"/>
    <n v="152464.12"/>
    <s v="Minor Delay"/>
  </r>
  <r>
    <n v="74"/>
    <d v="2025-06-27T00:00:00"/>
    <x v="5"/>
    <x v="0"/>
    <s v="ICN"/>
    <s v="Premium Economy"/>
    <n v="219"/>
    <n v="334.22"/>
    <n v="58"/>
    <s v="On Time"/>
    <n v="73194.179999999993"/>
    <s v="Jun"/>
    <n v="2025"/>
    <n v="73194.180000000008"/>
    <s v="Moderate Delay"/>
  </r>
  <r>
    <n v="75"/>
    <d v="2025-08-04T00:00:00"/>
    <x v="2"/>
    <x v="3"/>
    <s v="ICN"/>
    <s v="Economy"/>
    <n v="160"/>
    <n v="770.98"/>
    <n v="0"/>
    <s v="On Time"/>
    <n v="123356.8"/>
    <s v="Aug"/>
    <n v="2025"/>
    <n v="123356.8"/>
    <s v="On Time"/>
  </r>
  <r>
    <n v="76"/>
    <d v="2025-09-25T00:00:00"/>
    <x v="3"/>
    <x v="1"/>
    <s v="CJU"/>
    <s v="Premium Economy"/>
    <n v="207"/>
    <n v="658.07"/>
    <n v="0"/>
    <s v="On Time"/>
    <n v="136220.49"/>
    <s v="Sep"/>
    <n v="2025"/>
    <n v="136220.49000000002"/>
    <s v="On Time"/>
  </r>
  <r>
    <n v="77"/>
    <d v="2025-08-12T00:00:00"/>
    <x v="3"/>
    <x v="8"/>
    <s v="SIN"/>
    <s v="Business"/>
    <n v="118"/>
    <n v="298.51"/>
    <n v="21"/>
    <s v="On Time"/>
    <n v="35224.18"/>
    <s v="Aug"/>
    <n v="2025"/>
    <n v="35224.18"/>
    <s v="Minor Delay"/>
  </r>
  <r>
    <n v="78"/>
    <d v="2025-08-26T00:00:00"/>
    <x v="5"/>
    <x v="8"/>
    <s v="PUS"/>
    <s v="Business"/>
    <n v="221"/>
    <n v="340.45"/>
    <n v="78"/>
    <s v="On Time"/>
    <n v="75239.45"/>
    <s v="Aug"/>
    <n v="2025"/>
    <n v="75239.45"/>
    <s v="Major Delay"/>
  </r>
  <r>
    <n v="79"/>
    <d v="2025-09-07T00:00:00"/>
    <x v="0"/>
    <x v="3"/>
    <s v="CJU"/>
    <s v="Premium Economy"/>
    <n v="254"/>
    <n v="251.18"/>
    <n v="13"/>
    <s v="Delayed"/>
    <n v="63799.72"/>
    <s v="Sep"/>
    <n v="2025"/>
    <n v="63799.72"/>
    <s v="Minor Delay"/>
  </r>
  <r>
    <n v="80"/>
    <d v="2025-09-22T00:00:00"/>
    <x v="0"/>
    <x v="6"/>
    <s v="ICN"/>
    <s v="Economy"/>
    <n v="111"/>
    <n v="592.86"/>
    <n v="53"/>
    <s v="On Time"/>
    <n v="65807.460000000006"/>
    <s v="Sep"/>
    <n v="2025"/>
    <n v="65807.460000000006"/>
    <s v="Moderate Delay"/>
  </r>
  <r>
    <n v="81"/>
    <d v="2025-11-27T00:00:00"/>
    <x v="3"/>
    <x v="2"/>
    <s v="SIN"/>
    <s v="Premium Economy"/>
    <n v="164"/>
    <n v="646.77"/>
    <n v="34"/>
    <s v="On Time"/>
    <n v="106070.28"/>
    <s v="Nov"/>
    <n v="2025"/>
    <n v="106070.28"/>
    <s v="Moderate Delay"/>
  </r>
  <r>
    <n v="82"/>
    <d v="2025-08-31T00:00:00"/>
    <x v="5"/>
    <x v="4"/>
    <s v="BKK"/>
    <s v="Business"/>
    <n v="138"/>
    <n v="374.87"/>
    <n v="29"/>
    <s v="On Time"/>
    <n v="51732.06"/>
    <s v="Aug"/>
    <n v="2025"/>
    <n v="51732.06"/>
    <s v="Minor Delay"/>
  </r>
  <r>
    <n v="83"/>
    <d v="2025-12-26T00:00:00"/>
    <x v="2"/>
    <x v="3"/>
    <s v="BKK"/>
    <s v="Premium Economy"/>
    <n v="128"/>
    <n v="246.04"/>
    <n v="31"/>
    <s v="On Time"/>
    <n v="31493.119999999999"/>
    <s v="Dec"/>
    <n v="2025"/>
    <n v="31493.119999999999"/>
    <s v="Moderate Delay"/>
  </r>
  <r>
    <n v="84"/>
    <d v="2025-04-09T00:00:00"/>
    <x v="0"/>
    <x v="6"/>
    <s v="CJU"/>
    <s v="Business"/>
    <n v="173"/>
    <n v="264.61"/>
    <n v="31"/>
    <s v="On Time"/>
    <n v="45777.53"/>
    <s v="Apr"/>
    <n v="2025"/>
    <n v="45777.53"/>
    <s v="Moderate Delay"/>
  </r>
  <r>
    <n v="85"/>
    <d v="2025-02-21T00:00:00"/>
    <x v="0"/>
    <x v="6"/>
    <s v="NRT"/>
    <s v="Premium Economy"/>
    <n v="108"/>
    <n v="327.05"/>
    <n v="7"/>
    <s v="On Time"/>
    <n v="35321.4"/>
    <s v="Feb"/>
    <n v="2025"/>
    <n v="35321.4"/>
    <s v="Minor Delay"/>
  </r>
  <r>
    <n v="86"/>
    <d v="2025-10-11T00:00:00"/>
    <x v="4"/>
    <x v="5"/>
    <s v="GMP"/>
    <s v="Business"/>
    <n v="291"/>
    <n v="153.44999999999999"/>
    <n v="57"/>
    <s v="Delayed"/>
    <n v="44653.95"/>
    <s v="Oct"/>
    <n v="2025"/>
    <n v="44653.95"/>
    <s v="Moderate Delay"/>
  </r>
  <r>
    <n v="87"/>
    <d v="2025-01-07T00:00:00"/>
    <x v="5"/>
    <x v="8"/>
    <s v="GMP"/>
    <s v="Premium Economy"/>
    <n v="170"/>
    <n v="414.25"/>
    <n v="0"/>
    <s v="On Time"/>
    <n v="70422.5"/>
    <s v="Jan"/>
    <n v="2025"/>
    <n v="70422.5"/>
    <s v="On Time"/>
  </r>
  <r>
    <n v="88"/>
    <d v="2025-02-03T00:00:00"/>
    <x v="2"/>
    <x v="8"/>
    <s v="GMP"/>
    <s v="Premium Economy"/>
    <n v="68"/>
    <n v="487"/>
    <n v="74"/>
    <s v="On Time"/>
    <n v="33116"/>
    <s v="Feb"/>
    <n v="2025"/>
    <n v="33116"/>
    <s v="Major Delay"/>
  </r>
  <r>
    <n v="89"/>
    <d v="2025-10-16T00:00:00"/>
    <x v="4"/>
    <x v="7"/>
    <s v="PUS"/>
    <s v="Economy"/>
    <n v="113"/>
    <n v="147.65"/>
    <n v="23"/>
    <s v="On Time"/>
    <n v="16684.45"/>
    <s v="Oct"/>
    <n v="2025"/>
    <n v="16684.45"/>
    <s v="Minor Delay"/>
  </r>
  <r>
    <n v="90"/>
    <d v="2025-08-19T00:00:00"/>
    <x v="2"/>
    <x v="2"/>
    <s v="MNL"/>
    <s v="Premium Economy"/>
    <n v="270"/>
    <n v="495.51"/>
    <n v="0"/>
    <s v="On Time"/>
    <n v="133787.70000000001"/>
    <s v="Aug"/>
    <n v="2025"/>
    <n v="133787.70000000001"/>
    <s v="On Time"/>
  </r>
  <r>
    <n v="91"/>
    <d v="2025-04-17T00:00:00"/>
    <x v="3"/>
    <x v="5"/>
    <s v="CJU"/>
    <s v="Economy"/>
    <n v="117"/>
    <n v="548.72"/>
    <n v="28"/>
    <s v="On Time"/>
    <n v="64200.24"/>
    <s v="Apr"/>
    <n v="2025"/>
    <n v="64200.240000000005"/>
    <s v="Minor Delay"/>
  </r>
  <r>
    <n v="92"/>
    <d v="2025-08-19T00:00:00"/>
    <x v="3"/>
    <x v="5"/>
    <s v="MNL"/>
    <s v="Business"/>
    <n v="170"/>
    <n v="275.52999999999997"/>
    <n v="32"/>
    <s v="On Time"/>
    <n v="46840.1"/>
    <s v="Aug"/>
    <n v="2025"/>
    <n v="46840.1"/>
    <s v="Moderate Delay"/>
  </r>
  <r>
    <n v="93"/>
    <d v="2025-02-06T00:00:00"/>
    <x v="3"/>
    <x v="4"/>
    <s v="SIN"/>
    <s v="Economy"/>
    <n v="286"/>
    <n v="255.77"/>
    <n v="28"/>
    <s v="Delayed"/>
    <n v="73150.22"/>
    <s v="Feb"/>
    <n v="2025"/>
    <n v="73150.22"/>
    <s v="Minor Delay"/>
  </r>
  <r>
    <n v="94"/>
    <d v="2025-02-28T00:00:00"/>
    <x v="5"/>
    <x v="2"/>
    <s v="MNL"/>
    <s v="Economy"/>
    <n v="215"/>
    <n v="170.25"/>
    <n v="0"/>
    <s v="On Time"/>
    <n v="36603.75"/>
    <s v="Feb"/>
    <n v="2025"/>
    <n v="36603.75"/>
    <s v="On Time"/>
  </r>
  <r>
    <n v="95"/>
    <d v="2025-01-31T00:00:00"/>
    <x v="0"/>
    <x v="7"/>
    <s v="GMP"/>
    <s v="Premium Economy"/>
    <n v="202"/>
    <n v="614.23"/>
    <n v="1"/>
    <s v="On Time"/>
    <n v="124074.46"/>
    <s v="Jan"/>
    <n v="2025"/>
    <n v="124074.46"/>
    <s v="Minor Delay"/>
  </r>
  <r>
    <n v="96"/>
    <d v="2025-05-20T00:00:00"/>
    <x v="5"/>
    <x v="4"/>
    <s v="MNL"/>
    <s v="Business"/>
    <n v="176"/>
    <n v="383.94"/>
    <n v="11"/>
    <s v="On Time"/>
    <n v="67573.440000000002"/>
    <s v="May"/>
    <n v="2025"/>
    <n v="67573.440000000002"/>
    <s v="Minor Delay"/>
  </r>
  <r>
    <n v="97"/>
    <d v="2025-11-06T00:00:00"/>
    <x v="4"/>
    <x v="1"/>
    <s v="KIX"/>
    <s v="Economy"/>
    <n v="73"/>
    <n v="229.4"/>
    <n v="0"/>
    <s v="On Time"/>
    <n v="16746.2"/>
    <s v="Nov"/>
    <n v="2025"/>
    <n v="16746.2"/>
    <s v="On Time"/>
  </r>
  <r>
    <n v="98"/>
    <d v="2025-10-23T00:00:00"/>
    <x v="1"/>
    <x v="5"/>
    <s v="KIX"/>
    <s v="Economy"/>
    <n v="170"/>
    <n v="444.03"/>
    <n v="0"/>
    <s v="On Time"/>
    <n v="75485.100000000006"/>
    <s v="Oct"/>
    <n v="2025"/>
    <n v="75485.099999999991"/>
    <s v="On Time"/>
  </r>
  <r>
    <n v="99"/>
    <d v="2025-10-27T00:00:00"/>
    <x v="2"/>
    <x v="4"/>
    <s v="CJU"/>
    <s v="Business"/>
    <n v="258"/>
    <n v="423.88"/>
    <n v="39"/>
    <s v="On Time"/>
    <n v="109361.04"/>
    <s v="Oct"/>
    <n v="2025"/>
    <n v="109361.04"/>
    <s v="Moderate Delay"/>
  </r>
  <r>
    <n v="100"/>
    <d v="2025-06-18T00:00:00"/>
    <x v="2"/>
    <x v="0"/>
    <s v="PUS"/>
    <s v="Business"/>
    <n v="176"/>
    <n v="273.27999999999997"/>
    <n v="32"/>
    <s v="Delayed"/>
    <n v="48097.279999999999"/>
    <s v="Jun"/>
    <n v="2025"/>
    <n v="48097.279999999999"/>
    <s v="Moderate Delay"/>
  </r>
  <r>
    <n v="101"/>
    <d v="2025-08-21T00:00:00"/>
    <x v="1"/>
    <x v="6"/>
    <s v="ICN"/>
    <s v="Premium Economy"/>
    <n v="114"/>
    <n v="299.22000000000003"/>
    <n v="44"/>
    <s v="On Time"/>
    <n v="34111.08"/>
    <s v="Aug"/>
    <n v="2025"/>
    <n v="34111.08"/>
    <s v="Moderate Delay"/>
  </r>
  <r>
    <n v="102"/>
    <d v="2025-07-31T00:00:00"/>
    <x v="1"/>
    <x v="5"/>
    <s v="SIN"/>
    <s v="Economy"/>
    <n v="182"/>
    <n v="327.72"/>
    <n v="15"/>
    <s v="On Time"/>
    <n v="59645.04"/>
    <s v="Jul"/>
    <n v="2025"/>
    <n v="59645.040000000008"/>
    <s v="Minor Delay"/>
  </r>
  <r>
    <n v="103"/>
    <d v="2025-04-15T00:00:00"/>
    <x v="4"/>
    <x v="8"/>
    <s v="ICN"/>
    <s v="Business"/>
    <n v="83"/>
    <n v="746.48"/>
    <n v="0"/>
    <s v="On Time"/>
    <n v="61957.84"/>
    <s v="Apr"/>
    <n v="2025"/>
    <n v="61957.840000000004"/>
    <s v="On Time"/>
  </r>
  <r>
    <n v="104"/>
    <d v="2025-06-09T00:00:00"/>
    <x v="5"/>
    <x v="2"/>
    <s v="CJU"/>
    <s v="Economy"/>
    <n v="191"/>
    <n v="361.91"/>
    <n v="34"/>
    <s v="On Time"/>
    <n v="69124.81"/>
    <s v="Jun"/>
    <n v="2025"/>
    <n v="69124.81"/>
    <s v="Moderate Delay"/>
  </r>
  <r>
    <n v="105"/>
    <d v="2025-03-02T00:00:00"/>
    <x v="3"/>
    <x v="0"/>
    <s v="SIN"/>
    <s v="Economy"/>
    <n v="177"/>
    <n v="750.16"/>
    <n v="9"/>
    <s v="On Time"/>
    <n v="132778.32"/>
    <s v="Mar"/>
    <n v="2025"/>
    <n v="132778.32"/>
    <s v="Minor Delay"/>
  </r>
  <r>
    <n v="106"/>
    <d v="2025-05-05T00:00:00"/>
    <x v="2"/>
    <x v="8"/>
    <s v="SIN"/>
    <s v="Business"/>
    <n v="87"/>
    <n v="343.85"/>
    <n v="57"/>
    <s v="Delayed"/>
    <n v="29914.95"/>
    <s v="May"/>
    <n v="2025"/>
    <n v="29914.95"/>
    <s v="Moderate Delay"/>
  </r>
  <r>
    <n v="107"/>
    <d v="2025-02-05T00:00:00"/>
    <x v="4"/>
    <x v="6"/>
    <s v="CJU"/>
    <s v="Premium Economy"/>
    <n v="137"/>
    <n v="751.34"/>
    <n v="0"/>
    <s v="On Time"/>
    <n v="102933.58"/>
    <s v="Feb"/>
    <n v="2025"/>
    <n v="102933.58"/>
    <s v="On Time"/>
  </r>
  <r>
    <n v="108"/>
    <d v="2025-03-18T00:00:00"/>
    <x v="2"/>
    <x v="4"/>
    <s v="SIN"/>
    <s v="Business"/>
    <n v="173"/>
    <n v="315.39"/>
    <n v="17"/>
    <s v="On Time"/>
    <n v="54562.47"/>
    <s v="Mar"/>
    <n v="2025"/>
    <n v="54562.47"/>
    <s v="Minor Delay"/>
  </r>
  <r>
    <n v="109"/>
    <d v="2025-08-22T00:00:00"/>
    <x v="4"/>
    <x v="6"/>
    <s v="BKK"/>
    <s v="Economy"/>
    <n v="228"/>
    <n v="236.72"/>
    <n v="0"/>
    <s v="On Time"/>
    <n v="53972.160000000003"/>
    <s v="Aug"/>
    <n v="2025"/>
    <n v="53972.159999999996"/>
    <s v="On Time"/>
  </r>
  <r>
    <n v="110"/>
    <d v="2025-12-28T00:00:00"/>
    <x v="2"/>
    <x v="3"/>
    <s v="SIN"/>
    <s v="Premium Economy"/>
    <n v="219"/>
    <n v="646.37"/>
    <n v="53"/>
    <s v="On Time"/>
    <n v="141555.03"/>
    <s v="Dec"/>
    <n v="2025"/>
    <n v="141555.03"/>
    <s v="Moderate Delay"/>
  </r>
  <r>
    <n v="111"/>
    <d v="2025-01-19T00:00:00"/>
    <x v="0"/>
    <x v="7"/>
    <s v="SIN"/>
    <s v="Business"/>
    <n v="297"/>
    <n v="496.73"/>
    <n v="54"/>
    <s v="On Time"/>
    <n v="147528.81"/>
    <s v="Jan"/>
    <n v="2025"/>
    <n v="147528.81"/>
    <s v="Moderate Delay"/>
  </r>
  <r>
    <n v="112"/>
    <d v="2025-01-08T00:00:00"/>
    <x v="3"/>
    <x v="6"/>
    <s v="MNL"/>
    <s v="Economy"/>
    <n v="154"/>
    <n v="704.49"/>
    <n v="0"/>
    <s v="Delayed"/>
    <n v="108491.46"/>
    <s v="Jan"/>
    <n v="2025"/>
    <n v="108491.46"/>
    <s v="On Time"/>
  </r>
  <r>
    <n v="113"/>
    <d v="2025-05-16T00:00:00"/>
    <x v="4"/>
    <x v="0"/>
    <s v="SIN"/>
    <s v="Business"/>
    <n v="227"/>
    <n v="354.14"/>
    <n v="39"/>
    <s v="On Time"/>
    <n v="80389.78"/>
    <s v="May"/>
    <n v="2025"/>
    <n v="80389.78"/>
    <s v="Moderate Delay"/>
  </r>
  <r>
    <n v="114"/>
    <d v="2025-06-12T00:00:00"/>
    <x v="3"/>
    <x v="6"/>
    <s v="BKK"/>
    <s v="Business"/>
    <n v="277"/>
    <n v="621.96"/>
    <n v="30"/>
    <s v="Delayed"/>
    <n v="172282.92"/>
    <s v="Jun"/>
    <n v="2025"/>
    <n v="172282.92"/>
    <s v="Minor Delay"/>
  </r>
  <r>
    <n v="115"/>
    <d v="2025-05-01T00:00:00"/>
    <x v="3"/>
    <x v="5"/>
    <s v="CJU"/>
    <s v="Business"/>
    <n v="285"/>
    <n v="272.66000000000003"/>
    <n v="21"/>
    <s v="Delayed"/>
    <n v="77708.100000000006"/>
    <s v="May"/>
    <n v="2025"/>
    <n v="77708.100000000006"/>
    <s v="Minor Delay"/>
  </r>
  <r>
    <n v="116"/>
    <d v="2025-03-27T00:00:00"/>
    <x v="3"/>
    <x v="0"/>
    <s v="SIN"/>
    <s v="Premium Economy"/>
    <n v="281"/>
    <n v="81.42"/>
    <n v="30"/>
    <s v="On Time"/>
    <n v="22879.02"/>
    <s v="Mar"/>
    <n v="2025"/>
    <n v="22879.02"/>
    <s v="Minor Delay"/>
  </r>
  <r>
    <n v="117"/>
    <d v="2025-07-03T00:00:00"/>
    <x v="4"/>
    <x v="5"/>
    <s v="KIX"/>
    <s v="Premium Economy"/>
    <n v="87"/>
    <n v="240.71"/>
    <n v="0"/>
    <s v="On Time"/>
    <n v="20941.77"/>
    <s v="Jul"/>
    <n v="2025"/>
    <n v="20941.77"/>
    <s v="On Time"/>
  </r>
  <r>
    <n v="118"/>
    <d v="2025-11-09T00:00:00"/>
    <x v="2"/>
    <x v="7"/>
    <s v="GMP"/>
    <s v="Business"/>
    <n v="224"/>
    <n v="238.21"/>
    <n v="39"/>
    <s v="Delayed"/>
    <n v="53359.040000000001"/>
    <s v="Nov"/>
    <n v="2025"/>
    <n v="53359.040000000001"/>
    <s v="Moderate Delay"/>
  </r>
  <r>
    <n v="119"/>
    <d v="2025-08-25T00:00:00"/>
    <x v="3"/>
    <x v="7"/>
    <s v="NRT"/>
    <s v="Premium Economy"/>
    <n v="167"/>
    <n v="248.94"/>
    <n v="65"/>
    <s v="Delayed"/>
    <n v="41572.980000000003"/>
    <s v="Aug"/>
    <n v="2025"/>
    <n v="41572.980000000003"/>
    <s v="Major Delay"/>
  </r>
  <r>
    <n v="120"/>
    <d v="2025-02-07T00:00:00"/>
    <x v="2"/>
    <x v="6"/>
    <s v="CJU"/>
    <s v="Premium Economy"/>
    <n v="200"/>
    <n v="281.37"/>
    <n v="22"/>
    <s v="Delayed"/>
    <n v="56274"/>
    <s v="Feb"/>
    <n v="2025"/>
    <n v="56274"/>
    <s v="Minor Delay"/>
  </r>
  <r>
    <n v="121"/>
    <d v="2025-06-04T00:00:00"/>
    <x v="0"/>
    <x v="4"/>
    <s v="SIN"/>
    <s v="Premium Economy"/>
    <n v="268"/>
    <n v="417.57"/>
    <n v="22"/>
    <s v="On Time"/>
    <n v="111908.76"/>
    <s v="Jun"/>
    <n v="2025"/>
    <n v="111908.76"/>
    <s v="Minor Delay"/>
  </r>
  <r>
    <n v="122"/>
    <d v="2025-12-04T00:00:00"/>
    <x v="2"/>
    <x v="4"/>
    <s v="ICN"/>
    <s v="Premium Economy"/>
    <n v="52"/>
    <n v="478.79"/>
    <n v="52"/>
    <s v="On Time"/>
    <n v="24897.08"/>
    <s v="Dec"/>
    <n v="2025"/>
    <n v="24897.08"/>
    <s v="Moderate Delay"/>
  </r>
  <r>
    <n v="123"/>
    <d v="2025-05-27T00:00:00"/>
    <x v="0"/>
    <x v="5"/>
    <s v="SIN"/>
    <s v="Business"/>
    <n v="255"/>
    <n v="320.72000000000003"/>
    <n v="0"/>
    <s v="On Time"/>
    <n v="81783.600000000006"/>
    <s v="May"/>
    <n v="2025"/>
    <n v="81783.600000000006"/>
    <s v="On Time"/>
  </r>
  <r>
    <n v="124"/>
    <d v="2025-11-18T00:00:00"/>
    <x v="3"/>
    <x v="7"/>
    <s v="GMP"/>
    <s v="Economy"/>
    <n v="129"/>
    <n v="643.57000000000005"/>
    <n v="0"/>
    <s v="On Time"/>
    <n v="83020.53"/>
    <s v="Nov"/>
    <n v="2025"/>
    <n v="83020.530000000013"/>
    <s v="On Time"/>
  </r>
  <r>
    <n v="125"/>
    <d v="2025-02-16T00:00:00"/>
    <x v="4"/>
    <x v="3"/>
    <s v="CJU"/>
    <s v="Premium Economy"/>
    <n v="241"/>
    <n v="367.47"/>
    <n v="33"/>
    <s v="Delayed"/>
    <n v="88560.27"/>
    <s v="Feb"/>
    <n v="2025"/>
    <n v="88560.27"/>
    <s v="Moderate Delay"/>
  </r>
  <r>
    <n v="126"/>
    <d v="2025-03-26T00:00:00"/>
    <x v="4"/>
    <x v="3"/>
    <s v="NRT"/>
    <s v="Premium Economy"/>
    <n v="297"/>
    <n v="656.8"/>
    <n v="61"/>
    <s v="On Time"/>
    <n v="195069.6"/>
    <s v="Mar"/>
    <n v="2025"/>
    <n v="195069.59999999998"/>
    <s v="Major Delay"/>
  </r>
  <r>
    <n v="127"/>
    <d v="2025-08-28T00:00:00"/>
    <x v="1"/>
    <x v="3"/>
    <s v="GMP"/>
    <s v="Economy"/>
    <n v="243"/>
    <n v="775.21"/>
    <n v="45"/>
    <s v="Delayed"/>
    <n v="188376.03"/>
    <s v="Aug"/>
    <n v="2025"/>
    <n v="188376.03"/>
    <s v="Moderate Delay"/>
  </r>
  <r>
    <n v="128"/>
    <d v="2025-02-16T00:00:00"/>
    <x v="2"/>
    <x v="6"/>
    <s v="KIX"/>
    <s v="Economy"/>
    <n v="117"/>
    <n v="457.06"/>
    <n v="0"/>
    <s v="On Time"/>
    <n v="53476.02"/>
    <s v="Feb"/>
    <n v="2025"/>
    <n v="53476.02"/>
    <s v="On Time"/>
  </r>
  <r>
    <n v="129"/>
    <d v="2025-11-23T00:00:00"/>
    <x v="4"/>
    <x v="4"/>
    <s v="MNL"/>
    <s v="Economy"/>
    <n v="222"/>
    <n v="233.03"/>
    <n v="71"/>
    <s v="On Time"/>
    <n v="51732.66"/>
    <s v="Nov"/>
    <n v="2025"/>
    <n v="51732.66"/>
    <s v="Major Delay"/>
  </r>
  <r>
    <n v="130"/>
    <d v="2025-11-22T00:00:00"/>
    <x v="2"/>
    <x v="2"/>
    <s v="GMP"/>
    <s v="Business"/>
    <n v="127"/>
    <n v="540.44000000000005"/>
    <n v="28"/>
    <s v="On Time"/>
    <n v="68635.88"/>
    <s v="Nov"/>
    <n v="2025"/>
    <n v="68635.88"/>
    <s v="Minor Delay"/>
  </r>
  <r>
    <n v="131"/>
    <d v="2025-06-05T00:00:00"/>
    <x v="2"/>
    <x v="5"/>
    <s v="GMP"/>
    <s v="Economy"/>
    <n v="74"/>
    <n v="233.75"/>
    <n v="0"/>
    <s v="On Time"/>
    <n v="17297.5"/>
    <s v="Jun"/>
    <n v="2025"/>
    <n v="17297.5"/>
    <s v="On Time"/>
  </r>
  <r>
    <n v="132"/>
    <d v="2025-10-28T00:00:00"/>
    <x v="3"/>
    <x v="6"/>
    <s v="BKK"/>
    <s v="Business"/>
    <n v="89"/>
    <n v="715.21"/>
    <n v="14"/>
    <s v="On Time"/>
    <n v="63653.69"/>
    <s v="Oct"/>
    <n v="2025"/>
    <n v="63653.69"/>
    <s v="Minor Delay"/>
  </r>
  <r>
    <n v="133"/>
    <d v="2025-05-24T00:00:00"/>
    <x v="1"/>
    <x v="8"/>
    <s v="BKK"/>
    <s v="Business"/>
    <n v="144"/>
    <n v="220.78"/>
    <n v="2"/>
    <s v="On Time"/>
    <n v="31792.32"/>
    <s v="May"/>
    <n v="2025"/>
    <n v="31792.32"/>
    <s v="Minor Delay"/>
  </r>
  <r>
    <n v="134"/>
    <d v="2025-02-01T00:00:00"/>
    <x v="2"/>
    <x v="3"/>
    <s v="BKK"/>
    <s v="Premium Economy"/>
    <n v="98"/>
    <n v="776.47"/>
    <n v="26"/>
    <s v="Delayed"/>
    <n v="76094.06"/>
    <s v="Feb"/>
    <n v="2025"/>
    <n v="76094.06"/>
    <s v="Minor Delay"/>
  </r>
  <r>
    <n v="135"/>
    <d v="2025-12-06T00:00:00"/>
    <x v="0"/>
    <x v="8"/>
    <s v="GMP"/>
    <s v="Business"/>
    <n v="213"/>
    <n v="501.89"/>
    <n v="63"/>
    <s v="On Time"/>
    <n v="106902.57"/>
    <s v="Dec"/>
    <n v="2025"/>
    <n v="106902.56999999999"/>
    <s v="Major Delay"/>
  </r>
  <r>
    <n v="136"/>
    <d v="2025-02-05T00:00:00"/>
    <x v="5"/>
    <x v="7"/>
    <s v="NRT"/>
    <s v="Economy"/>
    <n v="200"/>
    <n v="219.8"/>
    <n v="25"/>
    <s v="Delayed"/>
    <n v="43960"/>
    <s v="Feb"/>
    <n v="2025"/>
    <n v="43960"/>
    <s v="Minor Delay"/>
  </r>
  <r>
    <n v="137"/>
    <d v="2025-11-02T00:00:00"/>
    <x v="1"/>
    <x v="3"/>
    <s v="CJU"/>
    <s v="Premium Economy"/>
    <n v="269"/>
    <n v="788.18"/>
    <n v="51"/>
    <s v="On Time"/>
    <n v="212020.42"/>
    <s v="Nov"/>
    <n v="2025"/>
    <n v="212020.41999999998"/>
    <s v="Moderate Delay"/>
  </r>
  <r>
    <n v="138"/>
    <d v="2025-03-09T00:00:00"/>
    <x v="1"/>
    <x v="0"/>
    <s v="ICN"/>
    <s v="Premium Economy"/>
    <n v="252"/>
    <n v="643.44000000000005"/>
    <n v="17"/>
    <s v="On Time"/>
    <n v="162146.88"/>
    <s v="Mar"/>
    <n v="2025"/>
    <n v="162146.88"/>
    <s v="Minor Delay"/>
  </r>
  <r>
    <n v="139"/>
    <d v="2025-05-16T00:00:00"/>
    <x v="1"/>
    <x v="5"/>
    <s v="PUS"/>
    <s v="Economy"/>
    <n v="239"/>
    <n v="371.51"/>
    <n v="26"/>
    <s v="On Time"/>
    <n v="88790.89"/>
    <s v="May"/>
    <n v="2025"/>
    <n v="88790.89"/>
    <s v="Minor Delay"/>
  </r>
  <r>
    <n v="140"/>
    <d v="2025-08-20T00:00:00"/>
    <x v="5"/>
    <x v="3"/>
    <s v="GMP"/>
    <s v="Economy"/>
    <n v="292"/>
    <n v="515.17999999999995"/>
    <n v="25"/>
    <s v="On Time"/>
    <n v="150432.56"/>
    <s v="Aug"/>
    <n v="2025"/>
    <n v="150432.56"/>
    <s v="Minor Delay"/>
  </r>
  <r>
    <n v="141"/>
    <d v="2025-08-23T00:00:00"/>
    <x v="3"/>
    <x v="6"/>
    <s v="NRT"/>
    <s v="Economy"/>
    <n v="65"/>
    <n v="798.95"/>
    <n v="35"/>
    <s v="On Time"/>
    <n v="51931.75"/>
    <s v="Aug"/>
    <n v="2025"/>
    <n v="51931.75"/>
    <s v="Moderate Delay"/>
  </r>
  <r>
    <n v="142"/>
    <d v="2025-02-11T00:00:00"/>
    <x v="4"/>
    <x v="8"/>
    <s v="GMP"/>
    <s v="Business"/>
    <n v="87"/>
    <n v="108.6"/>
    <n v="0"/>
    <s v="On Time"/>
    <n v="9448.2000000000007"/>
    <s v="Feb"/>
    <n v="2025"/>
    <n v="9448.1999999999989"/>
    <s v="On Time"/>
  </r>
  <r>
    <n v="143"/>
    <d v="2025-07-15T00:00:00"/>
    <x v="5"/>
    <x v="6"/>
    <s v="KIX"/>
    <s v="Business"/>
    <n v="125"/>
    <n v="395.75"/>
    <n v="10"/>
    <s v="On Time"/>
    <n v="49468.75"/>
    <s v="Jul"/>
    <n v="2025"/>
    <n v="49468.75"/>
    <s v="Minor Delay"/>
  </r>
  <r>
    <n v="144"/>
    <d v="2025-08-09T00:00:00"/>
    <x v="2"/>
    <x v="6"/>
    <s v="PUS"/>
    <s v="Economy"/>
    <n v="155"/>
    <n v="310.81"/>
    <n v="12"/>
    <s v="On Time"/>
    <n v="48175.55"/>
    <s v="Aug"/>
    <n v="2025"/>
    <n v="48175.55"/>
    <s v="Minor Delay"/>
  </r>
  <r>
    <n v="145"/>
    <d v="2025-06-10T00:00:00"/>
    <x v="2"/>
    <x v="1"/>
    <s v="GMP"/>
    <s v="Premium Economy"/>
    <n v="220"/>
    <n v="248.62"/>
    <n v="56"/>
    <s v="On Time"/>
    <n v="54696.4"/>
    <s v="Jun"/>
    <n v="2025"/>
    <n v="54696.4"/>
    <s v="Moderate Delay"/>
  </r>
  <r>
    <n v="146"/>
    <d v="2025-02-17T00:00:00"/>
    <x v="2"/>
    <x v="0"/>
    <s v="CJU"/>
    <s v="Economy"/>
    <n v="240"/>
    <n v="606.71"/>
    <n v="9"/>
    <s v="Delayed"/>
    <n v="145610.4"/>
    <s v="Feb"/>
    <n v="2025"/>
    <n v="145610.40000000002"/>
    <s v="Minor Delay"/>
  </r>
  <r>
    <n v="147"/>
    <d v="2025-10-28T00:00:00"/>
    <x v="5"/>
    <x v="6"/>
    <s v="ICN"/>
    <s v="Business"/>
    <n v="134"/>
    <n v="555.80999999999995"/>
    <n v="0"/>
    <s v="Delayed"/>
    <n v="74478.539999999994"/>
    <s v="Oct"/>
    <n v="2025"/>
    <n v="74478.539999999994"/>
    <s v="On Time"/>
  </r>
  <r>
    <n v="148"/>
    <d v="2025-05-28T00:00:00"/>
    <x v="5"/>
    <x v="1"/>
    <s v="ICN"/>
    <s v="Premium Economy"/>
    <n v="140"/>
    <n v="136.66"/>
    <n v="47"/>
    <s v="On Time"/>
    <n v="19132.400000000001"/>
    <s v="May"/>
    <n v="2025"/>
    <n v="19132.399999999998"/>
    <s v="Moderate Delay"/>
  </r>
  <r>
    <n v="149"/>
    <d v="2025-04-25T00:00:00"/>
    <x v="1"/>
    <x v="7"/>
    <s v="SIN"/>
    <s v="Premium Economy"/>
    <n v="266"/>
    <n v="471.64"/>
    <n v="35"/>
    <s v="On Time"/>
    <n v="125456.24"/>
    <s v="Apr"/>
    <n v="2025"/>
    <n v="125456.23999999999"/>
    <s v="Moderate Delay"/>
  </r>
  <r>
    <n v="150"/>
    <d v="2025-11-08T00:00:00"/>
    <x v="3"/>
    <x v="1"/>
    <s v="ICN"/>
    <s v="Business"/>
    <n v="118"/>
    <n v="81.430000000000007"/>
    <n v="33"/>
    <s v="On Time"/>
    <n v="9608.74"/>
    <s v="Nov"/>
    <n v="2025"/>
    <n v="9608.7400000000016"/>
    <s v="Moderate Delay"/>
  </r>
  <r>
    <n v="151"/>
    <d v="2025-06-29T00:00:00"/>
    <x v="1"/>
    <x v="4"/>
    <s v="BKK"/>
    <s v="Economy"/>
    <n v="272"/>
    <n v="166.01"/>
    <n v="14"/>
    <s v="On Time"/>
    <n v="45154.720000000001"/>
    <s v="Jun"/>
    <n v="2025"/>
    <n v="45154.720000000001"/>
    <s v="Minor Delay"/>
  </r>
  <r>
    <n v="152"/>
    <d v="2025-09-29T00:00:00"/>
    <x v="0"/>
    <x v="5"/>
    <s v="CJU"/>
    <s v="Premium Economy"/>
    <n v="157"/>
    <n v="395.7"/>
    <n v="12"/>
    <s v="On Time"/>
    <n v="62124.9"/>
    <s v="Sep"/>
    <n v="2025"/>
    <n v="62124.9"/>
    <s v="Minor Delay"/>
  </r>
  <r>
    <n v="153"/>
    <d v="2025-10-18T00:00:00"/>
    <x v="5"/>
    <x v="4"/>
    <s v="BKK"/>
    <s v="Economy"/>
    <n v="276"/>
    <n v="98.93"/>
    <n v="39"/>
    <s v="On Time"/>
    <n v="27304.68"/>
    <s v="Oct"/>
    <n v="2025"/>
    <n v="27304.68"/>
    <s v="Moderate Delay"/>
  </r>
  <r>
    <n v="154"/>
    <d v="2025-12-05T00:00:00"/>
    <x v="2"/>
    <x v="4"/>
    <s v="SIN"/>
    <s v="Premium Economy"/>
    <n v="205"/>
    <n v="387.11"/>
    <n v="48"/>
    <s v="On Time"/>
    <n v="79357.55"/>
    <s v="Dec"/>
    <n v="2025"/>
    <n v="79357.55"/>
    <s v="Moderate Delay"/>
  </r>
  <r>
    <n v="155"/>
    <d v="2025-06-26T00:00:00"/>
    <x v="2"/>
    <x v="6"/>
    <s v="GMP"/>
    <s v="Economy"/>
    <n v="122"/>
    <n v="561.88"/>
    <n v="0"/>
    <s v="On Time"/>
    <n v="68549.36"/>
    <s v="Jun"/>
    <n v="2025"/>
    <n v="68549.36"/>
    <s v="On Time"/>
  </r>
  <r>
    <n v="156"/>
    <d v="2025-11-03T00:00:00"/>
    <x v="1"/>
    <x v="2"/>
    <s v="MNL"/>
    <s v="Economy"/>
    <n v="102"/>
    <n v="283.05"/>
    <n v="3"/>
    <s v="On Time"/>
    <n v="28871.1"/>
    <s v="Nov"/>
    <n v="2025"/>
    <n v="28871.100000000002"/>
    <s v="Minor Delay"/>
  </r>
  <r>
    <n v="157"/>
    <d v="2025-05-29T00:00:00"/>
    <x v="4"/>
    <x v="7"/>
    <s v="KIX"/>
    <s v="Economy"/>
    <n v="51"/>
    <n v="428.07"/>
    <n v="8"/>
    <s v="On Time"/>
    <n v="21831.57"/>
    <s v="May"/>
    <n v="2025"/>
    <n v="21831.57"/>
    <s v="Minor Delay"/>
  </r>
  <r>
    <n v="158"/>
    <d v="2025-02-06T00:00:00"/>
    <x v="2"/>
    <x v="2"/>
    <s v="BKK"/>
    <s v="Business"/>
    <n v="60"/>
    <n v="382.8"/>
    <n v="25"/>
    <s v="On Time"/>
    <n v="22968"/>
    <s v="Feb"/>
    <n v="2025"/>
    <n v="22968"/>
    <s v="Minor Delay"/>
  </r>
  <r>
    <n v="159"/>
    <d v="2025-10-22T00:00:00"/>
    <x v="2"/>
    <x v="0"/>
    <s v="BKK"/>
    <s v="Business"/>
    <n v="153"/>
    <n v="585.03"/>
    <n v="9"/>
    <s v="On Time"/>
    <n v="89509.59"/>
    <s v="Oct"/>
    <n v="2025"/>
    <n v="89509.59"/>
    <s v="Minor Delay"/>
  </r>
  <r>
    <n v="160"/>
    <d v="2025-11-13T00:00:00"/>
    <x v="2"/>
    <x v="3"/>
    <s v="CJU"/>
    <s v="Business"/>
    <n v="285"/>
    <n v="327.77"/>
    <n v="26"/>
    <s v="On Time"/>
    <n v="93414.45"/>
    <s v="Nov"/>
    <n v="2025"/>
    <n v="93414.45"/>
    <s v="Minor Delay"/>
  </r>
  <r>
    <n v="161"/>
    <d v="2025-08-12T00:00:00"/>
    <x v="5"/>
    <x v="0"/>
    <s v="NRT"/>
    <s v="Premium Economy"/>
    <n v="184"/>
    <n v="118.2"/>
    <n v="48"/>
    <s v="On Time"/>
    <n v="21748.799999999999"/>
    <s v="Aug"/>
    <n v="2025"/>
    <n v="21748.799999999999"/>
    <s v="Moderate Delay"/>
  </r>
  <r>
    <n v="162"/>
    <d v="2025-09-19T00:00:00"/>
    <x v="3"/>
    <x v="7"/>
    <s v="GMP"/>
    <s v="Economy"/>
    <n v="185"/>
    <n v="437.36"/>
    <n v="0"/>
    <s v="Delayed"/>
    <n v="80911.600000000006"/>
    <s v="Sep"/>
    <n v="2025"/>
    <n v="80911.600000000006"/>
    <s v="On Time"/>
  </r>
  <r>
    <n v="163"/>
    <d v="2025-11-27T00:00:00"/>
    <x v="0"/>
    <x v="3"/>
    <s v="BKK"/>
    <s v="Economy"/>
    <n v="76"/>
    <n v="168.37"/>
    <n v="31"/>
    <s v="On Time"/>
    <n v="12796.12"/>
    <s v="Nov"/>
    <n v="2025"/>
    <n v="12796.12"/>
    <s v="Moderate Delay"/>
  </r>
  <r>
    <n v="164"/>
    <d v="2025-11-18T00:00:00"/>
    <x v="2"/>
    <x v="0"/>
    <s v="PUS"/>
    <s v="Premium Economy"/>
    <n v="243"/>
    <n v="477.16"/>
    <n v="52"/>
    <s v="On Time"/>
    <n v="115949.88"/>
    <s v="Nov"/>
    <n v="2025"/>
    <n v="115949.88"/>
    <s v="Moderate Delay"/>
  </r>
  <r>
    <n v="165"/>
    <d v="2025-03-19T00:00:00"/>
    <x v="2"/>
    <x v="3"/>
    <s v="BKK"/>
    <s v="Economy"/>
    <n v="170"/>
    <n v="387.23"/>
    <n v="13"/>
    <s v="On Time"/>
    <n v="65829.100000000006"/>
    <s v="Mar"/>
    <n v="2025"/>
    <n v="65829.100000000006"/>
    <s v="Minor Delay"/>
  </r>
  <r>
    <n v="166"/>
    <d v="2025-06-08T00:00:00"/>
    <x v="2"/>
    <x v="6"/>
    <s v="GMP"/>
    <s v="Premium Economy"/>
    <n v="59"/>
    <n v="102.1"/>
    <n v="38"/>
    <s v="Delayed"/>
    <n v="6023.9"/>
    <s v="Jun"/>
    <n v="2025"/>
    <n v="6023.9"/>
    <s v="Moderate Delay"/>
  </r>
  <r>
    <n v="167"/>
    <d v="2025-11-11T00:00:00"/>
    <x v="5"/>
    <x v="0"/>
    <s v="CJU"/>
    <s v="Business"/>
    <n v="148"/>
    <n v="402.41"/>
    <n v="0"/>
    <s v="Delayed"/>
    <n v="59556.68"/>
    <s v="Nov"/>
    <n v="2025"/>
    <n v="59556.68"/>
    <s v="On Time"/>
  </r>
  <r>
    <n v="168"/>
    <d v="2025-06-14T00:00:00"/>
    <x v="5"/>
    <x v="8"/>
    <s v="PUS"/>
    <s v="Premium Economy"/>
    <n v="178"/>
    <n v="171.64"/>
    <n v="5"/>
    <s v="On Time"/>
    <n v="30551.919999999998"/>
    <s v="Jun"/>
    <n v="2025"/>
    <n v="30551.919999999998"/>
    <s v="Minor Delay"/>
  </r>
  <r>
    <n v="169"/>
    <d v="2025-02-13T00:00:00"/>
    <x v="5"/>
    <x v="0"/>
    <s v="BKK"/>
    <s v="Business"/>
    <n v="94"/>
    <n v="88.97"/>
    <n v="0"/>
    <s v="On Time"/>
    <n v="8363.18"/>
    <s v="Feb"/>
    <n v="2025"/>
    <n v="8363.18"/>
    <s v="On Time"/>
  </r>
  <r>
    <n v="170"/>
    <d v="2025-07-10T00:00:00"/>
    <x v="4"/>
    <x v="7"/>
    <s v="BKK"/>
    <s v="Premium Economy"/>
    <n v="154"/>
    <n v="633.1"/>
    <n v="0"/>
    <s v="On Time"/>
    <n v="97497.4"/>
    <s v="Jul"/>
    <n v="2025"/>
    <n v="97497.400000000009"/>
    <s v="On Time"/>
  </r>
  <r>
    <n v="171"/>
    <d v="2025-02-03T00:00:00"/>
    <x v="4"/>
    <x v="5"/>
    <s v="BKK"/>
    <s v="Economy"/>
    <n v="192"/>
    <n v="562"/>
    <n v="11"/>
    <s v="On Time"/>
    <n v="107904"/>
    <s v="Feb"/>
    <n v="2025"/>
    <n v="107904"/>
    <s v="Minor Delay"/>
  </r>
  <r>
    <n v="172"/>
    <d v="2025-02-11T00:00:00"/>
    <x v="5"/>
    <x v="7"/>
    <s v="BKK"/>
    <s v="Business"/>
    <n v="86"/>
    <n v="738.39"/>
    <n v="59"/>
    <s v="On Time"/>
    <n v="63501.54"/>
    <s v="Feb"/>
    <n v="2025"/>
    <n v="63501.54"/>
    <s v="Moderate Delay"/>
  </r>
  <r>
    <n v="173"/>
    <d v="2025-11-01T00:00:00"/>
    <x v="3"/>
    <x v="1"/>
    <s v="CJU"/>
    <s v="Economy"/>
    <n v="129"/>
    <n v="473.6"/>
    <n v="6"/>
    <s v="On Time"/>
    <n v="61094.400000000001"/>
    <s v="Nov"/>
    <n v="2025"/>
    <n v="61094.400000000001"/>
    <s v="Minor Delay"/>
  </r>
  <r>
    <n v="174"/>
    <d v="2025-11-27T00:00:00"/>
    <x v="3"/>
    <x v="6"/>
    <s v="GMP"/>
    <s v="Premium Economy"/>
    <n v="180"/>
    <n v="327.75"/>
    <n v="2"/>
    <s v="On Time"/>
    <n v="58995"/>
    <s v="Nov"/>
    <n v="2025"/>
    <n v="58995"/>
    <s v="Minor Delay"/>
  </r>
  <r>
    <n v="175"/>
    <d v="2025-06-24T00:00:00"/>
    <x v="2"/>
    <x v="7"/>
    <s v="NRT"/>
    <s v="Economy"/>
    <n v="107"/>
    <n v="799.98"/>
    <n v="31"/>
    <s v="On Time"/>
    <n v="85597.86"/>
    <s v="Jun"/>
    <n v="2025"/>
    <n v="85597.86"/>
    <s v="Moderate Delay"/>
  </r>
  <r>
    <n v="176"/>
    <d v="2025-12-05T00:00:00"/>
    <x v="4"/>
    <x v="6"/>
    <s v="ICN"/>
    <s v="Business"/>
    <n v="83"/>
    <n v="501.96"/>
    <n v="37"/>
    <s v="On Time"/>
    <n v="41662.68"/>
    <s v="Dec"/>
    <n v="2025"/>
    <n v="41662.68"/>
    <s v="Moderate Delay"/>
  </r>
  <r>
    <n v="177"/>
    <d v="2025-08-13T00:00:00"/>
    <x v="1"/>
    <x v="7"/>
    <s v="PUS"/>
    <s v="Premium Economy"/>
    <n v="143"/>
    <n v="560.51"/>
    <n v="22"/>
    <s v="On Time"/>
    <n v="80152.929999999993"/>
    <s v="Aug"/>
    <n v="2025"/>
    <n v="80152.929999999993"/>
    <s v="Minor Delay"/>
  </r>
  <r>
    <n v="178"/>
    <d v="2025-10-01T00:00:00"/>
    <x v="0"/>
    <x v="8"/>
    <s v="PUS"/>
    <s v="Premium Economy"/>
    <n v="297"/>
    <n v="658.38"/>
    <n v="47"/>
    <s v="On Time"/>
    <n v="195538.86"/>
    <s v="Oct"/>
    <n v="2025"/>
    <n v="195538.86"/>
    <s v="Moderate Delay"/>
  </r>
  <r>
    <n v="179"/>
    <d v="2025-12-14T00:00:00"/>
    <x v="5"/>
    <x v="2"/>
    <s v="BKK"/>
    <s v="Premium Economy"/>
    <n v="168"/>
    <n v="629.38"/>
    <n v="25"/>
    <s v="On Time"/>
    <n v="105735.84"/>
    <s v="Dec"/>
    <n v="2025"/>
    <n v="105735.84"/>
    <s v="Minor Delay"/>
  </r>
  <r>
    <n v="180"/>
    <d v="2025-11-06T00:00:00"/>
    <x v="0"/>
    <x v="7"/>
    <s v="NRT"/>
    <s v="Premium Economy"/>
    <n v="63"/>
    <n v="534.47"/>
    <n v="0"/>
    <s v="Delayed"/>
    <n v="33671.61"/>
    <s v="Nov"/>
    <n v="2025"/>
    <n v="33671.61"/>
    <s v="On Time"/>
  </r>
  <r>
    <n v="181"/>
    <d v="2025-12-31T00:00:00"/>
    <x v="5"/>
    <x v="6"/>
    <s v="GMP"/>
    <s v="Economy"/>
    <n v="122"/>
    <n v="122.07"/>
    <n v="34"/>
    <s v="On Time"/>
    <n v="14892.54"/>
    <s v="Dec"/>
    <n v="2025"/>
    <n v="14892.539999999999"/>
    <s v="Moderate Delay"/>
  </r>
  <r>
    <n v="182"/>
    <d v="2025-04-24T00:00:00"/>
    <x v="2"/>
    <x v="1"/>
    <s v="GMP"/>
    <s v="Premium Economy"/>
    <n v="288"/>
    <n v="79.739999999999995"/>
    <n v="43"/>
    <s v="On Time"/>
    <n v="22965.119999999999"/>
    <s v="Apr"/>
    <n v="2025"/>
    <n v="22965.119999999999"/>
    <s v="Moderate Delay"/>
  </r>
  <r>
    <n v="183"/>
    <d v="2025-05-01T00:00:00"/>
    <x v="2"/>
    <x v="6"/>
    <s v="KIX"/>
    <s v="Economy"/>
    <n v="145"/>
    <n v="226.16"/>
    <n v="15"/>
    <s v="On Time"/>
    <n v="32793.199999999997"/>
    <s v="May"/>
    <n v="2025"/>
    <n v="32793.199999999997"/>
    <s v="Minor Delay"/>
  </r>
  <r>
    <n v="184"/>
    <d v="2025-03-12T00:00:00"/>
    <x v="1"/>
    <x v="3"/>
    <s v="CJU"/>
    <s v="Premium Economy"/>
    <n v="284"/>
    <n v="674.02"/>
    <n v="30"/>
    <s v="On Time"/>
    <n v="191421.68"/>
    <s v="Mar"/>
    <n v="2025"/>
    <n v="191421.68"/>
    <s v="Minor Delay"/>
  </r>
  <r>
    <n v="185"/>
    <d v="2025-08-18T00:00:00"/>
    <x v="5"/>
    <x v="7"/>
    <s v="SIN"/>
    <s v="Economy"/>
    <n v="281"/>
    <n v="118.63"/>
    <n v="18"/>
    <s v="On Time"/>
    <n v="33335.03"/>
    <s v="Aug"/>
    <n v="2025"/>
    <n v="33335.03"/>
    <s v="Minor Delay"/>
  </r>
  <r>
    <n v="186"/>
    <d v="2025-02-26T00:00:00"/>
    <x v="4"/>
    <x v="6"/>
    <s v="BKK"/>
    <s v="Economy"/>
    <n v="127"/>
    <n v="150.16999999999999"/>
    <n v="67"/>
    <s v="On Time"/>
    <n v="19071.59"/>
    <s v="Feb"/>
    <n v="2025"/>
    <n v="19071.59"/>
    <s v="Major Delay"/>
  </r>
  <r>
    <n v="187"/>
    <d v="2025-02-26T00:00:00"/>
    <x v="2"/>
    <x v="8"/>
    <s v="GMP"/>
    <s v="Business"/>
    <n v="187"/>
    <n v="72.16"/>
    <n v="1"/>
    <s v="On Time"/>
    <n v="13493.92"/>
    <s v="Feb"/>
    <n v="2025"/>
    <n v="13493.92"/>
    <s v="Minor Delay"/>
  </r>
  <r>
    <n v="188"/>
    <d v="2025-11-11T00:00:00"/>
    <x v="4"/>
    <x v="1"/>
    <s v="ICN"/>
    <s v="Economy"/>
    <n v="196"/>
    <n v="368.26"/>
    <n v="18"/>
    <s v="On Time"/>
    <n v="72178.960000000006"/>
    <s v="Nov"/>
    <n v="2025"/>
    <n v="72178.959999999992"/>
    <s v="Minor Delay"/>
  </r>
  <r>
    <n v="189"/>
    <d v="2025-02-04T00:00:00"/>
    <x v="5"/>
    <x v="0"/>
    <s v="BKK"/>
    <s v="Business"/>
    <n v="179"/>
    <n v="641.95000000000005"/>
    <n v="14"/>
    <s v="Delayed"/>
    <n v="114909.05"/>
    <s v="Feb"/>
    <n v="2025"/>
    <n v="114909.05"/>
    <s v="Minor Delay"/>
  </r>
  <r>
    <n v="190"/>
    <d v="2025-07-11T00:00:00"/>
    <x v="4"/>
    <x v="5"/>
    <s v="MNL"/>
    <s v="Business"/>
    <n v="54"/>
    <n v="324.25"/>
    <n v="19"/>
    <s v="On Time"/>
    <n v="17509.5"/>
    <s v="Jul"/>
    <n v="2025"/>
    <n v="17509.5"/>
    <s v="Minor Delay"/>
  </r>
  <r>
    <n v="191"/>
    <d v="2025-10-25T00:00:00"/>
    <x v="3"/>
    <x v="2"/>
    <s v="GMP"/>
    <s v="Premium Economy"/>
    <n v="84"/>
    <n v="92.81"/>
    <n v="0"/>
    <s v="On Time"/>
    <n v="7796.04"/>
    <s v="Oct"/>
    <n v="2025"/>
    <n v="7796.04"/>
    <s v="On Time"/>
  </r>
  <r>
    <n v="192"/>
    <d v="2025-11-20T00:00:00"/>
    <x v="0"/>
    <x v="8"/>
    <s v="SIN"/>
    <s v="Economy"/>
    <n v="66"/>
    <n v="589.87"/>
    <n v="6"/>
    <s v="Delayed"/>
    <n v="38931.42"/>
    <s v="Nov"/>
    <n v="2025"/>
    <n v="38931.42"/>
    <s v="Minor Delay"/>
  </r>
  <r>
    <n v="193"/>
    <d v="2025-04-14T00:00:00"/>
    <x v="1"/>
    <x v="5"/>
    <s v="KIX"/>
    <s v="Economy"/>
    <n v="276"/>
    <n v="91.01"/>
    <n v="47"/>
    <s v="Cancelled"/>
    <n v="25118.76"/>
    <s v="Apr"/>
    <n v="2025"/>
    <n v="25118.760000000002"/>
    <s v="Moderate Delay"/>
  </r>
  <r>
    <n v="194"/>
    <d v="2025-05-10T00:00:00"/>
    <x v="1"/>
    <x v="6"/>
    <s v="MNL"/>
    <s v="Business"/>
    <n v="98"/>
    <n v="271.72000000000003"/>
    <n v="7"/>
    <s v="Delayed"/>
    <n v="26628.560000000001"/>
    <s v="May"/>
    <n v="2025"/>
    <n v="26628.560000000001"/>
    <s v="Minor Delay"/>
  </r>
  <r>
    <n v="195"/>
    <d v="2025-05-20T00:00:00"/>
    <x v="1"/>
    <x v="5"/>
    <s v="BKK"/>
    <s v="Premium Economy"/>
    <n v="161"/>
    <n v="718.22"/>
    <n v="17"/>
    <s v="On Time"/>
    <n v="115633.42"/>
    <s v="May"/>
    <n v="2025"/>
    <n v="115633.42"/>
    <s v="Minor Delay"/>
  </r>
  <r>
    <n v="196"/>
    <d v="2025-12-21T00:00:00"/>
    <x v="2"/>
    <x v="7"/>
    <s v="SIN"/>
    <s v="Premium Economy"/>
    <n v="286"/>
    <n v="650"/>
    <n v="0"/>
    <s v="On Time"/>
    <n v="185900"/>
    <s v="Dec"/>
    <n v="2025"/>
    <n v="185900"/>
    <s v="On Time"/>
  </r>
  <r>
    <n v="197"/>
    <d v="2025-02-10T00:00:00"/>
    <x v="2"/>
    <x v="0"/>
    <s v="MNL"/>
    <s v="Business"/>
    <n v="260"/>
    <n v="193.54"/>
    <n v="16"/>
    <s v="On Time"/>
    <n v="50320.4"/>
    <s v="Feb"/>
    <n v="2025"/>
    <n v="50320.4"/>
    <s v="Minor Delay"/>
  </r>
  <r>
    <n v="198"/>
    <d v="2025-08-17T00:00:00"/>
    <x v="5"/>
    <x v="4"/>
    <s v="KIX"/>
    <s v="Business"/>
    <n v="159"/>
    <n v="183.32"/>
    <n v="31"/>
    <s v="On Time"/>
    <n v="29147.88"/>
    <s v="Aug"/>
    <n v="2025"/>
    <n v="29147.879999999997"/>
    <s v="Moderate Delay"/>
  </r>
  <r>
    <n v="199"/>
    <d v="2025-06-30T00:00:00"/>
    <x v="5"/>
    <x v="8"/>
    <s v="ICN"/>
    <s v="Premium Economy"/>
    <n v="120"/>
    <n v="533.21"/>
    <n v="22"/>
    <s v="On Time"/>
    <n v="63985.2"/>
    <s v="Jun"/>
    <n v="2025"/>
    <n v="63985.200000000004"/>
    <s v="Minor Delay"/>
  </r>
  <r>
    <n v="200"/>
    <d v="2025-09-20T00:00:00"/>
    <x v="3"/>
    <x v="1"/>
    <s v="KIX"/>
    <s v="Business"/>
    <n v="90"/>
    <n v="765.06"/>
    <n v="11"/>
    <s v="On Time"/>
    <n v="68855.399999999994"/>
    <s v="Sep"/>
    <n v="2025"/>
    <n v="68855.399999999994"/>
    <s v="Minor Delay"/>
  </r>
  <r>
    <n v="201"/>
    <d v="2025-03-06T00:00:00"/>
    <x v="1"/>
    <x v="8"/>
    <s v="ICN"/>
    <s v="Economy"/>
    <n v="249"/>
    <n v="537.41999999999996"/>
    <n v="0"/>
    <s v="On Time"/>
    <n v="133817.57999999999"/>
    <s v="Mar"/>
    <n v="2025"/>
    <n v="133817.57999999999"/>
    <s v="On Time"/>
  </r>
  <r>
    <n v="202"/>
    <d v="2025-07-09T00:00:00"/>
    <x v="4"/>
    <x v="7"/>
    <s v="SIN"/>
    <s v="Premium Economy"/>
    <n v="245"/>
    <n v="116.9"/>
    <n v="66"/>
    <s v="On Time"/>
    <n v="28640.5"/>
    <s v="Jul"/>
    <n v="2025"/>
    <n v="28640.5"/>
    <s v="Major Delay"/>
  </r>
  <r>
    <n v="203"/>
    <d v="2025-06-10T00:00:00"/>
    <x v="3"/>
    <x v="3"/>
    <s v="MNL"/>
    <s v="Premium Economy"/>
    <n v="113"/>
    <n v="770.78"/>
    <n v="35"/>
    <s v="On Time"/>
    <n v="87098.14"/>
    <s v="Jun"/>
    <n v="2025"/>
    <n v="87098.14"/>
    <s v="Moderate Delay"/>
  </r>
  <r>
    <n v="204"/>
    <d v="2025-05-15T00:00:00"/>
    <x v="4"/>
    <x v="6"/>
    <s v="GMP"/>
    <s v="Business"/>
    <n v="164"/>
    <n v="218.78"/>
    <n v="22"/>
    <s v="On Time"/>
    <n v="35879.919999999998"/>
    <s v="May"/>
    <n v="2025"/>
    <n v="35879.919999999998"/>
    <s v="Minor Delay"/>
  </r>
  <r>
    <n v="205"/>
    <d v="2025-03-04T00:00:00"/>
    <x v="0"/>
    <x v="8"/>
    <s v="PUS"/>
    <s v="Economy"/>
    <n v="165"/>
    <n v="187.77"/>
    <n v="0"/>
    <s v="Delayed"/>
    <n v="30982.05"/>
    <s v="Mar"/>
    <n v="2025"/>
    <n v="30982.050000000003"/>
    <s v="On Time"/>
  </r>
  <r>
    <n v="206"/>
    <d v="2025-12-30T00:00:00"/>
    <x v="1"/>
    <x v="3"/>
    <s v="BKK"/>
    <s v="Business"/>
    <n v="188"/>
    <n v="274.87"/>
    <n v="0"/>
    <s v="On Time"/>
    <n v="51675.56"/>
    <s v="Dec"/>
    <n v="2025"/>
    <n v="51675.56"/>
    <s v="On Time"/>
  </r>
  <r>
    <n v="207"/>
    <d v="2025-07-05T00:00:00"/>
    <x v="5"/>
    <x v="7"/>
    <s v="PUS"/>
    <s v="Economy"/>
    <n v="81"/>
    <n v="789"/>
    <n v="24"/>
    <s v="On Time"/>
    <n v="63909"/>
    <s v="Jul"/>
    <n v="2025"/>
    <n v="63909"/>
    <s v="Minor Delay"/>
  </r>
  <r>
    <n v="208"/>
    <d v="2025-08-28T00:00:00"/>
    <x v="5"/>
    <x v="3"/>
    <s v="BKK"/>
    <s v="Economy"/>
    <n v="206"/>
    <n v="714.34"/>
    <n v="2"/>
    <s v="On Time"/>
    <n v="147154.04"/>
    <s v="Aug"/>
    <n v="2025"/>
    <n v="147154.04"/>
    <s v="Minor Delay"/>
  </r>
  <r>
    <n v="209"/>
    <d v="2025-09-27T00:00:00"/>
    <x v="2"/>
    <x v="1"/>
    <s v="SIN"/>
    <s v="Premium Economy"/>
    <n v="260"/>
    <n v="485.43"/>
    <n v="35"/>
    <s v="On Time"/>
    <n v="126211.8"/>
    <s v="Sep"/>
    <n v="2025"/>
    <n v="126211.8"/>
    <s v="Moderate Delay"/>
  </r>
  <r>
    <n v="210"/>
    <d v="2025-03-07T00:00:00"/>
    <x v="5"/>
    <x v="8"/>
    <s v="KIX"/>
    <s v="Business"/>
    <n v="200"/>
    <n v="194.65"/>
    <n v="35"/>
    <s v="Delayed"/>
    <n v="38930"/>
    <s v="Mar"/>
    <n v="2025"/>
    <n v="38930"/>
    <s v="Moderate Delay"/>
  </r>
  <r>
    <n v="211"/>
    <d v="2025-03-05T00:00:00"/>
    <x v="5"/>
    <x v="1"/>
    <s v="ICN"/>
    <s v="Economy"/>
    <n v="127"/>
    <n v="181.85"/>
    <n v="2"/>
    <s v="On Time"/>
    <n v="23094.95"/>
    <s v="Mar"/>
    <n v="2025"/>
    <n v="23094.95"/>
    <s v="Minor Delay"/>
  </r>
  <r>
    <n v="212"/>
    <d v="2025-02-10T00:00:00"/>
    <x v="4"/>
    <x v="6"/>
    <s v="NRT"/>
    <s v="Economy"/>
    <n v="212"/>
    <n v="767.7"/>
    <n v="55"/>
    <s v="On Time"/>
    <n v="162752.4"/>
    <s v="Feb"/>
    <n v="2025"/>
    <n v="162752.40000000002"/>
    <s v="Moderate Delay"/>
  </r>
  <r>
    <n v="213"/>
    <d v="2025-09-15T00:00:00"/>
    <x v="3"/>
    <x v="4"/>
    <s v="GMP"/>
    <s v="Economy"/>
    <n v="201"/>
    <n v="756.79"/>
    <n v="40"/>
    <s v="On Time"/>
    <n v="152114.79"/>
    <s v="Sep"/>
    <n v="2025"/>
    <n v="152114.78999999998"/>
    <s v="Moderate Delay"/>
  </r>
  <r>
    <n v="214"/>
    <d v="2025-01-15T00:00:00"/>
    <x v="1"/>
    <x v="3"/>
    <s v="ICN"/>
    <s v="Economy"/>
    <n v="292"/>
    <n v="534.67999999999995"/>
    <n v="50"/>
    <s v="On Time"/>
    <n v="156126.56"/>
    <s v="Jan"/>
    <n v="2025"/>
    <n v="156126.56"/>
    <s v="Moderate Delay"/>
  </r>
  <r>
    <n v="215"/>
    <d v="2025-11-13T00:00:00"/>
    <x v="3"/>
    <x v="2"/>
    <s v="MNL"/>
    <s v="Economy"/>
    <n v="177"/>
    <n v="717.86"/>
    <n v="0"/>
    <s v="On Time"/>
    <n v="127061.22"/>
    <s v="Nov"/>
    <n v="2025"/>
    <n v="127061.22"/>
    <s v="On Time"/>
  </r>
  <r>
    <n v="216"/>
    <d v="2025-06-02T00:00:00"/>
    <x v="2"/>
    <x v="2"/>
    <s v="MNL"/>
    <s v="Economy"/>
    <n v="226"/>
    <n v="104.34"/>
    <n v="9"/>
    <s v="On Time"/>
    <n v="23580.84"/>
    <s v="Jun"/>
    <n v="2025"/>
    <n v="23580.84"/>
    <s v="Minor Delay"/>
  </r>
  <r>
    <n v="217"/>
    <d v="2025-04-15T00:00:00"/>
    <x v="4"/>
    <x v="8"/>
    <s v="SIN"/>
    <s v="Business"/>
    <n v="86"/>
    <n v="291.31"/>
    <n v="11"/>
    <s v="Delayed"/>
    <n v="25052.66"/>
    <s v="Apr"/>
    <n v="2025"/>
    <n v="25052.66"/>
    <s v="Minor Delay"/>
  </r>
  <r>
    <n v="218"/>
    <d v="2025-07-09T00:00:00"/>
    <x v="5"/>
    <x v="1"/>
    <s v="CJU"/>
    <s v="Business"/>
    <n v="77"/>
    <n v="296.14999999999998"/>
    <n v="0"/>
    <s v="On Time"/>
    <n v="22803.55"/>
    <s v="Jul"/>
    <n v="2025"/>
    <n v="22803.55"/>
    <s v="On Time"/>
  </r>
  <r>
    <n v="219"/>
    <d v="2025-05-07T00:00:00"/>
    <x v="0"/>
    <x v="4"/>
    <s v="SIN"/>
    <s v="Economy"/>
    <n v="62"/>
    <n v="274.76"/>
    <n v="0"/>
    <s v="On Time"/>
    <n v="17035.12"/>
    <s v="May"/>
    <n v="2025"/>
    <n v="17035.12"/>
    <s v="On Time"/>
  </r>
  <r>
    <n v="220"/>
    <d v="2025-10-23T00:00:00"/>
    <x v="3"/>
    <x v="7"/>
    <s v="BKK"/>
    <s v="Premium Economy"/>
    <n v="98"/>
    <n v="624.71"/>
    <n v="42"/>
    <s v="On Time"/>
    <n v="61221.58"/>
    <s v="Oct"/>
    <n v="2025"/>
    <n v="61221.58"/>
    <s v="Moderate Delay"/>
  </r>
  <r>
    <n v="221"/>
    <d v="2025-09-13T00:00:00"/>
    <x v="4"/>
    <x v="6"/>
    <s v="MNL"/>
    <s v="Premium Economy"/>
    <n v="55"/>
    <n v="126.64"/>
    <n v="0"/>
    <s v="On Time"/>
    <n v="6965.2"/>
    <s v="Sep"/>
    <n v="2025"/>
    <n v="6965.2"/>
    <s v="On Time"/>
  </r>
  <r>
    <n v="222"/>
    <d v="2025-01-26T00:00:00"/>
    <x v="4"/>
    <x v="3"/>
    <s v="ICN"/>
    <s v="Premium Economy"/>
    <n v="202"/>
    <n v="712.93"/>
    <n v="37"/>
    <s v="On Time"/>
    <n v="144011.85999999999"/>
    <s v="Jan"/>
    <n v="2025"/>
    <n v="144011.85999999999"/>
    <s v="Moderate Delay"/>
  </r>
  <r>
    <n v="223"/>
    <d v="2025-10-02T00:00:00"/>
    <x v="1"/>
    <x v="8"/>
    <s v="NRT"/>
    <s v="Economy"/>
    <n v="160"/>
    <n v="159.11000000000001"/>
    <n v="17"/>
    <s v="On Time"/>
    <n v="25457.599999999999"/>
    <s v="Oct"/>
    <n v="2025"/>
    <n v="25457.600000000002"/>
    <s v="Minor Delay"/>
  </r>
  <r>
    <n v="224"/>
    <d v="2025-01-27T00:00:00"/>
    <x v="5"/>
    <x v="5"/>
    <s v="MNL"/>
    <s v="Business"/>
    <n v="99"/>
    <n v="328.27"/>
    <n v="43"/>
    <s v="On Time"/>
    <n v="32498.73"/>
    <s v="Jan"/>
    <n v="2025"/>
    <n v="32498.73"/>
    <s v="Moderate Delay"/>
  </r>
  <r>
    <n v="225"/>
    <d v="2025-10-09T00:00:00"/>
    <x v="4"/>
    <x v="1"/>
    <s v="SIN"/>
    <s v="Business"/>
    <n v="224"/>
    <n v="512.16999999999996"/>
    <n v="27"/>
    <s v="On Time"/>
    <n v="114726.08"/>
    <s v="Oct"/>
    <n v="2025"/>
    <n v="114726.07999999999"/>
    <s v="Minor Delay"/>
  </r>
  <r>
    <n v="226"/>
    <d v="2025-03-15T00:00:00"/>
    <x v="0"/>
    <x v="3"/>
    <s v="BKK"/>
    <s v="Business"/>
    <n v="180"/>
    <n v="357.03"/>
    <n v="28"/>
    <s v="On Time"/>
    <n v="64265.4"/>
    <s v="Mar"/>
    <n v="2025"/>
    <n v="64265.399999999994"/>
    <s v="Minor Delay"/>
  </r>
  <r>
    <n v="227"/>
    <d v="2025-06-20T00:00:00"/>
    <x v="2"/>
    <x v="5"/>
    <s v="PUS"/>
    <s v="Business"/>
    <n v="166"/>
    <n v="170.22"/>
    <n v="30"/>
    <s v="Delayed"/>
    <n v="28256.52"/>
    <s v="Jun"/>
    <n v="2025"/>
    <n v="28256.52"/>
    <s v="Minor Delay"/>
  </r>
  <r>
    <n v="228"/>
    <d v="2025-07-21T00:00:00"/>
    <x v="5"/>
    <x v="3"/>
    <s v="CJU"/>
    <s v="Business"/>
    <n v="265"/>
    <n v="281.43"/>
    <n v="11"/>
    <s v="On Time"/>
    <n v="74578.95"/>
    <s v="Jul"/>
    <n v="2025"/>
    <n v="74578.95"/>
    <s v="Minor Delay"/>
  </r>
  <r>
    <n v="229"/>
    <d v="2025-12-29T00:00:00"/>
    <x v="5"/>
    <x v="6"/>
    <s v="MNL"/>
    <s v="Premium Economy"/>
    <n v="171"/>
    <n v="663.65"/>
    <n v="0"/>
    <s v="Delayed"/>
    <n v="113484.15"/>
    <s v="Dec"/>
    <n v="2025"/>
    <n v="113484.15"/>
    <s v="On Time"/>
  </r>
  <r>
    <n v="230"/>
    <d v="2025-11-02T00:00:00"/>
    <x v="2"/>
    <x v="4"/>
    <s v="ICN"/>
    <s v="Premium Economy"/>
    <n v="297"/>
    <n v="545.14"/>
    <n v="47"/>
    <s v="Delayed"/>
    <n v="161906.57999999999"/>
    <s v="Nov"/>
    <n v="2025"/>
    <n v="161906.57999999999"/>
    <s v="Moderate Delay"/>
  </r>
  <r>
    <n v="231"/>
    <d v="2025-10-26T00:00:00"/>
    <x v="2"/>
    <x v="2"/>
    <s v="ICN"/>
    <s v="Economy"/>
    <n v="184"/>
    <n v="525.48"/>
    <n v="0"/>
    <s v="On Time"/>
    <n v="96688.320000000007"/>
    <s v="Oct"/>
    <n v="2025"/>
    <n v="96688.320000000007"/>
    <s v="On Time"/>
  </r>
  <r>
    <n v="232"/>
    <d v="2025-10-21T00:00:00"/>
    <x v="3"/>
    <x v="2"/>
    <s v="ICN"/>
    <s v="Economy"/>
    <n v="98"/>
    <n v="74.010000000000005"/>
    <n v="0"/>
    <s v="On Time"/>
    <n v="7252.98"/>
    <s v="Oct"/>
    <n v="2025"/>
    <n v="7252.9800000000005"/>
    <s v="On Time"/>
  </r>
  <r>
    <n v="233"/>
    <d v="2025-12-20T00:00:00"/>
    <x v="0"/>
    <x v="7"/>
    <s v="MNL"/>
    <s v="Premium Economy"/>
    <n v="178"/>
    <n v="633.48"/>
    <n v="64"/>
    <s v="On Time"/>
    <n v="112759.44"/>
    <s v="Dec"/>
    <n v="2025"/>
    <n v="112759.44"/>
    <s v="Major Delay"/>
  </r>
  <r>
    <n v="234"/>
    <d v="2025-09-23T00:00:00"/>
    <x v="0"/>
    <x v="5"/>
    <s v="PUS"/>
    <s v="Business"/>
    <n v="133"/>
    <n v="798.61"/>
    <n v="0"/>
    <s v="On Time"/>
    <n v="106215.13"/>
    <s v="Sep"/>
    <n v="2025"/>
    <n v="106215.13"/>
    <s v="On Time"/>
  </r>
  <r>
    <n v="235"/>
    <d v="2025-03-30T00:00:00"/>
    <x v="2"/>
    <x v="1"/>
    <s v="KIX"/>
    <s v="Business"/>
    <n v="137"/>
    <n v="464.24"/>
    <n v="0"/>
    <s v="On Time"/>
    <n v="63600.88"/>
    <s v="Mar"/>
    <n v="2025"/>
    <n v="63600.880000000005"/>
    <s v="On Time"/>
  </r>
  <r>
    <n v="236"/>
    <d v="2025-04-09T00:00:00"/>
    <x v="0"/>
    <x v="4"/>
    <s v="SIN"/>
    <s v="Premium Economy"/>
    <n v="192"/>
    <n v="280.89"/>
    <n v="0"/>
    <s v="Delayed"/>
    <n v="53930.879999999997"/>
    <s v="Apr"/>
    <n v="2025"/>
    <n v="53930.879999999997"/>
    <s v="On Time"/>
  </r>
  <r>
    <n v="237"/>
    <d v="2025-12-27T00:00:00"/>
    <x v="0"/>
    <x v="4"/>
    <s v="KIX"/>
    <s v="Business"/>
    <n v="230"/>
    <n v="421.86"/>
    <n v="0"/>
    <s v="Delayed"/>
    <n v="97027.8"/>
    <s v="Dec"/>
    <n v="2025"/>
    <n v="97027.8"/>
    <s v="On Time"/>
  </r>
  <r>
    <n v="238"/>
    <d v="2025-03-04T00:00:00"/>
    <x v="5"/>
    <x v="4"/>
    <s v="KIX"/>
    <s v="Business"/>
    <n v="189"/>
    <n v="340.97"/>
    <n v="24"/>
    <s v="Cancelled"/>
    <n v="64443.33"/>
    <s v="Mar"/>
    <n v="2025"/>
    <n v="64443.33"/>
    <s v="Minor Delay"/>
  </r>
  <r>
    <n v="239"/>
    <d v="2025-05-29T00:00:00"/>
    <x v="1"/>
    <x v="3"/>
    <s v="CJU"/>
    <s v="Premium Economy"/>
    <n v="294"/>
    <n v="588.46"/>
    <n v="4"/>
    <s v="On Time"/>
    <n v="173007.24"/>
    <s v="May"/>
    <n v="2025"/>
    <n v="173007.24000000002"/>
    <s v="Minor Delay"/>
  </r>
  <r>
    <n v="240"/>
    <d v="2025-04-14T00:00:00"/>
    <x v="5"/>
    <x v="8"/>
    <s v="PUS"/>
    <s v="Premium Economy"/>
    <n v="288"/>
    <n v="475.89"/>
    <n v="42"/>
    <s v="On Time"/>
    <n v="137056.32000000001"/>
    <s v="Apr"/>
    <n v="2025"/>
    <n v="137056.32000000001"/>
    <s v="Moderate Delay"/>
  </r>
  <r>
    <n v="241"/>
    <d v="2025-05-05T00:00:00"/>
    <x v="1"/>
    <x v="0"/>
    <s v="NRT"/>
    <s v="Business"/>
    <n v="281"/>
    <n v="452.97"/>
    <n v="14"/>
    <s v="On Time"/>
    <n v="127284.57"/>
    <s v="May"/>
    <n v="2025"/>
    <n v="127284.57"/>
    <s v="Minor Delay"/>
  </r>
  <r>
    <n v="242"/>
    <d v="2025-12-15T00:00:00"/>
    <x v="0"/>
    <x v="8"/>
    <s v="GMP"/>
    <s v="Economy"/>
    <n v="296"/>
    <n v="467.26"/>
    <n v="13"/>
    <s v="Delayed"/>
    <n v="138308.96"/>
    <s v="Dec"/>
    <n v="2025"/>
    <n v="138308.96"/>
    <s v="Minor Delay"/>
  </r>
  <r>
    <n v="243"/>
    <d v="2025-09-02T00:00:00"/>
    <x v="3"/>
    <x v="1"/>
    <s v="SIN"/>
    <s v="Economy"/>
    <n v="243"/>
    <n v="773.3"/>
    <n v="4"/>
    <s v="Delayed"/>
    <n v="187911.9"/>
    <s v="Sep"/>
    <n v="2025"/>
    <n v="187911.9"/>
    <s v="Minor Delay"/>
  </r>
  <r>
    <n v="244"/>
    <d v="2025-10-01T00:00:00"/>
    <x v="3"/>
    <x v="0"/>
    <s v="NRT"/>
    <s v="Business"/>
    <n v="267"/>
    <n v="753.14"/>
    <n v="52"/>
    <s v="Delayed"/>
    <n v="201088.38"/>
    <s v="Oct"/>
    <n v="2025"/>
    <n v="201088.38"/>
    <s v="Moderate Delay"/>
  </r>
  <r>
    <n v="245"/>
    <d v="2025-04-01T00:00:00"/>
    <x v="1"/>
    <x v="7"/>
    <s v="MNL"/>
    <s v="Premium Economy"/>
    <n v="251"/>
    <n v="426.58"/>
    <n v="78"/>
    <s v="Delayed"/>
    <n v="107071.58"/>
    <s v="Apr"/>
    <n v="2025"/>
    <n v="107071.58"/>
    <s v="Major Delay"/>
  </r>
  <r>
    <n v="246"/>
    <d v="2025-06-02T00:00:00"/>
    <x v="5"/>
    <x v="5"/>
    <s v="GMP"/>
    <s v="Business"/>
    <n v="77"/>
    <n v="747.06"/>
    <n v="0"/>
    <s v="On Time"/>
    <n v="57523.62"/>
    <s v="Jun"/>
    <n v="2025"/>
    <n v="57523.619999999995"/>
    <s v="On Time"/>
  </r>
  <r>
    <n v="247"/>
    <d v="2025-03-10T00:00:00"/>
    <x v="5"/>
    <x v="8"/>
    <s v="SIN"/>
    <s v="Premium Economy"/>
    <n v="119"/>
    <n v="202.68"/>
    <n v="31"/>
    <s v="On Time"/>
    <n v="24118.92"/>
    <s v="Mar"/>
    <n v="2025"/>
    <n v="24118.920000000002"/>
    <s v="Moderate Delay"/>
  </r>
  <r>
    <n v="248"/>
    <d v="2025-01-08T00:00:00"/>
    <x v="3"/>
    <x v="4"/>
    <s v="CJU"/>
    <s v="Premium Economy"/>
    <n v="252"/>
    <n v="278.32"/>
    <n v="29"/>
    <s v="On Time"/>
    <n v="70136.639999999999"/>
    <s v="Jan"/>
    <n v="2025"/>
    <n v="70136.639999999999"/>
    <s v="Minor Delay"/>
  </r>
  <r>
    <n v="249"/>
    <d v="2025-11-09T00:00:00"/>
    <x v="3"/>
    <x v="2"/>
    <s v="CJU"/>
    <s v="Premium Economy"/>
    <n v="261"/>
    <n v="376.5"/>
    <n v="8"/>
    <s v="On Time"/>
    <n v="98266.5"/>
    <s v="Nov"/>
    <n v="2025"/>
    <n v="98266.5"/>
    <s v="Minor Delay"/>
  </r>
  <r>
    <n v="250"/>
    <d v="2025-06-15T00:00:00"/>
    <x v="0"/>
    <x v="7"/>
    <s v="SIN"/>
    <s v="Economy"/>
    <n v="116"/>
    <n v="343.85"/>
    <n v="42"/>
    <s v="On Time"/>
    <n v="39886.6"/>
    <s v="Jun"/>
    <n v="2025"/>
    <n v="39886.600000000006"/>
    <s v="Moderate Delay"/>
  </r>
  <r>
    <n v="251"/>
    <d v="2025-06-04T00:00:00"/>
    <x v="5"/>
    <x v="4"/>
    <s v="BKK"/>
    <s v="Business"/>
    <n v="196"/>
    <n v="68.459999999999994"/>
    <n v="0"/>
    <s v="On Time"/>
    <n v="13418.16"/>
    <s v="Jun"/>
    <n v="2025"/>
    <n v="13418.159999999998"/>
    <s v="On Time"/>
  </r>
  <r>
    <n v="252"/>
    <d v="2025-06-07T00:00:00"/>
    <x v="0"/>
    <x v="0"/>
    <s v="SIN"/>
    <s v="Premium Economy"/>
    <n v="225"/>
    <n v="431.87"/>
    <n v="0"/>
    <s v="Delayed"/>
    <n v="97170.75"/>
    <s v="Jun"/>
    <n v="2025"/>
    <n v="97170.75"/>
    <s v="On Time"/>
  </r>
  <r>
    <n v="253"/>
    <d v="2025-11-24T00:00:00"/>
    <x v="4"/>
    <x v="4"/>
    <s v="GMP"/>
    <s v="Premium Economy"/>
    <n v="207"/>
    <n v="223.43"/>
    <n v="47"/>
    <s v="On Time"/>
    <n v="46250.01"/>
    <s v="Nov"/>
    <n v="2025"/>
    <n v="46250.01"/>
    <s v="Moderate Delay"/>
  </r>
  <r>
    <n v="254"/>
    <d v="2025-12-26T00:00:00"/>
    <x v="5"/>
    <x v="3"/>
    <s v="MNL"/>
    <s v="Premium Economy"/>
    <n v="243"/>
    <n v="457.76"/>
    <n v="12"/>
    <s v="On Time"/>
    <n v="111235.68"/>
    <s v="Dec"/>
    <n v="2025"/>
    <n v="111235.68"/>
    <s v="Minor Delay"/>
  </r>
  <r>
    <n v="255"/>
    <d v="2025-12-15T00:00:00"/>
    <x v="5"/>
    <x v="2"/>
    <s v="NRT"/>
    <s v="Economy"/>
    <n v="184"/>
    <n v="390.59"/>
    <n v="17"/>
    <s v="On Time"/>
    <n v="71868.56"/>
    <s v="Dec"/>
    <n v="2025"/>
    <n v="71868.56"/>
    <s v="Minor Delay"/>
  </r>
  <r>
    <n v="256"/>
    <d v="2025-10-21T00:00:00"/>
    <x v="5"/>
    <x v="5"/>
    <s v="NRT"/>
    <s v="Economy"/>
    <n v="92"/>
    <n v="302.81"/>
    <n v="10"/>
    <s v="On Time"/>
    <n v="27858.52"/>
    <s v="Oct"/>
    <n v="2025"/>
    <n v="27858.52"/>
    <s v="Minor Delay"/>
  </r>
  <r>
    <n v="257"/>
    <d v="2025-10-26T00:00:00"/>
    <x v="2"/>
    <x v="0"/>
    <s v="NRT"/>
    <s v="Economy"/>
    <n v="280"/>
    <n v="437.68"/>
    <n v="29"/>
    <s v="On Time"/>
    <n v="122550.39999999999"/>
    <s v="Oct"/>
    <n v="2025"/>
    <n v="122550.40000000001"/>
    <s v="Minor Delay"/>
  </r>
  <r>
    <n v="258"/>
    <d v="2025-10-14T00:00:00"/>
    <x v="2"/>
    <x v="8"/>
    <s v="ICN"/>
    <s v="Business"/>
    <n v="256"/>
    <n v="288.05"/>
    <n v="0"/>
    <s v="On Time"/>
    <n v="73740.800000000003"/>
    <s v="Oct"/>
    <n v="2025"/>
    <n v="73740.800000000003"/>
    <s v="On Time"/>
  </r>
  <r>
    <n v="259"/>
    <d v="2025-04-22T00:00:00"/>
    <x v="5"/>
    <x v="4"/>
    <s v="ICN"/>
    <s v="Economy"/>
    <n v="61"/>
    <n v="373.54"/>
    <n v="10"/>
    <s v="On Time"/>
    <n v="22785.94"/>
    <s v="Apr"/>
    <n v="2025"/>
    <n v="22785.940000000002"/>
    <s v="Minor Delay"/>
  </r>
  <r>
    <n v="260"/>
    <d v="2025-01-17T00:00:00"/>
    <x v="4"/>
    <x v="0"/>
    <s v="SIN"/>
    <s v="Premium Economy"/>
    <n v="96"/>
    <n v="629.04"/>
    <n v="0"/>
    <s v="On Time"/>
    <n v="60387.839999999997"/>
    <s v="Jan"/>
    <n v="2025"/>
    <n v="60387.839999999997"/>
    <s v="On Time"/>
  </r>
  <r>
    <n v="261"/>
    <d v="2025-07-15T00:00:00"/>
    <x v="2"/>
    <x v="1"/>
    <s v="KIX"/>
    <s v="Premium Economy"/>
    <n v="146"/>
    <n v="119.38"/>
    <n v="69"/>
    <s v="On Time"/>
    <n v="17429.48"/>
    <s v="Jul"/>
    <n v="2025"/>
    <n v="17429.48"/>
    <s v="Major Delay"/>
  </r>
  <r>
    <n v="262"/>
    <d v="2025-04-02T00:00:00"/>
    <x v="5"/>
    <x v="3"/>
    <s v="GMP"/>
    <s v="Premium Economy"/>
    <n v="185"/>
    <n v="154.24"/>
    <n v="8"/>
    <s v="Delayed"/>
    <n v="28534.400000000001"/>
    <s v="Apr"/>
    <n v="2025"/>
    <n v="28534.400000000001"/>
    <s v="Minor Delay"/>
  </r>
  <r>
    <n v="263"/>
    <d v="2025-06-02T00:00:00"/>
    <x v="2"/>
    <x v="5"/>
    <s v="GMP"/>
    <s v="Business"/>
    <n v="234"/>
    <n v="462.89"/>
    <n v="0"/>
    <s v="On Time"/>
    <n v="108316.26"/>
    <s v="Jun"/>
    <n v="2025"/>
    <n v="108316.26"/>
    <s v="On Time"/>
  </r>
  <r>
    <n v="264"/>
    <d v="2025-05-22T00:00:00"/>
    <x v="0"/>
    <x v="3"/>
    <s v="CJU"/>
    <s v="Business"/>
    <n v="245"/>
    <n v="143.51"/>
    <n v="10"/>
    <s v="Delayed"/>
    <n v="35159.949999999997"/>
    <s v="May"/>
    <n v="2025"/>
    <n v="35159.949999999997"/>
    <s v="Minor Delay"/>
  </r>
  <r>
    <n v="265"/>
    <d v="2025-05-04T00:00:00"/>
    <x v="0"/>
    <x v="1"/>
    <s v="ICN"/>
    <s v="Economy"/>
    <n v="75"/>
    <n v="499.52"/>
    <n v="0"/>
    <s v="Delayed"/>
    <n v="37464"/>
    <s v="May"/>
    <n v="2025"/>
    <n v="37464"/>
    <s v="On Time"/>
  </r>
  <r>
    <n v="266"/>
    <d v="2025-07-25T00:00:00"/>
    <x v="2"/>
    <x v="2"/>
    <s v="ICN"/>
    <s v="Economy"/>
    <n v="188"/>
    <n v="220.78"/>
    <n v="32"/>
    <s v="Delayed"/>
    <n v="41506.639999999999"/>
    <s v="Jul"/>
    <n v="2025"/>
    <n v="41506.639999999999"/>
    <s v="Moderate Delay"/>
  </r>
  <r>
    <n v="267"/>
    <d v="2025-09-15T00:00:00"/>
    <x v="4"/>
    <x v="5"/>
    <s v="PUS"/>
    <s v="Economy"/>
    <n v="258"/>
    <n v="738.13"/>
    <n v="0"/>
    <s v="On Time"/>
    <n v="190437.54"/>
    <s v="Sep"/>
    <n v="2025"/>
    <n v="190437.54"/>
    <s v="On Time"/>
  </r>
  <r>
    <n v="268"/>
    <d v="2025-06-04T00:00:00"/>
    <x v="0"/>
    <x v="3"/>
    <s v="PUS"/>
    <s v="Business"/>
    <n v="183"/>
    <n v="223.57"/>
    <n v="4"/>
    <s v="On Time"/>
    <n v="40913.31"/>
    <s v="Jun"/>
    <n v="2025"/>
    <n v="40913.31"/>
    <s v="Minor Delay"/>
  </r>
  <r>
    <n v="269"/>
    <d v="2025-11-17T00:00:00"/>
    <x v="3"/>
    <x v="5"/>
    <s v="PUS"/>
    <s v="Premium Economy"/>
    <n v="192"/>
    <n v="426.76"/>
    <n v="78"/>
    <s v="On Time"/>
    <n v="81937.919999999998"/>
    <s v="Nov"/>
    <n v="2025"/>
    <n v="81937.919999999998"/>
    <s v="Major Delay"/>
  </r>
  <r>
    <n v="270"/>
    <d v="2025-12-23T00:00:00"/>
    <x v="2"/>
    <x v="6"/>
    <s v="KIX"/>
    <s v="Premium Economy"/>
    <n v="88"/>
    <n v="281.92"/>
    <n v="9"/>
    <s v="On Time"/>
    <n v="24808.959999999999"/>
    <s v="Dec"/>
    <n v="2025"/>
    <n v="24808.960000000003"/>
    <s v="Minor Delay"/>
  </r>
  <r>
    <n v="271"/>
    <d v="2025-05-04T00:00:00"/>
    <x v="0"/>
    <x v="6"/>
    <s v="MNL"/>
    <s v="Premium Economy"/>
    <n v="269"/>
    <n v="583.61"/>
    <n v="39"/>
    <s v="On Time"/>
    <n v="156991.09"/>
    <s v="May"/>
    <n v="2025"/>
    <n v="156991.09"/>
    <s v="Moderate Delay"/>
  </r>
  <r>
    <n v="272"/>
    <d v="2025-07-18T00:00:00"/>
    <x v="0"/>
    <x v="1"/>
    <s v="CJU"/>
    <s v="Premium Economy"/>
    <n v="102"/>
    <n v="304.39"/>
    <n v="0"/>
    <s v="On Time"/>
    <n v="31047.78"/>
    <s v="Jul"/>
    <n v="2025"/>
    <n v="31047.78"/>
    <s v="On Time"/>
  </r>
  <r>
    <n v="273"/>
    <d v="2025-02-17T00:00:00"/>
    <x v="5"/>
    <x v="8"/>
    <s v="KIX"/>
    <s v="Business"/>
    <n v="262"/>
    <n v="200.96"/>
    <n v="15"/>
    <s v="On Time"/>
    <n v="52651.519999999997"/>
    <s v="Feb"/>
    <n v="2025"/>
    <n v="52651.520000000004"/>
    <s v="Minor Delay"/>
  </r>
  <r>
    <n v="274"/>
    <d v="2025-10-28T00:00:00"/>
    <x v="3"/>
    <x v="0"/>
    <s v="NRT"/>
    <s v="Business"/>
    <n v="193"/>
    <n v="220.59"/>
    <n v="57"/>
    <s v="On Time"/>
    <n v="42573.87"/>
    <s v="Oct"/>
    <n v="2025"/>
    <n v="42573.87"/>
    <s v="Moderate Delay"/>
  </r>
  <r>
    <n v="275"/>
    <d v="2025-01-08T00:00:00"/>
    <x v="0"/>
    <x v="3"/>
    <s v="NRT"/>
    <s v="Economy"/>
    <n v="296"/>
    <n v="608.69000000000005"/>
    <n v="19"/>
    <s v="Delayed"/>
    <n v="180172.24"/>
    <s v="Jan"/>
    <n v="2025"/>
    <n v="180172.24000000002"/>
    <s v="Minor Delay"/>
  </r>
  <r>
    <n v="276"/>
    <d v="2025-05-03T00:00:00"/>
    <x v="5"/>
    <x v="2"/>
    <s v="MNL"/>
    <s v="Premium Economy"/>
    <n v="248"/>
    <n v="269.45999999999998"/>
    <n v="0"/>
    <s v="On Time"/>
    <n v="66826.080000000002"/>
    <s v="May"/>
    <n v="2025"/>
    <n v="66826.080000000002"/>
    <s v="On Time"/>
  </r>
  <r>
    <n v="277"/>
    <d v="2025-05-14T00:00:00"/>
    <x v="4"/>
    <x v="3"/>
    <s v="NRT"/>
    <s v="Business"/>
    <n v="275"/>
    <n v="427.99"/>
    <n v="77"/>
    <s v="On Time"/>
    <n v="117697.25"/>
    <s v="May"/>
    <n v="2025"/>
    <n v="117697.25"/>
    <s v="Major Delay"/>
  </r>
  <r>
    <n v="278"/>
    <d v="2025-07-09T00:00:00"/>
    <x v="4"/>
    <x v="3"/>
    <s v="PUS"/>
    <s v="Premium Economy"/>
    <n v="61"/>
    <n v="476.27"/>
    <n v="60"/>
    <s v="On Time"/>
    <n v="29052.47"/>
    <s v="Jul"/>
    <n v="2025"/>
    <n v="29052.469999999998"/>
    <s v="Moderate Delay"/>
  </r>
  <r>
    <n v="279"/>
    <d v="2025-05-14T00:00:00"/>
    <x v="5"/>
    <x v="7"/>
    <s v="ICN"/>
    <s v="Business"/>
    <n v="198"/>
    <n v="592.80999999999995"/>
    <n v="15"/>
    <s v="On Time"/>
    <n v="117376.38"/>
    <s v="May"/>
    <n v="2025"/>
    <n v="117376.37999999999"/>
    <s v="Minor Delay"/>
  </r>
  <r>
    <n v="280"/>
    <d v="2025-10-09T00:00:00"/>
    <x v="3"/>
    <x v="2"/>
    <s v="SIN"/>
    <s v="Business"/>
    <n v="136"/>
    <n v="250.42"/>
    <n v="35"/>
    <s v="Delayed"/>
    <n v="34057.120000000003"/>
    <s v="Oct"/>
    <n v="2025"/>
    <n v="34057.119999999995"/>
    <s v="Moderate Delay"/>
  </r>
  <r>
    <n v="281"/>
    <d v="2025-03-28T00:00:00"/>
    <x v="3"/>
    <x v="8"/>
    <s v="SIN"/>
    <s v="Premium Economy"/>
    <n v="93"/>
    <n v="163.57"/>
    <n v="4"/>
    <s v="Delayed"/>
    <n v="15212.01"/>
    <s v="Mar"/>
    <n v="2025"/>
    <n v="15212.01"/>
    <s v="Minor Delay"/>
  </r>
  <r>
    <n v="282"/>
    <d v="2025-02-08T00:00:00"/>
    <x v="3"/>
    <x v="5"/>
    <s v="GMP"/>
    <s v="Economy"/>
    <n v="245"/>
    <n v="64.72"/>
    <n v="15"/>
    <s v="On Time"/>
    <n v="15856.4"/>
    <s v="Feb"/>
    <n v="2025"/>
    <n v="15856.4"/>
    <s v="Minor Delay"/>
  </r>
  <r>
    <n v="283"/>
    <d v="2025-12-29T00:00:00"/>
    <x v="0"/>
    <x v="2"/>
    <s v="GMP"/>
    <s v="Economy"/>
    <n v="105"/>
    <n v="434.24"/>
    <n v="0"/>
    <s v="On Time"/>
    <n v="45595.199999999997"/>
    <s v="Dec"/>
    <n v="2025"/>
    <n v="45595.200000000004"/>
    <s v="On Time"/>
  </r>
  <r>
    <n v="284"/>
    <d v="2025-01-09T00:00:00"/>
    <x v="1"/>
    <x v="8"/>
    <s v="SIN"/>
    <s v="Business"/>
    <n v="191"/>
    <n v="364.39"/>
    <n v="44"/>
    <s v="On Time"/>
    <n v="69598.490000000005"/>
    <s v="Jan"/>
    <n v="2025"/>
    <n v="69598.489999999991"/>
    <s v="Moderate Delay"/>
  </r>
  <r>
    <n v="285"/>
    <d v="2025-01-09T00:00:00"/>
    <x v="5"/>
    <x v="4"/>
    <s v="KIX"/>
    <s v="Business"/>
    <n v="222"/>
    <n v="378.62"/>
    <n v="34"/>
    <s v="Delayed"/>
    <n v="84053.64"/>
    <s v="Jan"/>
    <n v="2025"/>
    <n v="84053.64"/>
    <s v="Moderate Delay"/>
  </r>
  <r>
    <n v="286"/>
    <d v="2025-05-04T00:00:00"/>
    <x v="0"/>
    <x v="6"/>
    <s v="CJU"/>
    <s v="Business"/>
    <n v="184"/>
    <n v="246.79"/>
    <n v="14"/>
    <s v="On Time"/>
    <n v="45409.36"/>
    <s v="May"/>
    <n v="2025"/>
    <n v="45409.36"/>
    <s v="Minor Delay"/>
  </r>
  <r>
    <n v="287"/>
    <d v="2025-07-11T00:00:00"/>
    <x v="2"/>
    <x v="1"/>
    <s v="GMP"/>
    <s v="Premium Economy"/>
    <n v="194"/>
    <n v="239.97"/>
    <n v="13"/>
    <s v="Delayed"/>
    <n v="46554.18"/>
    <s v="Jul"/>
    <n v="2025"/>
    <n v="46554.18"/>
    <s v="Minor Delay"/>
  </r>
  <r>
    <n v="288"/>
    <d v="2025-02-17T00:00:00"/>
    <x v="2"/>
    <x v="0"/>
    <s v="ICN"/>
    <s v="Premium Economy"/>
    <n v="146"/>
    <n v="469"/>
    <n v="0"/>
    <s v="On Time"/>
    <n v="68474"/>
    <s v="Feb"/>
    <n v="2025"/>
    <n v="68474"/>
    <s v="On Time"/>
  </r>
  <r>
    <n v="289"/>
    <d v="2025-02-12T00:00:00"/>
    <x v="2"/>
    <x v="5"/>
    <s v="PUS"/>
    <s v="Premium Economy"/>
    <n v="215"/>
    <n v="640.44000000000005"/>
    <n v="0"/>
    <s v="On Time"/>
    <n v="137694.6"/>
    <s v="Feb"/>
    <n v="2025"/>
    <n v="137694.6"/>
    <s v="On Time"/>
  </r>
  <r>
    <n v="290"/>
    <d v="2025-04-28T00:00:00"/>
    <x v="0"/>
    <x v="6"/>
    <s v="ICN"/>
    <s v="Business"/>
    <n v="277"/>
    <n v="479.42"/>
    <n v="0"/>
    <s v="On Time"/>
    <n v="132799.34"/>
    <s v="Apr"/>
    <n v="2025"/>
    <n v="132799.34"/>
    <s v="On Time"/>
  </r>
  <r>
    <n v="291"/>
    <d v="2025-10-06T00:00:00"/>
    <x v="5"/>
    <x v="0"/>
    <s v="KIX"/>
    <s v="Business"/>
    <n v="58"/>
    <n v="192.72"/>
    <n v="22"/>
    <s v="On Time"/>
    <n v="11177.76"/>
    <s v="Oct"/>
    <n v="2025"/>
    <n v="11177.76"/>
    <s v="Minor Delay"/>
  </r>
  <r>
    <n v="292"/>
    <d v="2025-02-09T00:00:00"/>
    <x v="4"/>
    <x v="7"/>
    <s v="MNL"/>
    <s v="Economy"/>
    <n v="194"/>
    <n v="237.95"/>
    <n v="16"/>
    <s v="Delayed"/>
    <n v="46162.3"/>
    <s v="Feb"/>
    <n v="2025"/>
    <n v="46162.299999999996"/>
    <s v="Minor Delay"/>
  </r>
  <r>
    <n v="293"/>
    <d v="2025-07-16T00:00:00"/>
    <x v="3"/>
    <x v="1"/>
    <s v="KIX"/>
    <s v="Economy"/>
    <n v="252"/>
    <n v="791.47"/>
    <n v="15"/>
    <s v="Delayed"/>
    <n v="199450.44"/>
    <s v="Jul"/>
    <n v="2025"/>
    <n v="199450.44"/>
    <s v="Minor Delay"/>
  </r>
  <r>
    <n v="294"/>
    <d v="2025-08-12T00:00:00"/>
    <x v="0"/>
    <x v="5"/>
    <s v="CJU"/>
    <s v="Economy"/>
    <n v="137"/>
    <n v="507.82"/>
    <n v="0"/>
    <s v="On Time"/>
    <n v="69571.34"/>
    <s v="Aug"/>
    <n v="2025"/>
    <n v="69571.34"/>
    <s v="On Time"/>
  </r>
  <r>
    <n v="295"/>
    <d v="2025-01-16T00:00:00"/>
    <x v="3"/>
    <x v="1"/>
    <s v="KIX"/>
    <s v="Premium Economy"/>
    <n v="250"/>
    <n v="794.51"/>
    <n v="0"/>
    <s v="Delayed"/>
    <n v="198627.5"/>
    <s v="Jan"/>
    <n v="2025"/>
    <n v="198627.5"/>
    <s v="On Time"/>
  </r>
  <r>
    <n v="296"/>
    <d v="2025-12-15T00:00:00"/>
    <x v="5"/>
    <x v="1"/>
    <s v="CJU"/>
    <s v="Business"/>
    <n v="147"/>
    <n v="123.41"/>
    <n v="21"/>
    <s v="On Time"/>
    <n v="18141.27"/>
    <s v="Dec"/>
    <n v="2025"/>
    <n v="18141.27"/>
    <s v="Minor Delay"/>
  </r>
  <r>
    <n v="297"/>
    <d v="2025-02-12T00:00:00"/>
    <x v="4"/>
    <x v="2"/>
    <s v="GMP"/>
    <s v="Economy"/>
    <n v="147"/>
    <n v="586.64"/>
    <n v="0"/>
    <s v="On Time"/>
    <n v="86236.08"/>
    <s v="Feb"/>
    <n v="2025"/>
    <n v="86236.08"/>
    <s v="On Time"/>
  </r>
  <r>
    <n v="298"/>
    <d v="2025-01-03T00:00:00"/>
    <x v="4"/>
    <x v="0"/>
    <s v="CJU"/>
    <s v="Premium Economy"/>
    <n v="142"/>
    <n v="623.4"/>
    <n v="0"/>
    <s v="On Time"/>
    <n v="88522.8"/>
    <s v="Jan"/>
    <n v="2025"/>
    <n v="88522.8"/>
    <s v="On Time"/>
  </r>
  <r>
    <n v="299"/>
    <d v="2025-08-09T00:00:00"/>
    <x v="2"/>
    <x v="0"/>
    <s v="PUS"/>
    <s v="Business"/>
    <n v="192"/>
    <n v="439.21"/>
    <n v="28"/>
    <s v="On Time"/>
    <n v="84328.320000000007"/>
    <s v="Aug"/>
    <n v="2025"/>
    <n v="84328.319999999992"/>
    <s v="Minor Delay"/>
  </r>
  <r>
    <n v="300"/>
    <d v="2025-01-07T00:00:00"/>
    <x v="4"/>
    <x v="3"/>
    <s v="MNL"/>
    <s v="Premium Economy"/>
    <n v="149"/>
    <n v="636.59"/>
    <n v="26"/>
    <s v="On Time"/>
    <n v="94851.91"/>
    <s v="Jan"/>
    <n v="2025"/>
    <n v="94851.91"/>
    <s v="Minor Delay"/>
  </r>
  <r>
    <n v="301"/>
    <d v="2025-10-20T00:00:00"/>
    <x v="5"/>
    <x v="6"/>
    <s v="PUS"/>
    <s v="Economy"/>
    <n v="225"/>
    <n v="341.74"/>
    <n v="33"/>
    <s v="On Time"/>
    <n v="76891.5"/>
    <s v="Oct"/>
    <n v="2025"/>
    <n v="76891.5"/>
    <s v="Moderate Delay"/>
  </r>
  <r>
    <n v="302"/>
    <d v="2025-08-11T00:00:00"/>
    <x v="4"/>
    <x v="0"/>
    <s v="PUS"/>
    <s v="Premium Economy"/>
    <n v="126"/>
    <n v="418.33"/>
    <n v="36"/>
    <s v="On Time"/>
    <n v="52709.58"/>
    <s v="Aug"/>
    <n v="2025"/>
    <n v="52709.579999999994"/>
    <s v="Moderate Delay"/>
  </r>
  <r>
    <n v="303"/>
    <d v="2025-11-17T00:00:00"/>
    <x v="2"/>
    <x v="4"/>
    <s v="PUS"/>
    <s v="Business"/>
    <n v="207"/>
    <n v="204.71"/>
    <n v="36"/>
    <s v="Delayed"/>
    <n v="42374.97"/>
    <s v="Nov"/>
    <n v="2025"/>
    <n v="42374.97"/>
    <s v="Moderate Delay"/>
  </r>
  <r>
    <n v="304"/>
    <d v="2025-06-18T00:00:00"/>
    <x v="2"/>
    <x v="3"/>
    <s v="MNL"/>
    <s v="Premium Economy"/>
    <n v="160"/>
    <n v="663.45"/>
    <n v="33"/>
    <s v="Delayed"/>
    <n v="106152"/>
    <s v="Jun"/>
    <n v="2025"/>
    <n v="106152"/>
    <s v="Moderate Delay"/>
  </r>
  <r>
    <n v="305"/>
    <d v="2025-06-14T00:00:00"/>
    <x v="5"/>
    <x v="7"/>
    <s v="KIX"/>
    <s v="Business"/>
    <n v="101"/>
    <n v="414.47"/>
    <n v="31"/>
    <s v="On Time"/>
    <n v="41861.47"/>
    <s v="Jun"/>
    <n v="2025"/>
    <n v="41861.47"/>
    <s v="Moderate Delay"/>
  </r>
  <r>
    <n v="306"/>
    <d v="2025-06-16T00:00:00"/>
    <x v="2"/>
    <x v="8"/>
    <s v="PUS"/>
    <s v="Premium Economy"/>
    <n v="259"/>
    <n v="641.54"/>
    <n v="42"/>
    <s v="On Time"/>
    <n v="166158.85999999999"/>
    <s v="Jun"/>
    <n v="2025"/>
    <n v="166158.85999999999"/>
    <s v="Moderate Delay"/>
  </r>
  <r>
    <n v="307"/>
    <d v="2025-12-16T00:00:00"/>
    <x v="5"/>
    <x v="2"/>
    <s v="CJU"/>
    <s v="Economy"/>
    <n v="293"/>
    <n v="598.14"/>
    <n v="36"/>
    <s v="On Time"/>
    <n v="175255.02"/>
    <s v="Dec"/>
    <n v="2025"/>
    <n v="175255.02"/>
    <s v="Moderate Delay"/>
  </r>
  <r>
    <n v="308"/>
    <d v="2025-12-11T00:00:00"/>
    <x v="2"/>
    <x v="0"/>
    <s v="MNL"/>
    <s v="Economy"/>
    <n v="212"/>
    <n v="284.10000000000002"/>
    <n v="13"/>
    <s v="On Time"/>
    <n v="60229.2"/>
    <s v="Dec"/>
    <n v="2025"/>
    <n v="60229.200000000004"/>
    <s v="Minor Delay"/>
  </r>
  <r>
    <n v="309"/>
    <d v="2025-07-13T00:00:00"/>
    <x v="1"/>
    <x v="7"/>
    <s v="MNL"/>
    <s v="Premium Economy"/>
    <n v="203"/>
    <n v="414.63"/>
    <n v="0"/>
    <s v="Delayed"/>
    <n v="84169.89"/>
    <s v="Jul"/>
    <n v="2025"/>
    <n v="84169.89"/>
    <s v="On Time"/>
  </r>
  <r>
    <n v="310"/>
    <d v="2025-07-04T00:00:00"/>
    <x v="3"/>
    <x v="1"/>
    <s v="ICN"/>
    <s v="Business"/>
    <n v="202"/>
    <n v="532.25"/>
    <n v="37"/>
    <s v="On Time"/>
    <n v="107514.5"/>
    <s v="Jul"/>
    <n v="2025"/>
    <n v="107514.5"/>
    <s v="Moderate Delay"/>
  </r>
  <r>
    <n v="311"/>
    <d v="2025-03-27T00:00:00"/>
    <x v="3"/>
    <x v="2"/>
    <s v="BKK"/>
    <s v="Business"/>
    <n v="61"/>
    <n v="476.78"/>
    <n v="0"/>
    <s v="Delayed"/>
    <n v="29083.58"/>
    <s v="Mar"/>
    <n v="2025"/>
    <n v="29083.579999999998"/>
    <s v="On Time"/>
  </r>
  <r>
    <n v="312"/>
    <d v="2025-02-24T00:00:00"/>
    <x v="1"/>
    <x v="3"/>
    <s v="MNL"/>
    <s v="Economy"/>
    <n v="116"/>
    <n v="224.28"/>
    <n v="0"/>
    <s v="On Time"/>
    <n v="26016.48"/>
    <s v="Feb"/>
    <n v="2025"/>
    <n v="26016.48"/>
    <s v="On Time"/>
  </r>
  <r>
    <n v="313"/>
    <d v="2025-08-17T00:00:00"/>
    <x v="4"/>
    <x v="6"/>
    <s v="PUS"/>
    <s v="Premium Economy"/>
    <n v="168"/>
    <n v="631.53"/>
    <n v="0"/>
    <s v="On Time"/>
    <n v="106097.04"/>
    <s v="Aug"/>
    <n v="2025"/>
    <n v="106097.04"/>
    <s v="On Time"/>
  </r>
  <r>
    <n v="314"/>
    <d v="2025-02-23T00:00:00"/>
    <x v="4"/>
    <x v="5"/>
    <s v="SIN"/>
    <s v="Premium Economy"/>
    <n v="285"/>
    <n v="771.68"/>
    <n v="4"/>
    <s v="On Time"/>
    <n v="219928.8"/>
    <s v="Feb"/>
    <n v="2025"/>
    <n v="219928.8"/>
    <s v="Minor Delay"/>
  </r>
  <r>
    <n v="315"/>
    <d v="2025-06-09T00:00:00"/>
    <x v="4"/>
    <x v="7"/>
    <s v="BKK"/>
    <s v="Premium Economy"/>
    <n v="250"/>
    <n v="213.08"/>
    <n v="0"/>
    <s v="On Time"/>
    <n v="53270"/>
    <s v="Jun"/>
    <n v="2025"/>
    <n v="53270"/>
    <s v="On Time"/>
  </r>
  <r>
    <n v="316"/>
    <d v="2025-02-04T00:00:00"/>
    <x v="4"/>
    <x v="8"/>
    <s v="KIX"/>
    <s v="Economy"/>
    <n v="257"/>
    <n v="585.98"/>
    <n v="23"/>
    <s v="On Time"/>
    <n v="150596.85999999999"/>
    <s v="Feb"/>
    <n v="2025"/>
    <n v="150596.86000000002"/>
    <s v="Minor Delay"/>
  </r>
  <r>
    <n v="317"/>
    <d v="2025-12-13T00:00:00"/>
    <x v="0"/>
    <x v="3"/>
    <s v="GMP"/>
    <s v="Business"/>
    <n v="112"/>
    <n v="441.84"/>
    <n v="0"/>
    <s v="On Time"/>
    <n v="49486.080000000002"/>
    <s v="Dec"/>
    <n v="2025"/>
    <n v="49486.079999999994"/>
    <s v="On Time"/>
  </r>
  <r>
    <n v="318"/>
    <d v="2025-07-27T00:00:00"/>
    <x v="3"/>
    <x v="8"/>
    <s v="PUS"/>
    <s v="Economy"/>
    <n v="97"/>
    <n v="533.95000000000005"/>
    <n v="12"/>
    <s v="On Time"/>
    <n v="51793.15"/>
    <s v="Jul"/>
    <n v="2025"/>
    <n v="51793.15"/>
    <s v="Minor Delay"/>
  </r>
  <r>
    <n v="319"/>
    <d v="2025-08-19T00:00:00"/>
    <x v="5"/>
    <x v="5"/>
    <s v="NRT"/>
    <s v="Premium Economy"/>
    <n v="149"/>
    <n v="63.29"/>
    <n v="24"/>
    <s v="On Time"/>
    <n v="9430.2099999999991"/>
    <s v="Aug"/>
    <n v="2025"/>
    <n v="9430.2099999999991"/>
    <s v="Minor Delay"/>
  </r>
  <r>
    <n v="320"/>
    <d v="2025-10-02T00:00:00"/>
    <x v="0"/>
    <x v="0"/>
    <s v="CJU"/>
    <s v="Premium Economy"/>
    <n v="133"/>
    <n v="205.83"/>
    <n v="39"/>
    <s v="On Time"/>
    <n v="27375.39"/>
    <s v="Oct"/>
    <n v="2025"/>
    <n v="27375.390000000003"/>
    <s v="Moderate Delay"/>
  </r>
  <r>
    <n v="321"/>
    <d v="2025-11-02T00:00:00"/>
    <x v="2"/>
    <x v="8"/>
    <s v="KIX"/>
    <s v="Business"/>
    <n v="150"/>
    <n v="494.38"/>
    <n v="0"/>
    <s v="On Time"/>
    <n v="74157"/>
    <s v="Nov"/>
    <n v="2025"/>
    <n v="74157"/>
    <s v="On Time"/>
  </r>
  <r>
    <n v="322"/>
    <d v="2025-12-11T00:00:00"/>
    <x v="0"/>
    <x v="4"/>
    <s v="GMP"/>
    <s v="Premium Economy"/>
    <n v="80"/>
    <n v="236.54"/>
    <n v="59"/>
    <s v="On Time"/>
    <n v="18923.2"/>
    <s v="Dec"/>
    <n v="2025"/>
    <n v="18923.2"/>
    <s v="Moderate Delay"/>
  </r>
  <r>
    <n v="323"/>
    <d v="2025-09-19T00:00:00"/>
    <x v="2"/>
    <x v="3"/>
    <s v="CJU"/>
    <s v="Premium Economy"/>
    <n v="202"/>
    <n v="162.02000000000001"/>
    <n v="8"/>
    <s v="On Time"/>
    <n v="32728.04"/>
    <s v="Sep"/>
    <n v="2025"/>
    <n v="32728.04"/>
    <s v="Minor Delay"/>
  </r>
  <r>
    <n v="324"/>
    <d v="2025-09-08T00:00:00"/>
    <x v="4"/>
    <x v="7"/>
    <s v="PUS"/>
    <s v="Economy"/>
    <n v="97"/>
    <n v="292.79000000000002"/>
    <n v="30"/>
    <s v="On Time"/>
    <n v="28400.63"/>
    <s v="Sep"/>
    <n v="2025"/>
    <n v="28400.63"/>
    <s v="Minor Delay"/>
  </r>
  <r>
    <n v="325"/>
    <d v="2025-01-05T00:00:00"/>
    <x v="2"/>
    <x v="5"/>
    <s v="BKK"/>
    <s v="Economy"/>
    <n v="99"/>
    <n v="663.26"/>
    <n v="48"/>
    <s v="On Time"/>
    <n v="65662.740000000005"/>
    <s v="Jan"/>
    <n v="2025"/>
    <n v="65662.740000000005"/>
    <s v="Moderate Delay"/>
  </r>
  <r>
    <n v="326"/>
    <d v="2025-12-30T00:00:00"/>
    <x v="2"/>
    <x v="8"/>
    <s v="BKK"/>
    <s v="Premium Economy"/>
    <n v="92"/>
    <n v="121.18"/>
    <n v="13"/>
    <s v="On Time"/>
    <n v="11148.56"/>
    <s v="Dec"/>
    <n v="2025"/>
    <n v="11148.560000000001"/>
    <s v="Minor Delay"/>
  </r>
  <r>
    <n v="327"/>
    <d v="2025-01-17T00:00:00"/>
    <x v="4"/>
    <x v="2"/>
    <s v="KIX"/>
    <s v="Economy"/>
    <n v="187"/>
    <n v="273.62"/>
    <n v="26"/>
    <s v="On Time"/>
    <n v="51166.94"/>
    <s v="Jan"/>
    <n v="2025"/>
    <n v="51166.94"/>
    <s v="Minor Delay"/>
  </r>
  <r>
    <n v="328"/>
    <d v="2025-10-21T00:00:00"/>
    <x v="1"/>
    <x v="8"/>
    <s v="GMP"/>
    <s v="Premium Economy"/>
    <n v="248"/>
    <n v="461.9"/>
    <n v="0"/>
    <s v="Cancelled"/>
    <n v="114551.2"/>
    <s v="Oct"/>
    <n v="2025"/>
    <n v="114551.2"/>
    <s v="On Time"/>
  </r>
  <r>
    <n v="329"/>
    <d v="2025-08-14T00:00:00"/>
    <x v="5"/>
    <x v="6"/>
    <s v="ICN"/>
    <s v="Economy"/>
    <n v="158"/>
    <n v="135.79"/>
    <n v="40"/>
    <s v="On Time"/>
    <n v="21454.82"/>
    <s v="Aug"/>
    <n v="2025"/>
    <n v="21454.82"/>
    <s v="Moderate Delay"/>
  </r>
  <r>
    <n v="330"/>
    <d v="2025-05-15T00:00:00"/>
    <x v="4"/>
    <x v="5"/>
    <s v="SIN"/>
    <s v="Economy"/>
    <n v="162"/>
    <n v="700.31"/>
    <n v="0"/>
    <s v="On Time"/>
    <n v="113450.22"/>
    <s v="May"/>
    <n v="2025"/>
    <n v="113450.21999999999"/>
    <s v="On Time"/>
  </r>
  <r>
    <n v="331"/>
    <d v="2025-10-29T00:00:00"/>
    <x v="3"/>
    <x v="2"/>
    <s v="NRT"/>
    <s v="Premium Economy"/>
    <n v="270"/>
    <n v="585.96"/>
    <n v="9"/>
    <s v="On Time"/>
    <n v="158209.20000000001"/>
    <s v="Oct"/>
    <n v="2025"/>
    <n v="158209.20000000001"/>
    <s v="Minor Delay"/>
  </r>
  <r>
    <n v="332"/>
    <d v="2025-01-31T00:00:00"/>
    <x v="5"/>
    <x v="2"/>
    <s v="NRT"/>
    <s v="Premium Economy"/>
    <n v="186"/>
    <n v="268"/>
    <n v="8"/>
    <s v="On Time"/>
    <n v="49848"/>
    <s v="Jan"/>
    <n v="2025"/>
    <n v="49848"/>
    <s v="Minor Delay"/>
  </r>
  <r>
    <n v="333"/>
    <d v="2025-05-29T00:00:00"/>
    <x v="5"/>
    <x v="3"/>
    <s v="NRT"/>
    <s v="Premium Economy"/>
    <n v="293"/>
    <n v="694.93"/>
    <n v="57"/>
    <s v="On Time"/>
    <n v="203614.49"/>
    <s v="May"/>
    <n v="2025"/>
    <n v="203614.49"/>
    <s v="Moderate Delay"/>
  </r>
  <r>
    <n v="334"/>
    <d v="2025-05-22T00:00:00"/>
    <x v="3"/>
    <x v="1"/>
    <s v="ICN"/>
    <s v="Economy"/>
    <n v="229"/>
    <n v="700.9"/>
    <n v="16"/>
    <s v="On Time"/>
    <n v="160506.1"/>
    <s v="May"/>
    <n v="2025"/>
    <n v="160506.1"/>
    <s v="Minor Delay"/>
  </r>
  <r>
    <n v="335"/>
    <d v="2025-12-13T00:00:00"/>
    <x v="2"/>
    <x v="3"/>
    <s v="PUS"/>
    <s v="Premium Economy"/>
    <n v="86"/>
    <n v="487.29"/>
    <n v="16"/>
    <s v="On Time"/>
    <n v="41906.94"/>
    <s v="Dec"/>
    <n v="2025"/>
    <n v="41906.94"/>
    <s v="Minor Delay"/>
  </r>
  <r>
    <n v="336"/>
    <d v="2025-09-21T00:00:00"/>
    <x v="3"/>
    <x v="0"/>
    <s v="MNL"/>
    <s v="Premium Economy"/>
    <n v="227"/>
    <n v="752.89"/>
    <n v="45"/>
    <s v="On Time"/>
    <n v="170906.03"/>
    <s v="Sep"/>
    <n v="2025"/>
    <n v="170906.03"/>
    <s v="Moderate Delay"/>
  </r>
  <r>
    <n v="337"/>
    <d v="2025-10-25T00:00:00"/>
    <x v="1"/>
    <x v="8"/>
    <s v="KIX"/>
    <s v="Business"/>
    <n v="73"/>
    <n v="600.89"/>
    <n v="0"/>
    <s v="On Time"/>
    <n v="43864.97"/>
    <s v="Oct"/>
    <n v="2025"/>
    <n v="43864.97"/>
    <s v="On Time"/>
  </r>
  <r>
    <n v="338"/>
    <d v="2025-04-22T00:00:00"/>
    <x v="2"/>
    <x v="0"/>
    <s v="MNL"/>
    <s v="Economy"/>
    <n v="176"/>
    <n v="258.72000000000003"/>
    <n v="29"/>
    <s v="Delayed"/>
    <n v="45534.720000000001"/>
    <s v="Apr"/>
    <n v="2025"/>
    <n v="45534.720000000001"/>
    <s v="Minor Delay"/>
  </r>
  <r>
    <n v="339"/>
    <d v="2025-10-17T00:00:00"/>
    <x v="2"/>
    <x v="3"/>
    <s v="CJU"/>
    <s v="Premium Economy"/>
    <n v="278"/>
    <n v="565.09"/>
    <n v="30"/>
    <s v="On Time"/>
    <n v="157095.01999999999"/>
    <s v="Oct"/>
    <n v="2025"/>
    <n v="157095.02000000002"/>
    <s v="Minor Delay"/>
  </r>
  <r>
    <n v="340"/>
    <d v="2025-03-05T00:00:00"/>
    <x v="0"/>
    <x v="8"/>
    <s v="ICN"/>
    <s v="Premium Economy"/>
    <n v="166"/>
    <n v="60.5"/>
    <n v="23"/>
    <s v="Delayed"/>
    <n v="10043"/>
    <s v="Mar"/>
    <n v="2025"/>
    <n v="10043"/>
    <s v="Minor Delay"/>
  </r>
  <r>
    <n v="341"/>
    <d v="2025-11-29T00:00:00"/>
    <x v="4"/>
    <x v="2"/>
    <s v="CJU"/>
    <s v="Economy"/>
    <n v="273"/>
    <n v="750.22"/>
    <n v="14"/>
    <s v="On Time"/>
    <n v="204810.06"/>
    <s v="Nov"/>
    <n v="2025"/>
    <n v="204810.06"/>
    <s v="Minor Delay"/>
  </r>
  <r>
    <n v="342"/>
    <d v="2025-01-27T00:00:00"/>
    <x v="2"/>
    <x v="3"/>
    <s v="CJU"/>
    <s v="Business"/>
    <n v="128"/>
    <n v="597.23"/>
    <n v="56"/>
    <s v="On Time"/>
    <n v="76445.440000000002"/>
    <s v="Jan"/>
    <n v="2025"/>
    <n v="76445.440000000002"/>
    <s v="Moderate Delay"/>
  </r>
  <r>
    <n v="343"/>
    <d v="2025-12-27T00:00:00"/>
    <x v="1"/>
    <x v="1"/>
    <s v="GMP"/>
    <s v="Economy"/>
    <n v="104"/>
    <n v="412.84"/>
    <n v="32"/>
    <s v="On Time"/>
    <n v="42935.360000000001"/>
    <s v="Dec"/>
    <n v="2025"/>
    <n v="42935.360000000001"/>
    <s v="Moderate Delay"/>
  </r>
  <r>
    <n v="344"/>
    <d v="2025-12-23T00:00:00"/>
    <x v="4"/>
    <x v="5"/>
    <s v="GMP"/>
    <s v="Economy"/>
    <n v="270"/>
    <n v="372.51"/>
    <n v="33"/>
    <s v="On Time"/>
    <n v="100577.7"/>
    <s v="Dec"/>
    <n v="2025"/>
    <n v="100577.7"/>
    <s v="Moderate Delay"/>
  </r>
  <r>
    <n v="345"/>
    <d v="2025-07-16T00:00:00"/>
    <x v="1"/>
    <x v="0"/>
    <s v="NRT"/>
    <s v="Business"/>
    <n v="256"/>
    <n v="135.80000000000001"/>
    <n v="0"/>
    <s v="On Time"/>
    <n v="34764.800000000003"/>
    <s v="Jul"/>
    <n v="2025"/>
    <n v="34764.800000000003"/>
    <s v="On Time"/>
  </r>
  <r>
    <n v="346"/>
    <d v="2025-02-05T00:00:00"/>
    <x v="5"/>
    <x v="7"/>
    <s v="PUS"/>
    <s v="Business"/>
    <n v="52"/>
    <n v="511.64"/>
    <n v="67"/>
    <s v="On Time"/>
    <n v="26605.279999999999"/>
    <s v="Feb"/>
    <n v="2025"/>
    <n v="26605.279999999999"/>
    <s v="Major Delay"/>
  </r>
  <r>
    <n v="347"/>
    <d v="2025-11-18T00:00:00"/>
    <x v="3"/>
    <x v="3"/>
    <s v="PUS"/>
    <s v="Economy"/>
    <n v="285"/>
    <n v="364.67"/>
    <n v="0"/>
    <s v="On Time"/>
    <n v="103930.95"/>
    <s v="Nov"/>
    <n v="2025"/>
    <n v="103930.95000000001"/>
    <s v="On Time"/>
  </r>
  <r>
    <n v="348"/>
    <d v="2025-03-05T00:00:00"/>
    <x v="5"/>
    <x v="0"/>
    <s v="PUS"/>
    <s v="Business"/>
    <n v="148"/>
    <n v="320.14"/>
    <n v="0"/>
    <s v="On Time"/>
    <n v="47380.72"/>
    <s v="Mar"/>
    <n v="2025"/>
    <n v="47380.72"/>
    <s v="On Time"/>
  </r>
  <r>
    <n v="349"/>
    <d v="2025-05-22T00:00:00"/>
    <x v="3"/>
    <x v="7"/>
    <s v="NRT"/>
    <s v="Economy"/>
    <n v="113"/>
    <n v="469.51"/>
    <n v="0"/>
    <s v="On Time"/>
    <n v="53054.63"/>
    <s v="May"/>
    <n v="2025"/>
    <n v="53054.63"/>
    <s v="On Time"/>
  </r>
  <r>
    <n v="350"/>
    <d v="2025-04-16T00:00:00"/>
    <x v="5"/>
    <x v="5"/>
    <s v="KIX"/>
    <s v="Business"/>
    <n v="180"/>
    <n v="199.6"/>
    <n v="0"/>
    <s v="On Time"/>
    <n v="35928"/>
    <s v="Apr"/>
    <n v="2025"/>
    <n v="35928"/>
    <s v="On Time"/>
  </r>
  <r>
    <n v="351"/>
    <d v="2025-09-11T00:00:00"/>
    <x v="2"/>
    <x v="5"/>
    <s v="NRT"/>
    <s v="Economy"/>
    <n v="111"/>
    <n v="429.69"/>
    <n v="0"/>
    <s v="Delayed"/>
    <n v="47695.59"/>
    <s v="Sep"/>
    <n v="2025"/>
    <n v="47695.59"/>
    <s v="On Time"/>
  </r>
  <r>
    <n v="352"/>
    <d v="2025-03-09T00:00:00"/>
    <x v="2"/>
    <x v="3"/>
    <s v="BKK"/>
    <s v="Business"/>
    <n v="157"/>
    <n v="330.41"/>
    <n v="2"/>
    <s v="On Time"/>
    <n v="51874.37"/>
    <s v="Mar"/>
    <n v="2025"/>
    <n v="51874.37"/>
    <s v="Minor Delay"/>
  </r>
  <r>
    <n v="353"/>
    <d v="2025-01-09T00:00:00"/>
    <x v="5"/>
    <x v="8"/>
    <s v="GMP"/>
    <s v="Economy"/>
    <n v="53"/>
    <n v="254.02"/>
    <n v="28"/>
    <s v="On Time"/>
    <n v="13463.06"/>
    <s v="Jan"/>
    <n v="2025"/>
    <n v="13463.060000000001"/>
    <s v="Minor Delay"/>
  </r>
  <r>
    <n v="354"/>
    <d v="2025-11-18T00:00:00"/>
    <x v="3"/>
    <x v="6"/>
    <s v="NRT"/>
    <s v="Business"/>
    <n v="246"/>
    <n v="367.42"/>
    <n v="22"/>
    <s v="On Time"/>
    <n v="90385.32"/>
    <s v="Nov"/>
    <n v="2025"/>
    <n v="90385.32"/>
    <s v="Minor Delay"/>
  </r>
  <r>
    <n v="355"/>
    <d v="2025-05-23T00:00:00"/>
    <x v="1"/>
    <x v="0"/>
    <s v="PUS"/>
    <s v="Premium Economy"/>
    <n v="70"/>
    <n v="438.37"/>
    <n v="33"/>
    <s v="On Time"/>
    <n v="30685.9"/>
    <s v="May"/>
    <n v="2025"/>
    <n v="30685.9"/>
    <s v="Moderate Delay"/>
  </r>
  <r>
    <n v="356"/>
    <d v="2025-06-08T00:00:00"/>
    <x v="3"/>
    <x v="1"/>
    <s v="GMP"/>
    <s v="Premium Economy"/>
    <n v="236"/>
    <n v="765.54"/>
    <n v="63"/>
    <s v="On Time"/>
    <n v="180667.44"/>
    <s v="Jun"/>
    <n v="2025"/>
    <n v="180667.44"/>
    <s v="Major Delay"/>
  </r>
  <r>
    <n v="357"/>
    <d v="2025-08-11T00:00:00"/>
    <x v="1"/>
    <x v="2"/>
    <s v="GMP"/>
    <s v="Premium Economy"/>
    <n v="206"/>
    <n v="510.54"/>
    <n v="5"/>
    <s v="On Time"/>
    <n v="105171.24"/>
    <s v="Aug"/>
    <n v="2025"/>
    <n v="105171.24"/>
    <s v="Minor Delay"/>
  </r>
  <r>
    <n v="358"/>
    <d v="2025-12-29T00:00:00"/>
    <x v="0"/>
    <x v="0"/>
    <s v="ICN"/>
    <s v="Business"/>
    <n v="52"/>
    <n v="181.24"/>
    <n v="58"/>
    <s v="Delayed"/>
    <n v="9424.48"/>
    <s v="Dec"/>
    <n v="2025"/>
    <n v="9424.48"/>
    <s v="Moderate Delay"/>
  </r>
  <r>
    <n v="359"/>
    <d v="2025-03-27T00:00:00"/>
    <x v="4"/>
    <x v="6"/>
    <s v="NRT"/>
    <s v="Economy"/>
    <n v="241"/>
    <n v="638.03"/>
    <n v="13"/>
    <s v="On Time"/>
    <n v="153765.23000000001"/>
    <s v="Mar"/>
    <n v="2025"/>
    <n v="153765.22999999998"/>
    <s v="Minor Delay"/>
  </r>
  <r>
    <n v="360"/>
    <d v="2025-08-08T00:00:00"/>
    <x v="4"/>
    <x v="5"/>
    <s v="BKK"/>
    <s v="Business"/>
    <n v="66"/>
    <n v="254.58"/>
    <n v="71"/>
    <s v="Delayed"/>
    <n v="16802.28"/>
    <s v="Aug"/>
    <n v="2025"/>
    <n v="16802.280000000002"/>
    <s v="Major Delay"/>
  </r>
  <r>
    <n v="361"/>
    <d v="2025-08-22T00:00:00"/>
    <x v="5"/>
    <x v="0"/>
    <s v="SIN"/>
    <s v="Premium Economy"/>
    <n v="64"/>
    <n v="429.71"/>
    <n v="0"/>
    <s v="On Time"/>
    <n v="27501.439999999999"/>
    <s v="Aug"/>
    <n v="2025"/>
    <n v="27501.439999999999"/>
    <s v="On Time"/>
  </r>
  <r>
    <n v="362"/>
    <d v="2025-04-27T00:00:00"/>
    <x v="3"/>
    <x v="0"/>
    <s v="CJU"/>
    <s v="Business"/>
    <n v="50"/>
    <n v="92.59"/>
    <n v="10"/>
    <s v="Delayed"/>
    <n v="4629.5"/>
    <s v="Apr"/>
    <n v="2025"/>
    <n v="4629.5"/>
    <s v="Minor Delay"/>
  </r>
  <r>
    <n v="363"/>
    <d v="2025-08-30T00:00:00"/>
    <x v="4"/>
    <x v="2"/>
    <s v="ICN"/>
    <s v="Premium Economy"/>
    <n v="285"/>
    <n v="171.06"/>
    <n v="64"/>
    <s v="On Time"/>
    <n v="48752.1"/>
    <s v="Aug"/>
    <n v="2025"/>
    <n v="48752.1"/>
    <s v="Major Delay"/>
  </r>
  <r>
    <n v="364"/>
    <d v="2025-06-14T00:00:00"/>
    <x v="0"/>
    <x v="1"/>
    <s v="PUS"/>
    <s v="Premium Economy"/>
    <n v="284"/>
    <n v="593.01"/>
    <n v="0"/>
    <s v="On Time"/>
    <n v="168414.84"/>
    <s v="Jun"/>
    <n v="2025"/>
    <n v="168414.84"/>
    <s v="On Time"/>
  </r>
  <r>
    <n v="365"/>
    <d v="2025-03-03T00:00:00"/>
    <x v="5"/>
    <x v="0"/>
    <s v="BKK"/>
    <s v="Business"/>
    <n v="280"/>
    <n v="98.98"/>
    <n v="25"/>
    <s v="On Time"/>
    <n v="27714.400000000001"/>
    <s v="Mar"/>
    <n v="2025"/>
    <n v="27714.400000000001"/>
    <s v="Minor Delay"/>
  </r>
  <r>
    <n v="366"/>
    <d v="2025-08-27T00:00:00"/>
    <x v="4"/>
    <x v="1"/>
    <s v="GMP"/>
    <s v="Premium Economy"/>
    <n v="133"/>
    <n v="123.93"/>
    <n v="49"/>
    <s v="On Time"/>
    <n v="16482.689999999999"/>
    <s v="Aug"/>
    <n v="2025"/>
    <n v="16482.690000000002"/>
    <s v="Moderate Delay"/>
  </r>
  <r>
    <n v="367"/>
    <d v="2025-05-30T00:00:00"/>
    <x v="5"/>
    <x v="3"/>
    <s v="PUS"/>
    <s v="Premium Economy"/>
    <n v="239"/>
    <n v="520.80999999999995"/>
    <n v="0"/>
    <s v="On Time"/>
    <n v="124473.59"/>
    <s v="May"/>
    <n v="2025"/>
    <n v="124473.58999999998"/>
    <s v="On Time"/>
  </r>
  <r>
    <n v="368"/>
    <d v="2025-03-19T00:00:00"/>
    <x v="1"/>
    <x v="2"/>
    <s v="NRT"/>
    <s v="Premium Economy"/>
    <n v="56"/>
    <n v="232.42"/>
    <n v="27"/>
    <s v="On Time"/>
    <n v="13015.52"/>
    <s v="Mar"/>
    <n v="2025"/>
    <n v="13015.519999999999"/>
    <s v="Minor Delay"/>
  </r>
  <r>
    <n v="369"/>
    <d v="2025-01-01T00:00:00"/>
    <x v="3"/>
    <x v="5"/>
    <s v="BKK"/>
    <s v="Premium Economy"/>
    <n v="267"/>
    <n v="606.17999999999995"/>
    <n v="14"/>
    <s v="Cancelled"/>
    <n v="161850.06"/>
    <s v="Jan"/>
    <n v="2025"/>
    <n v="161850.06"/>
    <s v="Minor Delay"/>
  </r>
  <r>
    <n v="370"/>
    <d v="2025-01-31T00:00:00"/>
    <x v="0"/>
    <x v="1"/>
    <s v="SIN"/>
    <s v="Business"/>
    <n v="121"/>
    <n v="128.84"/>
    <n v="35"/>
    <s v="Delayed"/>
    <n v="15589.64"/>
    <s v="Jan"/>
    <n v="2025"/>
    <n v="15589.640000000001"/>
    <s v="Moderate Delay"/>
  </r>
  <r>
    <n v="371"/>
    <d v="2025-12-25T00:00:00"/>
    <x v="4"/>
    <x v="6"/>
    <s v="BKK"/>
    <s v="Premium Economy"/>
    <n v="299"/>
    <n v="613.45000000000005"/>
    <n v="0"/>
    <s v="On Time"/>
    <n v="183421.55"/>
    <s v="Dec"/>
    <n v="2025"/>
    <n v="183421.55000000002"/>
    <s v="On Time"/>
  </r>
  <r>
    <n v="372"/>
    <d v="2025-10-31T00:00:00"/>
    <x v="5"/>
    <x v="1"/>
    <s v="GMP"/>
    <s v="Economy"/>
    <n v="161"/>
    <n v="550.21"/>
    <n v="5"/>
    <s v="On Time"/>
    <n v="88583.81"/>
    <s v="Oct"/>
    <n v="2025"/>
    <n v="88583.810000000012"/>
    <s v="Minor Delay"/>
  </r>
  <r>
    <n v="373"/>
    <d v="2025-06-11T00:00:00"/>
    <x v="2"/>
    <x v="4"/>
    <s v="KIX"/>
    <s v="Business"/>
    <n v="262"/>
    <n v="604.16"/>
    <n v="11"/>
    <s v="On Time"/>
    <n v="158289.92000000001"/>
    <s v="Jun"/>
    <n v="2025"/>
    <n v="158289.91999999998"/>
    <s v="Minor Delay"/>
  </r>
  <r>
    <n v="374"/>
    <d v="2025-10-27T00:00:00"/>
    <x v="1"/>
    <x v="2"/>
    <s v="CJU"/>
    <s v="Economy"/>
    <n v="77"/>
    <n v="181.64"/>
    <n v="38"/>
    <s v="On Time"/>
    <n v="13986.28"/>
    <s v="Oct"/>
    <n v="2025"/>
    <n v="13986.279999999999"/>
    <s v="Moderate Delay"/>
  </r>
  <r>
    <n v="375"/>
    <d v="2025-10-02T00:00:00"/>
    <x v="4"/>
    <x v="1"/>
    <s v="GMP"/>
    <s v="Economy"/>
    <n v="165"/>
    <n v="288.14999999999998"/>
    <n v="18"/>
    <s v="On Time"/>
    <n v="47544.75"/>
    <s v="Oct"/>
    <n v="2025"/>
    <n v="47544.749999999993"/>
    <s v="Minor Delay"/>
  </r>
  <r>
    <n v="376"/>
    <d v="2025-04-21T00:00:00"/>
    <x v="4"/>
    <x v="4"/>
    <s v="ICN"/>
    <s v="Economy"/>
    <n v="73"/>
    <n v="586.26"/>
    <n v="32"/>
    <s v="Delayed"/>
    <n v="42796.98"/>
    <s v="Apr"/>
    <n v="2025"/>
    <n v="42796.979999999996"/>
    <s v="Moderate Delay"/>
  </r>
  <r>
    <n v="377"/>
    <d v="2025-12-13T00:00:00"/>
    <x v="4"/>
    <x v="1"/>
    <s v="ICN"/>
    <s v="Premium Economy"/>
    <n v="259"/>
    <n v="793.1"/>
    <n v="44"/>
    <s v="On Time"/>
    <n v="205412.9"/>
    <s v="Dec"/>
    <n v="2025"/>
    <n v="205412.9"/>
    <s v="Moderate Delay"/>
  </r>
  <r>
    <n v="378"/>
    <d v="2025-02-18T00:00:00"/>
    <x v="2"/>
    <x v="6"/>
    <s v="PUS"/>
    <s v="Economy"/>
    <n v="255"/>
    <n v="647.41999999999996"/>
    <n v="24"/>
    <s v="On Time"/>
    <n v="165092.1"/>
    <s v="Feb"/>
    <n v="2025"/>
    <n v="165092.09999999998"/>
    <s v="Minor Delay"/>
  </r>
  <r>
    <n v="379"/>
    <d v="2025-03-08T00:00:00"/>
    <x v="0"/>
    <x v="5"/>
    <s v="NRT"/>
    <s v="Premium Economy"/>
    <n v="145"/>
    <n v="567.85"/>
    <n v="29"/>
    <s v="On Time"/>
    <n v="82338.25"/>
    <s v="Mar"/>
    <n v="2025"/>
    <n v="82338.25"/>
    <s v="Minor Delay"/>
  </r>
  <r>
    <n v="380"/>
    <d v="2025-02-03T00:00:00"/>
    <x v="0"/>
    <x v="0"/>
    <s v="ICN"/>
    <s v="Business"/>
    <n v="163"/>
    <n v="658.88"/>
    <n v="15"/>
    <s v="On Time"/>
    <n v="107397.44"/>
    <s v="Feb"/>
    <n v="2025"/>
    <n v="107397.44"/>
    <s v="Minor Delay"/>
  </r>
  <r>
    <n v="381"/>
    <d v="2025-01-22T00:00:00"/>
    <x v="2"/>
    <x v="3"/>
    <s v="GMP"/>
    <s v="Economy"/>
    <n v="93"/>
    <n v="743.86"/>
    <n v="0"/>
    <s v="On Time"/>
    <n v="69178.98"/>
    <s v="Jan"/>
    <n v="2025"/>
    <n v="69178.98"/>
    <s v="On Time"/>
  </r>
  <r>
    <n v="382"/>
    <d v="2025-03-30T00:00:00"/>
    <x v="4"/>
    <x v="1"/>
    <s v="MNL"/>
    <s v="Economy"/>
    <n v="282"/>
    <n v="198.49"/>
    <n v="36"/>
    <s v="On Time"/>
    <n v="55974.18"/>
    <s v="Mar"/>
    <n v="2025"/>
    <n v="55974.18"/>
    <s v="Moderate Delay"/>
  </r>
  <r>
    <n v="383"/>
    <d v="2025-11-11T00:00:00"/>
    <x v="5"/>
    <x v="7"/>
    <s v="ICN"/>
    <s v="Business"/>
    <n v="112"/>
    <n v="538.99"/>
    <n v="0"/>
    <s v="On Time"/>
    <n v="60366.879999999997"/>
    <s v="Nov"/>
    <n v="2025"/>
    <n v="60366.880000000005"/>
    <s v="On Time"/>
  </r>
  <r>
    <n v="384"/>
    <d v="2025-07-16T00:00:00"/>
    <x v="0"/>
    <x v="0"/>
    <s v="KIX"/>
    <s v="Premium Economy"/>
    <n v="101"/>
    <n v="535.55999999999995"/>
    <n v="20"/>
    <s v="On Time"/>
    <n v="54091.56"/>
    <s v="Jul"/>
    <n v="2025"/>
    <n v="54091.56"/>
    <s v="Minor Delay"/>
  </r>
  <r>
    <n v="385"/>
    <d v="2025-07-15T00:00:00"/>
    <x v="3"/>
    <x v="2"/>
    <s v="ICN"/>
    <s v="Premium Economy"/>
    <n v="172"/>
    <n v="462.94"/>
    <n v="0"/>
    <s v="On Time"/>
    <n v="79625.679999999993"/>
    <s v="Jul"/>
    <n v="2025"/>
    <n v="79625.679999999993"/>
    <s v="On Time"/>
  </r>
  <r>
    <n v="386"/>
    <d v="2025-04-03T00:00:00"/>
    <x v="1"/>
    <x v="1"/>
    <s v="NRT"/>
    <s v="Premium Economy"/>
    <n v="202"/>
    <n v="222.07"/>
    <n v="25"/>
    <s v="Delayed"/>
    <n v="44858.14"/>
    <s v="Apr"/>
    <n v="2025"/>
    <n v="44858.14"/>
    <s v="Minor Delay"/>
  </r>
  <r>
    <n v="387"/>
    <d v="2025-08-30T00:00:00"/>
    <x v="5"/>
    <x v="4"/>
    <s v="ICN"/>
    <s v="Premium Economy"/>
    <n v="246"/>
    <n v="492.15"/>
    <n v="21"/>
    <s v="On Time"/>
    <n v="121068.9"/>
    <s v="Aug"/>
    <n v="2025"/>
    <n v="121068.9"/>
    <s v="Minor Delay"/>
  </r>
  <r>
    <n v="388"/>
    <d v="2025-10-01T00:00:00"/>
    <x v="3"/>
    <x v="2"/>
    <s v="KIX"/>
    <s v="Economy"/>
    <n v="245"/>
    <n v="797.33"/>
    <n v="34"/>
    <s v="On Time"/>
    <n v="195345.85"/>
    <s v="Oct"/>
    <n v="2025"/>
    <n v="195345.85"/>
    <s v="Moderate Delay"/>
  </r>
  <r>
    <n v="389"/>
    <d v="2025-03-30T00:00:00"/>
    <x v="0"/>
    <x v="1"/>
    <s v="KIX"/>
    <s v="Economy"/>
    <n v="201"/>
    <n v="295.32"/>
    <n v="18"/>
    <s v="On Time"/>
    <n v="59359.32"/>
    <s v="Mar"/>
    <n v="2025"/>
    <n v="59359.32"/>
    <s v="Minor Delay"/>
  </r>
  <r>
    <n v="390"/>
    <d v="2025-10-16T00:00:00"/>
    <x v="0"/>
    <x v="3"/>
    <s v="CJU"/>
    <s v="Premium Economy"/>
    <n v="188"/>
    <n v="288.7"/>
    <n v="0"/>
    <s v="On Time"/>
    <n v="54275.6"/>
    <s v="Oct"/>
    <n v="2025"/>
    <n v="54275.6"/>
    <s v="On Time"/>
  </r>
  <r>
    <n v="391"/>
    <d v="2025-04-30T00:00:00"/>
    <x v="5"/>
    <x v="0"/>
    <s v="ICN"/>
    <s v="Economy"/>
    <n v="55"/>
    <n v="449.57"/>
    <n v="75"/>
    <s v="On Time"/>
    <n v="24726.35"/>
    <s v="Apr"/>
    <n v="2025"/>
    <n v="24726.35"/>
    <s v="Major Delay"/>
  </r>
  <r>
    <n v="392"/>
    <d v="2025-04-01T00:00:00"/>
    <x v="4"/>
    <x v="7"/>
    <s v="BKK"/>
    <s v="Economy"/>
    <n v="55"/>
    <n v="169.31"/>
    <n v="20"/>
    <s v="On Time"/>
    <n v="9312.0499999999993"/>
    <s v="Apr"/>
    <n v="2025"/>
    <n v="9312.0499999999993"/>
    <s v="Minor Delay"/>
  </r>
  <r>
    <n v="393"/>
    <d v="2025-09-27T00:00:00"/>
    <x v="4"/>
    <x v="7"/>
    <s v="GMP"/>
    <s v="Economy"/>
    <n v="145"/>
    <n v="581.36"/>
    <n v="2"/>
    <s v="On Time"/>
    <n v="84297.2"/>
    <s v="Sep"/>
    <n v="2025"/>
    <n v="84297.2"/>
    <s v="Minor Delay"/>
  </r>
  <r>
    <n v="394"/>
    <d v="2025-03-22T00:00:00"/>
    <x v="3"/>
    <x v="3"/>
    <s v="CJU"/>
    <s v="Premium Economy"/>
    <n v="252"/>
    <n v="533.05999999999995"/>
    <n v="0"/>
    <s v="On Time"/>
    <n v="134331.12"/>
    <s v="Mar"/>
    <n v="2025"/>
    <n v="134331.12"/>
    <s v="On Time"/>
  </r>
  <r>
    <n v="395"/>
    <d v="2025-12-29T00:00:00"/>
    <x v="5"/>
    <x v="3"/>
    <s v="CJU"/>
    <s v="Business"/>
    <n v="277"/>
    <n v="747.35"/>
    <n v="24"/>
    <s v="On Time"/>
    <n v="207015.95"/>
    <s v="Dec"/>
    <n v="2025"/>
    <n v="207015.95"/>
    <s v="Minor Delay"/>
  </r>
  <r>
    <n v="396"/>
    <d v="2025-06-07T00:00:00"/>
    <x v="3"/>
    <x v="7"/>
    <s v="MNL"/>
    <s v="Business"/>
    <n v="125"/>
    <n v="154.24"/>
    <n v="2"/>
    <s v="On Time"/>
    <n v="19280"/>
    <s v="Jun"/>
    <n v="2025"/>
    <n v="19280"/>
    <s v="Minor Delay"/>
  </r>
  <r>
    <n v="397"/>
    <d v="2025-04-04T00:00:00"/>
    <x v="5"/>
    <x v="1"/>
    <s v="ICN"/>
    <s v="Premium Economy"/>
    <n v="285"/>
    <n v="658.52"/>
    <n v="0"/>
    <s v="On Time"/>
    <n v="187678.2"/>
    <s v="Apr"/>
    <n v="2025"/>
    <n v="187678.19999999998"/>
    <s v="On Time"/>
  </r>
  <r>
    <n v="398"/>
    <d v="2025-06-19T00:00:00"/>
    <x v="3"/>
    <x v="8"/>
    <s v="CJU"/>
    <s v="Economy"/>
    <n v="110"/>
    <n v="316.64"/>
    <n v="0"/>
    <s v="On Time"/>
    <n v="34830.400000000001"/>
    <s v="Jun"/>
    <n v="2025"/>
    <n v="34830.400000000001"/>
    <s v="On Time"/>
  </r>
  <r>
    <n v="399"/>
    <d v="2025-08-17T00:00:00"/>
    <x v="1"/>
    <x v="0"/>
    <s v="BKK"/>
    <s v="Premium Economy"/>
    <n v="103"/>
    <n v="244.66"/>
    <n v="37"/>
    <s v="On Time"/>
    <n v="25199.98"/>
    <s v="Aug"/>
    <n v="2025"/>
    <n v="25199.98"/>
    <s v="Moderate Delay"/>
  </r>
  <r>
    <n v="400"/>
    <d v="2025-07-17T00:00:00"/>
    <x v="2"/>
    <x v="5"/>
    <s v="GMP"/>
    <s v="Business"/>
    <n v="157"/>
    <n v="777.14"/>
    <n v="27"/>
    <s v="Delayed"/>
    <n v="122010.98"/>
    <s v="Jul"/>
    <n v="2025"/>
    <n v="122010.98"/>
    <s v="Minor Delay"/>
  </r>
  <r>
    <n v="401"/>
    <d v="2025-06-29T00:00:00"/>
    <x v="5"/>
    <x v="8"/>
    <s v="BKK"/>
    <s v="Premium Economy"/>
    <n v="75"/>
    <n v="673.32"/>
    <n v="27"/>
    <s v="On Time"/>
    <n v="50499"/>
    <s v="Jun"/>
    <n v="2025"/>
    <n v="50499.000000000007"/>
    <s v="Minor Delay"/>
  </r>
  <r>
    <n v="402"/>
    <d v="2025-08-20T00:00:00"/>
    <x v="1"/>
    <x v="2"/>
    <s v="CJU"/>
    <s v="Economy"/>
    <n v="125"/>
    <n v="74.86"/>
    <n v="0"/>
    <s v="On Time"/>
    <n v="9357.5"/>
    <s v="Aug"/>
    <n v="2025"/>
    <n v="9357.5"/>
    <s v="On Time"/>
  </r>
  <r>
    <n v="403"/>
    <d v="2025-06-25T00:00:00"/>
    <x v="0"/>
    <x v="0"/>
    <s v="CJU"/>
    <s v="Premium Economy"/>
    <n v="91"/>
    <n v="601.66999999999996"/>
    <n v="0"/>
    <s v="On Time"/>
    <n v="54751.97"/>
    <s v="Jun"/>
    <n v="2025"/>
    <n v="54751.969999999994"/>
    <s v="On Time"/>
  </r>
  <r>
    <n v="404"/>
    <d v="2025-08-09T00:00:00"/>
    <x v="3"/>
    <x v="8"/>
    <s v="ICN"/>
    <s v="Economy"/>
    <n v="205"/>
    <n v="718.42"/>
    <n v="4"/>
    <s v="On Time"/>
    <n v="147276.1"/>
    <s v="Aug"/>
    <n v="2025"/>
    <n v="147276.1"/>
    <s v="Minor Delay"/>
  </r>
  <r>
    <n v="405"/>
    <d v="2025-04-16T00:00:00"/>
    <x v="0"/>
    <x v="0"/>
    <s v="BKK"/>
    <s v="Premium Economy"/>
    <n v="228"/>
    <n v="470.04"/>
    <n v="47"/>
    <s v="On Time"/>
    <n v="107169.12"/>
    <s v="Apr"/>
    <n v="2025"/>
    <n v="107169.12000000001"/>
    <s v="Moderate Delay"/>
  </r>
  <r>
    <n v="406"/>
    <d v="2025-02-19T00:00:00"/>
    <x v="1"/>
    <x v="4"/>
    <s v="PUS"/>
    <s v="Premium Economy"/>
    <n v="196"/>
    <n v="466.75"/>
    <n v="5"/>
    <s v="On Time"/>
    <n v="91483"/>
    <s v="Feb"/>
    <n v="2025"/>
    <n v="91483"/>
    <s v="Minor Delay"/>
  </r>
  <r>
    <n v="407"/>
    <d v="2025-01-02T00:00:00"/>
    <x v="2"/>
    <x v="5"/>
    <s v="BKK"/>
    <s v="Economy"/>
    <n v="125"/>
    <n v="669.68"/>
    <n v="0"/>
    <s v="On Time"/>
    <n v="83710"/>
    <s v="Jan"/>
    <n v="2025"/>
    <n v="83710"/>
    <s v="On Time"/>
  </r>
  <r>
    <n v="408"/>
    <d v="2025-11-23T00:00:00"/>
    <x v="4"/>
    <x v="2"/>
    <s v="CJU"/>
    <s v="Economy"/>
    <n v="171"/>
    <n v="684.39"/>
    <n v="0"/>
    <s v="On Time"/>
    <n v="117030.69"/>
    <s v="Nov"/>
    <n v="2025"/>
    <n v="117030.69"/>
    <s v="On Time"/>
  </r>
  <r>
    <n v="409"/>
    <d v="2025-09-08T00:00:00"/>
    <x v="3"/>
    <x v="1"/>
    <s v="SIN"/>
    <s v="Premium Economy"/>
    <n v="73"/>
    <n v="534.98"/>
    <n v="1"/>
    <s v="On Time"/>
    <n v="39053.54"/>
    <s v="Sep"/>
    <n v="2025"/>
    <n v="39053.54"/>
    <s v="Minor Delay"/>
  </r>
  <r>
    <n v="410"/>
    <d v="2025-01-23T00:00:00"/>
    <x v="4"/>
    <x v="7"/>
    <s v="SIN"/>
    <s v="Premium Economy"/>
    <n v="169"/>
    <n v="254.92"/>
    <n v="35"/>
    <s v="Delayed"/>
    <n v="43081.48"/>
    <s v="Jan"/>
    <n v="2025"/>
    <n v="43081.479999999996"/>
    <s v="Moderate Delay"/>
  </r>
  <r>
    <n v="411"/>
    <d v="2025-12-23T00:00:00"/>
    <x v="3"/>
    <x v="5"/>
    <s v="PUS"/>
    <s v="Economy"/>
    <n v="71"/>
    <n v="554.41999999999996"/>
    <n v="29"/>
    <s v="On Time"/>
    <n v="39363.82"/>
    <s v="Dec"/>
    <n v="2025"/>
    <n v="39363.82"/>
    <s v="Minor Delay"/>
  </r>
  <r>
    <n v="412"/>
    <d v="2025-07-18T00:00:00"/>
    <x v="5"/>
    <x v="2"/>
    <s v="ICN"/>
    <s v="Premium Economy"/>
    <n v="297"/>
    <n v="456.28"/>
    <n v="0"/>
    <s v="Delayed"/>
    <n v="135515.16"/>
    <s v="Jul"/>
    <n v="2025"/>
    <n v="135515.16"/>
    <s v="On Time"/>
  </r>
  <r>
    <n v="413"/>
    <d v="2025-09-01T00:00:00"/>
    <x v="4"/>
    <x v="8"/>
    <s v="PUS"/>
    <s v="Economy"/>
    <n v="151"/>
    <n v="728.06"/>
    <n v="13"/>
    <s v="Delayed"/>
    <n v="109937.06"/>
    <s v="Sep"/>
    <n v="2025"/>
    <n v="109937.06"/>
    <s v="Minor Delay"/>
  </r>
  <r>
    <n v="414"/>
    <d v="2025-08-18T00:00:00"/>
    <x v="0"/>
    <x v="7"/>
    <s v="GMP"/>
    <s v="Economy"/>
    <n v="298"/>
    <n v="216.8"/>
    <n v="0"/>
    <s v="On Time"/>
    <n v="64606.400000000001"/>
    <s v="Aug"/>
    <n v="2025"/>
    <n v="64606.400000000001"/>
    <s v="On Time"/>
  </r>
  <r>
    <n v="415"/>
    <d v="2025-02-10T00:00:00"/>
    <x v="3"/>
    <x v="5"/>
    <s v="MNL"/>
    <s v="Premium Economy"/>
    <n v="101"/>
    <n v="797.98"/>
    <n v="0"/>
    <s v="On Time"/>
    <n v="80595.98"/>
    <s v="Feb"/>
    <n v="2025"/>
    <n v="80595.98"/>
    <s v="On Time"/>
  </r>
  <r>
    <n v="416"/>
    <d v="2025-07-18T00:00:00"/>
    <x v="5"/>
    <x v="0"/>
    <s v="CJU"/>
    <s v="Premium Economy"/>
    <n v="191"/>
    <n v="301.33"/>
    <n v="0"/>
    <s v="On Time"/>
    <n v="57554.03"/>
    <s v="Jul"/>
    <n v="2025"/>
    <n v="57554.03"/>
    <s v="On Time"/>
  </r>
  <r>
    <n v="417"/>
    <d v="2025-12-25T00:00:00"/>
    <x v="5"/>
    <x v="8"/>
    <s v="ICN"/>
    <s v="Business"/>
    <n v="183"/>
    <n v="638.45000000000005"/>
    <n v="30"/>
    <s v="On Time"/>
    <n v="116836.35"/>
    <s v="Dec"/>
    <n v="2025"/>
    <n v="116836.35"/>
    <s v="Minor Delay"/>
  </r>
  <r>
    <n v="418"/>
    <d v="2025-10-16T00:00:00"/>
    <x v="1"/>
    <x v="0"/>
    <s v="CJU"/>
    <s v="Premium Economy"/>
    <n v="272"/>
    <n v="456.37"/>
    <n v="29"/>
    <s v="On Time"/>
    <n v="124132.64"/>
    <s v="Oct"/>
    <n v="2025"/>
    <n v="124132.64"/>
    <s v="Minor Delay"/>
  </r>
  <r>
    <n v="419"/>
    <d v="2025-07-16T00:00:00"/>
    <x v="3"/>
    <x v="1"/>
    <s v="NRT"/>
    <s v="Premium Economy"/>
    <n v="196"/>
    <n v="510.63"/>
    <n v="39"/>
    <s v="On Time"/>
    <n v="100083.48"/>
    <s v="Jul"/>
    <n v="2025"/>
    <n v="100083.48"/>
    <s v="Moderate Delay"/>
  </r>
  <r>
    <n v="420"/>
    <d v="2025-07-22T00:00:00"/>
    <x v="4"/>
    <x v="1"/>
    <s v="ICN"/>
    <s v="Business"/>
    <n v="110"/>
    <n v="96.48"/>
    <n v="24"/>
    <s v="On Time"/>
    <n v="10612.8"/>
    <s v="Jul"/>
    <n v="2025"/>
    <n v="10612.800000000001"/>
    <s v="Minor Delay"/>
  </r>
  <r>
    <n v="421"/>
    <d v="2025-01-11T00:00:00"/>
    <x v="4"/>
    <x v="4"/>
    <s v="BKK"/>
    <s v="Premium Economy"/>
    <n v="129"/>
    <n v="267.45999999999998"/>
    <n v="0"/>
    <s v="On Time"/>
    <n v="34502.339999999997"/>
    <s v="Jan"/>
    <n v="2025"/>
    <n v="34502.339999999997"/>
    <s v="On Time"/>
  </r>
  <r>
    <n v="422"/>
    <d v="2025-06-03T00:00:00"/>
    <x v="3"/>
    <x v="2"/>
    <s v="CJU"/>
    <s v="Premium Economy"/>
    <n v="248"/>
    <n v="671.11"/>
    <n v="22"/>
    <s v="On Time"/>
    <n v="166435.28"/>
    <s v="Jun"/>
    <n v="2025"/>
    <n v="166435.28"/>
    <s v="Minor Delay"/>
  </r>
  <r>
    <n v="423"/>
    <d v="2025-04-07T00:00:00"/>
    <x v="2"/>
    <x v="1"/>
    <s v="GMP"/>
    <s v="Economy"/>
    <n v="283"/>
    <n v="669.74"/>
    <n v="17"/>
    <s v="Delayed"/>
    <n v="189536.42"/>
    <s v="Apr"/>
    <n v="2025"/>
    <n v="189536.42"/>
    <s v="Minor Delay"/>
  </r>
  <r>
    <n v="424"/>
    <d v="2025-02-03T00:00:00"/>
    <x v="4"/>
    <x v="5"/>
    <s v="PUS"/>
    <s v="Business"/>
    <n v="179"/>
    <n v="358.51"/>
    <n v="0"/>
    <s v="On Time"/>
    <n v="64173.29"/>
    <s v="Feb"/>
    <n v="2025"/>
    <n v="64173.29"/>
    <s v="On Time"/>
  </r>
  <r>
    <n v="425"/>
    <d v="2025-03-30T00:00:00"/>
    <x v="0"/>
    <x v="6"/>
    <s v="ICN"/>
    <s v="Economy"/>
    <n v="264"/>
    <n v="102.64"/>
    <n v="27"/>
    <s v="On Time"/>
    <n v="27096.959999999999"/>
    <s v="Mar"/>
    <n v="2025"/>
    <n v="27096.959999999999"/>
    <s v="Minor Delay"/>
  </r>
  <r>
    <n v="426"/>
    <d v="2025-07-08T00:00:00"/>
    <x v="2"/>
    <x v="2"/>
    <s v="KIX"/>
    <s v="Business"/>
    <n v="151"/>
    <n v="530.20000000000005"/>
    <n v="21"/>
    <s v="On Time"/>
    <n v="80060.2"/>
    <s v="Jul"/>
    <n v="2025"/>
    <n v="80060.200000000012"/>
    <s v="Minor Delay"/>
  </r>
  <r>
    <n v="427"/>
    <d v="2025-07-10T00:00:00"/>
    <x v="2"/>
    <x v="5"/>
    <s v="NRT"/>
    <s v="Business"/>
    <n v="164"/>
    <n v="191.41"/>
    <n v="42"/>
    <s v="On Time"/>
    <n v="31391.24"/>
    <s v="Jul"/>
    <n v="2025"/>
    <n v="31391.239999999998"/>
    <s v="Moderate Delay"/>
  </r>
  <r>
    <n v="428"/>
    <d v="2025-12-19T00:00:00"/>
    <x v="1"/>
    <x v="7"/>
    <s v="KIX"/>
    <s v="Premium Economy"/>
    <n v="57"/>
    <n v="346.06"/>
    <n v="0"/>
    <s v="On Time"/>
    <n v="19725.419999999998"/>
    <s v="Dec"/>
    <n v="2025"/>
    <n v="19725.420000000002"/>
    <s v="On Time"/>
  </r>
  <r>
    <n v="429"/>
    <d v="2025-11-28T00:00:00"/>
    <x v="0"/>
    <x v="2"/>
    <s v="NRT"/>
    <s v="Business"/>
    <n v="102"/>
    <n v="259.12"/>
    <n v="15"/>
    <s v="On Time"/>
    <n v="26430.240000000002"/>
    <s v="Nov"/>
    <n v="2025"/>
    <n v="26430.240000000002"/>
    <s v="Minor Delay"/>
  </r>
  <r>
    <n v="430"/>
    <d v="2025-03-09T00:00:00"/>
    <x v="3"/>
    <x v="5"/>
    <s v="SIN"/>
    <s v="Economy"/>
    <n v="203"/>
    <n v="652.64"/>
    <n v="22"/>
    <s v="On Time"/>
    <n v="132485.92000000001"/>
    <s v="Mar"/>
    <n v="2025"/>
    <n v="132485.91999999998"/>
    <s v="Minor Delay"/>
  </r>
  <r>
    <n v="431"/>
    <d v="2025-08-05T00:00:00"/>
    <x v="2"/>
    <x v="4"/>
    <s v="KIX"/>
    <s v="Premium Economy"/>
    <n v="167"/>
    <n v="246.48"/>
    <n v="0"/>
    <s v="Delayed"/>
    <n v="41162.160000000003"/>
    <s v="Aug"/>
    <n v="2025"/>
    <n v="41162.159999999996"/>
    <s v="On Time"/>
  </r>
  <r>
    <n v="432"/>
    <d v="2025-01-04T00:00:00"/>
    <x v="5"/>
    <x v="1"/>
    <s v="GMP"/>
    <s v="Business"/>
    <n v="297"/>
    <n v="684.03"/>
    <n v="27"/>
    <s v="On Time"/>
    <n v="203156.91"/>
    <s v="Jan"/>
    <n v="2025"/>
    <n v="203156.91"/>
    <s v="Minor Delay"/>
  </r>
  <r>
    <n v="433"/>
    <d v="2025-12-17T00:00:00"/>
    <x v="1"/>
    <x v="4"/>
    <s v="KIX"/>
    <s v="Premium Economy"/>
    <n v="66"/>
    <n v="308.85000000000002"/>
    <n v="16"/>
    <s v="On Time"/>
    <n v="20384.099999999999"/>
    <s v="Dec"/>
    <n v="2025"/>
    <n v="20384.100000000002"/>
    <s v="Minor Delay"/>
  </r>
  <r>
    <n v="434"/>
    <d v="2025-03-18T00:00:00"/>
    <x v="5"/>
    <x v="4"/>
    <s v="PUS"/>
    <s v="Economy"/>
    <n v="280"/>
    <n v="102.01"/>
    <n v="41"/>
    <s v="Delayed"/>
    <n v="28562.799999999999"/>
    <s v="Mar"/>
    <n v="2025"/>
    <n v="28562.800000000003"/>
    <s v="Moderate Delay"/>
  </r>
  <r>
    <n v="435"/>
    <d v="2025-12-15T00:00:00"/>
    <x v="0"/>
    <x v="1"/>
    <s v="KIX"/>
    <s v="Business"/>
    <n v="56"/>
    <n v="545"/>
    <n v="39"/>
    <s v="On Time"/>
    <n v="30520"/>
    <s v="Dec"/>
    <n v="2025"/>
    <n v="30520"/>
    <s v="Moderate Delay"/>
  </r>
  <r>
    <n v="436"/>
    <d v="2025-10-26T00:00:00"/>
    <x v="3"/>
    <x v="1"/>
    <s v="ICN"/>
    <s v="Business"/>
    <n v="258"/>
    <n v="200.54"/>
    <n v="19"/>
    <s v="On Time"/>
    <n v="51739.32"/>
    <s v="Oct"/>
    <n v="2025"/>
    <n v="51739.32"/>
    <s v="Minor Delay"/>
  </r>
  <r>
    <n v="437"/>
    <d v="2025-12-10T00:00:00"/>
    <x v="4"/>
    <x v="2"/>
    <s v="SIN"/>
    <s v="Business"/>
    <n v="126"/>
    <n v="685.61"/>
    <n v="47"/>
    <s v="On Time"/>
    <n v="86386.86"/>
    <s v="Dec"/>
    <n v="2025"/>
    <n v="86386.86"/>
    <s v="Moderate Delay"/>
  </r>
  <r>
    <n v="438"/>
    <d v="2025-03-07T00:00:00"/>
    <x v="3"/>
    <x v="0"/>
    <s v="SIN"/>
    <s v="Premium Economy"/>
    <n v="235"/>
    <n v="658.17"/>
    <n v="0"/>
    <s v="On Time"/>
    <n v="154669.95000000001"/>
    <s v="Mar"/>
    <n v="2025"/>
    <n v="154669.94999999998"/>
    <s v="On Time"/>
  </r>
  <r>
    <n v="439"/>
    <d v="2025-12-02T00:00:00"/>
    <x v="1"/>
    <x v="7"/>
    <s v="BKK"/>
    <s v="Economy"/>
    <n v="140"/>
    <n v="225.26"/>
    <n v="38"/>
    <s v="Delayed"/>
    <n v="31536.400000000001"/>
    <s v="Dec"/>
    <n v="2025"/>
    <n v="31536.399999999998"/>
    <s v="Moderate Delay"/>
  </r>
  <r>
    <n v="440"/>
    <d v="2025-10-27T00:00:00"/>
    <x v="4"/>
    <x v="3"/>
    <s v="NRT"/>
    <s v="Premium Economy"/>
    <n v="267"/>
    <n v="147.16"/>
    <n v="1"/>
    <s v="On Time"/>
    <n v="39291.72"/>
    <s v="Oct"/>
    <n v="2025"/>
    <n v="39291.72"/>
    <s v="Minor Delay"/>
  </r>
  <r>
    <n v="441"/>
    <d v="2025-04-10T00:00:00"/>
    <x v="5"/>
    <x v="0"/>
    <s v="SIN"/>
    <s v="Economy"/>
    <n v="272"/>
    <n v="563.72"/>
    <n v="0"/>
    <s v="Delayed"/>
    <n v="153331.84"/>
    <s v="Apr"/>
    <n v="2025"/>
    <n v="153331.84"/>
    <s v="On Time"/>
  </r>
  <r>
    <n v="442"/>
    <d v="2025-04-13T00:00:00"/>
    <x v="4"/>
    <x v="7"/>
    <s v="PUS"/>
    <s v="Premium Economy"/>
    <n v="195"/>
    <n v="720.71"/>
    <n v="15"/>
    <s v="Cancelled"/>
    <n v="140538.45000000001"/>
    <s v="Apr"/>
    <n v="2025"/>
    <n v="140538.45000000001"/>
    <s v="Minor Delay"/>
  </r>
  <r>
    <n v="443"/>
    <d v="2025-04-03T00:00:00"/>
    <x v="1"/>
    <x v="7"/>
    <s v="BKK"/>
    <s v="Premium Economy"/>
    <n v="135"/>
    <n v="526.96"/>
    <n v="35"/>
    <s v="On Time"/>
    <n v="71139.600000000006"/>
    <s v="Apr"/>
    <n v="2025"/>
    <n v="71139.600000000006"/>
    <s v="Moderate Delay"/>
  </r>
  <r>
    <n v="444"/>
    <d v="2025-03-28T00:00:00"/>
    <x v="5"/>
    <x v="4"/>
    <s v="PUS"/>
    <s v="Economy"/>
    <n v="175"/>
    <n v="641.05999999999995"/>
    <n v="51"/>
    <s v="On Time"/>
    <n v="112185.5"/>
    <s v="Mar"/>
    <n v="2025"/>
    <n v="112185.49999999999"/>
    <s v="Moderate Delay"/>
  </r>
  <r>
    <n v="445"/>
    <d v="2025-11-21T00:00:00"/>
    <x v="2"/>
    <x v="7"/>
    <s v="MNL"/>
    <s v="Premium Economy"/>
    <n v="159"/>
    <n v="774.34"/>
    <n v="14"/>
    <s v="On Time"/>
    <n v="123120.06"/>
    <s v="Nov"/>
    <n v="2025"/>
    <n v="123120.06000000001"/>
    <s v="Minor Delay"/>
  </r>
  <r>
    <n v="446"/>
    <d v="2025-06-14T00:00:00"/>
    <x v="5"/>
    <x v="3"/>
    <s v="ICN"/>
    <s v="Economy"/>
    <n v="54"/>
    <n v="560.79"/>
    <n v="24"/>
    <s v="On Time"/>
    <n v="30282.66"/>
    <s v="Jun"/>
    <n v="2025"/>
    <n v="30282.659999999996"/>
    <s v="Minor Delay"/>
  </r>
  <r>
    <n v="447"/>
    <d v="2025-12-22T00:00:00"/>
    <x v="4"/>
    <x v="2"/>
    <s v="NRT"/>
    <s v="Premium Economy"/>
    <n v="83"/>
    <n v="136"/>
    <n v="0"/>
    <s v="On Time"/>
    <n v="11288"/>
    <s v="Dec"/>
    <n v="2025"/>
    <n v="11288"/>
    <s v="On Time"/>
  </r>
  <r>
    <n v="448"/>
    <d v="2025-05-29T00:00:00"/>
    <x v="2"/>
    <x v="5"/>
    <s v="KIX"/>
    <s v="Business"/>
    <n v="183"/>
    <n v="501.31"/>
    <n v="19"/>
    <s v="On Time"/>
    <n v="91739.73"/>
    <s v="May"/>
    <n v="2025"/>
    <n v="91739.73"/>
    <s v="Minor Delay"/>
  </r>
  <r>
    <n v="449"/>
    <d v="2025-09-08T00:00:00"/>
    <x v="4"/>
    <x v="7"/>
    <s v="BKK"/>
    <s v="Economy"/>
    <n v="92"/>
    <n v="761.58"/>
    <n v="42"/>
    <s v="On Time"/>
    <n v="70065.36"/>
    <s v="Sep"/>
    <n v="2025"/>
    <n v="70065.36"/>
    <s v="Moderate Delay"/>
  </r>
  <r>
    <n v="450"/>
    <d v="2025-01-12T00:00:00"/>
    <x v="5"/>
    <x v="7"/>
    <s v="NRT"/>
    <s v="Business"/>
    <n v="93"/>
    <n v="151.13999999999999"/>
    <n v="7"/>
    <s v="On Time"/>
    <n v="14056.02"/>
    <s v="Jan"/>
    <n v="2025"/>
    <n v="14056.019999999999"/>
    <s v="Minor Delay"/>
  </r>
  <r>
    <n v="451"/>
    <d v="2025-11-24T00:00:00"/>
    <x v="4"/>
    <x v="5"/>
    <s v="MNL"/>
    <s v="Business"/>
    <n v="209"/>
    <n v="95.95"/>
    <n v="56"/>
    <s v="On Time"/>
    <n v="20053.55"/>
    <s v="Nov"/>
    <n v="2025"/>
    <n v="20053.55"/>
    <s v="Moderate Delay"/>
  </r>
  <r>
    <n v="452"/>
    <d v="2025-12-20T00:00:00"/>
    <x v="1"/>
    <x v="5"/>
    <s v="GMP"/>
    <s v="Premium Economy"/>
    <n v="163"/>
    <n v="341.39"/>
    <n v="18"/>
    <s v="On Time"/>
    <n v="55646.57"/>
    <s v="Dec"/>
    <n v="2025"/>
    <n v="55646.57"/>
    <s v="Minor Delay"/>
  </r>
  <r>
    <n v="453"/>
    <d v="2025-04-16T00:00:00"/>
    <x v="3"/>
    <x v="8"/>
    <s v="CJU"/>
    <s v="Business"/>
    <n v="211"/>
    <n v="66.89"/>
    <n v="9"/>
    <s v="On Time"/>
    <n v="14113.79"/>
    <s v="Apr"/>
    <n v="2025"/>
    <n v="14113.79"/>
    <s v="Minor Delay"/>
  </r>
  <r>
    <n v="454"/>
    <d v="2025-02-23T00:00:00"/>
    <x v="5"/>
    <x v="7"/>
    <s v="MNL"/>
    <s v="Business"/>
    <n v="208"/>
    <n v="147.12"/>
    <n v="25"/>
    <s v="On Time"/>
    <n v="30600.959999999999"/>
    <s v="Feb"/>
    <n v="2025"/>
    <n v="30600.959999999999"/>
    <s v="Minor Delay"/>
  </r>
  <r>
    <n v="455"/>
    <d v="2025-04-12T00:00:00"/>
    <x v="5"/>
    <x v="0"/>
    <s v="SIN"/>
    <s v="Economy"/>
    <n v="249"/>
    <n v="254.62"/>
    <n v="3"/>
    <s v="On Time"/>
    <n v="63400.38"/>
    <s v="Apr"/>
    <n v="2025"/>
    <n v="63400.380000000005"/>
    <s v="Minor Delay"/>
  </r>
  <r>
    <n v="456"/>
    <d v="2025-01-21T00:00:00"/>
    <x v="5"/>
    <x v="4"/>
    <s v="CJU"/>
    <s v="Premium Economy"/>
    <n v="283"/>
    <n v="213.69"/>
    <n v="17"/>
    <s v="Delayed"/>
    <n v="60474.27"/>
    <s v="Jan"/>
    <n v="2025"/>
    <n v="60474.27"/>
    <s v="Minor Delay"/>
  </r>
  <r>
    <n v="457"/>
    <d v="2025-01-02T00:00:00"/>
    <x v="1"/>
    <x v="3"/>
    <s v="PUS"/>
    <s v="Business"/>
    <n v="72"/>
    <n v="731.09"/>
    <n v="38"/>
    <s v="On Time"/>
    <n v="52638.48"/>
    <s v="Jan"/>
    <n v="2025"/>
    <n v="52638.48"/>
    <s v="Moderate Delay"/>
  </r>
  <r>
    <n v="458"/>
    <d v="2025-02-21T00:00:00"/>
    <x v="4"/>
    <x v="0"/>
    <s v="CJU"/>
    <s v="Business"/>
    <n v="109"/>
    <n v="398"/>
    <n v="0"/>
    <s v="Delayed"/>
    <n v="43382"/>
    <s v="Feb"/>
    <n v="2025"/>
    <n v="43382"/>
    <s v="On Time"/>
  </r>
  <r>
    <n v="459"/>
    <d v="2025-01-26T00:00:00"/>
    <x v="1"/>
    <x v="4"/>
    <s v="SIN"/>
    <s v="Economy"/>
    <n v="273"/>
    <n v="89.19"/>
    <n v="8"/>
    <s v="On Time"/>
    <n v="24348.87"/>
    <s v="Jan"/>
    <n v="2025"/>
    <n v="24348.87"/>
    <s v="Minor Delay"/>
  </r>
  <r>
    <n v="460"/>
    <d v="2025-01-24T00:00:00"/>
    <x v="1"/>
    <x v="0"/>
    <s v="CJU"/>
    <s v="Economy"/>
    <n v="219"/>
    <n v="538.92999999999995"/>
    <n v="63"/>
    <s v="On Time"/>
    <n v="118025.67"/>
    <s v="Jan"/>
    <n v="2025"/>
    <n v="118025.66999999998"/>
    <s v="Major Delay"/>
  </r>
  <r>
    <n v="461"/>
    <d v="2025-02-17T00:00:00"/>
    <x v="4"/>
    <x v="8"/>
    <s v="NRT"/>
    <s v="Premium Economy"/>
    <n v="96"/>
    <n v="144.24"/>
    <n v="0"/>
    <s v="Delayed"/>
    <n v="13847.04"/>
    <s v="Feb"/>
    <n v="2025"/>
    <n v="13847.04"/>
    <s v="On Time"/>
  </r>
  <r>
    <n v="462"/>
    <d v="2025-11-29T00:00:00"/>
    <x v="0"/>
    <x v="8"/>
    <s v="BKK"/>
    <s v="Economy"/>
    <n v="83"/>
    <n v="575.16999999999996"/>
    <n v="36"/>
    <s v="On Time"/>
    <n v="47739.11"/>
    <s v="Nov"/>
    <n v="2025"/>
    <n v="47739.109999999993"/>
    <s v="Moderate Delay"/>
  </r>
  <r>
    <n v="463"/>
    <d v="2025-08-02T00:00:00"/>
    <x v="5"/>
    <x v="7"/>
    <s v="GMP"/>
    <s v="Premium Economy"/>
    <n v="255"/>
    <n v="481.02"/>
    <n v="0"/>
    <s v="On Time"/>
    <n v="122660.1"/>
    <s v="Aug"/>
    <n v="2025"/>
    <n v="122660.09999999999"/>
    <s v="On Time"/>
  </r>
  <r>
    <n v="464"/>
    <d v="2025-09-05T00:00:00"/>
    <x v="2"/>
    <x v="5"/>
    <s v="PUS"/>
    <s v="Economy"/>
    <n v="277"/>
    <n v="364.35"/>
    <n v="33"/>
    <s v="On Time"/>
    <n v="100924.95"/>
    <s v="Sep"/>
    <n v="2025"/>
    <n v="100924.95000000001"/>
    <s v="Moderate Delay"/>
  </r>
  <r>
    <n v="465"/>
    <d v="2025-01-07T00:00:00"/>
    <x v="3"/>
    <x v="4"/>
    <s v="BKK"/>
    <s v="Business"/>
    <n v="184"/>
    <n v="627.97"/>
    <n v="0"/>
    <s v="Delayed"/>
    <n v="115546.48"/>
    <s v="Jan"/>
    <n v="2025"/>
    <n v="115546.48000000001"/>
    <s v="On Time"/>
  </r>
  <r>
    <n v="466"/>
    <d v="2025-08-10T00:00:00"/>
    <x v="3"/>
    <x v="3"/>
    <s v="GMP"/>
    <s v="Business"/>
    <n v="113"/>
    <n v="416.63"/>
    <n v="5"/>
    <s v="On Time"/>
    <n v="47079.19"/>
    <s v="Aug"/>
    <n v="2025"/>
    <n v="47079.19"/>
    <s v="Minor Delay"/>
  </r>
  <r>
    <n v="467"/>
    <d v="2025-10-13T00:00:00"/>
    <x v="5"/>
    <x v="1"/>
    <s v="CJU"/>
    <s v="Economy"/>
    <n v="52"/>
    <n v="536.12"/>
    <n v="46"/>
    <s v="Delayed"/>
    <n v="27878.240000000002"/>
    <s v="Oct"/>
    <n v="2025"/>
    <n v="27878.240000000002"/>
    <s v="Moderate Delay"/>
  </r>
  <r>
    <n v="468"/>
    <d v="2025-09-09T00:00:00"/>
    <x v="4"/>
    <x v="7"/>
    <s v="GMP"/>
    <s v="Economy"/>
    <n v="134"/>
    <n v="777.91"/>
    <n v="60"/>
    <s v="On Time"/>
    <n v="104239.94"/>
    <s v="Sep"/>
    <n v="2025"/>
    <n v="104239.94"/>
    <s v="Moderate Delay"/>
  </r>
  <r>
    <n v="469"/>
    <d v="2025-07-26T00:00:00"/>
    <x v="0"/>
    <x v="2"/>
    <s v="MNL"/>
    <s v="Economy"/>
    <n v="167"/>
    <n v="388.7"/>
    <n v="10"/>
    <s v="On Time"/>
    <n v="64912.9"/>
    <s v="Jul"/>
    <n v="2025"/>
    <n v="64912.9"/>
    <s v="Minor Delay"/>
  </r>
  <r>
    <n v="470"/>
    <d v="2025-09-12T00:00:00"/>
    <x v="3"/>
    <x v="3"/>
    <s v="GMP"/>
    <s v="Business"/>
    <n v="54"/>
    <n v="135.96"/>
    <n v="15"/>
    <s v="On Time"/>
    <n v="7341.84"/>
    <s v="Sep"/>
    <n v="2025"/>
    <n v="7341.84"/>
    <s v="Minor Delay"/>
  </r>
  <r>
    <n v="471"/>
    <d v="2025-02-16T00:00:00"/>
    <x v="5"/>
    <x v="6"/>
    <s v="ICN"/>
    <s v="Business"/>
    <n v="213"/>
    <n v="285.39999999999998"/>
    <n v="3"/>
    <s v="On Time"/>
    <n v="60790.2"/>
    <s v="Feb"/>
    <n v="2025"/>
    <n v="60790.2"/>
    <s v="Minor Delay"/>
  </r>
  <r>
    <n v="472"/>
    <d v="2025-01-28T00:00:00"/>
    <x v="0"/>
    <x v="3"/>
    <s v="BKK"/>
    <s v="Premium Economy"/>
    <n v="134"/>
    <n v="474.51"/>
    <n v="19"/>
    <s v="On Time"/>
    <n v="63584.34"/>
    <s v="Jan"/>
    <n v="2025"/>
    <n v="63584.34"/>
    <s v="Minor Delay"/>
  </r>
  <r>
    <n v="473"/>
    <d v="2025-08-20T00:00:00"/>
    <x v="1"/>
    <x v="8"/>
    <s v="KIX"/>
    <s v="Economy"/>
    <n v="244"/>
    <n v="547.59"/>
    <n v="43"/>
    <s v="On Time"/>
    <n v="133611.96"/>
    <s v="Aug"/>
    <n v="2025"/>
    <n v="133611.96000000002"/>
    <s v="Moderate Delay"/>
  </r>
  <r>
    <n v="474"/>
    <d v="2025-12-26T00:00:00"/>
    <x v="1"/>
    <x v="4"/>
    <s v="BKK"/>
    <s v="Economy"/>
    <n v="279"/>
    <n v="181.47"/>
    <n v="20"/>
    <s v="On Time"/>
    <n v="50630.13"/>
    <s v="Dec"/>
    <n v="2025"/>
    <n v="50630.13"/>
    <s v="Minor Delay"/>
  </r>
  <r>
    <n v="475"/>
    <d v="2025-05-11T00:00:00"/>
    <x v="5"/>
    <x v="1"/>
    <s v="GMP"/>
    <s v="Economy"/>
    <n v="98"/>
    <n v="149.35"/>
    <n v="30"/>
    <s v="Delayed"/>
    <n v="14636.3"/>
    <s v="May"/>
    <n v="2025"/>
    <n v="14636.3"/>
    <s v="Minor Delay"/>
  </r>
  <r>
    <n v="476"/>
    <d v="2025-02-25T00:00:00"/>
    <x v="2"/>
    <x v="2"/>
    <s v="BKK"/>
    <s v="Economy"/>
    <n v="287"/>
    <n v="528.6"/>
    <n v="6"/>
    <s v="On Time"/>
    <n v="151708.20000000001"/>
    <s v="Feb"/>
    <n v="2025"/>
    <n v="151708.20000000001"/>
    <s v="Minor Delay"/>
  </r>
  <r>
    <n v="477"/>
    <d v="2025-08-23T00:00:00"/>
    <x v="3"/>
    <x v="0"/>
    <s v="SIN"/>
    <s v="Business"/>
    <n v="294"/>
    <n v="433.11"/>
    <n v="22"/>
    <s v="On Time"/>
    <n v="127334.34"/>
    <s v="Aug"/>
    <n v="2025"/>
    <n v="127334.34000000001"/>
    <s v="Minor Delay"/>
  </r>
  <r>
    <n v="478"/>
    <d v="2025-10-27T00:00:00"/>
    <x v="2"/>
    <x v="6"/>
    <s v="BKK"/>
    <s v="Business"/>
    <n v="249"/>
    <n v="741.66"/>
    <n v="19"/>
    <s v="On Time"/>
    <n v="184673.34"/>
    <s v="Oct"/>
    <n v="2025"/>
    <n v="184673.34"/>
    <s v="Minor Delay"/>
  </r>
  <r>
    <n v="479"/>
    <d v="2025-02-23T00:00:00"/>
    <x v="2"/>
    <x v="7"/>
    <s v="PUS"/>
    <s v="Business"/>
    <n v="203"/>
    <n v="508.56"/>
    <n v="0"/>
    <s v="On Time"/>
    <n v="103237.68"/>
    <s v="Feb"/>
    <n v="2025"/>
    <n v="103237.68000000001"/>
    <s v="On Time"/>
  </r>
  <r>
    <n v="480"/>
    <d v="2025-07-23T00:00:00"/>
    <x v="4"/>
    <x v="2"/>
    <s v="KIX"/>
    <s v="Premium Economy"/>
    <n v="165"/>
    <n v="655.55"/>
    <n v="66"/>
    <s v="On Time"/>
    <n v="108165.75"/>
    <s v="Jul"/>
    <n v="2025"/>
    <n v="108165.74999999999"/>
    <s v="Major Delay"/>
  </r>
  <r>
    <n v="481"/>
    <d v="2025-12-26T00:00:00"/>
    <x v="5"/>
    <x v="6"/>
    <s v="NRT"/>
    <s v="Premium Economy"/>
    <n v="232"/>
    <n v="605.25"/>
    <n v="3"/>
    <s v="On Time"/>
    <n v="140418"/>
    <s v="Dec"/>
    <n v="2025"/>
    <n v="140418"/>
    <s v="Minor Delay"/>
  </r>
  <r>
    <n v="482"/>
    <d v="2025-12-11T00:00:00"/>
    <x v="0"/>
    <x v="4"/>
    <s v="BKK"/>
    <s v="Business"/>
    <n v="216"/>
    <n v="781.63"/>
    <n v="14"/>
    <s v="On Time"/>
    <n v="168832.08"/>
    <s v="Dec"/>
    <n v="2025"/>
    <n v="168832.08"/>
    <s v="Minor Delay"/>
  </r>
  <r>
    <n v="483"/>
    <d v="2025-12-30T00:00:00"/>
    <x v="1"/>
    <x v="6"/>
    <s v="KIX"/>
    <s v="Premium Economy"/>
    <n v="193"/>
    <n v="415.47"/>
    <n v="0"/>
    <s v="On Time"/>
    <n v="80185.710000000006"/>
    <s v="Dec"/>
    <n v="2025"/>
    <n v="80185.710000000006"/>
    <s v="On Time"/>
  </r>
  <r>
    <n v="484"/>
    <d v="2025-08-05T00:00:00"/>
    <x v="1"/>
    <x v="6"/>
    <s v="NRT"/>
    <s v="Business"/>
    <n v="77"/>
    <n v="78.7"/>
    <n v="4"/>
    <s v="On Time"/>
    <n v="6059.9"/>
    <s v="Aug"/>
    <n v="2025"/>
    <n v="6059.9000000000005"/>
    <s v="Minor Delay"/>
  </r>
  <r>
    <n v="485"/>
    <d v="2025-05-17T00:00:00"/>
    <x v="0"/>
    <x v="5"/>
    <s v="NRT"/>
    <s v="Premium Economy"/>
    <n v="224"/>
    <n v="245.42"/>
    <n v="40"/>
    <s v="On Time"/>
    <n v="54974.080000000002"/>
    <s v="May"/>
    <n v="2025"/>
    <n v="54974.079999999994"/>
    <s v="Moderate Delay"/>
  </r>
  <r>
    <n v="486"/>
    <d v="2025-07-03T00:00:00"/>
    <x v="2"/>
    <x v="6"/>
    <s v="ICN"/>
    <s v="Economy"/>
    <n v="207"/>
    <n v="702.35"/>
    <n v="0"/>
    <s v="On Time"/>
    <n v="145386.45000000001"/>
    <s v="Jul"/>
    <n v="2025"/>
    <n v="145386.45000000001"/>
    <s v="On Time"/>
  </r>
  <r>
    <n v="487"/>
    <d v="2025-05-02T00:00:00"/>
    <x v="5"/>
    <x v="2"/>
    <s v="MNL"/>
    <s v="Business"/>
    <n v="123"/>
    <n v="572.77"/>
    <n v="43"/>
    <s v="On Time"/>
    <n v="70450.710000000006"/>
    <s v="May"/>
    <n v="2025"/>
    <n v="70450.709999999992"/>
    <s v="Moderate Delay"/>
  </r>
  <r>
    <n v="488"/>
    <d v="2025-01-07T00:00:00"/>
    <x v="3"/>
    <x v="3"/>
    <s v="ICN"/>
    <s v="Premium Economy"/>
    <n v="101"/>
    <n v="519.22"/>
    <n v="27"/>
    <s v="On Time"/>
    <n v="52441.22"/>
    <s v="Jan"/>
    <n v="2025"/>
    <n v="52441.22"/>
    <s v="Minor Delay"/>
  </r>
  <r>
    <n v="489"/>
    <d v="2025-11-21T00:00:00"/>
    <x v="3"/>
    <x v="8"/>
    <s v="PUS"/>
    <s v="Business"/>
    <n v="215"/>
    <n v="332.13"/>
    <n v="0"/>
    <s v="On Time"/>
    <n v="71407.95"/>
    <s v="Nov"/>
    <n v="2025"/>
    <n v="71407.95"/>
    <s v="On Time"/>
  </r>
  <r>
    <n v="490"/>
    <d v="2025-08-18T00:00:00"/>
    <x v="0"/>
    <x v="2"/>
    <s v="KIX"/>
    <s v="Business"/>
    <n v="69"/>
    <n v="198.36"/>
    <n v="0"/>
    <s v="On Time"/>
    <n v="13686.84"/>
    <s v="Aug"/>
    <n v="2025"/>
    <n v="13686.84"/>
    <s v="On Time"/>
  </r>
  <r>
    <n v="491"/>
    <d v="2025-07-13T00:00:00"/>
    <x v="1"/>
    <x v="6"/>
    <s v="GMP"/>
    <s v="Premium Economy"/>
    <n v="121"/>
    <n v="471.88"/>
    <n v="42"/>
    <s v="On Time"/>
    <n v="57097.48"/>
    <s v="Jul"/>
    <n v="2025"/>
    <n v="57097.479999999996"/>
    <s v="Moderate Delay"/>
  </r>
  <r>
    <n v="492"/>
    <d v="2025-12-30T00:00:00"/>
    <x v="0"/>
    <x v="3"/>
    <s v="SIN"/>
    <s v="Economy"/>
    <n v="89"/>
    <n v="747.18"/>
    <n v="44"/>
    <s v="On Time"/>
    <n v="66499.02"/>
    <s v="Dec"/>
    <n v="2025"/>
    <n v="66499.01999999999"/>
    <s v="Moderate Delay"/>
  </r>
  <r>
    <n v="493"/>
    <d v="2025-10-21T00:00:00"/>
    <x v="5"/>
    <x v="4"/>
    <s v="SIN"/>
    <s v="Premium Economy"/>
    <n v="68"/>
    <n v="640.17999999999995"/>
    <n v="12"/>
    <s v="On Time"/>
    <n v="43532.24"/>
    <s v="Oct"/>
    <n v="2025"/>
    <n v="43532.24"/>
    <s v="Minor Delay"/>
  </r>
  <r>
    <n v="494"/>
    <d v="2025-08-01T00:00:00"/>
    <x v="5"/>
    <x v="0"/>
    <s v="PUS"/>
    <s v="Business"/>
    <n v="153"/>
    <n v="128.04"/>
    <n v="36"/>
    <s v="On Time"/>
    <n v="19590.12"/>
    <s v="Aug"/>
    <n v="2025"/>
    <n v="19590.12"/>
    <s v="Moderate Delay"/>
  </r>
  <r>
    <n v="495"/>
    <d v="2025-06-19T00:00:00"/>
    <x v="4"/>
    <x v="2"/>
    <s v="BKK"/>
    <s v="Premium Economy"/>
    <n v="105"/>
    <n v="763.23"/>
    <n v="0"/>
    <s v="On Time"/>
    <n v="80139.149999999994"/>
    <s v="Jun"/>
    <n v="2025"/>
    <n v="80139.150000000009"/>
    <s v="On Time"/>
  </r>
  <r>
    <n v="496"/>
    <d v="2025-12-09T00:00:00"/>
    <x v="4"/>
    <x v="5"/>
    <s v="CJU"/>
    <s v="Premium Economy"/>
    <n v="111"/>
    <n v="729.33"/>
    <n v="0"/>
    <s v="On Time"/>
    <n v="80955.63"/>
    <s v="Dec"/>
    <n v="2025"/>
    <n v="80955.63"/>
    <s v="On Time"/>
  </r>
  <r>
    <n v="497"/>
    <d v="2025-12-16T00:00:00"/>
    <x v="4"/>
    <x v="2"/>
    <s v="ICN"/>
    <s v="Premium Economy"/>
    <n v="284"/>
    <n v="649.19000000000005"/>
    <n v="34"/>
    <s v="On Time"/>
    <n v="184369.96"/>
    <s v="Dec"/>
    <n v="2025"/>
    <n v="184369.96000000002"/>
    <s v="Moderate Delay"/>
  </r>
  <r>
    <n v="498"/>
    <d v="2025-09-21T00:00:00"/>
    <x v="5"/>
    <x v="5"/>
    <s v="BKK"/>
    <s v="Premium Economy"/>
    <n v="174"/>
    <n v="92.45"/>
    <n v="32"/>
    <s v="Delayed"/>
    <n v="16086.3"/>
    <s v="Sep"/>
    <n v="2025"/>
    <n v="16086.300000000001"/>
    <s v="Moderate Delay"/>
  </r>
  <r>
    <n v="499"/>
    <d v="2025-09-21T00:00:00"/>
    <x v="1"/>
    <x v="2"/>
    <s v="BKK"/>
    <s v="Economy"/>
    <n v="92"/>
    <n v="779.01"/>
    <n v="24"/>
    <s v="On Time"/>
    <n v="71668.92"/>
    <s v="Sep"/>
    <n v="2025"/>
    <n v="71668.92"/>
    <s v="Minor Delay"/>
  </r>
  <r>
    <n v="500"/>
    <d v="2025-12-17T00:00:00"/>
    <x v="2"/>
    <x v="2"/>
    <s v="NRT"/>
    <s v="Economy"/>
    <n v="102"/>
    <n v="457.94"/>
    <n v="0"/>
    <s v="On Time"/>
    <n v="46709.88"/>
    <s v="Dec"/>
    <n v="2025"/>
    <n v="46709.88"/>
    <s v="On Time"/>
  </r>
  <r>
    <n v="501"/>
    <d v="2025-12-18T00:00:00"/>
    <x v="0"/>
    <x v="1"/>
    <s v="GMP"/>
    <s v="Economy"/>
    <n v="167"/>
    <n v="590.48"/>
    <n v="29"/>
    <s v="On Time"/>
    <n v="98610.16"/>
    <s v="Dec"/>
    <n v="2025"/>
    <n v="98610.16"/>
    <s v="Minor Delay"/>
  </r>
  <r>
    <n v="502"/>
    <d v="2025-10-22T00:00:00"/>
    <x v="0"/>
    <x v="4"/>
    <s v="GMP"/>
    <s v="Premium Economy"/>
    <n v="154"/>
    <n v="347.14"/>
    <n v="22"/>
    <s v="On Time"/>
    <n v="53459.56"/>
    <s v="Oct"/>
    <n v="2025"/>
    <n v="53459.56"/>
    <s v="Minor Delay"/>
  </r>
  <r>
    <n v="503"/>
    <d v="2025-01-09T00:00:00"/>
    <x v="2"/>
    <x v="1"/>
    <s v="KIX"/>
    <s v="Business"/>
    <n v="80"/>
    <n v="455.78"/>
    <n v="0"/>
    <s v="On Time"/>
    <n v="36462.400000000001"/>
    <s v="Jan"/>
    <n v="2025"/>
    <n v="36462.399999999994"/>
    <s v="On Time"/>
  </r>
  <r>
    <n v="504"/>
    <d v="2025-07-03T00:00:00"/>
    <x v="5"/>
    <x v="5"/>
    <s v="CJU"/>
    <s v="Economy"/>
    <n v="124"/>
    <n v="642.29999999999995"/>
    <n v="0"/>
    <s v="On Time"/>
    <n v="79645.2"/>
    <s v="Jul"/>
    <n v="2025"/>
    <n v="79645.2"/>
    <s v="On Time"/>
  </r>
  <r>
    <n v="505"/>
    <d v="2025-08-13T00:00:00"/>
    <x v="2"/>
    <x v="0"/>
    <s v="KIX"/>
    <s v="Premium Economy"/>
    <n v="260"/>
    <n v="548.94000000000005"/>
    <n v="0"/>
    <s v="On Time"/>
    <n v="142724.4"/>
    <s v="Aug"/>
    <n v="2025"/>
    <n v="142724.40000000002"/>
    <s v="On Time"/>
  </r>
  <r>
    <n v="506"/>
    <d v="2025-11-21T00:00:00"/>
    <x v="0"/>
    <x v="1"/>
    <s v="NRT"/>
    <s v="Premium Economy"/>
    <n v="223"/>
    <n v="716.36"/>
    <n v="25"/>
    <s v="Delayed"/>
    <n v="159748.28"/>
    <s v="Nov"/>
    <n v="2025"/>
    <n v="159748.28"/>
    <s v="Minor Delay"/>
  </r>
  <r>
    <n v="507"/>
    <d v="2025-10-11T00:00:00"/>
    <x v="5"/>
    <x v="3"/>
    <s v="ICN"/>
    <s v="Economy"/>
    <n v="81"/>
    <n v="90.91"/>
    <n v="0"/>
    <s v="On Time"/>
    <n v="7363.71"/>
    <s v="Oct"/>
    <n v="2025"/>
    <n v="7363.71"/>
    <s v="On Time"/>
  </r>
  <r>
    <n v="508"/>
    <d v="2025-04-18T00:00:00"/>
    <x v="3"/>
    <x v="0"/>
    <s v="KIX"/>
    <s v="Business"/>
    <n v="281"/>
    <n v="597.19000000000005"/>
    <n v="8"/>
    <s v="On Time"/>
    <n v="167810.39"/>
    <s v="Apr"/>
    <n v="2025"/>
    <n v="167810.39"/>
    <s v="Minor Delay"/>
  </r>
  <r>
    <n v="509"/>
    <d v="2025-03-24T00:00:00"/>
    <x v="0"/>
    <x v="6"/>
    <s v="CJU"/>
    <s v="Economy"/>
    <n v="207"/>
    <n v="677.71"/>
    <n v="25"/>
    <s v="On Time"/>
    <n v="140285.97"/>
    <s v="Mar"/>
    <n v="2025"/>
    <n v="140285.97"/>
    <s v="Minor Delay"/>
  </r>
  <r>
    <n v="510"/>
    <d v="2025-11-27T00:00:00"/>
    <x v="5"/>
    <x v="5"/>
    <s v="SIN"/>
    <s v="Economy"/>
    <n v="124"/>
    <n v="557.04999999999995"/>
    <n v="34"/>
    <s v="On Time"/>
    <n v="69074.2"/>
    <s v="Nov"/>
    <n v="2025"/>
    <n v="69074.2"/>
    <s v="Moderate Delay"/>
  </r>
  <r>
    <n v="511"/>
    <d v="2025-06-19T00:00:00"/>
    <x v="4"/>
    <x v="2"/>
    <s v="SIN"/>
    <s v="Economy"/>
    <n v="221"/>
    <n v="545.04999999999995"/>
    <n v="48"/>
    <s v="Delayed"/>
    <n v="120456.05"/>
    <s v="Jun"/>
    <n v="2025"/>
    <n v="120456.04999999999"/>
    <s v="Moderate Delay"/>
  </r>
  <r>
    <n v="512"/>
    <d v="2025-08-19T00:00:00"/>
    <x v="4"/>
    <x v="3"/>
    <s v="SIN"/>
    <s v="Business"/>
    <n v="218"/>
    <n v="286.2"/>
    <n v="40"/>
    <s v="On Time"/>
    <n v="62391.6"/>
    <s v="Aug"/>
    <n v="2025"/>
    <n v="62391.6"/>
    <s v="Moderate Delay"/>
  </r>
  <r>
    <n v="513"/>
    <d v="2025-08-08T00:00:00"/>
    <x v="0"/>
    <x v="3"/>
    <s v="BKK"/>
    <s v="Economy"/>
    <n v="130"/>
    <n v="242.17"/>
    <n v="27"/>
    <s v="On Time"/>
    <n v="31482.1"/>
    <s v="Aug"/>
    <n v="2025"/>
    <n v="31482.1"/>
    <s v="Minor Delay"/>
  </r>
  <r>
    <n v="514"/>
    <d v="2025-12-14T00:00:00"/>
    <x v="3"/>
    <x v="3"/>
    <s v="CJU"/>
    <s v="Premium Economy"/>
    <n v="274"/>
    <n v="415.17"/>
    <n v="60"/>
    <s v="On Time"/>
    <n v="113756.58"/>
    <s v="Dec"/>
    <n v="2025"/>
    <n v="113756.58"/>
    <s v="Moderate Delay"/>
  </r>
  <r>
    <n v="515"/>
    <d v="2025-10-10T00:00:00"/>
    <x v="1"/>
    <x v="4"/>
    <s v="SIN"/>
    <s v="Economy"/>
    <n v="215"/>
    <n v="508.9"/>
    <n v="46"/>
    <s v="On Time"/>
    <n v="109413.5"/>
    <s v="Oct"/>
    <n v="2025"/>
    <n v="109413.5"/>
    <s v="Moderate Delay"/>
  </r>
  <r>
    <n v="516"/>
    <d v="2025-05-15T00:00:00"/>
    <x v="3"/>
    <x v="6"/>
    <s v="PUS"/>
    <s v="Business"/>
    <n v="69"/>
    <n v="598.29"/>
    <n v="0"/>
    <s v="Delayed"/>
    <n v="41282.01"/>
    <s v="May"/>
    <n v="2025"/>
    <n v="41282.009999999995"/>
    <s v="On Time"/>
  </r>
  <r>
    <n v="517"/>
    <d v="2025-10-25T00:00:00"/>
    <x v="5"/>
    <x v="6"/>
    <s v="ICN"/>
    <s v="Premium Economy"/>
    <n v="246"/>
    <n v="496.63"/>
    <n v="46"/>
    <s v="On Time"/>
    <n v="122170.98"/>
    <s v="Oct"/>
    <n v="2025"/>
    <n v="122170.98"/>
    <s v="Moderate Delay"/>
  </r>
  <r>
    <n v="518"/>
    <d v="2025-12-01T00:00:00"/>
    <x v="0"/>
    <x v="6"/>
    <s v="MNL"/>
    <s v="Premium Economy"/>
    <n v="150"/>
    <n v="225.25"/>
    <n v="2"/>
    <s v="On Time"/>
    <n v="33787.5"/>
    <s v="Dec"/>
    <n v="2025"/>
    <n v="33787.5"/>
    <s v="Minor Delay"/>
  </r>
  <r>
    <n v="519"/>
    <d v="2025-08-26T00:00:00"/>
    <x v="5"/>
    <x v="4"/>
    <s v="CJU"/>
    <s v="Business"/>
    <n v="73"/>
    <n v="353.62"/>
    <n v="0"/>
    <s v="Delayed"/>
    <n v="25814.26"/>
    <s v="Aug"/>
    <n v="2025"/>
    <n v="25814.260000000002"/>
    <s v="On Time"/>
  </r>
  <r>
    <n v="520"/>
    <d v="2025-08-17T00:00:00"/>
    <x v="0"/>
    <x v="7"/>
    <s v="PUS"/>
    <s v="Economy"/>
    <n v="194"/>
    <n v="762.05"/>
    <n v="19"/>
    <s v="On Time"/>
    <n v="147837.70000000001"/>
    <s v="Aug"/>
    <n v="2025"/>
    <n v="147837.69999999998"/>
    <s v="Minor Delay"/>
  </r>
  <r>
    <n v="521"/>
    <d v="2025-07-03T00:00:00"/>
    <x v="1"/>
    <x v="7"/>
    <s v="SIN"/>
    <s v="Economy"/>
    <n v="244"/>
    <n v="420.86"/>
    <n v="42"/>
    <s v="On Time"/>
    <n v="102689.84"/>
    <s v="Jul"/>
    <n v="2025"/>
    <n v="102689.84"/>
    <s v="Moderate Delay"/>
  </r>
  <r>
    <n v="522"/>
    <d v="2025-07-18T00:00:00"/>
    <x v="2"/>
    <x v="2"/>
    <s v="BKK"/>
    <s v="Premium Economy"/>
    <n v="275"/>
    <n v="94.36"/>
    <n v="29"/>
    <s v="Cancelled"/>
    <n v="25949"/>
    <s v="Jul"/>
    <n v="2025"/>
    <n v="25949"/>
    <s v="Minor Delay"/>
  </r>
  <r>
    <n v="523"/>
    <d v="2025-12-27T00:00:00"/>
    <x v="5"/>
    <x v="3"/>
    <s v="GMP"/>
    <s v="Business"/>
    <n v="262"/>
    <n v="262.39"/>
    <n v="18"/>
    <s v="On Time"/>
    <n v="68746.179999999993"/>
    <s v="Dec"/>
    <n v="2025"/>
    <n v="68746.179999999993"/>
    <s v="Minor Delay"/>
  </r>
  <r>
    <n v="524"/>
    <d v="2025-07-07T00:00:00"/>
    <x v="5"/>
    <x v="1"/>
    <s v="MNL"/>
    <s v="Business"/>
    <n v="279"/>
    <n v="678.25"/>
    <n v="0"/>
    <s v="On Time"/>
    <n v="189231.75"/>
    <s v="Jul"/>
    <n v="2025"/>
    <n v="189231.75"/>
    <s v="On Time"/>
  </r>
  <r>
    <n v="525"/>
    <d v="2025-09-22T00:00:00"/>
    <x v="2"/>
    <x v="1"/>
    <s v="PUS"/>
    <s v="Premium Economy"/>
    <n v="259"/>
    <n v="702.11"/>
    <n v="0"/>
    <s v="On Time"/>
    <n v="181846.49"/>
    <s v="Sep"/>
    <n v="2025"/>
    <n v="181846.49"/>
    <s v="On Time"/>
  </r>
  <r>
    <n v="526"/>
    <d v="2025-08-14T00:00:00"/>
    <x v="0"/>
    <x v="6"/>
    <s v="CJU"/>
    <s v="Economy"/>
    <n v="69"/>
    <n v="440.76"/>
    <n v="22"/>
    <s v="On Time"/>
    <n v="30412.44"/>
    <s v="Aug"/>
    <n v="2025"/>
    <n v="30412.44"/>
    <s v="Minor Delay"/>
  </r>
  <r>
    <n v="527"/>
    <d v="2025-03-22T00:00:00"/>
    <x v="4"/>
    <x v="7"/>
    <s v="PUS"/>
    <s v="Business"/>
    <n v="233"/>
    <n v="664.55"/>
    <n v="6"/>
    <s v="On Time"/>
    <n v="154840.15"/>
    <s v="Mar"/>
    <n v="2025"/>
    <n v="154840.15"/>
    <s v="Minor Delay"/>
  </r>
  <r>
    <n v="528"/>
    <d v="2025-12-12T00:00:00"/>
    <x v="2"/>
    <x v="0"/>
    <s v="SIN"/>
    <s v="Premium Economy"/>
    <n v="103"/>
    <n v="497.19"/>
    <n v="0"/>
    <s v="On Time"/>
    <n v="51210.57"/>
    <s v="Dec"/>
    <n v="2025"/>
    <n v="51210.57"/>
    <s v="On Time"/>
  </r>
  <r>
    <n v="529"/>
    <d v="2025-05-05T00:00:00"/>
    <x v="1"/>
    <x v="1"/>
    <s v="ICN"/>
    <s v="Economy"/>
    <n v="196"/>
    <n v="498.34"/>
    <n v="39"/>
    <s v="Delayed"/>
    <n v="97674.64"/>
    <s v="May"/>
    <n v="2025"/>
    <n v="97674.64"/>
    <s v="Moderate Delay"/>
  </r>
  <r>
    <n v="530"/>
    <d v="2025-03-27T00:00:00"/>
    <x v="4"/>
    <x v="7"/>
    <s v="ICN"/>
    <s v="Economy"/>
    <n v="182"/>
    <n v="769.1"/>
    <n v="42"/>
    <s v="On Time"/>
    <n v="139976.20000000001"/>
    <s v="Mar"/>
    <n v="2025"/>
    <n v="139976.20000000001"/>
    <s v="Moderate Delay"/>
  </r>
  <r>
    <n v="531"/>
    <d v="2025-02-13T00:00:00"/>
    <x v="0"/>
    <x v="5"/>
    <s v="KIX"/>
    <s v="Premium Economy"/>
    <n v="205"/>
    <n v="794.65"/>
    <n v="30"/>
    <s v="Delayed"/>
    <n v="162903.25"/>
    <s v="Feb"/>
    <n v="2025"/>
    <n v="162903.25"/>
    <s v="Minor Delay"/>
  </r>
  <r>
    <n v="532"/>
    <d v="2025-11-16T00:00:00"/>
    <x v="3"/>
    <x v="7"/>
    <s v="PUS"/>
    <s v="Business"/>
    <n v="117"/>
    <n v="184.11"/>
    <n v="8"/>
    <s v="On Time"/>
    <n v="21540.87"/>
    <s v="Nov"/>
    <n v="2025"/>
    <n v="21540.870000000003"/>
    <s v="Minor Delay"/>
  </r>
  <r>
    <n v="533"/>
    <d v="2025-04-28T00:00:00"/>
    <x v="2"/>
    <x v="8"/>
    <s v="GMP"/>
    <s v="Premium Economy"/>
    <n v="83"/>
    <n v="140.34"/>
    <n v="34"/>
    <s v="On Time"/>
    <n v="11648.22"/>
    <s v="Apr"/>
    <n v="2025"/>
    <n v="11648.220000000001"/>
    <s v="Moderate Delay"/>
  </r>
  <r>
    <n v="534"/>
    <d v="2025-11-07T00:00:00"/>
    <x v="1"/>
    <x v="1"/>
    <s v="CJU"/>
    <s v="Economy"/>
    <n v="171"/>
    <n v="727.19"/>
    <n v="67"/>
    <s v="On Time"/>
    <n v="124349.49"/>
    <s v="Nov"/>
    <n v="2025"/>
    <n v="124349.49"/>
    <s v="Major Delay"/>
  </r>
  <r>
    <n v="535"/>
    <d v="2025-02-17T00:00:00"/>
    <x v="2"/>
    <x v="6"/>
    <s v="GMP"/>
    <s v="Business"/>
    <n v="83"/>
    <n v="727.47"/>
    <n v="18"/>
    <s v="Delayed"/>
    <n v="60380.01"/>
    <s v="Feb"/>
    <n v="2025"/>
    <n v="60380.01"/>
    <s v="Minor Delay"/>
  </r>
  <r>
    <n v="536"/>
    <d v="2025-07-09T00:00:00"/>
    <x v="1"/>
    <x v="1"/>
    <s v="MNL"/>
    <s v="Business"/>
    <n v="185"/>
    <n v="377.43"/>
    <n v="19"/>
    <s v="Delayed"/>
    <n v="69824.55"/>
    <s v="Jul"/>
    <n v="2025"/>
    <n v="69824.55"/>
    <s v="Minor Delay"/>
  </r>
  <r>
    <n v="537"/>
    <d v="2025-06-29T00:00:00"/>
    <x v="5"/>
    <x v="8"/>
    <s v="BKK"/>
    <s v="Business"/>
    <n v="282"/>
    <n v="623.54"/>
    <n v="16"/>
    <s v="On Time"/>
    <n v="175838.28"/>
    <s v="Jun"/>
    <n v="2025"/>
    <n v="175838.28"/>
    <s v="Minor Delay"/>
  </r>
  <r>
    <n v="538"/>
    <d v="2025-02-12T00:00:00"/>
    <x v="4"/>
    <x v="8"/>
    <s v="PUS"/>
    <s v="Business"/>
    <n v="274"/>
    <n v="462.36"/>
    <n v="9"/>
    <s v="On Time"/>
    <n v="126686.64"/>
    <s v="Feb"/>
    <n v="2025"/>
    <n v="126686.64"/>
    <s v="Minor Delay"/>
  </r>
  <r>
    <n v="539"/>
    <d v="2025-10-23T00:00:00"/>
    <x v="5"/>
    <x v="5"/>
    <s v="GMP"/>
    <s v="Economy"/>
    <n v="183"/>
    <n v="65.319999999999993"/>
    <n v="0"/>
    <s v="On Time"/>
    <n v="11953.56"/>
    <s v="Oct"/>
    <n v="2025"/>
    <n v="11953.56"/>
    <s v="On Time"/>
  </r>
  <r>
    <n v="540"/>
    <d v="2025-03-21T00:00:00"/>
    <x v="2"/>
    <x v="3"/>
    <s v="GMP"/>
    <s v="Business"/>
    <n v="199"/>
    <n v="247.69"/>
    <n v="0"/>
    <s v="Delayed"/>
    <n v="49290.31"/>
    <s v="Mar"/>
    <n v="2025"/>
    <n v="49290.31"/>
    <s v="On Time"/>
  </r>
  <r>
    <n v="541"/>
    <d v="2025-11-10T00:00:00"/>
    <x v="4"/>
    <x v="1"/>
    <s v="KIX"/>
    <s v="Business"/>
    <n v="151"/>
    <n v="618.67999999999995"/>
    <n v="0"/>
    <s v="On Time"/>
    <n v="93420.68"/>
    <s v="Nov"/>
    <n v="2025"/>
    <n v="93420.68"/>
    <s v="On Time"/>
  </r>
  <r>
    <n v="542"/>
    <d v="2025-05-10T00:00:00"/>
    <x v="4"/>
    <x v="3"/>
    <s v="SIN"/>
    <s v="Business"/>
    <n v="138"/>
    <n v="632.9"/>
    <n v="42"/>
    <s v="On Time"/>
    <n v="87340.2"/>
    <s v="May"/>
    <n v="2025"/>
    <n v="87340.2"/>
    <s v="Moderate Delay"/>
  </r>
  <r>
    <n v="543"/>
    <d v="2025-04-28T00:00:00"/>
    <x v="2"/>
    <x v="7"/>
    <s v="GMP"/>
    <s v="Business"/>
    <n v="293"/>
    <n v="179.73"/>
    <n v="25"/>
    <s v="On Time"/>
    <n v="52660.89"/>
    <s v="Apr"/>
    <n v="2025"/>
    <n v="52660.89"/>
    <s v="Minor Delay"/>
  </r>
  <r>
    <n v="544"/>
    <d v="2025-03-24T00:00:00"/>
    <x v="2"/>
    <x v="6"/>
    <s v="ICN"/>
    <s v="Business"/>
    <n v="51"/>
    <n v="655.23"/>
    <n v="44"/>
    <s v="Delayed"/>
    <n v="33416.730000000003"/>
    <s v="Mar"/>
    <n v="2025"/>
    <n v="33416.730000000003"/>
    <s v="Moderate Delay"/>
  </r>
  <r>
    <n v="545"/>
    <d v="2025-02-15T00:00:00"/>
    <x v="1"/>
    <x v="8"/>
    <s v="BKK"/>
    <s v="Premium Economy"/>
    <n v="106"/>
    <n v="334.42"/>
    <n v="0"/>
    <s v="Delayed"/>
    <n v="35448.519999999997"/>
    <s v="Feb"/>
    <n v="2025"/>
    <n v="35448.520000000004"/>
    <s v="On Time"/>
  </r>
  <r>
    <n v="546"/>
    <d v="2025-12-31T00:00:00"/>
    <x v="5"/>
    <x v="1"/>
    <s v="NRT"/>
    <s v="Economy"/>
    <n v="292"/>
    <n v="632.47"/>
    <n v="0"/>
    <s v="On Time"/>
    <n v="184681.24"/>
    <s v="Dec"/>
    <n v="2025"/>
    <n v="184681.24000000002"/>
    <s v="On Time"/>
  </r>
  <r>
    <n v="547"/>
    <d v="2025-01-06T00:00:00"/>
    <x v="0"/>
    <x v="8"/>
    <s v="SIN"/>
    <s v="Business"/>
    <n v="288"/>
    <n v="654.89"/>
    <n v="18"/>
    <s v="On Time"/>
    <n v="188608.32"/>
    <s v="Jan"/>
    <n v="2025"/>
    <n v="188608.32"/>
    <s v="Minor Delay"/>
  </r>
  <r>
    <n v="548"/>
    <d v="2025-11-11T00:00:00"/>
    <x v="0"/>
    <x v="6"/>
    <s v="PUS"/>
    <s v="Business"/>
    <n v="59"/>
    <n v="326.20999999999998"/>
    <n v="26"/>
    <s v="On Time"/>
    <n v="19246.39"/>
    <s v="Nov"/>
    <n v="2025"/>
    <n v="19246.39"/>
    <s v="Minor Delay"/>
  </r>
  <r>
    <n v="549"/>
    <d v="2025-05-22T00:00:00"/>
    <x v="2"/>
    <x v="7"/>
    <s v="GMP"/>
    <s v="Premium Economy"/>
    <n v="221"/>
    <n v="352.41"/>
    <n v="0"/>
    <s v="On Time"/>
    <n v="77882.61"/>
    <s v="May"/>
    <n v="2025"/>
    <n v="77882.61"/>
    <s v="On Time"/>
  </r>
  <r>
    <n v="550"/>
    <d v="2025-10-09T00:00:00"/>
    <x v="4"/>
    <x v="0"/>
    <s v="CJU"/>
    <s v="Business"/>
    <n v="262"/>
    <n v="473.74"/>
    <n v="4"/>
    <s v="On Time"/>
    <n v="124119.88"/>
    <s v="Oct"/>
    <n v="2025"/>
    <n v="124119.88"/>
    <s v="Minor Delay"/>
  </r>
  <r>
    <n v="551"/>
    <d v="2025-04-26T00:00:00"/>
    <x v="5"/>
    <x v="3"/>
    <s v="NRT"/>
    <s v="Economy"/>
    <n v="166"/>
    <n v="747.99"/>
    <n v="2"/>
    <s v="On Time"/>
    <n v="124166.34"/>
    <s v="Apr"/>
    <n v="2025"/>
    <n v="124166.34"/>
    <s v="Minor Delay"/>
  </r>
  <r>
    <n v="552"/>
    <d v="2025-09-15T00:00:00"/>
    <x v="4"/>
    <x v="0"/>
    <s v="CJU"/>
    <s v="Premium Economy"/>
    <n v="292"/>
    <n v="146.59"/>
    <n v="11"/>
    <s v="On Time"/>
    <n v="42804.28"/>
    <s v="Sep"/>
    <n v="2025"/>
    <n v="42804.28"/>
    <s v="Minor Delay"/>
  </r>
  <r>
    <n v="553"/>
    <d v="2025-12-22T00:00:00"/>
    <x v="2"/>
    <x v="4"/>
    <s v="KIX"/>
    <s v="Premium Economy"/>
    <n v="194"/>
    <n v="417.89"/>
    <n v="20"/>
    <s v="On Time"/>
    <n v="81070.66"/>
    <s v="Dec"/>
    <n v="2025"/>
    <n v="81070.66"/>
    <s v="Minor Delay"/>
  </r>
  <r>
    <n v="554"/>
    <d v="2025-09-04T00:00:00"/>
    <x v="1"/>
    <x v="8"/>
    <s v="ICN"/>
    <s v="Premium Economy"/>
    <n v="67"/>
    <n v="343.18"/>
    <n v="42"/>
    <s v="On Time"/>
    <n v="22993.06"/>
    <s v="Sep"/>
    <n v="2025"/>
    <n v="22993.06"/>
    <s v="Moderate Delay"/>
  </r>
  <r>
    <n v="555"/>
    <d v="2025-06-11T00:00:00"/>
    <x v="2"/>
    <x v="2"/>
    <s v="NRT"/>
    <s v="Premium Economy"/>
    <n v="182"/>
    <n v="456.38"/>
    <n v="14"/>
    <s v="On Time"/>
    <n v="83061.16"/>
    <s v="Jun"/>
    <n v="2025"/>
    <n v="83061.16"/>
    <s v="Minor Delay"/>
  </r>
  <r>
    <n v="556"/>
    <d v="2025-02-08T00:00:00"/>
    <x v="5"/>
    <x v="1"/>
    <s v="KIX"/>
    <s v="Economy"/>
    <n v="171"/>
    <n v="292.27"/>
    <n v="1"/>
    <s v="On Time"/>
    <n v="49978.17"/>
    <s v="Feb"/>
    <n v="2025"/>
    <n v="49978.17"/>
    <s v="Minor Delay"/>
  </r>
  <r>
    <n v="557"/>
    <d v="2025-12-16T00:00:00"/>
    <x v="0"/>
    <x v="4"/>
    <s v="CJU"/>
    <s v="Premium Economy"/>
    <n v="238"/>
    <n v="207.75"/>
    <n v="15"/>
    <s v="On Time"/>
    <n v="49444.5"/>
    <s v="Dec"/>
    <n v="2025"/>
    <n v="49444.5"/>
    <s v="Minor Delay"/>
  </r>
  <r>
    <n v="558"/>
    <d v="2025-11-13T00:00:00"/>
    <x v="4"/>
    <x v="2"/>
    <s v="NRT"/>
    <s v="Economy"/>
    <n v="249"/>
    <n v="138.94999999999999"/>
    <n v="0"/>
    <s v="Delayed"/>
    <n v="34598.550000000003"/>
    <s v="Nov"/>
    <n v="2025"/>
    <n v="34598.549999999996"/>
    <s v="On Time"/>
  </r>
  <r>
    <n v="559"/>
    <d v="2025-10-05T00:00:00"/>
    <x v="1"/>
    <x v="8"/>
    <s v="ICN"/>
    <s v="Premium Economy"/>
    <n v="145"/>
    <n v="519.29"/>
    <n v="0"/>
    <s v="Delayed"/>
    <n v="75297.05"/>
    <s v="Oct"/>
    <n v="2025"/>
    <n v="75297.049999999988"/>
    <s v="On Time"/>
  </r>
  <r>
    <n v="560"/>
    <d v="2025-04-04T00:00:00"/>
    <x v="5"/>
    <x v="4"/>
    <s v="SIN"/>
    <s v="Premium Economy"/>
    <n v="151"/>
    <n v="224.35"/>
    <n v="23"/>
    <s v="On Time"/>
    <n v="33876.85"/>
    <s v="Apr"/>
    <n v="2025"/>
    <n v="33876.85"/>
    <s v="Minor Delay"/>
  </r>
  <r>
    <n v="561"/>
    <d v="2025-09-02T00:00:00"/>
    <x v="5"/>
    <x v="5"/>
    <s v="MNL"/>
    <s v="Economy"/>
    <n v="178"/>
    <n v="316.99"/>
    <n v="47"/>
    <s v="On Time"/>
    <n v="56424.22"/>
    <s v="Sep"/>
    <n v="2025"/>
    <n v="56424.22"/>
    <s v="Moderate Delay"/>
  </r>
  <r>
    <n v="562"/>
    <d v="2025-06-11T00:00:00"/>
    <x v="3"/>
    <x v="0"/>
    <s v="SIN"/>
    <s v="Economy"/>
    <n v="53"/>
    <n v="558.84"/>
    <n v="0"/>
    <s v="On Time"/>
    <n v="29618.52"/>
    <s v="Jun"/>
    <n v="2025"/>
    <n v="29618.52"/>
    <s v="On Time"/>
  </r>
  <r>
    <n v="563"/>
    <d v="2025-07-05T00:00:00"/>
    <x v="5"/>
    <x v="0"/>
    <s v="BKK"/>
    <s v="Premium Economy"/>
    <n v="97"/>
    <n v="465.94"/>
    <n v="22"/>
    <s v="On Time"/>
    <n v="45196.18"/>
    <s v="Jul"/>
    <n v="2025"/>
    <n v="45196.18"/>
    <s v="Minor Delay"/>
  </r>
  <r>
    <n v="564"/>
    <d v="2025-09-13T00:00:00"/>
    <x v="2"/>
    <x v="3"/>
    <s v="CJU"/>
    <s v="Economy"/>
    <n v="157"/>
    <n v="578.53"/>
    <n v="48"/>
    <s v="On Time"/>
    <n v="90829.21"/>
    <s v="Sep"/>
    <n v="2025"/>
    <n v="90829.209999999992"/>
    <s v="Moderate Delay"/>
  </r>
  <r>
    <n v="565"/>
    <d v="2025-08-19T00:00:00"/>
    <x v="0"/>
    <x v="1"/>
    <s v="NRT"/>
    <s v="Business"/>
    <n v="83"/>
    <n v="784.66"/>
    <n v="2"/>
    <s v="On Time"/>
    <n v="65126.78"/>
    <s v="Aug"/>
    <n v="2025"/>
    <n v="65126.78"/>
    <s v="Minor Delay"/>
  </r>
  <r>
    <n v="566"/>
    <d v="2025-07-15T00:00:00"/>
    <x v="0"/>
    <x v="2"/>
    <s v="MNL"/>
    <s v="Economy"/>
    <n v="254"/>
    <n v="769.77"/>
    <n v="0"/>
    <s v="On Time"/>
    <n v="195521.58"/>
    <s v="Jul"/>
    <n v="2025"/>
    <n v="195521.58"/>
    <s v="On Time"/>
  </r>
  <r>
    <n v="567"/>
    <d v="2025-08-04T00:00:00"/>
    <x v="2"/>
    <x v="5"/>
    <s v="PUS"/>
    <s v="Economy"/>
    <n v="278"/>
    <n v="688.55"/>
    <n v="0"/>
    <s v="On Time"/>
    <n v="191416.9"/>
    <s v="Aug"/>
    <n v="2025"/>
    <n v="191416.9"/>
    <s v="On Time"/>
  </r>
  <r>
    <n v="568"/>
    <d v="2025-10-15T00:00:00"/>
    <x v="5"/>
    <x v="4"/>
    <s v="KIX"/>
    <s v="Economy"/>
    <n v="151"/>
    <n v="133.24"/>
    <n v="15"/>
    <s v="On Time"/>
    <n v="20119.240000000002"/>
    <s v="Oct"/>
    <n v="2025"/>
    <n v="20119.240000000002"/>
    <s v="Minor Delay"/>
  </r>
  <r>
    <n v="569"/>
    <d v="2025-09-01T00:00:00"/>
    <x v="3"/>
    <x v="2"/>
    <s v="KIX"/>
    <s v="Economy"/>
    <n v="165"/>
    <n v="611"/>
    <n v="18"/>
    <s v="On Time"/>
    <n v="100815"/>
    <s v="Sep"/>
    <n v="2025"/>
    <n v="100815"/>
    <s v="Minor Delay"/>
  </r>
  <r>
    <n v="570"/>
    <d v="2025-01-11T00:00:00"/>
    <x v="2"/>
    <x v="4"/>
    <s v="BKK"/>
    <s v="Economy"/>
    <n v="139"/>
    <n v="701.85"/>
    <n v="43"/>
    <s v="Delayed"/>
    <n v="97557.15"/>
    <s v="Jan"/>
    <n v="2025"/>
    <n v="97557.150000000009"/>
    <s v="Moderate Delay"/>
  </r>
  <r>
    <n v="571"/>
    <d v="2025-05-26T00:00:00"/>
    <x v="4"/>
    <x v="2"/>
    <s v="CJU"/>
    <s v="Premium Economy"/>
    <n v="222"/>
    <n v="437.73"/>
    <n v="24"/>
    <s v="On Time"/>
    <n v="97176.06"/>
    <s v="May"/>
    <n v="2025"/>
    <n v="97176.06"/>
    <s v="Minor Delay"/>
  </r>
  <r>
    <n v="572"/>
    <d v="2025-11-20T00:00:00"/>
    <x v="0"/>
    <x v="4"/>
    <s v="SIN"/>
    <s v="Economy"/>
    <n v="213"/>
    <n v="657.71"/>
    <n v="0"/>
    <s v="On Time"/>
    <n v="140092.23000000001"/>
    <s v="Nov"/>
    <n v="2025"/>
    <n v="140092.23000000001"/>
    <s v="On Time"/>
  </r>
  <r>
    <n v="573"/>
    <d v="2025-02-10T00:00:00"/>
    <x v="0"/>
    <x v="1"/>
    <s v="GMP"/>
    <s v="Premium Economy"/>
    <n v="108"/>
    <n v="291.98"/>
    <n v="0"/>
    <s v="On Time"/>
    <n v="31533.84"/>
    <s v="Feb"/>
    <n v="2025"/>
    <n v="31533.840000000004"/>
    <s v="On Time"/>
  </r>
  <r>
    <n v="574"/>
    <d v="2025-08-16T00:00:00"/>
    <x v="4"/>
    <x v="1"/>
    <s v="NRT"/>
    <s v="Business"/>
    <n v="200"/>
    <n v="445.49"/>
    <n v="0"/>
    <s v="On Time"/>
    <n v="89098"/>
    <s v="Aug"/>
    <n v="2025"/>
    <n v="89098"/>
    <s v="On Time"/>
  </r>
  <r>
    <n v="575"/>
    <d v="2025-01-12T00:00:00"/>
    <x v="0"/>
    <x v="7"/>
    <s v="PUS"/>
    <s v="Business"/>
    <n v="110"/>
    <n v="549.9"/>
    <n v="56"/>
    <s v="On Time"/>
    <n v="60489"/>
    <s v="Jan"/>
    <n v="2025"/>
    <n v="60489"/>
    <s v="Moderate Delay"/>
  </r>
  <r>
    <n v="576"/>
    <d v="2025-02-22T00:00:00"/>
    <x v="1"/>
    <x v="7"/>
    <s v="MNL"/>
    <s v="Economy"/>
    <n v="289"/>
    <n v="710.23"/>
    <n v="5"/>
    <s v="On Time"/>
    <n v="205256.47"/>
    <s v="Feb"/>
    <n v="2025"/>
    <n v="205256.47"/>
    <s v="Minor Delay"/>
  </r>
  <r>
    <n v="577"/>
    <d v="2025-09-26T00:00:00"/>
    <x v="1"/>
    <x v="5"/>
    <s v="MNL"/>
    <s v="Economy"/>
    <n v="117"/>
    <n v="517.4"/>
    <n v="69"/>
    <s v="On Time"/>
    <n v="60535.8"/>
    <s v="Sep"/>
    <n v="2025"/>
    <n v="60535.799999999996"/>
    <s v="Major Delay"/>
  </r>
  <r>
    <n v="578"/>
    <d v="2025-05-26T00:00:00"/>
    <x v="2"/>
    <x v="2"/>
    <s v="NRT"/>
    <s v="Business"/>
    <n v="82"/>
    <n v="157.15"/>
    <n v="49"/>
    <s v="Delayed"/>
    <n v="12886.3"/>
    <s v="May"/>
    <n v="2025"/>
    <n v="12886.300000000001"/>
    <s v="Moderate Delay"/>
  </r>
  <r>
    <n v="579"/>
    <d v="2025-12-06T00:00:00"/>
    <x v="4"/>
    <x v="5"/>
    <s v="GMP"/>
    <s v="Premium Economy"/>
    <n v="271"/>
    <n v="412.35"/>
    <n v="50"/>
    <s v="On Time"/>
    <n v="111746.85"/>
    <s v="Dec"/>
    <n v="2025"/>
    <n v="111746.85"/>
    <s v="Moderate Delay"/>
  </r>
  <r>
    <n v="580"/>
    <d v="2025-12-24T00:00:00"/>
    <x v="5"/>
    <x v="8"/>
    <s v="CJU"/>
    <s v="Economy"/>
    <n v="201"/>
    <n v="502.21"/>
    <n v="15"/>
    <s v="On Time"/>
    <n v="100944.21"/>
    <s v="Dec"/>
    <n v="2025"/>
    <n v="100944.20999999999"/>
    <s v="Minor Delay"/>
  </r>
  <r>
    <n v="581"/>
    <d v="2025-06-27T00:00:00"/>
    <x v="2"/>
    <x v="1"/>
    <s v="NRT"/>
    <s v="Business"/>
    <n v="108"/>
    <n v="655.48"/>
    <n v="0"/>
    <s v="On Time"/>
    <n v="70791.839999999997"/>
    <s v="Jun"/>
    <n v="2025"/>
    <n v="70791.839999999997"/>
    <s v="On Time"/>
  </r>
  <r>
    <n v="582"/>
    <d v="2025-01-01T00:00:00"/>
    <x v="5"/>
    <x v="4"/>
    <s v="ICN"/>
    <s v="Economy"/>
    <n v="138"/>
    <n v="272.2"/>
    <n v="28"/>
    <s v="On Time"/>
    <n v="37563.599999999999"/>
    <s v="Jan"/>
    <n v="2025"/>
    <n v="37563.599999999999"/>
    <s v="Minor Delay"/>
  </r>
  <r>
    <n v="583"/>
    <d v="2025-06-03T00:00:00"/>
    <x v="1"/>
    <x v="8"/>
    <s v="SIN"/>
    <s v="Premium Economy"/>
    <n v="254"/>
    <n v="276.76"/>
    <n v="20"/>
    <s v="On Time"/>
    <n v="70297.039999999994"/>
    <s v="Jun"/>
    <n v="2025"/>
    <n v="70297.039999999994"/>
    <s v="Minor Delay"/>
  </r>
  <r>
    <n v="584"/>
    <d v="2025-07-22T00:00:00"/>
    <x v="0"/>
    <x v="1"/>
    <s v="MNL"/>
    <s v="Economy"/>
    <n v="233"/>
    <n v="605.47"/>
    <n v="22"/>
    <s v="On Time"/>
    <n v="141074.51"/>
    <s v="Jul"/>
    <n v="2025"/>
    <n v="141074.51"/>
    <s v="Minor Delay"/>
  </r>
  <r>
    <n v="585"/>
    <d v="2025-05-15T00:00:00"/>
    <x v="1"/>
    <x v="1"/>
    <s v="PUS"/>
    <s v="Premium Economy"/>
    <n v="210"/>
    <n v="237.28"/>
    <n v="25"/>
    <s v="Delayed"/>
    <n v="49828.800000000003"/>
    <s v="May"/>
    <n v="2025"/>
    <n v="49828.800000000003"/>
    <s v="Minor Delay"/>
  </r>
  <r>
    <n v="586"/>
    <d v="2025-11-29T00:00:00"/>
    <x v="3"/>
    <x v="4"/>
    <s v="KIX"/>
    <s v="Business"/>
    <n v="257"/>
    <n v="258.93"/>
    <n v="0"/>
    <s v="On Time"/>
    <n v="66545.009999999995"/>
    <s v="Nov"/>
    <n v="2025"/>
    <n v="66545.009999999995"/>
    <s v="On Time"/>
  </r>
  <r>
    <n v="587"/>
    <d v="2025-03-11T00:00:00"/>
    <x v="4"/>
    <x v="0"/>
    <s v="PUS"/>
    <s v="Economy"/>
    <n v="213"/>
    <n v="396.95"/>
    <n v="0"/>
    <s v="On Time"/>
    <n v="84550.35"/>
    <s v="Mar"/>
    <n v="2025"/>
    <n v="84550.349999999991"/>
    <s v="On Time"/>
  </r>
  <r>
    <n v="588"/>
    <d v="2025-03-19T00:00:00"/>
    <x v="1"/>
    <x v="3"/>
    <s v="ICN"/>
    <s v="Business"/>
    <n v="55"/>
    <n v="197.59"/>
    <n v="31"/>
    <s v="On Time"/>
    <n v="10867.45"/>
    <s v="Mar"/>
    <n v="2025"/>
    <n v="10867.45"/>
    <s v="Moderate Delay"/>
  </r>
  <r>
    <n v="589"/>
    <d v="2025-08-13T00:00:00"/>
    <x v="3"/>
    <x v="4"/>
    <s v="CJU"/>
    <s v="Economy"/>
    <n v="109"/>
    <n v="126.75"/>
    <n v="37"/>
    <s v="On Time"/>
    <n v="13815.75"/>
    <s v="Aug"/>
    <n v="2025"/>
    <n v="13815.75"/>
    <s v="Moderate Delay"/>
  </r>
  <r>
    <n v="590"/>
    <d v="2025-08-26T00:00:00"/>
    <x v="3"/>
    <x v="8"/>
    <s v="KIX"/>
    <s v="Economy"/>
    <n v="134"/>
    <n v="119.37"/>
    <n v="21"/>
    <s v="On Time"/>
    <n v="15995.58"/>
    <s v="Aug"/>
    <n v="2025"/>
    <n v="15995.58"/>
    <s v="Minor Delay"/>
  </r>
  <r>
    <n v="591"/>
    <d v="2025-05-17T00:00:00"/>
    <x v="2"/>
    <x v="7"/>
    <s v="ICN"/>
    <s v="Economy"/>
    <n v="189"/>
    <n v="407.91"/>
    <n v="37"/>
    <s v="Delayed"/>
    <n v="77094.990000000005"/>
    <s v="May"/>
    <n v="2025"/>
    <n v="77094.990000000005"/>
    <s v="Moderate Delay"/>
  </r>
  <r>
    <n v="592"/>
    <d v="2025-05-08T00:00:00"/>
    <x v="2"/>
    <x v="5"/>
    <s v="CJU"/>
    <s v="Premium Economy"/>
    <n v="113"/>
    <n v="605.84"/>
    <n v="64"/>
    <s v="On Time"/>
    <n v="68459.92"/>
    <s v="May"/>
    <n v="2025"/>
    <n v="68459.92"/>
    <s v="Major Delay"/>
  </r>
  <r>
    <n v="593"/>
    <d v="2025-09-24T00:00:00"/>
    <x v="3"/>
    <x v="8"/>
    <s v="GMP"/>
    <s v="Economy"/>
    <n v="171"/>
    <n v="347.95"/>
    <n v="76"/>
    <s v="On Time"/>
    <n v="59499.45"/>
    <s v="Sep"/>
    <n v="2025"/>
    <n v="59499.45"/>
    <s v="Major Delay"/>
  </r>
  <r>
    <n v="594"/>
    <d v="2025-05-10T00:00:00"/>
    <x v="2"/>
    <x v="5"/>
    <s v="CJU"/>
    <s v="Business"/>
    <n v="126"/>
    <n v="207.06"/>
    <n v="5"/>
    <s v="Delayed"/>
    <n v="26089.56"/>
    <s v="May"/>
    <n v="2025"/>
    <n v="26089.56"/>
    <s v="Minor Delay"/>
  </r>
  <r>
    <n v="595"/>
    <d v="2025-05-01T00:00:00"/>
    <x v="3"/>
    <x v="2"/>
    <s v="GMP"/>
    <s v="Premium Economy"/>
    <n v="133"/>
    <n v="71.150000000000006"/>
    <n v="29"/>
    <s v="On Time"/>
    <n v="9462.9500000000007"/>
    <s v="May"/>
    <n v="2025"/>
    <n v="9462.9500000000007"/>
    <s v="Minor Delay"/>
  </r>
  <r>
    <n v="596"/>
    <d v="2025-01-22T00:00:00"/>
    <x v="5"/>
    <x v="2"/>
    <s v="ICN"/>
    <s v="Business"/>
    <n v="171"/>
    <n v="569.41999999999996"/>
    <n v="0"/>
    <s v="On Time"/>
    <n v="97370.82"/>
    <s v="Jan"/>
    <n v="2025"/>
    <n v="97370.819999999992"/>
    <s v="On Time"/>
  </r>
  <r>
    <n v="597"/>
    <d v="2025-03-22T00:00:00"/>
    <x v="2"/>
    <x v="0"/>
    <s v="NRT"/>
    <s v="Economy"/>
    <n v="225"/>
    <n v="517.79999999999995"/>
    <n v="97"/>
    <s v="On Time"/>
    <n v="116505"/>
    <s v="Mar"/>
    <n v="2025"/>
    <n v="116504.99999999999"/>
    <s v="Major Delay"/>
  </r>
  <r>
    <n v="598"/>
    <d v="2025-11-27T00:00:00"/>
    <x v="0"/>
    <x v="5"/>
    <s v="BKK"/>
    <s v="Business"/>
    <n v="187"/>
    <n v="645.69000000000005"/>
    <n v="0"/>
    <s v="On Time"/>
    <n v="120744.03"/>
    <s v="Nov"/>
    <n v="2025"/>
    <n v="120744.03000000001"/>
    <s v="On Time"/>
  </r>
  <r>
    <n v="599"/>
    <d v="2025-10-13T00:00:00"/>
    <x v="3"/>
    <x v="2"/>
    <s v="BKK"/>
    <s v="Premium Economy"/>
    <n v="256"/>
    <n v="719.93"/>
    <n v="19"/>
    <s v="On Time"/>
    <n v="184302.07999999999"/>
    <s v="Oct"/>
    <n v="2025"/>
    <n v="184302.07999999999"/>
    <s v="Minor Delay"/>
  </r>
  <r>
    <n v="600"/>
    <d v="2025-01-21T00:00:00"/>
    <x v="2"/>
    <x v="7"/>
    <s v="KIX"/>
    <s v="Business"/>
    <n v="162"/>
    <n v="473.68"/>
    <n v="14"/>
    <s v="On Time"/>
    <n v="76736.160000000003"/>
    <s v="Jan"/>
    <n v="2025"/>
    <n v="76736.160000000003"/>
    <s v="Minor Delay"/>
  </r>
  <r>
    <n v="601"/>
    <d v="2025-10-18T00:00:00"/>
    <x v="0"/>
    <x v="8"/>
    <s v="PUS"/>
    <s v="Business"/>
    <n v="139"/>
    <n v="299.52"/>
    <n v="0"/>
    <s v="On Time"/>
    <n v="41633.279999999999"/>
    <s v="Oct"/>
    <n v="2025"/>
    <n v="41633.279999999999"/>
    <s v="On Time"/>
  </r>
  <r>
    <n v="602"/>
    <d v="2025-02-05T00:00:00"/>
    <x v="5"/>
    <x v="6"/>
    <s v="CJU"/>
    <s v="Economy"/>
    <n v="165"/>
    <n v="278.8"/>
    <n v="29"/>
    <s v="On Time"/>
    <n v="46002"/>
    <s v="Feb"/>
    <n v="2025"/>
    <n v="46002"/>
    <s v="Minor Delay"/>
  </r>
  <r>
    <n v="603"/>
    <d v="2025-01-01T00:00:00"/>
    <x v="3"/>
    <x v="3"/>
    <s v="SIN"/>
    <s v="Business"/>
    <n v="147"/>
    <n v="602.91"/>
    <n v="45"/>
    <s v="On Time"/>
    <n v="88627.77"/>
    <s v="Jan"/>
    <n v="2025"/>
    <n v="88627.76999999999"/>
    <s v="Moderate Delay"/>
  </r>
  <r>
    <n v="604"/>
    <d v="2025-02-02T00:00:00"/>
    <x v="3"/>
    <x v="2"/>
    <s v="BKK"/>
    <s v="Business"/>
    <n v="259"/>
    <n v="346.74"/>
    <n v="0"/>
    <s v="On Time"/>
    <n v="89805.66"/>
    <s v="Feb"/>
    <n v="2025"/>
    <n v="89805.66"/>
    <s v="On Time"/>
  </r>
  <r>
    <n v="605"/>
    <d v="2025-11-10T00:00:00"/>
    <x v="4"/>
    <x v="8"/>
    <s v="CJU"/>
    <s v="Premium Economy"/>
    <n v="154"/>
    <n v="534.27"/>
    <n v="43"/>
    <s v="On Time"/>
    <n v="82277.58"/>
    <s v="Nov"/>
    <n v="2025"/>
    <n v="82277.58"/>
    <s v="Moderate Delay"/>
  </r>
  <r>
    <n v="606"/>
    <d v="2025-01-17T00:00:00"/>
    <x v="0"/>
    <x v="7"/>
    <s v="PUS"/>
    <s v="Economy"/>
    <n v="174"/>
    <n v="201.8"/>
    <n v="39"/>
    <s v="On Time"/>
    <n v="35113.199999999997"/>
    <s v="Jan"/>
    <n v="2025"/>
    <n v="35113.200000000004"/>
    <s v="Moderate Delay"/>
  </r>
  <r>
    <n v="607"/>
    <d v="2025-09-27T00:00:00"/>
    <x v="5"/>
    <x v="1"/>
    <s v="SIN"/>
    <s v="Business"/>
    <n v="201"/>
    <n v="249.39"/>
    <n v="0"/>
    <s v="On Time"/>
    <n v="50127.39"/>
    <s v="Sep"/>
    <n v="2025"/>
    <n v="50127.39"/>
    <s v="On Time"/>
  </r>
  <r>
    <n v="608"/>
    <d v="2025-02-10T00:00:00"/>
    <x v="2"/>
    <x v="2"/>
    <s v="SIN"/>
    <s v="Business"/>
    <n v="65"/>
    <n v="327.08999999999997"/>
    <n v="45"/>
    <s v="On Time"/>
    <n v="21260.85"/>
    <s v="Feb"/>
    <n v="2025"/>
    <n v="21260.85"/>
    <s v="Moderate Delay"/>
  </r>
  <r>
    <n v="609"/>
    <d v="2025-12-29T00:00:00"/>
    <x v="1"/>
    <x v="1"/>
    <s v="KIX"/>
    <s v="Business"/>
    <n v="118"/>
    <n v="451.48"/>
    <n v="15"/>
    <s v="On Time"/>
    <n v="53274.64"/>
    <s v="Dec"/>
    <n v="2025"/>
    <n v="53274.64"/>
    <s v="Minor Delay"/>
  </r>
  <r>
    <n v="610"/>
    <d v="2025-02-21T00:00:00"/>
    <x v="3"/>
    <x v="2"/>
    <s v="GMP"/>
    <s v="Economy"/>
    <n v="186"/>
    <n v="345.15"/>
    <n v="0"/>
    <s v="On Time"/>
    <n v="64197.9"/>
    <s v="Feb"/>
    <n v="2025"/>
    <n v="64197.899999999994"/>
    <s v="On Time"/>
  </r>
  <r>
    <n v="611"/>
    <d v="2025-10-13T00:00:00"/>
    <x v="3"/>
    <x v="2"/>
    <s v="CJU"/>
    <s v="Business"/>
    <n v="156"/>
    <n v="612.12"/>
    <n v="23"/>
    <s v="On Time"/>
    <n v="95490.72"/>
    <s v="Oct"/>
    <n v="2025"/>
    <n v="95490.72"/>
    <s v="Minor Delay"/>
  </r>
  <r>
    <n v="612"/>
    <d v="2025-03-27T00:00:00"/>
    <x v="0"/>
    <x v="1"/>
    <s v="GMP"/>
    <s v="Business"/>
    <n v="152"/>
    <n v="433.47"/>
    <n v="0"/>
    <s v="On Time"/>
    <n v="65887.44"/>
    <s v="Mar"/>
    <n v="2025"/>
    <n v="65887.44"/>
    <s v="On Time"/>
  </r>
  <r>
    <n v="613"/>
    <d v="2025-06-30T00:00:00"/>
    <x v="4"/>
    <x v="6"/>
    <s v="MNL"/>
    <s v="Business"/>
    <n v="133"/>
    <n v="685.19"/>
    <n v="0"/>
    <s v="Delayed"/>
    <n v="91130.27"/>
    <s v="Jun"/>
    <n v="2025"/>
    <n v="91130.27"/>
    <s v="On Time"/>
  </r>
  <r>
    <n v="614"/>
    <d v="2025-10-16T00:00:00"/>
    <x v="5"/>
    <x v="3"/>
    <s v="PUS"/>
    <s v="Economy"/>
    <n v="146"/>
    <n v="626.62"/>
    <n v="38"/>
    <s v="Delayed"/>
    <n v="91486.52"/>
    <s v="Oct"/>
    <n v="2025"/>
    <n v="91486.52"/>
    <s v="Moderate Delay"/>
  </r>
  <r>
    <n v="615"/>
    <d v="2025-08-20T00:00:00"/>
    <x v="2"/>
    <x v="4"/>
    <s v="BKK"/>
    <s v="Premium Economy"/>
    <n v="50"/>
    <n v="597.47"/>
    <n v="53"/>
    <s v="On Time"/>
    <n v="29873.5"/>
    <s v="Aug"/>
    <n v="2025"/>
    <n v="29873.5"/>
    <s v="Moderate Delay"/>
  </r>
  <r>
    <n v="616"/>
    <d v="2025-06-03T00:00:00"/>
    <x v="0"/>
    <x v="4"/>
    <s v="ICN"/>
    <s v="Economy"/>
    <n v="269"/>
    <n v="293.02999999999997"/>
    <n v="16"/>
    <s v="On Time"/>
    <n v="78825.070000000007"/>
    <s v="Jun"/>
    <n v="2025"/>
    <n v="78825.069999999992"/>
    <s v="Minor Delay"/>
  </r>
  <r>
    <n v="617"/>
    <d v="2025-02-18T00:00:00"/>
    <x v="1"/>
    <x v="4"/>
    <s v="CJU"/>
    <s v="Premium Economy"/>
    <n v="141"/>
    <n v="175.52"/>
    <n v="15"/>
    <s v="On Time"/>
    <n v="24748.32"/>
    <s v="Feb"/>
    <n v="2025"/>
    <n v="24748.32"/>
    <s v="Minor Delay"/>
  </r>
  <r>
    <n v="618"/>
    <d v="2025-02-17T00:00:00"/>
    <x v="5"/>
    <x v="4"/>
    <s v="KIX"/>
    <s v="Premium Economy"/>
    <n v="195"/>
    <n v="739.23"/>
    <n v="72"/>
    <s v="On Time"/>
    <n v="144149.85"/>
    <s v="Feb"/>
    <n v="2025"/>
    <n v="144149.85"/>
    <s v="Major Delay"/>
  </r>
  <r>
    <n v="619"/>
    <d v="2025-03-30T00:00:00"/>
    <x v="2"/>
    <x v="3"/>
    <s v="SIN"/>
    <s v="Business"/>
    <n v="229"/>
    <n v="486.41"/>
    <n v="48"/>
    <s v="On Time"/>
    <n v="111387.89"/>
    <s v="Mar"/>
    <n v="2025"/>
    <n v="111387.89"/>
    <s v="Moderate Delay"/>
  </r>
  <r>
    <n v="620"/>
    <d v="2025-01-29T00:00:00"/>
    <x v="4"/>
    <x v="1"/>
    <s v="GMP"/>
    <s v="Premium Economy"/>
    <n v="275"/>
    <n v="664.68"/>
    <n v="1"/>
    <s v="On Time"/>
    <n v="182787"/>
    <s v="Jan"/>
    <n v="2025"/>
    <n v="182787"/>
    <s v="Minor Delay"/>
  </r>
  <r>
    <n v="621"/>
    <d v="2025-12-01T00:00:00"/>
    <x v="5"/>
    <x v="0"/>
    <s v="NRT"/>
    <s v="Economy"/>
    <n v="212"/>
    <n v="635.29"/>
    <n v="4"/>
    <s v="On Time"/>
    <n v="134681.48000000001"/>
    <s v="Dec"/>
    <n v="2025"/>
    <n v="134681.47999999998"/>
    <s v="Minor Delay"/>
  </r>
  <r>
    <n v="622"/>
    <d v="2025-06-17T00:00:00"/>
    <x v="5"/>
    <x v="6"/>
    <s v="CJU"/>
    <s v="Business"/>
    <n v="106"/>
    <n v="173.37"/>
    <n v="34"/>
    <s v="On Time"/>
    <n v="18377.22"/>
    <s v="Jun"/>
    <n v="2025"/>
    <n v="18377.22"/>
    <s v="Moderate Delay"/>
  </r>
  <r>
    <n v="623"/>
    <d v="2025-11-01T00:00:00"/>
    <x v="5"/>
    <x v="1"/>
    <s v="SIN"/>
    <s v="Business"/>
    <n v="73"/>
    <n v="224.34"/>
    <n v="13"/>
    <s v="On Time"/>
    <n v="16376.82"/>
    <s v="Nov"/>
    <n v="2025"/>
    <n v="16376.82"/>
    <s v="Minor Delay"/>
  </r>
  <r>
    <n v="624"/>
    <d v="2025-10-20T00:00:00"/>
    <x v="3"/>
    <x v="0"/>
    <s v="SIN"/>
    <s v="Economy"/>
    <n v="190"/>
    <n v="355.4"/>
    <n v="44"/>
    <s v="On Time"/>
    <n v="67526"/>
    <s v="Oct"/>
    <n v="2025"/>
    <n v="67526"/>
    <s v="Moderate Delay"/>
  </r>
  <r>
    <n v="625"/>
    <d v="2025-12-24T00:00:00"/>
    <x v="0"/>
    <x v="6"/>
    <s v="BKK"/>
    <s v="Economy"/>
    <n v="173"/>
    <n v="473.88"/>
    <n v="0"/>
    <s v="On Time"/>
    <n v="81981.240000000005"/>
    <s v="Dec"/>
    <n v="2025"/>
    <n v="81981.240000000005"/>
    <s v="On Time"/>
  </r>
  <r>
    <n v="626"/>
    <d v="2025-05-05T00:00:00"/>
    <x v="1"/>
    <x v="6"/>
    <s v="PUS"/>
    <s v="Premium Economy"/>
    <n v="248"/>
    <n v="378.25"/>
    <n v="22"/>
    <s v="On Time"/>
    <n v="93806"/>
    <s v="May"/>
    <n v="2025"/>
    <n v="93806"/>
    <s v="Minor Delay"/>
  </r>
  <r>
    <n v="627"/>
    <d v="2025-12-10T00:00:00"/>
    <x v="2"/>
    <x v="0"/>
    <s v="CJU"/>
    <s v="Premium Economy"/>
    <n v="143"/>
    <n v="317.75"/>
    <n v="5"/>
    <s v="On Time"/>
    <n v="45438.25"/>
    <s v="Dec"/>
    <n v="2025"/>
    <n v="45438.25"/>
    <s v="Minor Delay"/>
  </r>
  <r>
    <n v="628"/>
    <d v="2025-06-29T00:00:00"/>
    <x v="5"/>
    <x v="4"/>
    <s v="CJU"/>
    <s v="Premium Economy"/>
    <n v="209"/>
    <n v="167.91"/>
    <n v="50"/>
    <s v="On Time"/>
    <n v="35093.19"/>
    <s v="Jun"/>
    <n v="2025"/>
    <n v="35093.19"/>
    <s v="Moderate Delay"/>
  </r>
  <r>
    <n v="629"/>
    <d v="2025-12-17T00:00:00"/>
    <x v="4"/>
    <x v="2"/>
    <s v="NRT"/>
    <s v="Economy"/>
    <n v="243"/>
    <n v="599.08000000000004"/>
    <n v="55"/>
    <s v="On Time"/>
    <n v="145576.44"/>
    <s v="Dec"/>
    <n v="2025"/>
    <n v="145576.44"/>
    <s v="Moderate Delay"/>
  </r>
  <r>
    <n v="630"/>
    <d v="2025-01-08T00:00:00"/>
    <x v="4"/>
    <x v="7"/>
    <s v="KIX"/>
    <s v="Business"/>
    <n v="255"/>
    <n v="142.35"/>
    <n v="41"/>
    <s v="On Time"/>
    <n v="36299.25"/>
    <s v="Jan"/>
    <n v="2025"/>
    <n v="36299.25"/>
    <s v="Moderate Delay"/>
  </r>
  <r>
    <n v="631"/>
    <d v="2025-04-18T00:00:00"/>
    <x v="3"/>
    <x v="5"/>
    <s v="BKK"/>
    <s v="Business"/>
    <n v="104"/>
    <n v="210.81"/>
    <n v="0"/>
    <s v="On Time"/>
    <n v="21924.240000000002"/>
    <s v="Apr"/>
    <n v="2025"/>
    <n v="21924.240000000002"/>
    <s v="On Time"/>
  </r>
  <r>
    <n v="632"/>
    <d v="2025-07-12T00:00:00"/>
    <x v="5"/>
    <x v="7"/>
    <s v="ICN"/>
    <s v="Business"/>
    <n v="184"/>
    <n v="92.18"/>
    <n v="17"/>
    <s v="On Time"/>
    <n v="16961.12"/>
    <s v="Jul"/>
    <n v="2025"/>
    <n v="16961.120000000003"/>
    <s v="Minor Delay"/>
  </r>
  <r>
    <n v="633"/>
    <d v="2025-12-23T00:00:00"/>
    <x v="5"/>
    <x v="4"/>
    <s v="PUS"/>
    <s v="Premium Economy"/>
    <n v="63"/>
    <n v="404.07"/>
    <n v="28"/>
    <s v="On Time"/>
    <n v="25456.41"/>
    <s v="Dec"/>
    <n v="2025"/>
    <n v="25456.41"/>
    <s v="Minor Delay"/>
  </r>
  <r>
    <n v="634"/>
    <d v="2025-01-10T00:00:00"/>
    <x v="4"/>
    <x v="3"/>
    <s v="GMP"/>
    <s v="Business"/>
    <n v="148"/>
    <n v="231.06"/>
    <n v="16"/>
    <s v="On Time"/>
    <n v="34196.879999999997"/>
    <s v="Jan"/>
    <n v="2025"/>
    <n v="34196.879999999997"/>
    <s v="Minor Delay"/>
  </r>
  <r>
    <n v="635"/>
    <d v="2025-09-06T00:00:00"/>
    <x v="5"/>
    <x v="0"/>
    <s v="BKK"/>
    <s v="Business"/>
    <n v="72"/>
    <n v="197.95"/>
    <n v="0"/>
    <s v="Delayed"/>
    <n v="14252.4"/>
    <s v="Sep"/>
    <n v="2025"/>
    <n v="14252.4"/>
    <s v="On Time"/>
  </r>
  <r>
    <n v="636"/>
    <d v="2025-05-07T00:00:00"/>
    <x v="5"/>
    <x v="5"/>
    <s v="GMP"/>
    <s v="Premium Economy"/>
    <n v="135"/>
    <n v="422.55"/>
    <n v="19"/>
    <s v="On Time"/>
    <n v="57044.25"/>
    <s v="May"/>
    <n v="2025"/>
    <n v="57044.25"/>
    <s v="Minor Delay"/>
  </r>
  <r>
    <n v="637"/>
    <d v="2025-12-17T00:00:00"/>
    <x v="4"/>
    <x v="5"/>
    <s v="BKK"/>
    <s v="Premium Economy"/>
    <n v="210"/>
    <n v="283.72000000000003"/>
    <n v="89"/>
    <s v="On Time"/>
    <n v="59581.2"/>
    <s v="Dec"/>
    <n v="2025"/>
    <n v="59581.200000000004"/>
    <s v="Major Delay"/>
  </r>
  <r>
    <n v="638"/>
    <d v="2025-07-18T00:00:00"/>
    <x v="1"/>
    <x v="5"/>
    <s v="KIX"/>
    <s v="Business"/>
    <n v="292"/>
    <n v="267.33999999999997"/>
    <n v="18"/>
    <s v="On Time"/>
    <n v="78063.28"/>
    <s v="Jul"/>
    <n v="2025"/>
    <n v="78063.28"/>
    <s v="Minor Delay"/>
  </r>
  <r>
    <n v="639"/>
    <d v="2025-02-14T00:00:00"/>
    <x v="3"/>
    <x v="1"/>
    <s v="CJU"/>
    <s v="Premium Economy"/>
    <n v="183"/>
    <n v="770.85"/>
    <n v="0"/>
    <s v="On Time"/>
    <n v="141065.54999999999"/>
    <s v="Feb"/>
    <n v="2025"/>
    <n v="141065.55000000002"/>
    <s v="On Time"/>
  </r>
  <r>
    <n v="640"/>
    <d v="2025-08-07T00:00:00"/>
    <x v="4"/>
    <x v="2"/>
    <s v="CJU"/>
    <s v="Business"/>
    <n v="134"/>
    <n v="392.39"/>
    <n v="0"/>
    <s v="On Time"/>
    <n v="52580.26"/>
    <s v="Aug"/>
    <n v="2025"/>
    <n v="52580.259999999995"/>
    <s v="On Time"/>
  </r>
  <r>
    <n v="641"/>
    <d v="2025-03-12T00:00:00"/>
    <x v="4"/>
    <x v="7"/>
    <s v="NRT"/>
    <s v="Business"/>
    <n v="230"/>
    <n v="725"/>
    <n v="42"/>
    <s v="Delayed"/>
    <n v="166750"/>
    <s v="Mar"/>
    <n v="2025"/>
    <n v="166750"/>
    <s v="Moderate Delay"/>
  </r>
  <r>
    <n v="642"/>
    <d v="2025-06-12T00:00:00"/>
    <x v="1"/>
    <x v="7"/>
    <s v="PUS"/>
    <s v="Business"/>
    <n v="186"/>
    <n v="761.97"/>
    <n v="5"/>
    <s v="On Time"/>
    <n v="141726.42000000001"/>
    <s v="Jun"/>
    <n v="2025"/>
    <n v="141726.42000000001"/>
    <s v="Minor Delay"/>
  </r>
  <r>
    <n v="643"/>
    <d v="2025-01-16T00:00:00"/>
    <x v="4"/>
    <x v="3"/>
    <s v="CJU"/>
    <s v="Premium Economy"/>
    <n v="296"/>
    <n v="364.33"/>
    <n v="0"/>
    <s v="Delayed"/>
    <n v="107841.68"/>
    <s v="Jan"/>
    <n v="2025"/>
    <n v="107841.68"/>
    <s v="On Time"/>
  </r>
  <r>
    <n v="644"/>
    <d v="2025-04-07T00:00:00"/>
    <x v="1"/>
    <x v="4"/>
    <s v="CJU"/>
    <s v="Economy"/>
    <n v="97"/>
    <n v="79.39"/>
    <n v="40"/>
    <s v="Cancelled"/>
    <n v="7700.83"/>
    <s v="Apr"/>
    <n v="2025"/>
    <n v="7700.83"/>
    <s v="Moderate Delay"/>
  </r>
  <r>
    <n v="645"/>
    <d v="2025-11-02T00:00:00"/>
    <x v="0"/>
    <x v="4"/>
    <s v="PUS"/>
    <s v="Economy"/>
    <n v="225"/>
    <n v="79.3"/>
    <n v="58"/>
    <s v="On Time"/>
    <n v="17842.5"/>
    <s v="Nov"/>
    <n v="2025"/>
    <n v="17842.5"/>
    <s v="Moderate Delay"/>
  </r>
  <r>
    <n v="646"/>
    <d v="2025-04-05T00:00:00"/>
    <x v="2"/>
    <x v="8"/>
    <s v="KIX"/>
    <s v="Premium Economy"/>
    <n v="171"/>
    <n v="161.76"/>
    <n v="40"/>
    <s v="On Time"/>
    <n v="27660.959999999999"/>
    <s v="Apr"/>
    <n v="2025"/>
    <n v="27660.959999999999"/>
    <s v="Moderate Delay"/>
  </r>
  <r>
    <n v="647"/>
    <d v="2025-01-08T00:00:00"/>
    <x v="4"/>
    <x v="5"/>
    <s v="MNL"/>
    <s v="Premium Economy"/>
    <n v="106"/>
    <n v="609.35"/>
    <n v="61"/>
    <s v="On Time"/>
    <n v="64591.1"/>
    <s v="Jan"/>
    <n v="2025"/>
    <n v="64591.100000000006"/>
    <s v="Major Delay"/>
  </r>
  <r>
    <n v="648"/>
    <d v="2025-12-19T00:00:00"/>
    <x v="4"/>
    <x v="8"/>
    <s v="SIN"/>
    <s v="Premium Economy"/>
    <n v="277"/>
    <n v="242.62"/>
    <n v="16"/>
    <s v="On Time"/>
    <n v="67205.740000000005"/>
    <s v="Dec"/>
    <n v="2025"/>
    <n v="67205.740000000005"/>
    <s v="Minor Delay"/>
  </r>
  <r>
    <n v="649"/>
    <d v="2025-06-10T00:00:00"/>
    <x v="2"/>
    <x v="5"/>
    <s v="MNL"/>
    <s v="Business"/>
    <n v="290"/>
    <n v="609.42999999999995"/>
    <n v="0"/>
    <s v="Delayed"/>
    <n v="176734.7"/>
    <s v="Jun"/>
    <n v="2025"/>
    <n v="176734.69999999998"/>
    <s v="On Time"/>
  </r>
  <r>
    <n v="650"/>
    <d v="2025-08-20T00:00:00"/>
    <x v="2"/>
    <x v="5"/>
    <s v="CJU"/>
    <s v="Economy"/>
    <n v="274"/>
    <n v="796.92"/>
    <n v="3"/>
    <s v="On Time"/>
    <n v="218356.08"/>
    <s v="Aug"/>
    <n v="2025"/>
    <n v="218356.08"/>
    <s v="Minor Delay"/>
  </r>
  <r>
    <n v="651"/>
    <d v="2025-10-13T00:00:00"/>
    <x v="2"/>
    <x v="1"/>
    <s v="ICN"/>
    <s v="Business"/>
    <n v="245"/>
    <n v="526.67999999999995"/>
    <n v="39"/>
    <s v="On Time"/>
    <n v="129036.6"/>
    <s v="Oct"/>
    <n v="2025"/>
    <n v="129036.59999999999"/>
    <s v="Moderate Delay"/>
  </r>
  <r>
    <n v="652"/>
    <d v="2025-08-25T00:00:00"/>
    <x v="0"/>
    <x v="4"/>
    <s v="KIX"/>
    <s v="Premium Economy"/>
    <n v="125"/>
    <n v="513.72"/>
    <n v="26"/>
    <s v="On Time"/>
    <n v="64215"/>
    <s v="Aug"/>
    <n v="2025"/>
    <n v="64215"/>
    <s v="Minor Delay"/>
  </r>
  <r>
    <n v="653"/>
    <d v="2025-08-26T00:00:00"/>
    <x v="3"/>
    <x v="6"/>
    <s v="CJU"/>
    <s v="Premium Economy"/>
    <n v="73"/>
    <n v="594.76"/>
    <n v="52"/>
    <s v="Delayed"/>
    <n v="43417.48"/>
    <s v="Aug"/>
    <n v="2025"/>
    <n v="43417.479999999996"/>
    <s v="Moderate Delay"/>
  </r>
  <r>
    <n v="654"/>
    <d v="2025-07-21T00:00:00"/>
    <x v="2"/>
    <x v="6"/>
    <s v="CJU"/>
    <s v="Premium Economy"/>
    <n v="165"/>
    <n v="78.430000000000007"/>
    <n v="48"/>
    <s v="On Time"/>
    <n v="12940.95"/>
    <s v="Jul"/>
    <n v="2025"/>
    <n v="12940.95"/>
    <s v="Moderate Delay"/>
  </r>
  <r>
    <n v="655"/>
    <d v="2025-02-16T00:00:00"/>
    <x v="4"/>
    <x v="2"/>
    <s v="SIN"/>
    <s v="Premium Economy"/>
    <n v="227"/>
    <n v="539.95000000000005"/>
    <n v="16"/>
    <s v="On Time"/>
    <n v="122568.65"/>
    <s v="Feb"/>
    <n v="2025"/>
    <n v="122568.65000000001"/>
    <s v="Minor Delay"/>
  </r>
  <r>
    <n v="656"/>
    <d v="2025-12-28T00:00:00"/>
    <x v="2"/>
    <x v="0"/>
    <s v="CJU"/>
    <s v="Business"/>
    <n v="142"/>
    <n v="123.13"/>
    <n v="5"/>
    <s v="On Time"/>
    <n v="17484.46"/>
    <s v="Dec"/>
    <n v="2025"/>
    <n v="17484.46"/>
    <s v="Minor Delay"/>
  </r>
  <r>
    <n v="657"/>
    <d v="2025-07-13T00:00:00"/>
    <x v="5"/>
    <x v="6"/>
    <s v="CJU"/>
    <s v="Premium Economy"/>
    <n v="61"/>
    <n v="628.51"/>
    <n v="47"/>
    <s v="On Time"/>
    <n v="38339.11"/>
    <s v="Jul"/>
    <n v="2025"/>
    <n v="38339.11"/>
    <s v="Moderate Delay"/>
  </r>
  <r>
    <n v="658"/>
    <d v="2025-03-16T00:00:00"/>
    <x v="0"/>
    <x v="7"/>
    <s v="PUS"/>
    <s v="Business"/>
    <n v="63"/>
    <n v="370.49"/>
    <n v="3"/>
    <s v="On Time"/>
    <n v="23340.87"/>
    <s v="Mar"/>
    <n v="2025"/>
    <n v="23340.87"/>
    <s v="Minor Delay"/>
  </r>
  <r>
    <n v="659"/>
    <d v="2025-11-17T00:00:00"/>
    <x v="0"/>
    <x v="8"/>
    <s v="NRT"/>
    <s v="Economy"/>
    <n v="280"/>
    <n v="157.36000000000001"/>
    <n v="30"/>
    <s v="On Time"/>
    <n v="44060.800000000003"/>
    <s v="Nov"/>
    <n v="2025"/>
    <n v="44060.800000000003"/>
    <s v="Minor Delay"/>
  </r>
  <r>
    <n v="660"/>
    <d v="2025-09-13T00:00:00"/>
    <x v="5"/>
    <x v="8"/>
    <s v="SIN"/>
    <s v="Economy"/>
    <n v="205"/>
    <n v="713.2"/>
    <n v="53"/>
    <s v="On Time"/>
    <n v="146206"/>
    <s v="Sep"/>
    <n v="2025"/>
    <n v="146206"/>
    <s v="Moderate Delay"/>
  </r>
  <r>
    <n v="661"/>
    <d v="2025-07-29T00:00:00"/>
    <x v="2"/>
    <x v="8"/>
    <s v="SIN"/>
    <s v="Economy"/>
    <n v="203"/>
    <n v="504.08"/>
    <n v="21"/>
    <s v="On Time"/>
    <n v="102328.24"/>
    <s v="Jul"/>
    <n v="2025"/>
    <n v="102328.23999999999"/>
    <s v="Minor Delay"/>
  </r>
  <r>
    <n v="662"/>
    <d v="2025-01-26T00:00:00"/>
    <x v="0"/>
    <x v="6"/>
    <s v="PUS"/>
    <s v="Economy"/>
    <n v="64"/>
    <n v="543.41999999999996"/>
    <n v="51"/>
    <s v="On Time"/>
    <n v="34778.879999999997"/>
    <s v="Jan"/>
    <n v="2025"/>
    <n v="34778.879999999997"/>
    <s v="Moderate Delay"/>
  </r>
  <r>
    <n v="663"/>
    <d v="2025-06-19T00:00:00"/>
    <x v="1"/>
    <x v="5"/>
    <s v="KIX"/>
    <s v="Economy"/>
    <n v="77"/>
    <n v="368.55"/>
    <n v="36"/>
    <s v="On Time"/>
    <n v="28378.35"/>
    <s v="Jun"/>
    <n v="2025"/>
    <n v="28378.350000000002"/>
    <s v="Moderate Delay"/>
  </r>
  <r>
    <n v="664"/>
    <d v="2025-08-22T00:00:00"/>
    <x v="3"/>
    <x v="6"/>
    <s v="CJU"/>
    <s v="Business"/>
    <n v="142"/>
    <n v="749.3"/>
    <n v="53"/>
    <s v="On Time"/>
    <n v="106400.6"/>
    <s v="Aug"/>
    <n v="2025"/>
    <n v="106400.59999999999"/>
    <s v="Moderate Delay"/>
  </r>
  <r>
    <n v="665"/>
    <d v="2025-07-08T00:00:00"/>
    <x v="2"/>
    <x v="4"/>
    <s v="BKK"/>
    <s v="Economy"/>
    <n v="244"/>
    <n v="376.22"/>
    <n v="0"/>
    <s v="On Time"/>
    <n v="91797.68"/>
    <s v="Jul"/>
    <n v="2025"/>
    <n v="91797.680000000008"/>
    <s v="On Time"/>
  </r>
  <r>
    <n v="666"/>
    <d v="2025-09-27T00:00:00"/>
    <x v="2"/>
    <x v="4"/>
    <s v="BKK"/>
    <s v="Business"/>
    <n v="103"/>
    <n v="574.91"/>
    <n v="13"/>
    <s v="On Time"/>
    <n v="59215.73"/>
    <s v="Sep"/>
    <n v="2025"/>
    <n v="59215.729999999996"/>
    <s v="Minor Delay"/>
  </r>
  <r>
    <n v="667"/>
    <d v="2025-09-05T00:00:00"/>
    <x v="3"/>
    <x v="0"/>
    <s v="CJU"/>
    <s v="Business"/>
    <n v="204"/>
    <n v="751.08"/>
    <n v="40"/>
    <s v="On Time"/>
    <n v="153220.32"/>
    <s v="Sep"/>
    <n v="2025"/>
    <n v="153220.32"/>
    <s v="Moderate Delay"/>
  </r>
  <r>
    <n v="668"/>
    <d v="2025-09-27T00:00:00"/>
    <x v="5"/>
    <x v="3"/>
    <s v="NRT"/>
    <s v="Business"/>
    <n v="140"/>
    <n v="746.06"/>
    <n v="18"/>
    <s v="On Time"/>
    <n v="104448.4"/>
    <s v="Sep"/>
    <n v="2025"/>
    <n v="104448.4"/>
    <s v="Minor Delay"/>
  </r>
  <r>
    <n v="669"/>
    <d v="2025-09-10T00:00:00"/>
    <x v="0"/>
    <x v="8"/>
    <s v="SIN"/>
    <s v="Business"/>
    <n v="109"/>
    <n v="584.35"/>
    <n v="21"/>
    <s v="On Time"/>
    <n v="63694.15"/>
    <s v="Sep"/>
    <n v="2025"/>
    <n v="63694.15"/>
    <s v="Minor Delay"/>
  </r>
  <r>
    <n v="670"/>
    <d v="2025-11-12T00:00:00"/>
    <x v="2"/>
    <x v="0"/>
    <s v="NRT"/>
    <s v="Premium Economy"/>
    <n v="61"/>
    <n v="307.01"/>
    <n v="19"/>
    <s v="On Time"/>
    <n v="18727.61"/>
    <s v="Nov"/>
    <n v="2025"/>
    <n v="18727.61"/>
    <s v="Minor Delay"/>
  </r>
  <r>
    <n v="671"/>
    <d v="2025-11-24T00:00:00"/>
    <x v="0"/>
    <x v="2"/>
    <s v="ICN"/>
    <s v="Business"/>
    <n v="122"/>
    <n v="248.27"/>
    <n v="39"/>
    <s v="On Time"/>
    <n v="30288.94"/>
    <s v="Nov"/>
    <n v="2025"/>
    <n v="30288.940000000002"/>
    <s v="Moderate Delay"/>
  </r>
  <r>
    <n v="672"/>
    <d v="2025-12-18T00:00:00"/>
    <x v="4"/>
    <x v="5"/>
    <s v="CJU"/>
    <s v="Premium Economy"/>
    <n v="151"/>
    <n v="596.04999999999995"/>
    <n v="28"/>
    <s v="On Time"/>
    <n v="90003.55"/>
    <s v="Dec"/>
    <n v="2025"/>
    <n v="90003.549999999988"/>
    <s v="Minor Delay"/>
  </r>
  <r>
    <n v="673"/>
    <d v="2025-04-10T00:00:00"/>
    <x v="4"/>
    <x v="5"/>
    <s v="PUS"/>
    <s v="Premium Economy"/>
    <n v="286"/>
    <n v="557.63"/>
    <n v="58"/>
    <s v="On Time"/>
    <n v="159482.18"/>
    <s v="Apr"/>
    <n v="2025"/>
    <n v="159482.18"/>
    <s v="Moderate Delay"/>
  </r>
  <r>
    <n v="674"/>
    <d v="2025-11-18T00:00:00"/>
    <x v="2"/>
    <x v="8"/>
    <s v="CJU"/>
    <s v="Business"/>
    <n v="279"/>
    <n v="307.98"/>
    <n v="0"/>
    <s v="On Time"/>
    <n v="85926.42"/>
    <s v="Nov"/>
    <n v="2025"/>
    <n v="85926.42"/>
    <s v="On Time"/>
  </r>
  <r>
    <n v="675"/>
    <d v="2025-09-24T00:00:00"/>
    <x v="4"/>
    <x v="1"/>
    <s v="ICN"/>
    <s v="Business"/>
    <n v="235"/>
    <n v="561.87"/>
    <n v="15"/>
    <s v="On Time"/>
    <n v="132039.45000000001"/>
    <s v="Sep"/>
    <n v="2025"/>
    <n v="132039.45000000001"/>
    <s v="Minor Delay"/>
  </r>
  <r>
    <n v="676"/>
    <d v="2025-02-03T00:00:00"/>
    <x v="0"/>
    <x v="3"/>
    <s v="BKK"/>
    <s v="Premium Economy"/>
    <n v="265"/>
    <n v="83.07"/>
    <n v="18"/>
    <s v="Cancelled"/>
    <n v="22013.55"/>
    <s v="Feb"/>
    <n v="2025"/>
    <n v="22013.55"/>
    <s v="Minor Delay"/>
  </r>
  <r>
    <n v="677"/>
    <d v="2025-10-20T00:00:00"/>
    <x v="5"/>
    <x v="6"/>
    <s v="CJU"/>
    <s v="Premium Economy"/>
    <n v="97"/>
    <n v="500.44"/>
    <n v="47"/>
    <s v="On Time"/>
    <n v="48542.68"/>
    <s v="Oct"/>
    <n v="2025"/>
    <n v="48542.68"/>
    <s v="Moderate Delay"/>
  </r>
  <r>
    <n v="678"/>
    <d v="2025-05-20T00:00:00"/>
    <x v="2"/>
    <x v="3"/>
    <s v="ICN"/>
    <s v="Economy"/>
    <n v="177"/>
    <n v="709.02"/>
    <n v="0"/>
    <s v="On Time"/>
    <n v="125496.54"/>
    <s v="May"/>
    <n v="2025"/>
    <n v="125496.54"/>
    <s v="On Time"/>
  </r>
  <r>
    <n v="679"/>
    <d v="2025-09-26T00:00:00"/>
    <x v="4"/>
    <x v="4"/>
    <s v="PUS"/>
    <s v="Economy"/>
    <n v="78"/>
    <n v="336.92"/>
    <n v="36"/>
    <s v="On Time"/>
    <n v="26279.759999999998"/>
    <s v="Sep"/>
    <n v="2025"/>
    <n v="26279.760000000002"/>
    <s v="Moderate Delay"/>
  </r>
  <r>
    <n v="680"/>
    <d v="2025-09-05T00:00:00"/>
    <x v="5"/>
    <x v="6"/>
    <s v="ICN"/>
    <s v="Economy"/>
    <n v="98"/>
    <n v="311.69"/>
    <n v="23"/>
    <s v="On Time"/>
    <n v="30545.62"/>
    <s v="Sep"/>
    <n v="2025"/>
    <n v="30545.62"/>
    <s v="Minor Delay"/>
  </r>
  <r>
    <n v="681"/>
    <d v="2025-06-17T00:00:00"/>
    <x v="0"/>
    <x v="6"/>
    <s v="NRT"/>
    <s v="Economy"/>
    <n v="260"/>
    <n v="786.88"/>
    <n v="0"/>
    <s v="On Time"/>
    <n v="204588.79999999999"/>
    <s v="Jun"/>
    <n v="2025"/>
    <n v="204588.79999999999"/>
    <s v="On Time"/>
  </r>
  <r>
    <n v="682"/>
    <d v="2025-07-18T00:00:00"/>
    <x v="3"/>
    <x v="5"/>
    <s v="SIN"/>
    <s v="Business"/>
    <n v="79"/>
    <n v="63.04"/>
    <n v="12"/>
    <s v="Delayed"/>
    <n v="4980.16"/>
    <s v="Jul"/>
    <n v="2025"/>
    <n v="4980.16"/>
    <s v="Minor Delay"/>
  </r>
  <r>
    <n v="683"/>
    <d v="2025-08-28T00:00:00"/>
    <x v="1"/>
    <x v="0"/>
    <s v="BKK"/>
    <s v="Economy"/>
    <n v="183"/>
    <n v="626.97"/>
    <n v="19"/>
    <s v="On Time"/>
    <n v="114735.51"/>
    <s v="Aug"/>
    <n v="2025"/>
    <n v="114735.51000000001"/>
    <s v="Minor Delay"/>
  </r>
  <r>
    <n v="684"/>
    <d v="2025-04-13T00:00:00"/>
    <x v="0"/>
    <x v="2"/>
    <s v="BKK"/>
    <s v="Premium Economy"/>
    <n v="120"/>
    <n v="453.88"/>
    <n v="14"/>
    <s v="On Time"/>
    <n v="54465.599999999999"/>
    <s v="Apr"/>
    <n v="2025"/>
    <n v="54465.599999999999"/>
    <s v="Minor Delay"/>
  </r>
  <r>
    <n v="685"/>
    <d v="2025-03-18T00:00:00"/>
    <x v="0"/>
    <x v="0"/>
    <s v="KIX"/>
    <s v="Premium Economy"/>
    <n v="79"/>
    <n v="71.290000000000006"/>
    <n v="0"/>
    <s v="On Time"/>
    <n v="5631.91"/>
    <s v="Mar"/>
    <n v="2025"/>
    <n v="5631.9100000000008"/>
    <s v="On Time"/>
  </r>
  <r>
    <n v="686"/>
    <d v="2025-05-19T00:00:00"/>
    <x v="0"/>
    <x v="3"/>
    <s v="BKK"/>
    <s v="Business"/>
    <n v="255"/>
    <n v="269.62"/>
    <n v="0"/>
    <s v="On Time"/>
    <n v="68753.100000000006"/>
    <s v="May"/>
    <n v="2025"/>
    <n v="68753.100000000006"/>
    <s v="On Time"/>
  </r>
  <r>
    <n v="687"/>
    <d v="2025-11-10T00:00:00"/>
    <x v="4"/>
    <x v="0"/>
    <s v="KIX"/>
    <s v="Business"/>
    <n v="163"/>
    <n v="97.54"/>
    <n v="73"/>
    <s v="On Time"/>
    <n v="15899.02"/>
    <s v="Nov"/>
    <n v="2025"/>
    <n v="15899.02"/>
    <s v="Major Delay"/>
  </r>
  <r>
    <n v="688"/>
    <d v="2025-02-14T00:00:00"/>
    <x v="2"/>
    <x v="1"/>
    <s v="ICN"/>
    <s v="Premium Economy"/>
    <n v="95"/>
    <n v="581.46"/>
    <n v="29"/>
    <s v="Delayed"/>
    <n v="55238.7"/>
    <s v="Feb"/>
    <n v="2025"/>
    <n v="55238.700000000004"/>
    <s v="Minor Delay"/>
  </r>
  <r>
    <n v="689"/>
    <d v="2025-06-09T00:00:00"/>
    <x v="4"/>
    <x v="8"/>
    <s v="KIX"/>
    <s v="Economy"/>
    <n v="232"/>
    <n v="621.22"/>
    <n v="23"/>
    <s v="Delayed"/>
    <n v="144123.04"/>
    <s v="Jun"/>
    <n v="2025"/>
    <n v="144123.04"/>
    <s v="Minor Delay"/>
  </r>
  <r>
    <n v="690"/>
    <d v="2025-02-17T00:00:00"/>
    <x v="3"/>
    <x v="8"/>
    <s v="CJU"/>
    <s v="Premium Economy"/>
    <n v="74"/>
    <n v="397.13"/>
    <n v="10"/>
    <s v="On Time"/>
    <n v="29387.62"/>
    <s v="Feb"/>
    <n v="2025"/>
    <n v="29387.62"/>
    <s v="Minor Delay"/>
  </r>
  <r>
    <n v="691"/>
    <d v="2025-04-29T00:00:00"/>
    <x v="0"/>
    <x v="8"/>
    <s v="SIN"/>
    <s v="Economy"/>
    <n v="270"/>
    <n v="722.82"/>
    <n v="18"/>
    <s v="On Time"/>
    <n v="195161.4"/>
    <s v="Apr"/>
    <n v="2025"/>
    <n v="195161.40000000002"/>
    <s v="Minor Delay"/>
  </r>
  <r>
    <n v="692"/>
    <d v="2025-08-21T00:00:00"/>
    <x v="2"/>
    <x v="3"/>
    <s v="BKK"/>
    <s v="Economy"/>
    <n v="66"/>
    <n v="411.75"/>
    <n v="43"/>
    <s v="On Time"/>
    <n v="27175.5"/>
    <s v="Aug"/>
    <n v="2025"/>
    <n v="27175.5"/>
    <s v="Moderate Delay"/>
  </r>
  <r>
    <n v="693"/>
    <d v="2025-05-25T00:00:00"/>
    <x v="4"/>
    <x v="8"/>
    <s v="CJU"/>
    <s v="Business"/>
    <n v="197"/>
    <n v="154.27000000000001"/>
    <n v="56"/>
    <s v="On Time"/>
    <n v="30391.19"/>
    <s v="May"/>
    <n v="2025"/>
    <n v="30391.190000000002"/>
    <s v="Moderate Delay"/>
  </r>
  <r>
    <n v="694"/>
    <d v="2025-06-04T00:00:00"/>
    <x v="5"/>
    <x v="3"/>
    <s v="GMP"/>
    <s v="Premium Economy"/>
    <n v="152"/>
    <n v="497"/>
    <n v="47"/>
    <s v="On Time"/>
    <n v="75544"/>
    <s v="Jun"/>
    <n v="2025"/>
    <n v="75544"/>
    <s v="Moderate Delay"/>
  </r>
  <r>
    <n v="695"/>
    <d v="2025-09-04T00:00:00"/>
    <x v="2"/>
    <x v="2"/>
    <s v="CJU"/>
    <s v="Economy"/>
    <n v="137"/>
    <n v="214.1"/>
    <n v="10"/>
    <s v="Cancelled"/>
    <n v="29331.7"/>
    <s v="Sep"/>
    <n v="2025"/>
    <n v="29331.7"/>
    <s v="Minor Delay"/>
  </r>
  <r>
    <n v="696"/>
    <d v="2025-03-30T00:00:00"/>
    <x v="3"/>
    <x v="3"/>
    <s v="PUS"/>
    <s v="Business"/>
    <n v="69"/>
    <n v="607.13"/>
    <n v="0"/>
    <s v="On Time"/>
    <n v="41891.97"/>
    <s v="Mar"/>
    <n v="2025"/>
    <n v="41891.97"/>
    <s v="On Time"/>
  </r>
  <r>
    <n v="697"/>
    <d v="2025-10-31T00:00:00"/>
    <x v="5"/>
    <x v="8"/>
    <s v="GMP"/>
    <s v="Premium Economy"/>
    <n v="133"/>
    <n v="470.76"/>
    <n v="26"/>
    <s v="Delayed"/>
    <n v="62611.08"/>
    <s v="Oct"/>
    <n v="2025"/>
    <n v="62611.08"/>
    <s v="Minor Delay"/>
  </r>
  <r>
    <n v="698"/>
    <d v="2025-12-17T00:00:00"/>
    <x v="5"/>
    <x v="0"/>
    <s v="CJU"/>
    <s v="Premium Economy"/>
    <n v="133"/>
    <n v="425.78"/>
    <n v="6"/>
    <s v="On Time"/>
    <n v="56628.74"/>
    <s v="Dec"/>
    <n v="2025"/>
    <n v="56628.74"/>
    <s v="Minor Delay"/>
  </r>
  <r>
    <n v="699"/>
    <d v="2025-03-13T00:00:00"/>
    <x v="5"/>
    <x v="0"/>
    <s v="NRT"/>
    <s v="Business"/>
    <n v="257"/>
    <n v="60.14"/>
    <n v="28"/>
    <s v="On Time"/>
    <n v="15455.98"/>
    <s v="Mar"/>
    <n v="2025"/>
    <n v="15455.98"/>
    <s v="Minor Delay"/>
  </r>
  <r>
    <n v="700"/>
    <d v="2025-04-11T00:00:00"/>
    <x v="0"/>
    <x v="1"/>
    <s v="SIN"/>
    <s v="Business"/>
    <n v="274"/>
    <n v="294.27999999999997"/>
    <n v="31"/>
    <s v="On Time"/>
    <n v="80632.72"/>
    <s v="Apr"/>
    <n v="2025"/>
    <n v="80632.719999999987"/>
    <s v="Moderate Delay"/>
  </r>
  <r>
    <n v="701"/>
    <d v="2025-06-26T00:00:00"/>
    <x v="1"/>
    <x v="4"/>
    <s v="MNL"/>
    <s v="Business"/>
    <n v="52"/>
    <n v="512.5"/>
    <n v="0"/>
    <s v="Delayed"/>
    <n v="26650"/>
    <s v="Jun"/>
    <n v="2025"/>
    <n v="26650"/>
    <s v="On Time"/>
  </r>
  <r>
    <n v="702"/>
    <d v="2025-10-09T00:00:00"/>
    <x v="1"/>
    <x v="5"/>
    <s v="BKK"/>
    <s v="Economy"/>
    <n v="230"/>
    <n v="474.42"/>
    <n v="16"/>
    <s v="Delayed"/>
    <n v="109116.6"/>
    <s v="Oct"/>
    <n v="2025"/>
    <n v="109116.6"/>
    <s v="Minor Delay"/>
  </r>
  <r>
    <n v="703"/>
    <d v="2025-01-16T00:00:00"/>
    <x v="0"/>
    <x v="0"/>
    <s v="KIX"/>
    <s v="Premium Economy"/>
    <n v="229"/>
    <n v="496.72"/>
    <n v="0"/>
    <s v="On Time"/>
    <n v="113748.88"/>
    <s v="Jan"/>
    <n v="2025"/>
    <n v="113748.88"/>
    <s v="On Time"/>
  </r>
  <r>
    <n v="704"/>
    <d v="2025-12-06T00:00:00"/>
    <x v="0"/>
    <x v="1"/>
    <s v="PUS"/>
    <s v="Premium Economy"/>
    <n v="85"/>
    <n v="199.29"/>
    <n v="0"/>
    <s v="On Time"/>
    <n v="16939.650000000001"/>
    <s v="Dec"/>
    <n v="2025"/>
    <n v="16939.649999999998"/>
    <s v="On Time"/>
  </r>
  <r>
    <n v="705"/>
    <d v="2025-03-20T00:00:00"/>
    <x v="4"/>
    <x v="3"/>
    <s v="MNL"/>
    <s v="Business"/>
    <n v="82"/>
    <n v="159.37"/>
    <n v="24"/>
    <s v="On Time"/>
    <n v="13068.34"/>
    <s v="Mar"/>
    <n v="2025"/>
    <n v="13068.34"/>
    <s v="Minor Delay"/>
  </r>
  <r>
    <n v="706"/>
    <d v="2025-03-11T00:00:00"/>
    <x v="1"/>
    <x v="8"/>
    <s v="BKK"/>
    <s v="Economy"/>
    <n v="214"/>
    <n v="656.4"/>
    <n v="21"/>
    <s v="Delayed"/>
    <n v="140469.6"/>
    <s v="Mar"/>
    <n v="2025"/>
    <n v="140469.6"/>
    <s v="Minor Delay"/>
  </r>
  <r>
    <n v="707"/>
    <d v="2025-08-21T00:00:00"/>
    <x v="5"/>
    <x v="1"/>
    <s v="CJU"/>
    <s v="Premium Economy"/>
    <n v="191"/>
    <n v="666.85"/>
    <n v="6"/>
    <s v="On Time"/>
    <n v="127368.35"/>
    <s v="Aug"/>
    <n v="2025"/>
    <n v="127368.35"/>
    <s v="Minor Delay"/>
  </r>
  <r>
    <n v="708"/>
    <d v="2025-05-02T00:00:00"/>
    <x v="3"/>
    <x v="5"/>
    <s v="SIN"/>
    <s v="Business"/>
    <n v="118"/>
    <n v="364.02"/>
    <n v="31"/>
    <s v="On Time"/>
    <n v="42954.36"/>
    <s v="May"/>
    <n v="2025"/>
    <n v="42954.36"/>
    <s v="Moderate Delay"/>
  </r>
  <r>
    <n v="709"/>
    <d v="2025-01-20T00:00:00"/>
    <x v="5"/>
    <x v="3"/>
    <s v="ICN"/>
    <s v="Premium Economy"/>
    <n v="230"/>
    <n v="332.75"/>
    <n v="0"/>
    <s v="On Time"/>
    <n v="76532.5"/>
    <s v="Jan"/>
    <n v="2025"/>
    <n v="76532.5"/>
    <s v="On Time"/>
  </r>
  <r>
    <n v="710"/>
    <d v="2025-08-27T00:00:00"/>
    <x v="5"/>
    <x v="6"/>
    <s v="NRT"/>
    <s v="Economy"/>
    <n v="183"/>
    <n v="718.54"/>
    <n v="0"/>
    <s v="On Time"/>
    <n v="131492.82"/>
    <s v="Aug"/>
    <n v="2025"/>
    <n v="131492.82"/>
    <s v="On Time"/>
  </r>
  <r>
    <n v="711"/>
    <d v="2025-12-17T00:00:00"/>
    <x v="3"/>
    <x v="8"/>
    <s v="GMP"/>
    <s v="Business"/>
    <n v="254"/>
    <n v="488.93"/>
    <n v="0"/>
    <s v="On Time"/>
    <n v="124188.22"/>
    <s v="Dec"/>
    <n v="2025"/>
    <n v="124188.22"/>
    <s v="On Time"/>
  </r>
  <r>
    <n v="712"/>
    <d v="2025-08-21T00:00:00"/>
    <x v="5"/>
    <x v="5"/>
    <s v="SIN"/>
    <s v="Premium Economy"/>
    <n v="196"/>
    <n v="603.02"/>
    <n v="0"/>
    <s v="On Time"/>
    <n v="118191.92"/>
    <s v="Aug"/>
    <n v="2025"/>
    <n v="118191.92"/>
    <s v="On Time"/>
  </r>
  <r>
    <n v="713"/>
    <d v="2025-03-27T00:00:00"/>
    <x v="1"/>
    <x v="4"/>
    <s v="KIX"/>
    <s v="Business"/>
    <n v="286"/>
    <n v="502.25"/>
    <n v="5"/>
    <s v="On Time"/>
    <n v="143643.5"/>
    <s v="Mar"/>
    <n v="2025"/>
    <n v="143643.5"/>
    <s v="Minor Delay"/>
  </r>
  <r>
    <n v="714"/>
    <d v="2025-10-21T00:00:00"/>
    <x v="1"/>
    <x v="8"/>
    <s v="CJU"/>
    <s v="Business"/>
    <n v="124"/>
    <n v="658.58"/>
    <n v="61"/>
    <s v="On Time"/>
    <n v="81663.92"/>
    <s v="Oct"/>
    <n v="2025"/>
    <n v="81663.92"/>
    <s v="Major Delay"/>
  </r>
  <r>
    <n v="715"/>
    <d v="2025-02-12T00:00:00"/>
    <x v="0"/>
    <x v="4"/>
    <s v="SIN"/>
    <s v="Business"/>
    <n v="69"/>
    <n v="690.07"/>
    <n v="17"/>
    <s v="On Time"/>
    <n v="47614.83"/>
    <s v="Feb"/>
    <n v="2025"/>
    <n v="47614.83"/>
    <s v="Minor Delay"/>
  </r>
  <r>
    <n v="716"/>
    <d v="2025-02-27T00:00:00"/>
    <x v="5"/>
    <x v="4"/>
    <s v="ICN"/>
    <s v="Economy"/>
    <n v="282"/>
    <n v="497.91"/>
    <n v="33"/>
    <s v="On Time"/>
    <n v="140410.62"/>
    <s v="Feb"/>
    <n v="2025"/>
    <n v="140410.62"/>
    <s v="Moderate Delay"/>
  </r>
  <r>
    <n v="717"/>
    <d v="2025-03-31T00:00:00"/>
    <x v="4"/>
    <x v="8"/>
    <s v="KIX"/>
    <s v="Business"/>
    <n v="110"/>
    <n v="418.84"/>
    <n v="35"/>
    <s v="On Time"/>
    <n v="46072.4"/>
    <s v="Mar"/>
    <n v="2025"/>
    <n v="46072.399999999994"/>
    <s v="Moderate Delay"/>
  </r>
  <r>
    <n v="718"/>
    <d v="2025-11-01T00:00:00"/>
    <x v="0"/>
    <x v="0"/>
    <s v="PUS"/>
    <s v="Premium Economy"/>
    <n v="242"/>
    <n v="795.25"/>
    <n v="0"/>
    <s v="On Time"/>
    <n v="192450.5"/>
    <s v="Nov"/>
    <n v="2025"/>
    <n v="192450.5"/>
    <s v="On Time"/>
  </r>
  <r>
    <n v="719"/>
    <d v="2025-11-23T00:00:00"/>
    <x v="0"/>
    <x v="2"/>
    <s v="SIN"/>
    <s v="Economy"/>
    <n v="197"/>
    <n v="603.42999999999995"/>
    <n v="0"/>
    <s v="On Time"/>
    <n v="118875.71"/>
    <s v="Nov"/>
    <n v="2025"/>
    <n v="118875.70999999999"/>
    <s v="On Time"/>
  </r>
  <r>
    <n v="720"/>
    <d v="2025-03-27T00:00:00"/>
    <x v="2"/>
    <x v="0"/>
    <s v="ICN"/>
    <s v="Premium Economy"/>
    <n v="171"/>
    <n v="283.01"/>
    <n v="49"/>
    <s v="On Time"/>
    <n v="48394.71"/>
    <s v="Mar"/>
    <n v="2025"/>
    <n v="48394.71"/>
    <s v="Moderate Delay"/>
  </r>
  <r>
    <n v="721"/>
    <d v="2025-07-14T00:00:00"/>
    <x v="3"/>
    <x v="6"/>
    <s v="PUS"/>
    <s v="Business"/>
    <n v="149"/>
    <n v="411.2"/>
    <n v="50"/>
    <s v="On Time"/>
    <n v="61268.800000000003"/>
    <s v="Jul"/>
    <n v="2025"/>
    <n v="61268.799999999996"/>
    <s v="Moderate Delay"/>
  </r>
  <r>
    <n v="722"/>
    <d v="2025-12-14T00:00:00"/>
    <x v="4"/>
    <x v="8"/>
    <s v="BKK"/>
    <s v="Business"/>
    <n v="224"/>
    <n v="767.34"/>
    <n v="59"/>
    <s v="On Time"/>
    <n v="171884.16"/>
    <s v="Dec"/>
    <n v="2025"/>
    <n v="171884.16"/>
    <s v="Moderate Delay"/>
  </r>
  <r>
    <n v="723"/>
    <d v="2025-08-10T00:00:00"/>
    <x v="5"/>
    <x v="6"/>
    <s v="KIX"/>
    <s v="Business"/>
    <n v="269"/>
    <n v="261.72000000000003"/>
    <n v="14"/>
    <s v="On Time"/>
    <n v="70402.679999999993"/>
    <s v="Aug"/>
    <n v="2025"/>
    <n v="70402.680000000008"/>
    <s v="Minor Delay"/>
  </r>
  <r>
    <n v="724"/>
    <d v="2025-12-12T00:00:00"/>
    <x v="3"/>
    <x v="1"/>
    <s v="SIN"/>
    <s v="Economy"/>
    <n v="237"/>
    <n v="557.20000000000005"/>
    <n v="64"/>
    <s v="On Time"/>
    <n v="132056.4"/>
    <s v="Dec"/>
    <n v="2025"/>
    <n v="132056.40000000002"/>
    <s v="Major Delay"/>
  </r>
  <r>
    <n v="725"/>
    <d v="2025-12-13T00:00:00"/>
    <x v="3"/>
    <x v="6"/>
    <s v="KIX"/>
    <s v="Economy"/>
    <n v="130"/>
    <n v="465.23"/>
    <n v="0"/>
    <s v="On Time"/>
    <n v="60479.9"/>
    <s v="Dec"/>
    <n v="2025"/>
    <n v="60479.9"/>
    <s v="On Time"/>
  </r>
  <r>
    <n v="726"/>
    <d v="2025-12-17T00:00:00"/>
    <x v="2"/>
    <x v="0"/>
    <s v="CJU"/>
    <s v="Premium Economy"/>
    <n v="106"/>
    <n v="596.69000000000005"/>
    <n v="0"/>
    <s v="On Time"/>
    <n v="63249.14"/>
    <s v="Dec"/>
    <n v="2025"/>
    <n v="63249.140000000007"/>
    <s v="On Time"/>
  </r>
  <r>
    <n v="727"/>
    <d v="2025-11-14T00:00:00"/>
    <x v="1"/>
    <x v="5"/>
    <s v="GMP"/>
    <s v="Economy"/>
    <n v="290"/>
    <n v="499.66"/>
    <n v="33"/>
    <s v="On Time"/>
    <n v="144901.4"/>
    <s v="Nov"/>
    <n v="2025"/>
    <n v="144901.4"/>
    <s v="Moderate Delay"/>
  </r>
  <r>
    <n v="728"/>
    <d v="2025-02-14T00:00:00"/>
    <x v="5"/>
    <x v="0"/>
    <s v="CJU"/>
    <s v="Economy"/>
    <n v="146"/>
    <n v="545.73"/>
    <n v="9"/>
    <s v="Delayed"/>
    <n v="79676.58"/>
    <s v="Feb"/>
    <n v="2025"/>
    <n v="79676.58"/>
    <s v="Minor Delay"/>
  </r>
  <r>
    <n v="729"/>
    <d v="2025-12-23T00:00:00"/>
    <x v="0"/>
    <x v="7"/>
    <s v="GMP"/>
    <s v="Premium Economy"/>
    <n v="125"/>
    <n v="405.55"/>
    <n v="52"/>
    <s v="Delayed"/>
    <n v="50693.75"/>
    <s v="Dec"/>
    <n v="2025"/>
    <n v="50693.75"/>
    <s v="Moderate Delay"/>
  </r>
  <r>
    <n v="730"/>
    <d v="2025-12-21T00:00:00"/>
    <x v="3"/>
    <x v="4"/>
    <s v="MNL"/>
    <s v="Premium Economy"/>
    <n v="115"/>
    <n v="179.85"/>
    <n v="6"/>
    <s v="On Time"/>
    <n v="20682.75"/>
    <s v="Dec"/>
    <n v="2025"/>
    <n v="20682.75"/>
    <s v="Minor Delay"/>
  </r>
  <r>
    <n v="731"/>
    <d v="2025-07-18T00:00:00"/>
    <x v="4"/>
    <x v="5"/>
    <s v="MNL"/>
    <s v="Economy"/>
    <n v="116"/>
    <n v="767.15"/>
    <n v="17"/>
    <s v="On Time"/>
    <n v="88989.4"/>
    <s v="Jul"/>
    <n v="2025"/>
    <n v="88989.4"/>
    <s v="Minor Delay"/>
  </r>
  <r>
    <n v="732"/>
    <d v="2025-04-02T00:00:00"/>
    <x v="3"/>
    <x v="2"/>
    <s v="MNL"/>
    <s v="Premium Economy"/>
    <n v="77"/>
    <n v="166.47"/>
    <n v="46"/>
    <s v="On Time"/>
    <n v="12818.19"/>
    <s v="Apr"/>
    <n v="2025"/>
    <n v="12818.19"/>
    <s v="Moderate Delay"/>
  </r>
  <r>
    <n v="733"/>
    <d v="2025-08-15T00:00:00"/>
    <x v="3"/>
    <x v="2"/>
    <s v="GMP"/>
    <s v="Premium Economy"/>
    <n v="76"/>
    <n v="85.8"/>
    <n v="56"/>
    <s v="On Time"/>
    <n v="6520.8"/>
    <s v="Aug"/>
    <n v="2025"/>
    <n v="6520.8"/>
    <s v="Moderate Delay"/>
  </r>
  <r>
    <n v="734"/>
    <d v="2025-03-18T00:00:00"/>
    <x v="3"/>
    <x v="5"/>
    <s v="SIN"/>
    <s v="Business"/>
    <n v="50"/>
    <n v="750.34"/>
    <n v="37"/>
    <s v="On Time"/>
    <n v="37517"/>
    <s v="Mar"/>
    <n v="2025"/>
    <n v="37517"/>
    <s v="Moderate Delay"/>
  </r>
  <r>
    <n v="735"/>
    <d v="2025-12-25T00:00:00"/>
    <x v="4"/>
    <x v="4"/>
    <s v="CJU"/>
    <s v="Premium Economy"/>
    <n v="197"/>
    <n v="62.74"/>
    <n v="8"/>
    <s v="On Time"/>
    <n v="12359.78"/>
    <s v="Dec"/>
    <n v="2025"/>
    <n v="12359.78"/>
    <s v="Minor Delay"/>
  </r>
  <r>
    <n v="736"/>
    <d v="2025-10-04T00:00:00"/>
    <x v="0"/>
    <x v="1"/>
    <s v="GMP"/>
    <s v="Economy"/>
    <n v="148"/>
    <n v="766.07"/>
    <n v="0"/>
    <s v="Delayed"/>
    <n v="113378.36"/>
    <s v="Oct"/>
    <n v="2025"/>
    <n v="113378.36"/>
    <s v="On Time"/>
  </r>
  <r>
    <n v="737"/>
    <d v="2025-10-18T00:00:00"/>
    <x v="5"/>
    <x v="8"/>
    <s v="GMP"/>
    <s v="Premium Economy"/>
    <n v="135"/>
    <n v="564.55999999999995"/>
    <n v="0"/>
    <s v="Delayed"/>
    <n v="76215.600000000006"/>
    <s v="Oct"/>
    <n v="2025"/>
    <n v="76215.599999999991"/>
    <s v="On Time"/>
  </r>
  <r>
    <n v="738"/>
    <d v="2025-10-01T00:00:00"/>
    <x v="4"/>
    <x v="0"/>
    <s v="BKK"/>
    <s v="Economy"/>
    <n v="265"/>
    <n v="400.13"/>
    <n v="40"/>
    <s v="On Time"/>
    <n v="106034.45"/>
    <s v="Oct"/>
    <n v="2025"/>
    <n v="106034.45"/>
    <s v="Moderate Delay"/>
  </r>
  <r>
    <n v="739"/>
    <d v="2025-10-11T00:00:00"/>
    <x v="1"/>
    <x v="2"/>
    <s v="CJU"/>
    <s v="Premium Economy"/>
    <n v="219"/>
    <n v="201.34"/>
    <n v="2"/>
    <s v="On Time"/>
    <n v="44093.46"/>
    <s v="Oct"/>
    <n v="2025"/>
    <n v="44093.46"/>
    <s v="Minor Delay"/>
  </r>
  <r>
    <n v="740"/>
    <d v="2025-02-13T00:00:00"/>
    <x v="3"/>
    <x v="3"/>
    <s v="SIN"/>
    <s v="Premium Economy"/>
    <n v="238"/>
    <n v="200.2"/>
    <n v="0"/>
    <s v="On Time"/>
    <n v="47647.6"/>
    <s v="Feb"/>
    <n v="2025"/>
    <n v="47647.6"/>
    <s v="On Time"/>
  </r>
  <r>
    <n v="741"/>
    <d v="2025-09-08T00:00:00"/>
    <x v="2"/>
    <x v="5"/>
    <s v="NRT"/>
    <s v="Economy"/>
    <n v="252"/>
    <n v="460.01"/>
    <n v="9"/>
    <s v="Delayed"/>
    <n v="115922.52"/>
    <s v="Sep"/>
    <n v="2025"/>
    <n v="115922.52"/>
    <s v="Minor Delay"/>
  </r>
  <r>
    <n v="742"/>
    <d v="2025-01-19T00:00:00"/>
    <x v="4"/>
    <x v="8"/>
    <s v="ICN"/>
    <s v="Economy"/>
    <n v="136"/>
    <n v="642.96"/>
    <n v="48"/>
    <s v="On Time"/>
    <n v="87442.559999999998"/>
    <s v="Jan"/>
    <n v="2025"/>
    <n v="87442.559999999998"/>
    <s v="Moderate Delay"/>
  </r>
  <r>
    <n v="743"/>
    <d v="2025-12-01T00:00:00"/>
    <x v="3"/>
    <x v="0"/>
    <s v="NRT"/>
    <s v="Business"/>
    <n v="167"/>
    <n v="755.67"/>
    <n v="41"/>
    <s v="On Time"/>
    <n v="126196.89"/>
    <s v="Dec"/>
    <n v="2025"/>
    <n v="126196.89"/>
    <s v="Moderate Delay"/>
  </r>
  <r>
    <n v="744"/>
    <d v="2025-01-19T00:00:00"/>
    <x v="3"/>
    <x v="2"/>
    <s v="GMP"/>
    <s v="Economy"/>
    <n v="175"/>
    <n v="543.84"/>
    <n v="0"/>
    <s v="On Time"/>
    <n v="95172"/>
    <s v="Jan"/>
    <n v="2025"/>
    <n v="95172"/>
    <s v="On Time"/>
  </r>
  <r>
    <n v="745"/>
    <d v="2025-12-26T00:00:00"/>
    <x v="3"/>
    <x v="5"/>
    <s v="NRT"/>
    <s v="Economy"/>
    <n v="53"/>
    <n v="187.46"/>
    <n v="40"/>
    <s v="On Time"/>
    <n v="9935.3799999999992"/>
    <s v="Dec"/>
    <n v="2025"/>
    <n v="9935.380000000001"/>
    <s v="Moderate Delay"/>
  </r>
  <r>
    <n v="746"/>
    <d v="2025-10-30T00:00:00"/>
    <x v="1"/>
    <x v="8"/>
    <s v="CJU"/>
    <s v="Economy"/>
    <n v="79"/>
    <n v="427.89"/>
    <n v="26"/>
    <s v="On Time"/>
    <n v="33803.31"/>
    <s v="Oct"/>
    <n v="2025"/>
    <n v="33803.31"/>
    <s v="Minor Delay"/>
  </r>
  <r>
    <n v="747"/>
    <d v="2025-04-14T00:00:00"/>
    <x v="2"/>
    <x v="2"/>
    <s v="GMP"/>
    <s v="Premium Economy"/>
    <n v="257"/>
    <n v="678.56"/>
    <n v="18"/>
    <s v="On Time"/>
    <n v="174389.92"/>
    <s v="Apr"/>
    <n v="2025"/>
    <n v="174389.91999999998"/>
    <s v="Minor Delay"/>
  </r>
  <r>
    <n v="748"/>
    <d v="2025-06-14T00:00:00"/>
    <x v="0"/>
    <x v="6"/>
    <s v="CJU"/>
    <s v="Economy"/>
    <n v="201"/>
    <n v="188.35"/>
    <n v="0"/>
    <s v="On Time"/>
    <n v="37858.35"/>
    <s v="Jun"/>
    <n v="2025"/>
    <n v="37858.35"/>
    <s v="On Time"/>
  </r>
  <r>
    <n v="749"/>
    <d v="2025-08-01T00:00:00"/>
    <x v="0"/>
    <x v="4"/>
    <s v="CJU"/>
    <s v="Business"/>
    <n v="144"/>
    <n v="469.52"/>
    <n v="0"/>
    <s v="On Time"/>
    <n v="67610.880000000005"/>
    <s v="Aug"/>
    <n v="2025"/>
    <n v="67610.880000000005"/>
    <s v="On Time"/>
  </r>
  <r>
    <n v="750"/>
    <d v="2025-03-22T00:00:00"/>
    <x v="1"/>
    <x v="0"/>
    <s v="MNL"/>
    <s v="Premium Economy"/>
    <n v="70"/>
    <n v="64.7"/>
    <n v="41"/>
    <s v="On Time"/>
    <n v="4529"/>
    <s v="Mar"/>
    <n v="2025"/>
    <n v="4529"/>
    <s v="Moderate Delay"/>
  </r>
  <r>
    <n v="751"/>
    <d v="2025-08-02T00:00:00"/>
    <x v="3"/>
    <x v="0"/>
    <s v="KIX"/>
    <s v="Premium Economy"/>
    <n v="227"/>
    <n v="153.9"/>
    <n v="32"/>
    <s v="On Time"/>
    <n v="34935.300000000003"/>
    <s v="Aug"/>
    <n v="2025"/>
    <n v="34935.300000000003"/>
    <s v="Moderate Delay"/>
  </r>
  <r>
    <n v="752"/>
    <d v="2025-11-09T00:00:00"/>
    <x v="3"/>
    <x v="2"/>
    <s v="CJU"/>
    <s v="Economy"/>
    <n v="202"/>
    <n v="193.2"/>
    <n v="35"/>
    <s v="On Time"/>
    <n v="39026.400000000001"/>
    <s v="Nov"/>
    <n v="2025"/>
    <n v="39026.399999999994"/>
    <s v="Moderate Delay"/>
  </r>
  <r>
    <n v="753"/>
    <d v="2025-06-28T00:00:00"/>
    <x v="2"/>
    <x v="0"/>
    <s v="KIX"/>
    <s v="Economy"/>
    <n v="192"/>
    <n v="234.37"/>
    <n v="42"/>
    <s v="On Time"/>
    <n v="44999.040000000001"/>
    <s v="Jun"/>
    <n v="2025"/>
    <n v="44999.040000000001"/>
    <s v="Moderate Delay"/>
  </r>
  <r>
    <n v="754"/>
    <d v="2025-08-26T00:00:00"/>
    <x v="3"/>
    <x v="3"/>
    <s v="PUS"/>
    <s v="Business"/>
    <n v="103"/>
    <n v="264.56"/>
    <n v="40"/>
    <s v="On Time"/>
    <n v="27249.68"/>
    <s v="Aug"/>
    <n v="2025"/>
    <n v="27249.68"/>
    <s v="Moderate Delay"/>
  </r>
  <r>
    <n v="755"/>
    <d v="2025-09-12T00:00:00"/>
    <x v="0"/>
    <x v="7"/>
    <s v="SIN"/>
    <s v="Economy"/>
    <n v="221"/>
    <n v="742.78"/>
    <n v="42"/>
    <s v="On Time"/>
    <n v="164154.38"/>
    <s v="Sep"/>
    <n v="2025"/>
    <n v="164154.38"/>
    <s v="Moderate Delay"/>
  </r>
  <r>
    <n v="756"/>
    <d v="2025-11-12T00:00:00"/>
    <x v="2"/>
    <x v="4"/>
    <s v="BKK"/>
    <s v="Economy"/>
    <n v="76"/>
    <n v="607.91"/>
    <n v="27"/>
    <s v="Delayed"/>
    <n v="46201.16"/>
    <s v="Nov"/>
    <n v="2025"/>
    <n v="46201.159999999996"/>
    <s v="Minor Delay"/>
  </r>
  <r>
    <n v="757"/>
    <d v="2025-01-15T00:00:00"/>
    <x v="2"/>
    <x v="7"/>
    <s v="PUS"/>
    <s v="Business"/>
    <n v="79"/>
    <n v="112.44"/>
    <n v="22"/>
    <s v="On Time"/>
    <n v="8882.76"/>
    <s v="Jan"/>
    <n v="2025"/>
    <n v="8882.76"/>
    <s v="Minor Delay"/>
  </r>
  <r>
    <n v="758"/>
    <d v="2025-12-13T00:00:00"/>
    <x v="4"/>
    <x v="1"/>
    <s v="PUS"/>
    <s v="Economy"/>
    <n v="249"/>
    <n v="141.5"/>
    <n v="47"/>
    <s v="On Time"/>
    <n v="35233.5"/>
    <s v="Dec"/>
    <n v="2025"/>
    <n v="35233.5"/>
    <s v="Moderate Delay"/>
  </r>
  <r>
    <n v="759"/>
    <d v="2025-04-13T00:00:00"/>
    <x v="2"/>
    <x v="2"/>
    <s v="MNL"/>
    <s v="Economy"/>
    <n v="68"/>
    <n v="408.53"/>
    <n v="0"/>
    <s v="On Time"/>
    <n v="27780.04"/>
    <s v="Apr"/>
    <n v="2025"/>
    <n v="27780.039999999997"/>
    <s v="On Time"/>
  </r>
  <r>
    <n v="760"/>
    <d v="2025-07-18T00:00:00"/>
    <x v="4"/>
    <x v="8"/>
    <s v="CJU"/>
    <s v="Economy"/>
    <n v="167"/>
    <n v="592.66999999999996"/>
    <n v="25"/>
    <s v="On Time"/>
    <n v="98975.89"/>
    <s v="Jul"/>
    <n v="2025"/>
    <n v="98975.89"/>
    <s v="Minor Delay"/>
  </r>
  <r>
    <n v="761"/>
    <d v="2025-06-21T00:00:00"/>
    <x v="0"/>
    <x v="4"/>
    <s v="PUS"/>
    <s v="Economy"/>
    <n v="227"/>
    <n v="480.81"/>
    <n v="17"/>
    <s v="On Time"/>
    <n v="109143.87"/>
    <s v="Jun"/>
    <n v="2025"/>
    <n v="109143.87"/>
    <s v="Minor Delay"/>
  </r>
  <r>
    <n v="762"/>
    <d v="2025-06-25T00:00:00"/>
    <x v="0"/>
    <x v="1"/>
    <s v="CJU"/>
    <s v="Premium Economy"/>
    <n v="204"/>
    <n v="176.02"/>
    <n v="31"/>
    <s v="On Time"/>
    <n v="35908.080000000002"/>
    <s v="Jun"/>
    <n v="2025"/>
    <n v="35908.080000000002"/>
    <s v="Moderate Delay"/>
  </r>
  <r>
    <n v="763"/>
    <d v="2025-02-14T00:00:00"/>
    <x v="2"/>
    <x v="7"/>
    <s v="NRT"/>
    <s v="Business"/>
    <n v="175"/>
    <n v="698.03"/>
    <n v="25"/>
    <s v="On Time"/>
    <n v="122155.25"/>
    <s v="Feb"/>
    <n v="2025"/>
    <n v="122155.25"/>
    <s v="Minor Delay"/>
  </r>
  <r>
    <n v="764"/>
    <d v="2025-05-07T00:00:00"/>
    <x v="0"/>
    <x v="5"/>
    <s v="MNL"/>
    <s v="Premium Economy"/>
    <n v="161"/>
    <n v="488.81"/>
    <n v="47"/>
    <s v="Delayed"/>
    <n v="78698.41"/>
    <s v="May"/>
    <n v="2025"/>
    <n v="78698.41"/>
    <s v="Moderate Delay"/>
  </r>
  <r>
    <n v="765"/>
    <d v="2025-08-02T00:00:00"/>
    <x v="1"/>
    <x v="7"/>
    <s v="ICN"/>
    <s v="Economy"/>
    <n v="170"/>
    <n v="602.77"/>
    <n v="0"/>
    <s v="On Time"/>
    <n v="102470.9"/>
    <s v="Aug"/>
    <n v="2025"/>
    <n v="102470.9"/>
    <s v="On Time"/>
  </r>
  <r>
    <n v="766"/>
    <d v="2025-09-11T00:00:00"/>
    <x v="0"/>
    <x v="0"/>
    <s v="SIN"/>
    <s v="Economy"/>
    <n v="192"/>
    <n v="617.28"/>
    <n v="19"/>
    <s v="On Time"/>
    <n v="118517.75999999999"/>
    <s v="Sep"/>
    <n v="2025"/>
    <n v="118517.75999999999"/>
    <s v="Minor Delay"/>
  </r>
  <r>
    <n v="767"/>
    <d v="2025-03-09T00:00:00"/>
    <x v="4"/>
    <x v="1"/>
    <s v="PUS"/>
    <s v="Premium Economy"/>
    <n v="111"/>
    <n v="539.25"/>
    <n v="44"/>
    <s v="On Time"/>
    <n v="59856.75"/>
    <s v="Mar"/>
    <n v="2025"/>
    <n v="59856.75"/>
    <s v="Moderate Delay"/>
  </r>
  <r>
    <n v="768"/>
    <d v="2025-08-21T00:00:00"/>
    <x v="2"/>
    <x v="8"/>
    <s v="ICN"/>
    <s v="Economy"/>
    <n v="273"/>
    <n v="580.32000000000005"/>
    <n v="35"/>
    <s v="On Time"/>
    <n v="158427.35999999999"/>
    <s v="Aug"/>
    <n v="2025"/>
    <n v="158427.36000000002"/>
    <s v="Moderate Delay"/>
  </r>
  <r>
    <n v="769"/>
    <d v="2025-12-27T00:00:00"/>
    <x v="3"/>
    <x v="3"/>
    <s v="SIN"/>
    <s v="Economy"/>
    <n v="270"/>
    <n v="524.21"/>
    <n v="0"/>
    <s v="On Time"/>
    <n v="141536.70000000001"/>
    <s v="Dec"/>
    <n v="2025"/>
    <n v="141536.70000000001"/>
    <s v="On Time"/>
  </r>
  <r>
    <n v="770"/>
    <d v="2025-05-19T00:00:00"/>
    <x v="3"/>
    <x v="4"/>
    <s v="MNL"/>
    <s v="Business"/>
    <n v="188"/>
    <n v="485.67"/>
    <n v="45"/>
    <s v="On Time"/>
    <n v="91305.96"/>
    <s v="May"/>
    <n v="2025"/>
    <n v="91305.96"/>
    <s v="Moderate Delay"/>
  </r>
  <r>
    <n v="771"/>
    <d v="2025-01-29T00:00:00"/>
    <x v="5"/>
    <x v="0"/>
    <s v="BKK"/>
    <s v="Business"/>
    <n v="143"/>
    <n v="717.1"/>
    <n v="38"/>
    <s v="On Time"/>
    <n v="102545.3"/>
    <s v="Jan"/>
    <n v="2025"/>
    <n v="102545.3"/>
    <s v="Moderate Delay"/>
  </r>
  <r>
    <n v="772"/>
    <d v="2025-03-31T00:00:00"/>
    <x v="3"/>
    <x v="3"/>
    <s v="BKK"/>
    <s v="Business"/>
    <n v="230"/>
    <n v="109.58"/>
    <n v="35"/>
    <s v="On Time"/>
    <n v="25203.4"/>
    <s v="Mar"/>
    <n v="2025"/>
    <n v="25203.399999999998"/>
    <s v="Moderate Delay"/>
  </r>
  <r>
    <n v="773"/>
    <d v="2025-06-21T00:00:00"/>
    <x v="0"/>
    <x v="2"/>
    <s v="CJU"/>
    <s v="Business"/>
    <n v="79"/>
    <n v="540.29"/>
    <n v="16"/>
    <s v="Delayed"/>
    <n v="42682.91"/>
    <s v="Jun"/>
    <n v="2025"/>
    <n v="42682.909999999996"/>
    <s v="Minor Delay"/>
  </r>
  <r>
    <n v="774"/>
    <d v="2025-06-14T00:00:00"/>
    <x v="4"/>
    <x v="2"/>
    <s v="NRT"/>
    <s v="Premium Economy"/>
    <n v="178"/>
    <n v="563.37"/>
    <n v="0"/>
    <s v="On Time"/>
    <n v="100279.86"/>
    <s v="Jun"/>
    <n v="2025"/>
    <n v="100279.86"/>
    <s v="On Time"/>
  </r>
  <r>
    <n v="775"/>
    <d v="2025-06-26T00:00:00"/>
    <x v="2"/>
    <x v="0"/>
    <s v="BKK"/>
    <s v="Premium Economy"/>
    <n v="178"/>
    <n v="449.75"/>
    <n v="48"/>
    <s v="On Time"/>
    <n v="80055.5"/>
    <s v="Jun"/>
    <n v="2025"/>
    <n v="80055.5"/>
    <s v="Moderate Delay"/>
  </r>
  <r>
    <n v="776"/>
    <d v="2025-08-20T00:00:00"/>
    <x v="5"/>
    <x v="6"/>
    <s v="NRT"/>
    <s v="Premium Economy"/>
    <n v="254"/>
    <n v="558.25"/>
    <n v="47"/>
    <s v="On Time"/>
    <n v="141795.5"/>
    <s v="Aug"/>
    <n v="2025"/>
    <n v="141795.5"/>
    <s v="Moderate Delay"/>
  </r>
  <r>
    <n v="777"/>
    <d v="2025-08-23T00:00:00"/>
    <x v="1"/>
    <x v="0"/>
    <s v="NRT"/>
    <s v="Economy"/>
    <n v="150"/>
    <n v="724.48"/>
    <n v="5"/>
    <s v="On Time"/>
    <n v="108672"/>
    <s v="Aug"/>
    <n v="2025"/>
    <n v="108672"/>
    <s v="Minor Delay"/>
  </r>
  <r>
    <n v="778"/>
    <d v="2025-12-23T00:00:00"/>
    <x v="0"/>
    <x v="4"/>
    <s v="GMP"/>
    <s v="Premium Economy"/>
    <n v="88"/>
    <n v="707.49"/>
    <n v="80"/>
    <s v="On Time"/>
    <n v="62259.12"/>
    <s v="Dec"/>
    <n v="2025"/>
    <n v="62259.12"/>
    <s v="Major Delay"/>
  </r>
  <r>
    <n v="779"/>
    <d v="2025-08-02T00:00:00"/>
    <x v="3"/>
    <x v="5"/>
    <s v="KIX"/>
    <s v="Business"/>
    <n v="288"/>
    <n v="157.69999999999999"/>
    <n v="4"/>
    <s v="On Time"/>
    <n v="45417.599999999999"/>
    <s v="Aug"/>
    <n v="2025"/>
    <n v="45417.599999999999"/>
    <s v="Minor Delay"/>
  </r>
  <r>
    <n v="780"/>
    <d v="2025-02-02T00:00:00"/>
    <x v="1"/>
    <x v="4"/>
    <s v="PUS"/>
    <s v="Economy"/>
    <n v="263"/>
    <n v="761.11"/>
    <n v="42"/>
    <s v="On Time"/>
    <n v="200171.93"/>
    <s v="Feb"/>
    <n v="2025"/>
    <n v="200171.93"/>
    <s v="Moderate Delay"/>
  </r>
  <r>
    <n v="781"/>
    <d v="2025-12-02T00:00:00"/>
    <x v="3"/>
    <x v="1"/>
    <s v="KIX"/>
    <s v="Premium Economy"/>
    <n v="174"/>
    <n v="499.08"/>
    <n v="4"/>
    <s v="On Time"/>
    <n v="86839.92"/>
    <s v="Dec"/>
    <n v="2025"/>
    <n v="86839.92"/>
    <s v="Minor Delay"/>
  </r>
  <r>
    <n v="782"/>
    <d v="2025-06-06T00:00:00"/>
    <x v="0"/>
    <x v="4"/>
    <s v="CJU"/>
    <s v="Premium Economy"/>
    <n v="108"/>
    <n v="418.34"/>
    <n v="0"/>
    <s v="Delayed"/>
    <n v="45180.72"/>
    <s v="Jun"/>
    <n v="2025"/>
    <n v="45180.719999999994"/>
    <s v="On Time"/>
  </r>
  <r>
    <n v="783"/>
    <d v="2025-06-30T00:00:00"/>
    <x v="4"/>
    <x v="5"/>
    <s v="PUS"/>
    <s v="Premium Economy"/>
    <n v="294"/>
    <n v="183.11"/>
    <n v="55"/>
    <s v="On Time"/>
    <n v="53834.34"/>
    <s v="Jun"/>
    <n v="2025"/>
    <n v="53834.340000000004"/>
    <s v="Moderate Delay"/>
  </r>
  <r>
    <n v="784"/>
    <d v="2025-03-24T00:00:00"/>
    <x v="0"/>
    <x v="7"/>
    <s v="PUS"/>
    <s v="Economy"/>
    <n v="60"/>
    <n v="795.39"/>
    <n v="1"/>
    <s v="On Time"/>
    <n v="47723.4"/>
    <s v="Mar"/>
    <n v="2025"/>
    <n v="47723.4"/>
    <s v="Minor Delay"/>
  </r>
  <r>
    <n v="785"/>
    <d v="2025-07-09T00:00:00"/>
    <x v="0"/>
    <x v="8"/>
    <s v="NRT"/>
    <s v="Economy"/>
    <n v="193"/>
    <n v="583.28"/>
    <n v="0"/>
    <s v="On Time"/>
    <n v="112573.04"/>
    <s v="Jul"/>
    <n v="2025"/>
    <n v="112573.04"/>
    <s v="On Time"/>
  </r>
  <r>
    <n v="786"/>
    <d v="2025-10-01T00:00:00"/>
    <x v="4"/>
    <x v="8"/>
    <s v="CJU"/>
    <s v="Economy"/>
    <n v="285"/>
    <n v="78.44"/>
    <n v="0"/>
    <s v="Delayed"/>
    <n v="22355.4"/>
    <s v="Oct"/>
    <n v="2025"/>
    <n v="22355.399999999998"/>
    <s v="On Time"/>
  </r>
  <r>
    <n v="787"/>
    <d v="2025-06-13T00:00:00"/>
    <x v="0"/>
    <x v="7"/>
    <s v="SIN"/>
    <s v="Economy"/>
    <n v="298"/>
    <n v="606.49"/>
    <n v="42"/>
    <s v="On Time"/>
    <n v="180734.02"/>
    <s v="Jun"/>
    <n v="2025"/>
    <n v="180734.02"/>
    <s v="Moderate Delay"/>
  </r>
  <r>
    <n v="788"/>
    <d v="2025-10-21T00:00:00"/>
    <x v="3"/>
    <x v="8"/>
    <s v="NRT"/>
    <s v="Economy"/>
    <n v="254"/>
    <n v="478.27"/>
    <n v="16"/>
    <s v="Delayed"/>
    <n v="121480.58"/>
    <s v="Oct"/>
    <n v="2025"/>
    <n v="121480.58"/>
    <s v="Minor Delay"/>
  </r>
  <r>
    <n v="789"/>
    <d v="2025-12-19T00:00:00"/>
    <x v="1"/>
    <x v="8"/>
    <s v="KIX"/>
    <s v="Business"/>
    <n v="172"/>
    <n v="726.13"/>
    <n v="40"/>
    <s v="On Time"/>
    <n v="124894.36"/>
    <s v="Dec"/>
    <n v="2025"/>
    <n v="124894.36"/>
    <s v="Moderate Delay"/>
  </r>
  <r>
    <n v="790"/>
    <d v="2025-08-17T00:00:00"/>
    <x v="4"/>
    <x v="1"/>
    <s v="PUS"/>
    <s v="Economy"/>
    <n v="133"/>
    <n v="100.72"/>
    <n v="44"/>
    <s v="On Time"/>
    <n v="13395.76"/>
    <s v="Aug"/>
    <n v="2025"/>
    <n v="13395.76"/>
    <s v="Moderate Delay"/>
  </r>
  <r>
    <n v="791"/>
    <d v="2025-05-23T00:00:00"/>
    <x v="0"/>
    <x v="6"/>
    <s v="PUS"/>
    <s v="Economy"/>
    <n v="71"/>
    <n v="458.43"/>
    <n v="0"/>
    <s v="On Time"/>
    <n v="32548.53"/>
    <s v="May"/>
    <n v="2025"/>
    <n v="32548.53"/>
    <s v="On Time"/>
  </r>
  <r>
    <n v="792"/>
    <d v="2025-04-10T00:00:00"/>
    <x v="2"/>
    <x v="6"/>
    <s v="BKK"/>
    <s v="Premium Economy"/>
    <n v="204"/>
    <n v="507.76"/>
    <n v="32"/>
    <s v="Delayed"/>
    <n v="103583.03999999999"/>
    <s v="Apr"/>
    <n v="2025"/>
    <n v="103583.03999999999"/>
    <s v="Moderate Delay"/>
  </r>
  <r>
    <n v="793"/>
    <d v="2025-03-17T00:00:00"/>
    <x v="3"/>
    <x v="3"/>
    <s v="MNL"/>
    <s v="Premium Economy"/>
    <n v="144"/>
    <n v="345.72"/>
    <n v="42"/>
    <s v="On Time"/>
    <n v="49783.68"/>
    <s v="Mar"/>
    <n v="2025"/>
    <n v="49783.680000000008"/>
    <s v="Moderate Delay"/>
  </r>
  <r>
    <n v="794"/>
    <d v="2025-04-21T00:00:00"/>
    <x v="3"/>
    <x v="8"/>
    <s v="GMP"/>
    <s v="Premium Economy"/>
    <n v="239"/>
    <n v="794.52"/>
    <n v="21"/>
    <s v="Delayed"/>
    <n v="189890.28"/>
    <s v="Apr"/>
    <n v="2025"/>
    <n v="189890.28"/>
    <s v="Minor Delay"/>
  </r>
  <r>
    <n v="795"/>
    <d v="2025-08-06T00:00:00"/>
    <x v="3"/>
    <x v="4"/>
    <s v="CJU"/>
    <s v="Premium Economy"/>
    <n v="85"/>
    <n v="678.28"/>
    <n v="8"/>
    <s v="On Time"/>
    <n v="57653.8"/>
    <s v="Aug"/>
    <n v="2025"/>
    <n v="57653.799999999996"/>
    <s v="Minor Delay"/>
  </r>
  <r>
    <n v="796"/>
    <d v="2025-02-03T00:00:00"/>
    <x v="5"/>
    <x v="6"/>
    <s v="KIX"/>
    <s v="Premium Economy"/>
    <n v="72"/>
    <n v="64.900000000000006"/>
    <n v="11"/>
    <s v="On Time"/>
    <n v="4672.8"/>
    <s v="Feb"/>
    <n v="2025"/>
    <n v="4672.8"/>
    <s v="Minor Delay"/>
  </r>
  <r>
    <n v="797"/>
    <d v="2025-03-31T00:00:00"/>
    <x v="5"/>
    <x v="4"/>
    <s v="MNL"/>
    <s v="Premium Economy"/>
    <n v="231"/>
    <n v="480.26"/>
    <n v="34"/>
    <s v="Delayed"/>
    <n v="110940.06"/>
    <s v="Mar"/>
    <n v="2025"/>
    <n v="110940.06"/>
    <s v="Moderate Delay"/>
  </r>
  <r>
    <n v="798"/>
    <d v="2025-01-22T00:00:00"/>
    <x v="4"/>
    <x v="4"/>
    <s v="SIN"/>
    <s v="Business"/>
    <n v="127"/>
    <n v="425.63"/>
    <n v="11"/>
    <s v="On Time"/>
    <n v="54055.01"/>
    <s v="Jan"/>
    <n v="2025"/>
    <n v="54055.01"/>
    <s v="Minor Delay"/>
  </r>
  <r>
    <n v="799"/>
    <d v="2025-01-02T00:00:00"/>
    <x v="0"/>
    <x v="2"/>
    <s v="ICN"/>
    <s v="Premium Economy"/>
    <n v="126"/>
    <n v="767.46"/>
    <n v="34"/>
    <s v="On Time"/>
    <n v="96699.96"/>
    <s v="Jan"/>
    <n v="2025"/>
    <n v="96699.96"/>
    <s v="Moderate Delay"/>
  </r>
  <r>
    <n v="800"/>
    <d v="2025-04-02T00:00:00"/>
    <x v="2"/>
    <x v="4"/>
    <s v="MNL"/>
    <s v="Business"/>
    <n v="215"/>
    <n v="241.12"/>
    <n v="0"/>
    <s v="On Time"/>
    <n v="51840.800000000003"/>
    <s v="Apr"/>
    <n v="2025"/>
    <n v="51840.800000000003"/>
    <s v="On Time"/>
  </r>
  <r>
    <n v="801"/>
    <d v="2025-02-04T00:00:00"/>
    <x v="5"/>
    <x v="4"/>
    <s v="SIN"/>
    <s v="Business"/>
    <n v="142"/>
    <n v="489.99"/>
    <n v="0"/>
    <s v="On Time"/>
    <n v="69578.58"/>
    <s v="Feb"/>
    <n v="2025"/>
    <n v="69578.58"/>
    <s v="On Time"/>
  </r>
  <r>
    <n v="802"/>
    <d v="2025-07-11T00:00:00"/>
    <x v="5"/>
    <x v="8"/>
    <s v="GMP"/>
    <s v="Business"/>
    <n v="197"/>
    <n v="72.98"/>
    <n v="0"/>
    <s v="On Time"/>
    <n v="14377.06"/>
    <s v="Jul"/>
    <n v="2025"/>
    <n v="14377.060000000001"/>
    <s v="On Time"/>
  </r>
  <r>
    <n v="803"/>
    <d v="2025-06-13T00:00:00"/>
    <x v="2"/>
    <x v="5"/>
    <s v="PUS"/>
    <s v="Business"/>
    <n v="84"/>
    <n v="324.47000000000003"/>
    <n v="42"/>
    <s v="On Time"/>
    <n v="27255.48"/>
    <s v="Jun"/>
    <n v="2025"/>
    <n v="27255.480000000003"/>
    <s v="Moderate Delay"/>
  </r>
  <r>
    <n v="804"/>
    <d v="2025-05-29T00:00:00"/>
    <x v="4"/>
    <x v="3"/>
    <s v="ICN"/>
    <s v="Business"/>
    <n v="213"/>
    <n v="752.87"/>
    <n v="27"/>
    <s v="On Time"/>
    <n v="160361.31"/>
    <s v="May"/>
    <n v="2025"/>
    <n v="160361.31"/>
    <s v="Minor Delay"/>
  </r>
  <r>
    <n v="805"/>
    <d v="2025-11-03T00:00:00"/>
    <x v="0"/>
    <x v="7"/>
    <s v="GMP"/>
    <s v="Business"/>
    <n v="132"/>
    <n v="705.61"/>
    <n v="37"/>
    <s v="On Time"/>
    <n v="93140.52"/>
    <s v="Nov"/>
    <n v="2025"/>
    <n v="93140.52"/>
    <s v="Moderate Delay"/>
  </r>
  <r>
    <n v="806"/>
    <d v="2025-10-01T00:00:00"/>
    <x v="5"/>
    <x v="3"/>
    <s v="GMP"/>
    <s v="Premium Economy"/>
    <n v="260"/>
    <n v="166.35"/>
    <n v="0"/>
    <s v="On Time"/>
    <n v="43251"/>
    <s v="Oct"/>
    <n v="2025"/>
    <n v="43251"/>
    <s v="On Time"/>
  </r>
  <r>
    <n v="807"/>
    <d v="2025-09-06T00:00:00"/>
    <x v="2"/>
    <x v="4"/>
    <s v="BKK"/>
    <s v="Premium Economy"/>
    <n v="285"/>
    <n v="733.98"/>
    <n v="31"/>
    <s v="On Time"/>
    <n v="209184.3"/>
    <s v="Sep"/>
    <n v="2025"/>
    <n v="209184.30000000002"/>
    <s v="Moderate Delay"/>
  </r>
  <r>
    <n v="808"/>
    <d v="2025-08-02T00:00:00"/>
    <x v="2"/>
    <x v="2"/>
    <s v="GMP"/>
    <s v="Economy"/>
    <n v="79"/>
    <n v="665.95"/>
    <n v="28"/>
    <s v="Delayed"/>
    <n v="52610.05"/>
    <s v="Aug"/>
    <n v="2025"/>
    <n v="52610.05"/>
    <s v="Minor Delay"/>
  </r>
  <r>
    <n v="809"/>
    <d v="2025-06-09T00:00:00"/>
    <x v="3"/>
    <x v="8"/>
    <s v="KIX"/>
    <s v="Premium Economy"/>
    <n v="85"/>
    <n v="664.61"/>
    <n v="45"/>
    <s v="On Time"/>
    <n v="56491.85"/>
    <s v="Jun"/>
    <n v="2025"/>
    <n v="56491.85"/>
    <s v="Moderate Delay"/>
  </r>
  <r>
    <n v="810"/>
    <d v="2025-12-30T00:00:00"/>
    <x v="4"/>
    <x v="3"/>
    <s v="CJU"/>
    <s v="Economy"/>
    <n v="240"/>
    <n v="662.78"/>
    <n v="0"/>
    <s v="On Time"/>
    <n v="159067.20000000001"/>
    <s v="Dec"/>
    <n v="2025"/>
    <n v="159067.19999999998"/>
    <s v="On Time"/>
  </r>
  <r>
    <n v="811"/>
    <d v="2025-06-07T00:00:00"/>
    <x v="0"/>
    <x v="7"/>
    <s v="NRT"/>
    <s v="Economy"/>
    <n v="83"/>
    <n v="786.02"/>
    <n v="0"/>
    <s v="On Time"/>
    <n v="65239.66"/>
    <s v="Jun"/>
    <n v="2025"/>
    <n v="65239.659999999996"/>
    <s v="On Time"/>
  </r>
  <r>
    <n v="812"/>
    <d v="2025-08-09T00:00:00"/>
    <x v="1"/>
    <x v="5"/>
    <s v="SIN"/>
    <s v="Economy"/>
    <n v="77"/>
    <n v="84.27"/>
    <n v="39"/>
    <s v="On Time"/>
    <n v="6488.79"/>
    <s v="Aug"/>
    <n v="2025"/>
    <n v="6488.79"/>
    <s v="Moderate Delay"/>
  </r>
  <r>
    <n v="813"/>
    <d v="2025-03-02T00:00:00"/>
    <x v="4"/>
    <x v="5"/>
    <s v="SIN"/>
    <s v="Economy"/>
    <n v="66"/>
    <n v="283.22000000000003"/>
    <n v="31"/>
    <s v="On Time"/>
    <n v="18692.52"/>
    <s v="Mar"/>
    <n v="2025"/>
    <n v="18692.52"/>
    <s v="Moderate Delay"/>
  </r>
  <r>
    <n v="814"/>
    <d v="2025-04-05T00:00:00"/>
    <x v="3"/>
    <x v="2"/>
    <s v="NRT"/>
    <s v="Premium Economy"/>
    <n v="57"/>
    <n v="127.18"/>
    <n v="20"/>
    <s v="Delayed"/>
    <n v="7249.26"/>
    <s v="Apr"/>
    <n v="2025"/>
    <n v="7249.26"/>
    <s v="Minor Delay"/>
  </r>
  <r>
    <n v="815"/>
    <d v="2025-06-30T00:00:00"/>
    <x v="0"/>
    <x v="4"/>
    <s v="BKK"/>
    <s v="Business"/>
    <n v="249"/>
    <n v="599.13"/>
    <n v="21"/>
    <s v="On Time"/>
    <n v="149183.37"/>
    <s v="Jun"/>
    <n v="2025"/>
    <n v="149183.37"/>
    <s v="Minor Delay"/>
  </r>
  <r>
    <n v="816"/>
    <d v="2025-04-09T00:00:00"/>
    <x v="4"/>
    <x v="5"/>
    <s v="NRT"/>
    <s v="Economy"/>
    <n v="280"/>
    <n v="617.97"/>
    <n v="52"/>
    <s v="On Time"/>
    <n v="173031.6"/>
    <s v="Apr"/>
    <n v="2025"/>
    <n v="173031.6"/>
    <s v="Moderate Delay"/>
  </r>
  <r>
    <n v="817"/>
    <d v="2025-09-16T00:00:00"/>
    <x v="3"/>
    <x v="0"/>
    <s v="NRT"/>
    <s v="Premium Economy"/>
    <n v="143"/>
    <n v="576.62"/>
    <n v="34"/>
    <s v="On Time"/>
    <n v="82456.66"/>
    <s v="Sep"/>
    <n v="2025"/>
    <n v="82456.66"/>
    <s v="Moderate Delay"/>
  </r>
  <r>
    <n v="818"/>
    <d v="2025-08-06T00:00:00"/>
    <x v="0"/>
    <x v="3"/>
    <s v="MNL"/>
    <s v="Business"/>
    <n v="108"/>
    <n v="361.61"/>
    <n v="54"/>
    <s v="On Time"/>
    <n v="39053.879999999997"/>
    <s v="Aug"/>
    <n v="2025"/>
    <n v="39053.880000000005"/>
    <s v="Moderate Delay"/>
  </r>
  <r>
    <n v="819"/>
    <d v="2025-08-27T00:00:00"/>
    <x v="1"/>
    <x v="3"/>
    <s v="GMP"/>
    <s v="Business"/>
    <n v="84"/>
    <n v="426.9"/>
    <n v="6"/>
    <s v="On Time"/>
    <n v="35859.599999999999"/>
    <s v="Aug"/>
    <n v="2025"/>
    <n v="35859.599999999999"/>
    <s v="Minor Delay"/>
  </r>
  <r>
    <n v="820"/>
    <d v="2025-09-10T00:00:00"/>
    <x v="1"/>
    <x v="0"/>
    <s v="BKK"/>
    <s v="Premium Economy"/>
    <n v="122"/>
    <n v="398.14"/>
    <n v="35"/>
    <s v="On Time"/>
    <n v="48573.08"/>
    <s v="Sep"/>
    <n v="2025"/>
    <n v="48573.08"/>
    <s v="Moderate Delay"/>
  </r>
  <r>
    <n v="821"/>
    <d v="2025-10-11T00:00:00"/>
    <x v="2"/>
    <x v="8"/>
    <s v="PUS"/>
    <s v="Premium Economy"/>
    <n v="268"/>
    <n v="376.69"/>
    <n v="52"/>
    <s v="Delayed"/>
    <n v="100952.92"/>
    <s v="Oct"/>
    <n v="2025"/>
    <n v="100952.92"/>
    <s v="Moderate Delay"/>
  </r>
  <r>
    <n v="822"/>
    <d v="2025-01-07T00:00:00"/>
    <x v="3"/>
    <x v="3"/>
    <s v="CJU"/>
    <s v="Premium Economy"/>
    <n v="222"/>
    <n v="137.83000000000001"/>
    <n v="0"/>
    <s v="On Time"/>
    <n v="30598.26"/>
    <s v="Jan"/>
    <n v="2025"/>
    <n v="30598.260000000002"/>
    <s v="On Time"/>
  </r>
  <r>
    <n v="823"/>
    <d v="2025-03-15T00:00:00"/>
    <x v="2"/>
    <x v="0"/>
    <s v="CJU"/>
    <s v="Premium Economy"/>
    <n v="227"/>
    <n v="497.01"/>
    <n v="65"/>
    <s v="Delayed"/>
    <n v="112821.27"/>
    <s v="Mar"/>
    <n v="2025"/>
    <n v="112821.27"/>
    <s v="Major Delay"/>
  </r>
  <r>
    <n v="824"/>
    <d v="2025-04-12T00:00:00"/>
    <x v="4"/>
    <x v="0"/>
    <s v="BKK"/>
    <s v="Economy"/>
    <n v="202"/>
    <n v="684.58"/>
    <n v="53"/>
    <s v="On Time"/>
    <n v="138285.16"/>
    <s v="Apr"/>
    <n v="2025"/>
    <n v="138285.16"/>
    <s v="Moderate Delay"/>
  </r>
  <r>
    <n v="825"/>
    <d v="2025-09-13T00:00:00"/>
    <x v="4"/>
    <x v="2"/>
    <s v="MNL"/>
    <s v="Business"/>
    <n v="246"/>
    <n v="490.62"/>
    <n v="13"/>
    <s v="On Time"/>
    <n v="120692.52"/>
    <s v="Sep"/>
    <n v="2025"/>
    <n v="120692.52"/>
    <s v="Minor Delay"/>
  </r>
  <r>
    <n v="826"/>
    <d v="2025-09-01T00:00:00"/>
    <x v="3"/>
    <x v="1"/>
    <s v="KIX"/>
    <s v="Business"/>
    <n v="293"/>
    <n v="359.29"/>
    <n v="63"/>
    <s v="On Time"/>
    <n v="105271.97"/>
    <s v="Sep"/>
    <n v="2025"/>
    <n v="105271.97"/>
    <s v="Major Delay"/>
  </r>
  <r>
    <n v="827"/>
    <d v="2025-08-21T00:00:00"/>
    <x v="1"/>
    <x v="4"/>
    <s v="CJU"/>
    <s v="Economy"/>
    <n v="114"/>
    <n v="422.11"/>
    <n v="27"/>
    <s v="On Time"/>
    <n v="48120.54"/>
    <s v="Aug"/>
    <n v="2025"/>
    <n v="48120.54"/>
    <s v="Minor Delay"/>
  </r>
  <r>
    <n v="828"/>
    <d v="2025-09-13T00:00:00"/>
    <x v="3"/>
    <x v="5"/>
    <s v="CJU"/>
    <s v="Economy"/>
    <n v="298"/>
    <n v="192.53"/>
    <n v="79"/>
    <s v="On Time"/>
    <n v="57373.94"/>
    <s v="Sep"/>
    <n v="2025"/>
    <n v="57373.94"/>
    <s v="Major Delay"/>
  </r>
  <r>
    <n v="829"/>
    <d v="2025-06-05T00:00:00"/>
    <x v="5"/>
    <x v="3"/>
    <s v="CJU"/>
    <s v="Business"/>
    <n v="74"/>
    <n v="622.53"/>
    <n v="3"/>
    <s v="On Time"/>
    <n v="46067.22"/>
    <s v="Jun"/>
    <n v="2025"/>
    <n v="46067.22"/>
    <s v="Minor Delay"/>
  </r>
  <r>
    <n v="830"/>
    <d v="2025-05-31T00:00:00"/>
    <x v="3"/>
    <x v="8"/>
    <s v="PUS"/>
    <s v="Premium Economy"/>
    <n v="175"/>
    <n v="433.55"/>
    <n v="0"/>
    <s v="On Time"/>
    <n v="75871.25"/>
    <s v="May"/>
    <n v="2025"/>
    <n v="75871.25"/>
    <s v="On Time"/>
  </r>
  <r>
    <n v="831"/>
    <d v="2025-01-17T00:00:00"/>
    <x v="2"/>
    <x v="6"/>
    <s v="ICN"/>
    <s v="Economy"/>
    <n v="148"/>
    <n v="393.09"/>
    <n v="36"/>
    <s v="On Time"/>
    <n v="58177.32"/>
    <s v="Jan"/>
    <n v="2025"/>
    <n v="58177.32"/>
    <s v="Moderate Delay"/>
  </r>
  <r>
    <n v="832"/>
    <d v="2025-12-28T00:00:00"/>
    <x v="0"/>
    <x v="7"/>
    <s v="KIX"/>
    <s v="Premium Economy"/>
    <n v="160"/>
    <n v="159.52000000000001"/>
    <n v="0"/>
    <s v="On Time"/>
    <n v="25523.200000000001"/>
    <s v="Dec"/>
    <n v="2025"/>
    <n v="25523.200000000001"/>
    <s v="On Time"/>
  </r>
  <r>
    <n v="833"/>
    <d v="2025-10-19T00:00:00"/>
    <x v="3"/>
    <x v="8"/>
    <s v="GMP"/>
    <s v="Premium Economy"/>
    <n v="218"/>
    <n v="469.8"/>
    <n v="0"/>
    <s v="On Time"/>
    <n v="102416.4"/>
    <s v="Oct"/>
    <n v="2025"/>
    <n v="102416.40000000001"/>
    <s v="On Time"/>
  </r>
  <r>
    <n v="834"/>
    <d v="2025-07-20T00:00:00"/>
    <x v="4"/>
    <x v="7"/>
    <s v="ICN"/>
    <s v="Premium Economy"/>
    <n v="201"/>
    <n v="778.44"/>
    <n v="13"/>
    <s v="On Time"/>
    <n v="156466.44"/>
    <s v="Jul"/>
    <n v="2025"/>
    <n v="156466.44"/>
    <s v="Minor Delay"/>
  </r>
  <r>
    <n v="835"/>
    <d v="2025-06-14T00:00:00"/>
    <x v="1"/>
    <x v="3"/>
    <s v="NRT"/>
    <s v="Economy"/>
    <n v="201"/>
    <n v="93.39"/>
    <n v="32"/>
    <s v="On Time"/>
    <n v="18771.39"/>
    <s v="Jun"/>
    <n v="2025"/>
    <n v="18771.39"/>
    <s v="Moderate Delay"/>
  </r>
  <r>
    <n v="836"/>
    <d v="2025-07-14T00:00:00"/>
    <x v="1"/>
    <x v="5"/>
    <s v="BKK"/>
    <s v="Premium Economy"/>
    <n v="138"/>
    <n v="794.04"/>
    <n v="0"/>
    <s v="On Time"/>
    <n v="109577.52"/>
    <s v="Jul"/>
    <n v="2025"/>
    <n v="109577.51999999999"/>
    <s v="On Time"/>
  </r>
  <r>
    <n v="837"/>
    <d v="2025-05-07T00:00:00"/>
    <x v="0"/>
    <x v="5"/>
    <s v="NRT"/>
    <s v="Business"/>
    <n v="129"/>
    <n v="498.47"/>
    <n v="27"/>
    <s v="On Time"/>
    <n v="64302.63"/>
    <s v="May"/>
    <n v="2025"/>
    <n v="64302.630000000005"/>
    <s v="Minor Delay"/>
  </r>
  <r>
    <n v="838"/>
    <d v="2025-01-11T00:00:00"/>
    <x v="5"/>
    <x v="3"/>
    <s v="CJU"/>
    <s v="Premium Economy"/>
    <n v="59"/>
    <n v="401.07"/>
    <n v="15"/>
    <s v="Delayed"/>
    <n v="23663.13"/>
    <s v="Jan"/>
    <n v="2025"/>
    <n v="23663.13"/>
    <s v="Minor Delay"/>
  </r>
  <r>
    <n v="839"/>
    <d v="2025-05-17T00:00:00"/>
    <x v="1"/>
    <x v="6"/>
    <s v="BKK"/>
    <s v="Business"/>
    <n v="170"/>
    <n v="495.11"/>
    <n v="44"/>
    <s v="On Time"/>
    <n v="84168.7"/>
    <s v="May"/>
    <n v="2025"/>
    <n v="84168.7"/>
    <s v="Moderate Delay"/>
  </r>
  <r>
    <n v="840"/>
    <d v="2025-02-21T00:00:00"/>
    <x v="3"/>
    <x v="0"/>
    <s v="SIN"/>
    <s v="Business"/>
    <n v="102"/>
    <n v="308.62"/>
    <n v="17"/>
    <s v="On Time"/>
    <n v="31479.24"/>
    <s v="Feb"/>
    <n v="2025"/>
    <n v="31479.24"/>
    <s v="Minor Delay"/>
  </r>
  <r>
    <n v="841"/>
    <d v="2025-11-11T00:00:00"/>
    <x v="4"/>
    <x v="3"/>
    <s v="CJU"/>
    <s v="Premium Economy"/>
    <n v="298"/>
    <n v="382.63"/>
    <n v="0"/>
    <s v="On Time"/>
    <n v="114023.74"/>
    <s v="Nov"/>
    <n v="2025"/>
    <n v="114023.74"/>
    <s v="On Time"/>
  </r>
  <r>
    <n v="842"/>
    <d v="2025-05-28T00:00:00"/>
    <x v="4"/>
    <x v="6"/>
    <s v="PUS"/>
    <s v="Economy"/>
    <n v="126"/>
    <n v="797.21"/>
    <n v="20"/>
    <s v="On Time"/>
    <n v="100448.46"/>
    <s v="May"/>
    <n v="2025"/>
    <n v="100448.46"/>
    <s v="Minor Delay"/>
  </r>
  <r>
    <n v="843"/>
    <d v="2025-10-24T00:00:00"/>
    <x v="1"/>
    <x v="2"/>
    <s v="GMP"/>
    <s v="Business"/>
    <n v="136"/>
    <n v="262.29000000000002"/>
    <n v="0"/>
    <s v="On Time"/>
    <n v="35671.440000000002"/>
    <s v="Oct"/>
    <n v="2025"/>
    <n v="35671.440000000002"/>
    <s v="On Time"/>
  </r>
  <r>
    <n v="844"/>
    <d v="2025-11-30T00:00:00"/>
    <x v="4"/>
    <x v="3"/>
    <s v="GMP"/>
    <s v="Business"/>
    <n v="255"/>
    <n v="281.93"/>
    <n v="7"/>
    <s v="On Time"/>
    <n v="71892.149999999994"/>
    <s v="Nov"/>
    <n v="2025"/>
    <n v="71892.150000000009"/>
    <s v="Minor Delay"/>
  </r>
  <r>
    <n v="845"/>
    <d v="2025-08-01T00:00:00"/>
    <x v="2"/>
    <x v="3"/>
    <s v="PUS"/>
    <s v="Premium Economy"/>
    <n v="209"/>
    <n v="441.37"/>
    <n v="5"/>
    <s v="Delayed"/>
    <n v="92246.33"/>
    <s v="Aug"/>
    <n v="2025"/>
    <n v="92246.33"/>
    <s v="Minor Delay"/>
  </r>
  <r>
    <n v="846"/>
    <d v="2025-10-23T00:00:00"/>
    <x v="2"/>
    <x v="6"/>
    <s v="CJU"/>
    <s v="Economy"/>
    <n v="219"/>
    <n v="771.97"/>
    <n v="0"/>
    <s v="On Time"/>
    <n v="169061.43"/>
    <s v="Oct"/>
    <n v="2025"/>
    <n v="169061.43"/>
    <s v="On Time"/>
  </r>
  <r>
    <n v="847"/>
    <d v="2025-11-23T00:00:00"/>
    <x v="5"/>
    <x v="8"/>
    <s v="NRT"/>
    <s v="Business"/>
    <n v="268"/>
    <n v="629.15"/>
    <n v="0"/>
    <s v="On Time"/>
    <n v="168612.2"/>
    <s v="Nov"/>
    <n v="2025"/>
    <n v="168612.19999999998"/>
    <s v="On Time"/>
  </r>
  <r>
    <n v="848"/>
    <d v="2025-07-06T00:00:00"/>
    <x v="2"/>
    <x v="6"/>
    <s v="PUS"/>
    <s v="Economy"/>
    <n v="111"/>
    <n v="171.35"/>
    <n v="33"/>
    <s v="On Time"/>
    <n v="19019.849999999999"/>
    <s v="Jul"/>
    <n v="2025"/>
    <n v="19019.849999999999"/>
    <s v="Moderate Delay"/>
  </r>
  <r>
    <n v="849"/>
    <d v="2025-07-30T00:00:00"/>
    <x v="4"/>
    <x v="4"/>
    <s v="MNL"/>
    <s v="Economy"/>
    <n v="212"/>
    <n v="210.63"/>
    <n v="0"/>
    <s v="On Time"/>
    <n v="44653.56"/>
    <s v="Jul"/>
    <n v="2025"/>
    <n v="44653.56"/>
    <s v="On Time"/>
  </r>
  <r>
    <n v="850"/>
    <d v="2025-07-27T00:00:00"/>
    <x v="0"/>
    <x v="4"/>
    <s v="PUS"/>
    <s v="Economy"/>
    <n v="88"/>
    <n v="202.02"/>
    <n v="44"/>
    <s v="On Time"/>
    <n v="17777.759999999998"/>
    <s v="Jul"/>
    <n v="2025"/>
    <n v="17777.760000000002"/>
    <s v="Moderate Delay"/>
  </r>
  <r>
    <n v="851"/>
    <d v="2025-09-06T00:00:00"/>
    <x v="5"/>
    <x v="4"/>
    <s v="SIN"/>
    <s v="Premium Economy"/>
    <n v="158"/>
    <n v="538.72"/>
    <n v="34"/>
    <s v="On Time"/>
    <n v="85117.759999999995"/>
    <s v="Sep"/>
    <n v="2025"/>
    <n v="85117.760000000009"/>
    <s v="Moderate Delay"/>
  </r>
  <r>
    <n v="852"/>
    <d v="2025-12-04T00:00:00"/>
    <x v="5"/>
    <x v="4"/>
    <s v="KIX"/>
    <s v="Economy"/>
    <n v="214"/>
    <n v="690.87"/>
    <n v="23"/>
    <s v="Delayed"/>
    <n v="147846.18"/>
    <s v="Dec"/>
    <n v="2025"/>
    <n v="147846.18"/>
    <s v="Minor Delay"/>
  </r>
  <r>
    <n v="853"/>
    <d v="2025-01-29T00:00:00"/>
    <x v="1"/>
    <x v="8"/>
    <s v="ICN"/>
    <s v="Premium Economy"/>
    <n v="204"/>
    <n v="280.5"/>
    <n v="77"/>
    <s v="Delayed"/>
    <n v="57222"/>
    <s v="Jan"/>
    <n v="2025"/>
    <n v="57222"/>
    <s v="Major Delay"/>
  </r>
  <r>
    <n v="854"/>
    <d v="2025-03-13T00:00:00"/>
    <x v="0"/>
    <x v="0"/>
    <s v="MNL"/>
    <s v="Economy"/>
    <n v="196"/>
    <n v="603.52"/>
    <n v="44"/>
    <s v="Delayed"/>
    <n v="118289.92"/>
    <s v="Mar"/>
    <n v="2025"/>
    <n v="118289.92"/>
    <s v="Moderate Delay"/>
  </r>
  <r>
    <n v="855"/>
    <d v="2025-09-12T00:00:00"/>
    <x v="1"/>
    <x v="6"/>
    <s v="NRT"/>
    <s v="Economy"/>
    <n v="203"/>
    <n v="150.47999999999999"/>
    <n v="27"/>
    <s v="On Time"/>
    <n v="30547.439999999999"/>
    <s v="Sep"/>
    <n v="2025"/>
    <n v="30547.439999999999"/>
    <s v="Minor Delay"/>
  </r>
  <r>
    <n v="856"/>
    <d v="2025-08-05T00:00:00"/>
    <x v="0"/>
    <x v="1"/>
    <s v="PUS"/>
    <s v="Economy"/>
    <n v="77"/>
    <n v="189.61"/>
    <n v="0"/>
    <s v="Delayed"/>
    <n v="14599.97"/>
    <s v="Aug"/>
    <n v="2025"/>
    <n v="14599.970000000001"/>
    <s v="On Time"/>
  </r>
  <r>
    <n v="857"/>
    <d v="2025-05-11T00:00:00"/>
    <x v="5"/>
    <x v="8"/>
    <s v="BKK"/>
    <s v="Economy"/>
    <n v="175"/>
    <n v="454.77"/>
    <n v="16"/>
    <s v="On Time"/>
    <n v="79584.75"/>
    <s v="May"/>
    <n v="2025"/>
    <n v="79584.75"/>
    <s v="Minor Delay"/>
  </r>
  <r>
    <n v="858"/>
    <d v="2025-05-23T00:00:00"/>
    <x v="0"/>
    <x v="8"/>
    <s v="PUS"/>
    <s v="Premium Economy"/>
    <n v="171"/>
    <n v="589.6"/>
    <n v="8"/>
    <s v="Delayed"/>
    <n v="100821.6"/>
    <s v="May"/>
    <n v="2025"/>
    <n v="100821.6"/>
    <s v="Minor Delay"/>
  </r>
  <r>
    <n v="859"/>
    <d v="2025-12-06T00:00:00"/>
    <x v="1"/>
    <x v="5"/>
    <s v="GMP"/>
    <s v="Business"/>
    <n v="284"/>
    <n v="643.71"/>
    <n v="22"/>
    <s v="On Time"/>
    <n v="182813.64"/>
    <s v="Dec"/>
    <n v="2025"/>
    <n v="182813.64"/>
    <s v="Minor Delay"/>
  </r>
  <r>
    <n v="860"/>
    <d v="2025-10-01T00:00:00"/>
    <x v="0"/>
    <x v="3"/>
    <s v="GMP"/>
    <s v="Premium Economy"/>
    <n v="149"/>
    <n v="65.819999999999993"/>
    <n v="51"/>
    <s v="Delayed"/>
    <n v="9807.18"/>
    <s v="Oct"/>
    <n v="2025"/>
    <n v="9807.1799999999985"/>
    <s v="Moderate Delay"/>
  </r>
  <r>
    <n v="861"/>
    <d v="2025-02-16T00:00:00"/>
    <x v="0"/>
    <x v="4"/>
    <s v="KIX"/>
    <s v="Premium Economy"/>
    <n v="103"/>
    <n v="695.97"/>
    <n v="34"/>
    <s v="On Time"/>
    <n v="71684.91"/>
    <s v="Feb"/>
    <n v="2025"/>
    <n v="71684.91"/>
    <s v="Moderate Delay"/>
  </r>
  <r>
    <n v="862"/>
    <d v="2025-05-21T00:00:00"/>
    <x v="1"/>
    <x v="1"/>
    <s v="ICN"/>
    <s v="Premium Economy"/>
    <n v="170"/>
    <n v="605.34"/>
    <n v="42"/>
    <s v="Delayed"/>
    <n v="102907.8"/>
    <s v="May"/>
    <n v="2025"/>
    <n v="102907.8"/>
    <s v="Moderate Delay"/>
  </r>
  <r>
    <n v="863"/>
    <d v="2025-02-21T00:00:00"/>
    <x v="0"/>
    <x v="3"/>
    <s v="MNL"/>
    <s v="Business"/>
    <n v="116"/>
    <n v="434.69"/>
    <n v="0"/>
    <s v="Delayed"/>
    <n v="50424.04"/>
    <s v="Feb"/>
    <n v="2025"/>
    <n v="50424.04"/>
    <s v="On Time"/>
  </r>
  <r>
    <n v="864"/>
    <d v="2025-12-22T00:00:00"/>
    <x v="1"/>
    <x v="3"/>
    <s v="SIN"/>
    <s v="Economy"/>
    <n v="214"/>
    <n v="534.78"/>
    <n v="47"/>
    <s v="On Time"/>
    <n v="114442.92"/>
    <s v="Dec"/>
    <n v="2025"/>
    <n v="114442.92"/>
    <s v="Moderate Delay"/>
  </r>
  <r>
    <n v="865"/>
    <d v="2025-07-25T00:00:00"/>
    <x v="0"/>
    <x v="7"/>
    <s v="ICN"/>
    <s v="Business"/>
    <n v="128"/>
    <n v="292.14999999999998"/>
    <n v="32"/>
    <s v="On Time"/>
    <n v="37395.199999999997"/>
    <s v="Jul"/>
    <n v="2025"/>
    <n v="37395.199999999997"/>
    <s v="Moderate Delay"/>
  </r>
  <r>
    <n v="866"/>
    <d v="2025-06-13T00:00:00"/>
    <x v="2"/>
    <x v="7"/>
    <s v="MNL"/>
    <s v="Premium Economy"/>
    <n v="273"/>
    <n v="604.03"/>
    <n v="27"/>
    <s v="On Time"/>
    <n v="164900.19"/>
    <s v="Jun"/>
    <n v="2025"/>
    <n v="164900.19"/>
    <s v="Minor Delay"/>
  </r>
  <r>
    <n v="867"/>
    <d v="2025-04-12T00:00:00"/>
    <x v="1"/>
    <x v="3"/>
    <s v="NRT"/>
    <s v="Premium Economy"/>
    <n v="144"/>
    <n v="194.6"/>
    <n v="62"/>
    <s v="Delayed"/>
    <n v="28022.400000000001"/>
    <s v="Apr"/>
    <n v="2025"/>
    <n v="28022.399999999998"/>
    <s v="Major Delay"/>
  </r>
  <r>
    <n v="868"/>
    <d v="2025-01-12T00:00:00"/>
    <x v="5"/>
    <x v="2"/>
    <s v="ICN"/>
    <s v="Business"/>
    <n v="206"/>
    <n v="523.70000000000005"/>
    <n v="0"/>
    <s v="Delayed"/>
    <n v="107882.2"/>
    <s v="Jan"/>
    <n v="2025"/>
    <n v="107882.20000000001"/>
    <s v="On Time"/>
  </r>
  <r>
    <n v="869"/>
    <d v="2025-05-15T00:00:00"/>
    <x v="3"/>
    <x v="8"/>
    <s v="PUS"/>
    <s v="Economy"/>
    <n v="62"/>
    <n v="356.77"/>
    <n v="2"/>
    <s v="On Time"/>
    <n v="22119.74"/>
    <s v="May"/>
    <n v="2025"/>
    <n v="22119.739999999998"/>
    <s v="Minor Delay"/>
  </r>
  <r>
    <n v="870"/>
    <d v="2025-10-18T00:00:00"/>
    <x v="1"/>
    <x v="3"/>
    <s v="CJU"/>
    <s v="Economy"/>
    <n v="233"/>
    <n v="449.12"/>
    <n v="28"/>
    <s v="On Time"/>
    <n v="104644.96"/>
    <s v="Oct"/>
    <n v="2025"/>
    <n v="104644.96"/>
    <s v="Minor Delay"/>
  </r>
  <r>
    <n v="871"/>
    <d v="2025-03-02T00:00:00"/>
    <x v="0"/>
    <x v="8"/>
    <s v="SIN"/>
    <s v="Business"/>
    <n v="102"/>
    <n v="201"/>
    <n v="48"/>
    <s v="On Time"/>
    <n v="20502"/>
    <s v="Mar"/>
    <n v="2025"/>
    <n v="20502"/>
    <s v="Moderate Delay"/>
  </r>
  <r>
    <n v="872"/>
    <d v="2025-03-08T00:00:00"/>
    <x v="2"/>
    <x v="8"/>
    <s v="BKK"/>
    <s v="Economy"/>
    <n v="203"/>
    <n v="219.52"/>
    <n v="0"/>
    <s v="Delayed"/>
    <n v="44562.559999999998"/>
    <s v="Mar"/>
    <n v="2025"/>
    <n v="44562.560000000005"/>
    <s v="On Time"/>
  </r>
  <r>
    <n v="873"/>
    <d v="2025-04-03T00:00:00"/>
    <x v="2"/>
    <x v="2"/>
    <s v="MNL"/>
    <s v="Economy"/>
    <n v="57"/>
    <n v="274.74"/>
    <n v="17"/>
    <s v="Delayed"/>
    <n v="15660.18"/>
    <s v="Apr"/>
    <n v="2025"/>
    <n v="15660.18"/>
    <s v="Minor Delay"/>
  </r>
  <r>
    <n v="874"/>
    <d v="2025-02-13T00:00:00"/>
    <x v="1"/>
    <x v="3"/>
    <s v="SIN"/>
    <s v="Premium Economy"/>
    <n v="84"/>
    <n v="704.87"/>
    <n v="54"/>
    <s v="Delayed"/>
    <n v="59209.08"/>
    <s v="Feb"/>
    <n v="2025"/>
    <n v="59209.08"/>
    <s v="Moderate Delay"/>
  </r>
  <r>
    <n v="875"/>
    <d v="2025-07-16T00:00:00"/>
    <x v="3"/>
    <x v="1"/>
    <s v="PUS"/>
    <s v="Premium Economy"/>
    <n v="238"/>
    <n v="501.92"/>
    <n v="48"/>
    <s v="On Time"/>
    <n v="119456.96000000001"/>
    <s v="Jul"/>
    <n v="2025"/>
    <n v="119456.96000000001"/>
    <s v="Moderate Delay"/>
  </r>
  <r>
    <n v="876"/>
    <d v="2025-07-01T00:00:00"/>
    <x v="5"/>
    <x v="2"/>
    <s v="SIN"/>
    <s v="Business"/>
    <n v="297"/>
    <n v="653.66"/>
    <n v="34"/>
    <s v="On Time"/>
    <n v="194137.02"/>
    <s v="Jul"/>
    <n v="2025"/>
    <n v="194137.02"/>
    <s v="Moderate Delay"/>
  </r>
  <r>
    <n v="877"/>
    <d v="2025-05-10T00:00:00"/>
    <x v="5"/>
    <x v="5"/>
    <s v="GMP"/>
    <s v="Business"/>
    <n v="147"/>
    <n v="283.86"/>
    <n v="1"/>
    <s v="Delayed"/>
    <n v="41727.42"/>
    <s v="May"/>
    <n v="2025"/>
    <n v="41727.420000000006"/>
    <s v="Minor Delay"/>
  </r>
  <r>
    <n v="878"/>
    <d v="2025-10-25T00:00:00"/>
    <x v="0"/>
    <x v="6"/>
    <s v="ICN"/>
    <s v="Premium Economy"/>
    <n v="93"/>
    <n v="432.77"/>
    <n v="34"/>
    <s v="Delayed"/>
    <n v="40247.61"/>
    <s v="Oct"/>
    <n v="2025"/>
    <n v="40247.61"/>
    <s v="Moderate Delay"/>
  </r>
  <r>
    <n v="879"/>
    <d v="2025-02-15T00:00:00"/>
    <x v="4"/>
    <x v="8"/>
    <s v="CJU"/>
    <s v="Business"/>
    <n v="185"/>
    <n v="380.37"/>
    <n v="18"/>
    <s v="Delayed"/>
    <n v="70368.45"/>
    <s v="Feb"/>
    <n v="2025"/>
    <n v="70368.45"/>
    <s v="Minor Delay"/>
  </r>
  <r>
    <n v="880"/>
    <d v="2025-07-04T00:00:00"/>
    <x v="2"/>
    <x v="8"/>
    <s v="NRT"/>
    <s v="Premium Economy"/>
    <n v="281"/>
    <n v="708.93"/>
    <n v="41"/>
    <s v="On Time"/>
    <n v="199209.33"/>
    <s v="Jul"/>
    <n v="2025"/>
    <n v="199209.33"/>
    <s v="Moderate Delay"/>
  </r>
  <r>
    <n v="881"/>
    <d v="2025-08-12T00:00:00"/>
    <x v="0"/>
    <x v="4"/>
    <s v="BKK"/>
    <s v="Premium Economy"/>
    <n v="238"/>
    <n v="795.98"/>
    <n v="21"/>
    <s v="Delayed"/>
    <n v="189443.24"/>
    <s v="Aug"/>
    <n v="2025"/>
    <n v="189443.24"/>
    <s v="Minor Delay"/>
  </r>
  <r>
    <n v="882"/>
    <d v="2025-04-07T00:00:00"/>
    <x v="0"/>
    <x v="8"/>
    <s v="ICN"/>
    <s v="Economy"/>
    <n v="108"/>
    <n v="195.52"/>
    <n v="5"/>
    <s v="On Time"/>
    <n v="21116.16"/>
    <s v="Apr"/>
    <n v="2025"/>
    <n v="21116.16"/>
    <s v="Minor Delay"/>
  </r>
  <r>
    <n v="883"/>
    <d v="2025-08-12T00:00:00"/>
    <x v="1"/>
    <x v="7"/>
    <s v="SIN"/>
    <s v="Premium Economy"/>
    <n v="60"/>
    <n v="386.72"/>
    <n v="51"/>
    <s v="On Time"/>
    <n v="23203.200000000001"/>
    <s v="Aug"/>
    <n v="2025"/>
    <n v="23203.200000000001"/>
    <s v="Moderate Delay"/>
  </r>
  <r>
    <n v="884"/>
    <d v="2025-03-05T00:00:00"/>
    <x v="4"/>
    <x v="0"/>
    <s v="PUS"/>
    <s v="Economy"/>
    <n v="102"/>
    <n v="702.45"/>
    <n v="17"/>
    <s v="On Time"/>
    <n v="71649.899999999994"/>
    <s v="Mar"/>
    <n v="2025"/>
    <n v="71649.900000000009"/>
    <s v="Minor Delay"/>
  </r>
  <r>
    <n v="885"/>
    <d v="2025-10-16T00:00:00"/>
    <x v="3"/>
    <x v="7"/>
    <s v="KIX"/>
    <s v="Business"/>
    <n v="104"/>
    <n v="491.83"/>
    <n v="50"/>
    <s v="On Time"/>
    <n v="51150.32"/>
    <s v="Oct"/>
    <n v="2025"/>
    <n v="51150.32"/>
    <s v="Moderate Delay"/>
  </r>
  <r>
    <n v="886"/>
    <d v="2025-05-07T00:00:00"/>
    <x v="2"/>
    <x v="1"/>
    <s v="GMP"/>
    <s v="Business"/>
    <n v="74"/>
    <n v="716.65"/>
    <n v="14"/>
    <s v="On Time"/>
    <n v="53032.1"/>
    <s v="May"/>
    <n v="2025"/>
    <n v="53032.1"/>
    <s v="Minor Delay"/>
  </r>
  <r>
    <n v="887"/>
    <d v="2025-07-11T00:00:00"/>
    <x v="5"/>
    <x v="0"/>
    <s v="MNL"/>
    <s v="Economy"/>
    <n v="264"/>
    <n v="299.42"/>
    <n v="47"/>
    <s v="On Time"/>
    <n v="79046.880000000005"/>
    <s v="Jul"/>
    <n v="2025"/>
    <n v="79046.880000000005"/>
    <s v="Moderate Delay"/>
  </r>
  <r>
    <n v="888"/>
    <d v="2025-11-18T00:00:00"/>
    <x v="4"/>
    <x v="8"/>
    <s v="SIN"/>
    <s v="Business"/>
    <n v="218"/>
    <n v="64.3"/>
    <n v="25"/>
    <s v="Delayed"/>
    <n v="14017.4"/>
    <s v="Nov"/>
    <n v="2025"/>
    <n v="14017.4"/>
    <s v="Minor Delay"/>
  </r>
  <r>
    <n v="889"/>
    <d v="2025-10-19T00:00:00"/>
    <x v="0"/>
    <x v="8"/>
    <s v="KIX"/>
    <s v="Economy"/>
    <n v="270"/>
    <n v="96.02"/>
    <n v="6"/>
    <s v="On Time"/>
    <n v="25925.4"/>
    <s v="Oct"/>
    <n v="2025"/>
    <n v="25925.399999999998"/>
    <s v="Minor Delay"/>
  </r>
  <r>
    <n v="890"/>
    <d v="2025-02-17T00:00:00"/>
    <x v="2"/>
    <x v="0"/>
    <s v="MNL"/>
    <s v="Premium Economy"/>
    <n v="95"/>
    <n v="237.66"/>
    <n v="2"/>
    <s v="On Time"/>
    <n v="22577.7"/>
    <s v="Feb"/>
    <n v="2025"/>
    <n v="22577.7"/>
    <s v="Minor Delay"/>
  </r>
  <r>
    <n v="891"/>
    <d v="2025-01-11T00:00:00"/>
    <x v="0"/>
    <x v="1"/>
    <s v="GMP"/>
    <s v="Economy"/>
    <n v="149"/>
    <n v="636.82000000000005"/>
    <n v="10"/>
    <s v="On Time"/>
    <n v="94886.18"/>
    <s v="Jan"/>
    <n v="2025"/>
    <n v="94886.180000000008"/>
    <s v="Minor Delay"/>
  </r>
  <r>
    <n v="892"/>
    <d v="2025-09-09T00:00:00"/>
    <x v="2"/>
    <x v="0"/>
    <s v="KIX"/>
    <s v="Business"/>
    <n v="256"/>
    <n v="742.06"/>
    <n v="60"/>
    <s v="Delayed"/>
    <n v="189967.35999999999"/>
    <s v="Sep"/>
    <n v="2025"/>
    <n v="189967.35999999999"/>
    <s v="Moderate Delay"/>
  </r>
  <r>
    <n v="893"/>
    <d v="2025-12-07T00:00:00"/>
    <x v="1"/>
    <x v="7"/>
    <s v="BKK"/>
    <s v="Premium Economy"/>
    <n v="181"/>
    <n v="207.9"/>
    <n v="0"/>
    <s v="On Time"/>
    <n v="37629.9"/>
    <s v="Dec"/>
    <n v="2025"/>
    <n v="37629.9"/>
    <s v="On Time"/>
  </r>
  <r>
    <n v="894"/>
    <d v="2025-08-05T00:00:00"/>
    <x v="4"/>
    <x v="1"/>
    <s v="GMP"/>
    <s v="Business"/>
    <n v="97"/>
    <n v="381.24"/>
    <n v="28"/>
    <s v="On Time"/>
    <n v="36980.28"/>
    <s v="Aug"/>
    <n v="2025"/>
    <n v="36980.28"/>
    <s v="Minor Delay"/>
  </r>
  <r>
    <n v="895"/>
    <d v="2025-08-26T00:00:00"/>
    <x v="3"/>
    <x v="5"/>
    <s v="BKK"/>
    <s v="Economy"/>
    <n v="215"/>
    <n v="567.82000000000005"/>
    <n v="36"/>
    <s v="On Time"/>
    <n v="122081.3"/>
    <s v="Aug"/>
    <n v="2025"/>
    <n v="122081.30000000002"/>
    <s v="Moderate Delay"/>
  </r>
  <r>
    <n v="896"/>
    <d v="2025-05-29T00:00:00"/>
    <x v="2"/>
    <x v="6"/>
    <s v="GMP"/>
    <s v="Premium Economy"/>
    <n v="70"/>
    <n v="731.33"/>
    <n v="44"/>
    <s v="On Time"/>
    <n v="51193.1"/>
    <s v="May"/>
    <n v="2025"/>
    <n v="51193.100000000006"/>
    <s v="Moderate Delay"/>
  </r>
  <r>
    <n v="897"/>
    <d v="2025-12-17T00:00:00"/>
    <x v="4"/>
    <x v="7"/>
    <s v="PUS"/>
    <s v="Economy"/>
    <n v="183"/>
    <n v="376.52"/>
    <n v="0"/>
    <s v="Delayed"/>
    <n v="68903.16"/>
    <s v="Dec"/>
    <n v="2025"/>
    <n v="68903.16"/>
    <s v="On Time"/>
  </r>
  <r>
    <n v="898"/>
    <d v="2025-09-19T00:00:00"/>
    <x v="2"/>
    <x v="6"/>
    <s v="GMP"/>
    <s v="Premium Economy"/>
    <n v="74"/>
    <n v="403.85"/>
    <n v="6"/>
    <s v="On Time"/>
    <n v="29884.9"/>
    <s v="Sep"/>
    <n v="2025"/>
    <n v="29884.9"/>
    <s v="Minor Delay"/>
  </r>
  <r>
    <n v="899"/>
    <d v="2025-05-11T00:00:00"/>
    <x v="5"/>
    <x v="4"/>
    <s v="BKK"/>
    <s v="Economy"/>
    <n v="246"/>
    <n v="432.55"/>
    <n v="47"/>
    <s v="On Time"/>
    <n v="106407.3"/>
    <s v="May"/>
    <n v="2025"/>
    <n v="106407.3"/>
    <s v="Moderate Delay"/>
  </r>
  <r>
    <n v="900"/>
    <d v="2025-01-24T00:00:00"/>
    <x v="1"/>
    <x v="7"/>
    <s v="MNL"/>
    <s v="Premium Economy"/>
    <n v="274"/>
    <n v="581.24"/>
    <n v="44"/>
    <s v="On Time"/>
    <n v="159259.76"/>
    <s v="Jan"/>
    <n v="2025"/>
    <n v="159259.76"/>
    <s v="Moderate Delay"/>
  </r>
  <r>
    <n v="901"/>
    <d v="2025-11-16T00:00:00"/>
    <x v="4"/>
    <x v="8"/>
    <s v="SIN"/>
    <s v="Premium Economy"/>
    <n v="297"/>
    <n v="739.4"/>
    <n v="26"/>
    <s v="On Time"/>
    <n v="219601.8"/>
    <s v="Nov"/>
    <n v="2025"/>
    <n v="219601.8"/>
    <s v="Minor Delay"/>
  </r>
  <r>
    <n v="902"/>
    <d v="2025-08-11T00:00:00"/>
    <x v="5"/>
    <x v="4"/>
    <s v="GMP"/>
    <s v="Economy"/>
    <n v="51"/>
    <n v="352.25"/>
    <n v="3"/>
    <s v="On Time"/>
    <n v="17964.75"/>
    <s v="Aug"/>
    <n v="2025"/>
    <n v="17964.75"/>
    <s v="Minor Delay"/>
  </r>
  <r>
    <n v="903"/>
    <d v="2025-12-21T00:00:00"/>
    <x v="2"/>
    <x v="8"/>
    <s v="SIN"/>
    <s v="Business"/>
    <n v="297"/>
    <n v="610.74"/>
    <n v="16"/>
    <s v="Delayed"/>
    <n v="181389.78"/>
    <s v="Dec"/>
    <n v="2025"/>
    <n v="181389.78"/>
    <s v="Minor Delay"/>
  </r>
  <r>
    <n v="904"/>
    <d v="2025-06-04T00:00:00"/>
    <x v="1"/>
    <x v="3"/>
    <s v="MNL"/>
    <s v="Economy"/>
    <n v="84"/>
    <n v="70.27"/>
    <n v="0"/>
    <s v="On Time"/>
    <n v="5902.68"/>
    <s v="Jun"/>
    <n v="2025"/>
    <n v="5902.6799999999994"/>
    <s v="On Time"/>
  </r>
  <r>
    <n v="905"/>
    <d v="2025-01-14T00:00:00"/>
    <x v="0"/>
    <x v="5"/>
    <s v="NRT"/>
    <s v="Premium Economy"/>
    <n v="216"/>
    <n v="167.41"/>
    <n v="22"/>
    <s v="Delayed"/>
    <n v="36160.559999999998"/>
    <s v="Jan"/>
    <n v="2025"/>
    <n v="36160.559999999998"/>
    <s v="Minor Delay"/>
  </r>
  <r>
    <n v="906"/>
    <d v="2025-02-14T00:00:00"/>
    <x v="4"/>
    <x v="6"/>
    <s v="PUS"/>
    <s v="Premium Economy"/>
    <n v="87"/>
    <n v="410.75"/>
    <n v="67"/>
    <s v="On Time"/>
    <n v="35735.25"/>
    <s v="Feb"/>
    <n v="2025"/>
    <n v="35735.25"/>
    <s v="Major Delay"/>
  </r>
  <r>
    <n v="907"/>
    <d v="2025-12-26T00:00:00"/>
    <x v="2"/>
    <x v="7"/>
    <s v="PUS"/>
    <s v="Premium Economy"/>
    <n v="170"/>
    <n v="74.52"/>
    <n v="2"/>
    <s v="On Time"/>
    <n v="12668.4"/>
    <s v="Dec"/>
    <n v="2025"/>
    <n v="12668.4"/>
    <s v="Minor Delay"/>
  </r>
  <r>
    <n v="908"/>
    <d v="2025-06-20T00:00:00"/>
    <x v="1"/>
    <x v="1"/>
    <s v="ICN"/>
    <s v="Economy"/>
    <n v="211"/>
    <n v="687.25"/>
    <n v="25"/>
    <s v="On Time"/>
    <n v="145009.75"/>
    <s v="Jun"/>
    <n v="2025"/>
    <n v="145009.75"/>
    <s v="Minor Delay"/>
  </r>
  <r>
    <n v="909"/>
    <d v="2025-10-24T00:00:00"/>
    <x v="5"/>
    <x v="1"/>
    <s v="SIN"/>
    <s v="Business"/>
    <n v="191"/>
    <n v="799.28"/>
    <n v="44"/>
    <s v="On Time"/>
    <n v="152662.48000000001"/>
    <s v="Oct"/>
    <n v="2025"/>
    <n v="152662.47999999998"/>
    <s v="Moderate Delay"/>
  </r>
  <r>
    <n v="910"/>
    <d v="2025-02-01T00:00:00"/>
    <x v="5"/>
    <x v="8"/>
    <s v="PUS"/>
    <s v="Economy"/>
    <n v="158"/>
    <n v="486.54"/>
    <n v="25"/>
    <s v="On Time"/>
    <n v="76873.320000000007"/>
    <s v="Feb"/>
    <n v="2025"/>
    <n v="76873.320000000007"/>
    <s v="Minor Delay"/>
  </r>
  <r>
    <n v="911"/>
    <d v="2025-08-31T00:00:00"/>
    <x v="1"/>
    <x v="4"/>
    <s v="MNL"/>
    <s v="Premium Economy"/>
    <n v="209"/>
    <n v="754.83"/>
    <n v="0"/>
    <s v="On Time"/>
    <n v="157759.47"/>
    <s v="Aug"/>
    <n v="2025"/>
    <n v="157759.47"/>
    <s v="On Time"/>
  </r>
  <r>
    <n v="912"/>
    <d v="2025-08-29T00:00:00"/>
    <x v="4"/>
    <x v="4"/>
    <s v="PUS"/>
    <s v="Premium Economy"/>
    <n v="109"/>
    <n v="435.65"/>
    <n v="51"/>
    <s v="On Time"/>
    <n v="47485.85"/>
    <s v="Aug"/>
    <n v="2025"/>
    <n v="47485.85"/>
    <s v="Moderate Delay"/>
  </r>
  <r>
    <n v="913"/>
    <d v="2025-03-09T00:00:00"/>
    <x v="4"/>
    <x v="3"/>
    <s v="SIN"/>
    <s v="Business"/>
    <n v="232"/>
    <n v="348.87"/>
    <n v="0"/>
    <s v="On Time"/>
    <n v="80937.84"/>
    <s v="Mar"/>
    <n v="2025"/>
    <n v="80937.84"/>
    <s v="On Time"/>
  </r>
  <r>
    <n v="914"/>
    <d v="2025-03-24T00:00:00"/>
    <x v="5"/>
    <x v="3"/>
    <s v="SIN"/>
    <s v="Economy"/>
    <n v="122"/>
    <n v="571.12"/>
    <n v="49"/>
    <s v="On Time"/>
    <n v="69676.639999999999"/>
    <s v="Mar"/>
    <n v="2025"/>
    <n v="69676.639999999999"/>
    <s v="Moderate Delay"/>
  </r>
  <r>
    <n v="915"/>
    <d v="2025-03-30T00:00:00"/>
    <x v="0"/>
    <x v="8"/>
    <s v="CJU"/>
    <s v="Economy"/>
    <n v="205"/>
    <n v="424.22"/>
    <n v="36"/>
    <s v="On Time"/>
    <n v="86965.1"/>
    <s v="Mar"/>
    <n v="2025"/>
    <n v="86965.1"/>
    <s v="Moderate Delay"/>
  </r>
  <r>
    <n v="916"/>
    <d v="2025-10-13T00:00:00"/>
    <x v="1"/>
    <x v="2"/>
    <s v="NRT"/>
    <s v="Economy"/>
    <n v="141"/>
    <n v="711.87"/>
    <n v="0"/>
    <s v="On Time"/>
    <n v="100373.67"/>
    <s v="Oct"/>
    <n v="2025"/>
    <n v="100373.67"/>
    <s v="On Time"/>
  </r>
  <r>
    <n v="917"/>
    <d v="2025-09-15T00:00:00"/>
    <x v="1"/>
    <x v="7"/>
    <s v="PUS"/>
    <s v="Economy"/>
    <n v="136"/>
    <n v="378.66"/>
    <n v="10"/>
    <s v="On Time"/>
    <n v="51497.760000000002"/>
    <s v="Sep"/>
    <n v="2025"/>
    <n v="51497.760000000002"/>
    <s v="Minor Delay"/>
  </r>
  <r>
    <n v="918"/>
    <d v="2025-07-01T00:00:00"/>
    <x v="1"/>
    <x v="4"/>
    <s v="BKK"/>
    <s v="Business"/>
    <n v="118"/>
    <n v="723.28"/>
    <n v="11"/>
    <s v="Delayed"/>
    <n v="85347.04"/>
    <s v="Jul"/>
    <n v="2025"/>
    <n v="85347.04"/>
    <s v="Minor Delay"/>
  </r>
  <r>
    <n v="919"/>
    <d v="2025-12-28T00:00:00"/>
    <x v="1"/>
    <x v="6"/>
    <s v="GMP"/>
    <s v="Premium Economy"/>
    <n v="254"/>
    <n v="398.28"/>
    <n v="26"/>
    <s v="On Time"/>
    <n v="101163.12"/>
    <s v="Dec"/>
    <n v="2025"/>
    <n v="101163.12"/>
    <s v="Minor Delay"/>
  </r>
  <r>
    <n v="920"/>
    <d v="2025-09-17T00:00:00"/>
    <x v="1"/>
    <x v="0"/>
    <s v="ICN"/>
    <s v="Economy"/>
    <n v="211"/>
    <n v="147.36000000000001"/>
    <n v="9"/>
    <s v="On Time"/>
    <n v="31092.959999999999"/>
    <s v="Sep"/>
    <n v="2025"/>
    <n v="31092.960000000003"/>
    <s v="Minor Delay"/>
  </r>
  <r>
    <n v="921"/>
    <d v="2025-05-30T00:00:00"/>
    <x v="3"/>
    <x v="3"/>
    <s v="CJU"/>
    <s v="Premium Economy"/>
    <n v="245"/>
    <n v="434.36"/>
    <n v="18"/>
    <s v="On Time"/>
    <n v="106418.2"/>
    <s v="May"/>
    <n v="2025"/>
    <n v="106418.2"/>
    <s v="Minor Delay"/>
  </r>
  <r>
    <n v="922"/>
    <d v="2025-03-04T00:00:00"/>
    <x v="0"/>
    <x v="3"/>
    <s v="CJU"/>
    <s v="Premium Economy"/>
    <n v="298"/>
    <n v="367.65"/>
    <n v="8"/>
    <s v="On Time"/>
    <n v="109559.7"/>
    <s v="Mar"/>
    <n v="2025"/>
    <n v="109559.7"/>
    <s v="Minor Delay"/>
  </r>
  <r>
    <n v="923"/>
    <d v="2025-06-24T00:00:00"/>
    <x v="4"/>
    <x v="2"/>
    <s v="SIN"/>
    <s v="Business"/>
    <n v="93"/>
    <n v="123.07"/>
    <n v="0"/>
    <s v="On Time"/>
    <n v="11445.51"/>
    <s v="Jun"/>
    <n v="2025"/>
    <n v="11445.51"/>
    <s v="On Time"/>
  </r>
  <r>
    <n v="924"/>
    <d v="2025-09-29T00:00:00"/>
    <x v="2"/>
    <x v="2"/>
    <s v="CJU"/>
    <s v="Economy"/>
    <n v="85"/>
    <n v="653.30999999999995"/>
    <n v="50"/>
    <s v="On Time"/>
    <n v="55531.35"/>
    <s v="Sep"/>
    <n v="2025"/>
    <n v="55531.35"/>
    <s v="Moderate Delay"/>
  </r>
  <r>
    <n v="925"/>
    <d v="2025-09-22T00:00:00"/>
    <x v="3"/>
    <x v="1"/>
    <s v="SIN"/>
    <s v="Premium Economy"/>
    <n v="291"/>
    <n v="82.02"/>
    <n v="22"/>
    <s v="Delayed"/>
    <n v="23867.82"/>
    <s v="Sep"/>
    <n v="2025"/>
    <n v="23867.82"/>
    <s v="Minor Delay"/>
  </r>
  <r>
    <n v="926"/>
    <d v="2025-06-23T00:00:00"/>
    <x v="4"/>
    <x v="0"/>
    <s v="CJU"/>
    <s v="Premium Economy"/>
    <n v="247"/>
    <n v="181.6"/>
    <n v="22"/>
    <s v="On Time"/>
    <n v="44855.199999999997"/>
    <s v="Jun"/>
    <n v="2025"/>
    <n v="44855.199999999997"/>
    <s v="Minor Delay"/>
  </r>
  <r>
    <n v="927"/>
    <d v="2025-10-22T00:00:00"/>
    <x v="1"/>
    <x v="5"/>
    <s v="PUS"/>
    <s v="Business"/>
    <n v="300"/>
    <n v="587.89"/>
    <n v="3"/>
    <s v="On Time"/>
    <n v="176367"/>
    <s v="Oct"/>
    <n v="2025"/>
    <n v="176367"/>
    <s v="Minor Delay"/>
  </r>
  <r>
    <n v="928"/>
    <d v="2025-06-10T00:00:00"/>
    <x v="4"/>
    <x v="1"/>
    <s v="NRT"/>
    <s v="Economy"/>
    <n v="261"/>
    <n v="267.04000000000002"/>
    <n v="0"/>
    <s v="On Time"/>
    <n v="69697.440000000002"/>
    <s v="Jun"/>
    <n v="2025"/>
    <n v="69697.440000000002"/>
    <s v="On Time"/>
  </r>
  <r>
    <n v="929"/>
    <d v="2025-08-17T00:00:00"/>
    <x v="3"/>
    <x v="7"/>
    <s v="MNL"/>
    <s v="Economy"/>
    <n v="277"/>
    <n v="462.87"/>
    <n v="28"/>
    <s v="On Time"/>
    <n v="128214.99"/>
    <s v="Aug"/>
    <n v="2025"/>
    <n v="128214.99"/>
    <s v="Minor Delay"/>
  </r>
  <r>
    <n v="930"/>
    <d v="2025-06-04T00:00:00"/>
    <x v="1"/>
    <x v="1"/>
    <s v="PUS"/>
    <s v="Economy"/>
    <n v="187"/>
    <n v="307.52"/>
    <n v="0"/>
    <s v="On Time"/>
    <n v="57506.239999999998"/>
    <s v="Jun"/>
    <n v="2025"/>
    <n v="57506.239999999998"/>
    <s v="On Time"/>
  </r>
  <r>
    <n v="931"/>
    <d v="2025-04-20T00:00:00"/>
    <x v="1"/>
    <x v="7"/>
    <s v="KIX"/>
    <s v="Business"/>
    <n v="191"/>
    <n v="291.07"/>
    <n v="0"/>
    <s v="On Time"/>
    <n v="55594.37"/>
    <s v="Apr"/>
    <n v="2025"/>
    <n v="55594.369999999995"/>
    <s v="On Time"/>
  </r>
  <r>
    <n v="932"/>
    <d v="2025-05-04T00:00:00"/>
    <x v="4"/>
    <x v="6"/>
    <s v="NRT"/>
    <s v="Business"/>
    <n v="158"/>
    <n v="790.35"/>
    <n v="49"/>
    <s v="On Time"/>
    <n v="124875.3"/>
    <s v="May"/>
    <n v="2025"/>
    <n v="124875.3"/>
    <s v="Moderate Delay"/>
  </r>
  <r>
    <n v="933"/>
    <d v="2025-05-13T00:00:00"/>
    <x v="3"/>
    <x v="5"/>
    <s v="BKK"/>
    <s v="Business"/>
    <n v="140"/>
    <n v="151.62"/>
    <n v="22"/>
    <s v="On Time"/>
    <n v="21226.799999999999"/>
    <s v="May"/>
    <n v="2025"/>
    <n v="21226.799999999999"/>
    <s v="Minor Delay"/>
  </r>
  <r>
    <n v="934"/>
    <d v="2025-06-23T00:00:00"/>
    <x v="0"/>
    <x v="5"/>
    <s v="SIN"/>
    <s v="Business"/>
    <n v="198"/>
    <n v="478.54"/>
    <n v="0"/>
    <s v="Delayed"/>
    <n v="94750.92"/>
    <s v="Jun"/>
    <n v="2025"/>
    <n v="94750.92"/>
    <s v="On Time"/>
  </r>
  <r>
    <n v="935"/>
    <d v="2025-06-29T00:00:00"/>
    <x v="4"/>
    <x v="6"/>
    <s v="PUS"/>
    <s v="Premium Economy"/>
    <n v="220"/>
    <n v="640.74"/>
    <n v="11"/>
    <s v="On Time"/>
    <n v="140962.79999999999"/>
    <s v="Jun"/>
    <n v="2025"/>
    <n v="140962.79999999999"/>
    <s v="Minor Delay"/>
  </r>
  <r>
    <n v="936"/>
    <d v="2025-02-23T00:00:00"/>
    <x v="4"/>
    <x v="6"/>
    <s v="PUS"/>
    <s v="Business"/>
    <n v="199"/>
    <n v="202.49"/>
    <n v="0"/>
    <s v="On Time"/>
    <n v="40295.51"/>
    <s v="Feb"/>
    <n v="2025"/>
    <n v="40295.51"/>
    <s v="On Time"/>
  </r>
  <r>
    <n v="937"/>
    <d v="2025-03-17T00:00:00"/>
    <x v="3"/>
    <x v="8"/>
    <s v="GMP"/>
    <s v="Premium Economy"/>
    <n v="262"/>
    <n v="364.92"/>
    <n v="42"/>
    <s v="On Time"/>
    <n v="95609.04"/>
    <s v="Mar"/>
    <n v="2025"/>
    <n v="95609.040000000008"/>
    <s v="Moderate Delay"/>
  </r>
  <r>
    <n v="938"/>
    <d v="2025-02-09T00:00:00"/>
    <x v="4"/>
    <x v="2"/>
    <s v="SIN"/>
    <s v="Business"/>
    <n v="184"/>
    <n v="358.04"/>
    <n v="34"/>
    <s v="On Time"/>
    <n v="65879.360000000001"/>
    <s v="Feb"/>
    <n v="2025"/>
    <n v="65879.360000000001"/>
    <s v="Moderate Delay"/>
  </r>
  <r>
    <n v="939"/>
    <d v="2025-10-27T00:00:00"/>
    <x v="2"/>
    <x v="1"/>
    <s v="NRT"/>
    <s v="Business"/>
    <n v="158"/>
    <n v="797.42"/>
    <n v="0"/>
    <s v="On Time"/>
    <n v="125992.36"/>
    <s v="Oct"/>
    <n v="2025"/>
    <n v="125992.36"/>
    <s v="On Time"/>
  </r>
  <r>
    <n v="940"/>
    <d v="2025-03-15T00:00:00"/>
    <x v="5"/>
    <x v="1"/>
    <s v="CJU"/>
    <s v="Economy"/>
    <n v="174"/>
    <n v="586.25"/>
    <n v="0"/>
    <s v="On Time"/>
    <n v="102007.5"/>
    <s v="Mar"/>
    <n v="2025"/>
    <n v="102007.5"/>
    <s v="On Time"/>
  </r>
  <r>
    <n v="941"/>
    <d v="2025-12-22T00:00:00"/>
    <x v="0"/>
    <x v="6"/>
    <s v="GMP"/>
    <s v="Premium Economy"/>
    <n v="171"/>
    <n v="84.13"/>
    <n v="37"/>
    <s v="Delayed"/>
    <n v="14386.23"/>
    <s v="Dec"/>
    <n v="2025"/>
    <n v="14386.23"/>
    <s v="Moderate Delay"/>
  </r>
  <r>
    <n v="942"/>
    <d v="2025-02-26T00:00:00"/>
    <x v="1"/>
    <x v="0"/>
    <s v="MNL"/>
    <s v="Premium Economy"/>
    <n v="196"/>
    <n v="274.3"/>
    <n v="46"/>
    <s v="On Time"/>
    <n v="53762.8"/>
    <s v="Feb"/>
    <n v="2025"/>
    <n v="53762.8"/>
    <s v="Moderate Delay"/>
  </r>
  <r>
    <n v="943"/>
    <d v="2025-06-06T00:00:00"/>
    <x v="4"/>
    <x v="0"/>
    <s v="BKK"/>
    <s v="Premium Economy"/>
    <n v="125"/>
    <n v="419.58"/>
    <n v="23"/>
    <s v="On Time"/>
    <n v="52447.5"/>
    <s v="Jun"/>
    <n v="2025"/>
    <n v="52447.5"/>
    <s v="Minor Delay"/>
  </r>
  <r>
    <n v="944"/>
    <d v="2025-05-26T00:00:00"/>
    <x v="0"/>
    <x v="5"/>
    <s v="KIX"/>
    <s v="Economy"/>
    <n v="259"/>
    <n v="607.35"/>
    <n v="6"/>
    <s v="On Time"/>
    <n v="157303.65"/>
    <s v="May"/>
    <n v="2025"/>
    <n v="157303.65"/>
    <s v="Minor Delay"/>
  </r>
  <r>
    <n v="945"/>
    <d v="2025-02-04T00:00:00"/>
    <x v="1"/>
    <x v="6"/>
    <s v="KIX"/>
    <s v="Premium Economy"/>
    <n v="173"/>
    <n v="484.06"/>
    <n v="0"/>
    <s v="On Time"/>
    <n v="83742.38"/>
    <s v="Feb"/>
    <n v="2025"/>
    <n v="83742.38"/>
    <s v="On Time"/>
  </r>
  <r>
    <n v="946"/>
    <d v="2025-03-12T00:00:00"/>
    <x v="5"/>
    <x v="8"/>
    <s v="CJU"/>
    <s v="Business"/>
    <n v="167"/>
    <n v="623.64"/>
    <n v="0"/>
    <s v="On Time"/>
    <n v="104147.88"/>
    <s v="Mar"/>
    <n v="2025"/>
    <n v="104147.88"/>
    <s v="On Time"/>
  </r>
  <r>
    <n v="947"/>
    <d v="2025-02-15T00:00:00"/>
    <x v="5"/>
    <x v="7"/>
    <s v="BKK"/>
    <s v="Business"/>
    <n v="209"/>
    <n v="363.12"/>
    <n v="22"/>
    <s v="On Time"/>
    <n v="75892.08"/>
    <s v="Feb"/>
    <n v="2025"/>
    <n v="75892.08"/>
    <s v="Minor Delay"/>
  </r>
  <r>
    <n v="948"/>
    <d v="2025-11-27T00:00:00"/>
    <x v="1"/>
    <x v="8"/>
    <s v="NRT"/>
    <s v="Economy"/>
    <n v="231"/>
    <n v="78.36"/>
    <n v="44"/>
    <s v="On Time"/>
    <n v="18101.16"/>
    <s v="Nov"/>
    <n v="2025"/>
    <n v="18101.16"/>
    <s v="Moderate Delay"/>
  </r>
  <r>
    <n v="949"/>
    <d v="2025-11-26T00:00:00"/>
    <x v="5"/>
    <x v="4"/>
    <s v="GMP"/>
    <s v="Economy"/>
    <n v="99"/>
    <n v="766.82"/>
    <n v="0"/>
    <s v="Delayed"/>
    <n v="75915.179999999993"/>
    <s v="Nov"/>
    <n v="2025"/>
    <n v="75915.180000000008"/>
    <s v="On Time"/>
  </r>
  <r>
    <n v="950"/>
    <d v="2025-09-01T00:00:00"/>
    <x v="5"/>
    <x v="6"/>
    <s v="PUS"/>
    <s v="Economy"/>
    <n v="80"/>
    <n v="547.11"/>
    <n v="9"/>
    <s v="On Time"/>
    <n v="43768.800000000003"/>
    <s v="Sep"/>
    <n v="2025"/>
    <n v="43768.800000000003"/>
    <s v="Minor Delay"/>
  </r>
  <r>
    <n v="951"/>
    <d v="2025-04-16T00:00:00"/>
    <x v="0"/>
    <x v="5"/>
    <s v="KIX"/>
    <s v="Business"/>
    <n v="264"/>
    <n v="716.87"/>
    <n v="0"/>
    <s v="On Time"/>
    <n v="189253.68"/>
    <s v="Apr"/>
    <n v="2025"/>
    <n v="189253.68"/>
    <s v="On Time"/>
  </r>
  <r>
    <n v="952"/>
    <d v="2025-09-09T00:00:00"/>
    <x v="1"/>
    <x v="1"/>
    <s v="ICN"/>
    <s v="Premium Economy"/>
    <n v="161"/>
    <n v="193.58"/>
    <n v="35"/>
    <s v="On Time"/>
    <n v="31166.38"/>
    <s v="Sep"/>
    <n v="2025"/>
    <n v="31166.38"/>
    <s v="Moderate Delay"/>
  </r>
  <r>
    <n v="953"/>
    <d v="2025-07-15T00:00:00"/>
    <x v="4"/>
    <x v="6"/>
    <s v="KIX"/>
    <s v="Economy"/>
    <n v="79"/>
    <n v="785.04"/>
    <n v="0"/>
    <s v="On Time"/>
    <n v="62018.16"/>
    <s v="Jul"/>
    <n v="2025"/>
    <n v="62018.159999999996"/>
    <s v="On Time"/>
  </r>
  <r>
    <n v="954"/>
    <d v="2025-06-07T00:00:00"/>
    <x v="2"/>
    <x v="0"/>
    <s v="PUS"/>
    <s v="Business"/>
    <n v="93"/>
    <n v="103.6"/>
    <n v="14"/>
    <s v="Delayed"/>
    <n v="9634.7999999999993"/>
    <s v="Jun"/>
    <n v="2025"/>
    <n v="9634.7999999999993"/>
    <s v="Minor Delay"/>
  </r>
  <r>
    <n v="955"/>
    <d v="2025-01-30T00:00:00"/>
    <x v="4"/>
    <x v="7"/>
    <s v="ICN"/>
    <s v="Premium Economy"/>
    <n v="75"/>
    <n v="296.83"/>
    <n v="1"/>
    <s v="On Time"/>
    <n v="22262.25"/>
    <s v="Jan"/>
    <n v="2025"/>
    <n v="22262.25"/>
    <s v="Minor Delay"/>
  </r>
  <r>
    <n v="956"/>
    <d v="2025-04-14T00:00:00"/>
    <x v="0"/>
    <x v="0"/>
    <s v="ICN"/>
    <s v="Business"/>
    <n v="200"/>
    <n v="235"/>
    <n v="31"/>
    <s v="On Time"/>
    <n v="47000"/>
    <s v="Apr"/>
    <n v="2025"/>
    <n v="47000"/>
    <s v="Moderate Delay"/>
  </r>
  <r>
    <n v="957"/>
    <d v="2025-02-28T00:00:00"/>
    <x v="4"/>
    <x v="6"/>
    <s v="BKK"/>
    <s v="Economy"/>
    <n v="131"/>
    <n v="403.97"/>
    <n v="0"/>
    <s v="On Time"/>
    <n v="52920.07"/>
    <s v="Feb"/>
    <n v="2025"/>
    <n v="52920.070000000007"/>
    <s v="On Time"/>
  </r>
  <r>
    <n v="958"/>
    <d v="2025-05-18T00:00:00"/>
    <x v="5"/>
    <x v="2"/>
    <s v="ICN"/>
    <s v="Business"/>
    <n v="222"/>
    <n v="135.12"/>
    <n v="35"/>
    <s v="On Time"/>
    <n v="29996.639999999999"/>
    <s v="May"/>
    <n v="2025"/>
    <n v="29996.639999999999"/>
    <s v="Moderate Delay"/>
  </r>
  <r>
    <n v="959"/>
    <d v="2025-10-18T00:00:00"/>
    <x v="2"/>
    <x v="7"/>
    <s v="KIX"/>
    <s v="Premium Economy"/>
    <n v="71"/>
    <n v="686.25"/>
    <n v="0"/>
    <s v="On Time"/>
    <n v="48723.75"/>
    <s v="Oct"/>
    <n v="2025"/>
    <n v="48723.75"/>
    <s v="On Time"/>
  </r>
  <r>
    <n v="960"/>
    <d v="2025-05-06T00:00:00"/>
    <x v="5"/>
    <x v="6"/>
    <s v="CJU"/>
    <s v="Premium Economy"/>
    <n v="296"/>
    <n v="734.5"/>
    <n v="19"/>
    <s v="On Time"/>
    <n v="217412"/>
    <s v="May"/>
    <n v="2025"/>
    <n v="217412"/>
    <s v="Minor Delay"/>
  </r>
  <r>
    <n v="961"/>
    <d v="2025-11-14T00:00:00"/>
    <x v="4"/>
    <x v="5"/>
    <s v="SIN"/>
    <s v="Business"/>
    <n v="298"/>
    <n v="183.86"/>
    <n v="72"/>
    <s v="On Time"/>
    <n v="54790.28"/>
    <s v="Nov"/>
    <n v="2025"/>
    <n v="54790.280000000006"/>
    <s v="Major Delay"/>
  </r>
  <r>
    <n v="962"/>
    <d v="2025-06-29T00:00:00"/>
    <x v="3"/>
    <x v="4"/>
    <s v="MNL"/>
    <s v="Economy"/>
    <n v="199"/>
    <n v="682.11"/>
    <n v="40"/>
    <s v="On Time"/>
    <n v="135739.89000000001"/>
    <s v="Jun"/>
    <n v="2025"/>
    <n v="135739.89000000001"/>
    <s v="Moderate Delay"/>
  </r>
  <r>
    <n v="963"/>
    <d v="2025-06-03T00:00:00"/>
    <x v="1"/>
    <x v="7"/>
    <s v="GMP"/>
    <s v="Premium Economy"/>
    <n v="228"/>
    <n v="151"/>
    <n v="40"/>
    <s v="On Time"/>
    <n v="34428"/>
    <s v="Jun"/>
    <n v="2025"/>
    <n v="34428"/>
    <s v="Moderate Delay"/>
  </r>
  <r>
    <n v="964"/>
    <d v="2025-11-09T00:00:00"/>
    <x v="5"/>
    <x v="1"/>
    <s v="PUS"/>
    <s v="Premium Economy"/>
    <n v="276"/>
    <n v="564.75"/>
    <n v="44"/>
    <s v="On Time"/>
    <n v="155871"/>
    <s v="Nov"/>
    <n v="2025"/>
    <n v="155871"/>
    <s v="Moderate Delay"/>
  </r>
  <r>
    <n v="965"/>
    <d v="2025-05-20T00:00:00"/>
    <x v="0"/>
    <x v="4"/>
    <s v="SIN"/>
    <s v="Business"/>
    <n v="132"/>
    <n v="312.81"/>
    <n v="0"/>
    <s v="On Time"/>
    <n v="41290.92"/>
    <s v="May"/>
    <n v="2025"/>
    <n v="41290.92"/>
    <s v="On Time"/>
  </r>
  <r>
    <n v="966"/>
    <d v="2025-11-08T00:00:00"/>
    <x v="2"/>
    <x v="7"/>
    <s v="ICN"/>
    <s v="Economy"/>
    <n v="280"/>
    <n v="67.09"/>
    <n v="28"/>
    <s v="On Time"/>
    <n v="18785.2"/>
    <s v="Nov"/>
    <n v="2025"/>
    <n v="18785.2"/>
    <s v="Minor Delay"/>
  </r>
  <r>
    <n v="967"/>
    <d v="2025-07-21T00:00:00"/>
    <x v="5"/>
    <x v="6"/>
    <s v="MNL"/>
    <s v="Economy"/>
    <n v="251"/>
    <n v="708.77"/>
    <n v="1"/>
    <s v="Delayed"/>
    <n v="177901.27"/>
    <s v="Jul"/>
    <n v="2025"/>
    <n v="177901.27"/>
    <s v="Minor Delay"/>
  </r>
  <r>
    <n v="968"/>
    <d v="2025-06-30T00:00:00"/>
    <x v="2"/>
    <x v="8"/>
    <s v="GMP"/>
    <s v="Business"/>
    <n v="141"/>
    <n v="346.2"/>
    <n v="0"/>
    <s v="Delayed"/>
    <n v="48814.2"/>
    <s v="Jun"/>
    <n v="2025"/>
    <n v="48814.2"/>
    <s v="On Time"/>
  </r>
  <r>
    <n v="969"/>
    <d v="2025-08-25T00:00:00"/>
    <x v="4"/>
    <x v="5"/>
    <s v="CJU"/>
    <s v="Economy"/>
    <n v="163"/>
    <n v="66.930000000000007"/>
    <n v="18"/>
    <s v="On Time"/>
    <n v="10909.59"/>
    <s v="Aug"/>
    <n v="2025"/>
    <n v="10909.590000000002"/>
    <s v="Minor Delay"/>
  </r>
  <r>
    <n v="970"/>
    <d v="2025-02-16T00:00:00"/>
    <x v="5"/>
    <x v="3"/>
    <s v="PUS"/>
    <s v="Business"/>
    <n v="127"/>
    <n v="658.23"/>
    <n v="0"/>
    <s v="On Time"/>
    <n v="83595.210000000006"/>
    <s v="Feb"/>
    <n v="2025"/>
    <n v="83595.210000000006"/>
    <s v="On Time"/>
  </r>
  <r>
    <n v="971"/>
    <d v="2025-01-19T00:00:00"/>
    <x v="4"/>
    <x v="8"/>
    <s v="KIX"/>
    <s v="Premium Economy"/>
    <n v="281"/>
    <n v="581"/>
    <n v="17"/>
    <s v="Cancelled"/>
    <n v="163261"/>
    <s v="Jan"/>
    <n v="2025"/>
    <n v="163261"/>
    <s v="Minor Delay"/>
  </r>
  <r>
    <n v="972"/>
    <d v="2025-05-23T00:00:00"/>
    <x v="5"/>
    <x v="1"/>
    <s v="GMP"/>
    <s v="Business"/>
    <n v="176"/>
    <n v="186.15"/>
    <n v="18"/>
    <s v="On Time"/>
    <n v="32762.400000000001"/>
    <s v="May"/>
    <n v="2025"/>
    <n v="32762.400000000001"/>
    <s v="Minor Delay"/>
  </r>
  <r>
    <n v="973"/>
    <d v="2025-10-29T00:00:00"/>
    <x v="0"/>
    <x v="7"/>
    <s v="GMP"/>
    <s v="Business"/>
    <n v="66"/>
    <n v="154.30000000000001"/>
    <n v="64"/>
    <s v="Delayed"/>
    <n v="10183.799999999999"/>
    <s v="Oct"/>
    <n v="2025"/>
    <n v="10183.800000000001"/>
    <s v="Major Delay"/>
  </r>
  <r>
    <n v="974"/>
    <d v="2025-12-14T00:00:00"/>
    <x v="1"/>
    <x v="4"/>
    <s v="PUS"/>
    <s v="Business"/>
    <n v="223"/>
    <n v="454.38"/>
    <n v="0"/>
    <s v="On Time"/>
    <n v="101326.74"/>
    <s v="Dec"/>
    <n v="2025"/>
    <n v="101326.74"/>
    <s v="On Time"/>
  </r>
  <r>
    <n v="975"/>
    <d v="2025-01-02T00:00:00"/>
    <x v="2"/>
    <x v="6"/>
    <s v="MNL"/>
    <s v="Business"/>
    <n v="222"/>
    <n v="757.87"/>
    <n v="75"/>
    <s v="On Time"/>
    <n v="168247.14"/>
    <s v="Jan"/>
    <n v="2025"/>
    <n v="168247.14"/>
    <s v="Major Delay"/>
  </r>
  <r>
    <n v="976"/>
    <d v="2025-03-04T00:00:00"/>
    <x v="3"/>
    <x v="1"/>
    <s v="NRT"/>
    <s v="Business"/>
    <n v="169"/>
    <n v="426.73"/>
    <n v="38"/>
    <s v="On Time"/>
    <n v="72117.37"/>
    <s v="Mar"/>
    <n v="2025"/>
    <n v="72117.37000000001"/>
    <s v="Moderate Delay"/>
  </r>
  <r>
    <n v="977"/>
    <d v="2025-01-25T00:00:00"/>
    <x v="4"/>
    <x v="5"/>
    <s v="NRT"/>
    <s v="Premium Economy"/>
    <n v="186"/>
    <n v="392.16"/>
    <n v="36"/>
    <s v="On Time"/>
    <n v="72941.759999999995"/>
    <s v="Jan"/>
    <n v="2025"/>
    <n v="72941.760000000009"/>
    <s v="Moderate Delay"/>
  </r>
  <r>
    <n v="978"/>
    <d v="2025-12-20T00:00:00"/>
    <x v="2"/>
    <x v="5"/>
    <s v="NRT"/>
    <s v="Economy"/>
    <n v="284"/>
    <n v="244.99"/>
    <n v="20"/>
    <s v="On Time"/>
    <n v="69577.16"/>
    <s v="Dec"/>
    <n v="2025"/>
    <n v="69577.16"/>
    <s v="Minor Delay"/>
  </r>
  <r>
    <n v="979"/>
    <d v="2025-11-17T00:00:00"/>
    <x v="3"/>
    <x v="4"/>
    <s v="GMP"/>
    <s v="Economy"/>
    <n v="57"/>
    <n v="415.18"/>
    <n v="31"/>
    <s v="On Time"/>
    <n v="23665.26"/>
    <s v="Nov"/>
    <n v="2025"/>
    <n v="23665.260000000002"/>
    <s v="Moderate Delay"/>
  </r>
  <r>
    <n v="980"/>
    <d v="2025-05-07T00:00:00"/>
    <x v="1"/>
    <x v="3"/>
    <s v="NRT"/>
    <s v="Premium Economy"/>
    <n v="111"/>
    <n v="769.51"/>
    <n v="0"/>
    <s v="Delayed"/>
    <n v="85415.61"/>
    <s v="May"/>
    <n v="2025"/>
    <n v="85415.61"/>
    <s v="On Time"/>
  </r>
  <r>
    <n v="981"/>
    <d v="2025-02-07T00:00:00"/>
    <x v="5"/>
    <x v="3"/>
    <s v="PUS"/>
    <s v="Business"/>
    <n v="162"/>
    <n v="625.42999999999995"/>
    <n v="0"/>
    <s v="On Time"/>
    <n v="101319.66"/>
    <s v="Feb"/>
    <n v="2025"/>
    <n v="101319.65999999999"/>
    <s v="On Time"/>
  </r>
  <r>
    <n v="982"/>
    <d v="2025-07-13T00:00:00"/>
    <x v="4"/>
    <x v="5"/>
    <s v="GMP"/>
    <s v="Business"/>
    <n v="66"/>
    <n v="639.16"/>
    <n v="0"/>
    <s v="On Time"/>
    <n v="42184.56"/>
    <s v="Jul"/>
    <n v="2025"/>
    <n v="42184.56"/>
    <s v="On Time"/>
  </r>
  <r>
    <n v="983"/>
    <d v="2025-06-04T00:00:00"/>
    <x v="5"/>
    <x v="8"/>
    <s v="ICN"/>
    <s v="Business"/>
    <n v="160"/>
    <n v="108.68"/>
    <n v="5"/>
    <s v="On Time"/>
    <n v="17388.8"/>
    <s v="Jun"/>
    <n v="2025"/>
    <n v="17388.800000000003"/>
    <s v="Minor Delay"/>
  </r>
  <r>
    <n v="984"/>
    <d v="2025-02-19T00:00:00"/>
    <x v="5"/>
    <x v="1"/>
    <s v="MNL"/>
    <s v="Premium Economy"/>
    <n v="109"/>
    <n v="699.79"/>
    <n v="0"/>
    <s v="On Time"/>
    <n v="76277.11"/>
    <s v="Feb"/>
    <n v="2025"/>
    <n v="76277.11"/>
    <s v="On Time"/>
  </r>
  <r>
    <n v="985"/>
    <d v="2025-07-16T00:00:00"/>
    <x v="2"/>
    <x v="5"/>
    <s v="SIN"/>
    <s v="Premium Economy"/>
    <n v="275"/>
    <n v="518.96"/>
    <n v="49"/>
    <s v="On Time"/>
    <n v="142714"/>
    <s v="Jul"/>
    <n v="2025"/>
    <n v="142714"/>
    <s v="Moderate Delay"/>
  </r>
  <r>
    <n v="986"/>
    <d v="2025-09-22T00:00:00"/>
    <x v="4"/>
    <x v="5"/>
    <s v="SIN"/>
    <s v="Business"/>
    <n v="99"/>
    <n v="139.91999999999999"/>
    <n v="41"/>
    <s v="On Time"/>
    <n v="13852.08"/>
    <s v="Sep"/>
    <n v="2025"/>
    <n v="13852.079999999998"/>
    <s v="Moderate Delay"/>
  </r>
  <r>
    <n v="987"/>
    <d v="2025-10-21T00:00:00"/>
    <x v="0"/>
    <x v="0"/>
    <s v="NRT"/>
    <s v="Business"/>
    <n v="180"/>
    <n v="249.65"/>
    <n v="0"/>
    <s v="On Time"/>
    <n v="44937"/>
    <s v="Oct"/>
    <n v="2025"/>
    <n v="44937"/>
    <s v="On Time"/>
  </r>
  <r>
    <n v="988"/>
    <d v="2025-01-23T00:00:00"/>
    <x v="1"/>
    <x v="2"/>
    <s v="CJU"/>
    <s v="Economy"/>
    <n v="129"/>
    <n v="492.55"/>
    <n v="39"/>
    <s v="On Time"/>
    <n v="63538.95"/>
    <s v="Jan"/>
    <n v="2025"/>
    <n v="63538.950000000004"/>
    <s v="Moderate Delay"/>
  </r>
  <r>
    <n v="989"/>
    <d v="2025-10-26T00:00:00"/>
    <x v="5"/>
    <x v="3"/>
    <s v="NRT"/>
    <s v="Economy"/>
    <n v="87"/>
    <n v="407.45"/>
    <n v="3"/>
    <s v="Delayed"/>
    <n v="35448.15"/>
    <s v="Oct"/>
    <n v="2025"/>
    <n v="35448.15"/>
    <s v="Minor Delay"/>
  </r>
  <r>
    <n v="990"/>
    <d v="2025-01-30T00:00:00"/>
    <x v="0"/>
    <x v="6"/>
    <s v="CJU"/>
    <s v="Business"/>
    <n v="259"/>
    <n v="678.03"/>
    <n v="7"/>
    <s v="Delayed"/>
    <n v="175609.77"/>
    <s v="Jan"/>
    <n v="2025"/>
    <n v="175609.77"/>
    <s v="Minor Delay"/>
  </r>
  <r>
    <n v="991"/>
    <d v="2025-04-11T00:00:00"/>
    <x v="0"/>
    <x v="1"/>
    <s v="KIX"/>
    <s v="Business"/>
    <n v="282"/>
    <n v="208.93"/>
    <n v="34"/>
    <s v="On Time"/>
    <n v="58918.26"/>
    <s v="Apr"/>
    <n v="2025"/>
    <n v="58918.26"/>
    <s v="Moderate Delay"/>
  </r>
  <r>
    <n v="992"/>
    <d v="2025-10-24T00:00:00"/>
    <x v="5"/>
    <x v="8"/>
    <s v="KIX"/>
    <s v="Premium Economy"/>
    <n v="207"/>
    <n v="281.73"/>
    <n v="26"/>
    <s v="On Time"/>
    <n v="58318.11"/>
    <s v="Oct"/>
    <n v="2025"/>
    <n v="58318.11"/>
    <s v="Minor Delay"/>
  </r>
  <r>
    <n v="993"/>
    <d v="2025-01-22T00:00:00"/>
    <x v="2"/>
    <x v="0"/>
    <s v="SIN"/>
    <s v="Economy"/>
    <n v="285"/>
    <n v="62.74"/>
    <n v="23"/>
    <s v="On Time"/>
    <n v="17880.900000000001"/>
    <s v="Jan"/>
    <n v="2025"/>
    <n v="17880.900000000001"/>
    <s v="Minor Delay"/>
  </r>
  <r>
    <n v="994"/>
    <d v="2025-06-19T00:00:00"/>
    <x v="3"/>
    <x v="2"/>
    <s v="SIN"/>
    <s v="Premium Economy"/>
    <n v="102"/>
    <n v="356.23"/>
    <n v="37"/>
    <s v="Delayed"/>
    <n v="36335.46"/>
    <s v="Jun"/>
    <n v="2025"/>
    <n v="36335.46"/>
    <s v="Moderate Delay"/>
  </r>
  <r>
    <n v="995"/>
    <d v="2025-01-06T00:00:00"/>
    <x v="1"/>
    <x v="5"/>
    <s v="BKK"/>
    <s v="Premium Economy"/>
    <n v="57"/>
    <n v="470.47"/>
    <n v="36"/>
    <s v="On Time"/>
    <n v="26816.79"/>
    <s v="Jan"/>
    <n v="2025"/>
    <n v="26816.79"/>
    <s v="Moderate Delay"/>
  </r>
  <r>
    <n v="996"/>
    <d v="2025-01-16T00:00:00"/>
    <x v="0"/>
    <x v="3"/>
    <s v="ICN"/>
    <s v="Economy"/>
    <n v="122"/>
    <n v="188.87"/>
    <n v="41"/>
    <s v="Delayed"/>
    <n v="23042.14"/>
    <s v="Jan"/>
    <n v="2025"/>
    <n v="23042.14"/>
    <s v="Moderate Delay"/>
  </r>
  <r>
    <n v="997"/>
    <d v="2025-10-11T00:00:00"/>
    <x v="0"/>
    <x v="7"/>
    <s v="BKK"/>
    <s v="Economy"/>
    <n v="100"/>
    <n v="75.900000000000006"/>
    <n v="50"/>
    <s v="On Time"/>
    <n v="7590"/>
    <s v="Oct"/>
    <n v="2025"/>
    <n v="7590.0000000000009"/>
    <s v="Moderate Delay"/>
  </r>
  <r>
    <n v="998"/>
    <d v="2025-12-02T00:00:00"/>
    <x v="1"/>
    <x v="7"/>
    <s v="MNL"/>
    <s v="Premium Economy"/>
    <n v="289"/>
    <n v="215.58"/>
    <n v="0"/>
    <s v="On Time"/>
    <n v="62302.62"/>
    <s v="Dec"/>
    <n v="2025"/>
    <n v="62302.62"/>
    <s v="On Time"/>
  </r>
  <r>
    <n v="999"/>
    <d v="2025-12-05T00:00:00"/>
    <x v="0"/>
    <x v="3"/>
    <s v="BKK"/>
    <s v="Business"/>
    <n v="300"/>
    <n v="651.28"/>
    <n v="0"/>
    <s v="On Time"/>
    <n v="195384"/>
    <s v="Dec"/>
    <n v="2025"/>
    <n v="195384"/>
    <s v="On Time"/>
  </r>
  <r>
    <n v="1000"/>
    <d v="2025-03-08T00:00:00"/>
    <x v="0"/>
    <x v="0"/>
    <s v="PUS"/>
    <s v="Economy"/>
    <n v="186"/>
    <n v="339.86"/>
    <n v="1"/>
    <s v="On Time"/>
    <n v="63213.96"/>
    <s v="Mar"/>
    <n v="2025"/>
    <n v="63213.96"/>
    <s v="Minor Delay"/>
  </r>
  <r>
    <n v="1001"/>
    <d v="2025-01-24T00:00:00"/>
    <x v="5"/>
    <x v="1"/>
    <s v="PUS"/>
    <s v="Business"/>
    <n v="98"/>
    <n v="692.28"/>
    <n v="16"/>
    <s v="On Time"/>
    <n v="67843.44"/>
    <s v="Jan"/>
    <n v="2025"/>
    <n v="67843.44"/>
    <s v="Minor Delay"/>
  </r>
  <r>
    <n v="1002"/>
    <d v="2025-09-18T00:00:00"/>
    <x v="5"/>
    <x v="4"/>
    <s v="CJU"/>
    <s v="Premium Economy"/>
    <n v="103"/>
    <n v="598.20000000000005"/>
    <n v="33"/>
    <s v="On Time"/>
    <n v="61614.6"/>
    <s v="Sep"/>
    <n v="2025"/>
    <n v="61614.600000000006"/>
    <s v="Moderate Delay"/>
  </r>
  <r>
    <n v="1003"/>
    <d v="2025-09-18T00:00:00"/>
    <x v="2"/>
    <x v="0"/>
    <s v="PUS"/>
    <s v="Business"/>
    <n v="242"/>
    <n v="436.78"/>
    <n v="0"/>
    <s v="On Time"/>
    <n v="105700.76"/>
    <s v="Sep"/>
    <n v="2025"/>
    <n v="105700.76"/>
    <s v="On Time"/>
  </r>
  <r>
    <n v="1004"/>
    <d v="2025-09-11T00:00:00"/>
    <x v="2"/>
    <x v="3"/>
    <s v="SIN"/>
    <s v="Premium Economy"/>
    <n v="198"/>
    <n v="356.7"/>
    <n v="20"/>
    <s v="Delayed"/>
    <n v="70626.600000000006"/>
    <s v="Sep"/>
    <n v="2025"/>
    <n v="70626.599999999991"/>
    <s v="Minor Delay"/>
  </r>
  <r>
    <n v="1005"/>
    <d v="2025-04-23T00:00:00"/>
    <x v="0"/>
    <x v="5"/>
    <s v="NRT"/>
    <s v="Premium Economy"/>
    <n v="270"/>
    <n v="233.44"/>
    <n v="25"/>
    <s v="On Time"/>
    <n v="63028.800000000003"/>
    <s v="Apr"/>
    <n v="2025"/>
    <n v="63028.800000000003"/>
    <s v="Minor Delay"/>
  </r>
  <r>
    <n v="1006"/>
    <d v="2025-05-11T00:00:00"/>
    <x v="5"/>
    <x v="7"/>
    <s v="BKK"/>
    <s v="Economy"/>
    <n v="84"/>
    <n v="616.20000000000005"/>
    <n v="45"/>
    <s v="On Time"/>
    <n v="51760.800000000003"/>
    <s v="May"/>
    <n v="2025"/>
    <n v="51760.800000000003"/>
    <s v="Moderate Delay"/>
  </r>
  <r>
    <n v="1007"/>
    <d v="2025-04-28T00:00:00"/>
    <x v="5"/>
    <x v="6"/>
    <s v="KIX"/>
    <s v="Economy"/>
    <n v="169"/>
    <n v="439.07"/>
    <n v="5"/>
    <s v="On Time"/>
    <n v="74202.83"/>
    <s v="Apr"/>
    <n v="2025"/>
    <n v="74202.83"/>
    <s v="Minor Delay"/>
  </r>
  <r>
    <n v="1008"/>
    <d v="2025-06-12T00:00:00"/>
    <x v="4"/>
    <x v="3"/>
    <s v="SIN"/>
    <s v="Premium Economy"/>
    <n v="56"/>
    <n v="192.88"/>
    <n v="43"/>
    <s v="On Time"/>
    <n v="10801.28"/>
    <s v="Jun"/>
    <n v="2025"/>
    <n v="10801.279999999999"/>
    <s v="Moderate Delay"/>
  </r>
  <r>
    <n v="1009"/>
    <d v="2025-02-12T00:00:00"/>
    <x v="4"/>
    <x v="0"/>
    <s v="BKK"/>
    <s v="Business"/>
    <n v="181"/>
    <n v="464.52"/>
    <n v="37"/>
    <s v="On Time"/>
    <n v="84078.12"/>
    <s v="Feb"/>
    <n v="2025"/>
    <n v="84078.12"/>
    <s v="Moderate Delay"/>
  </r>
  <r>
    <n v="1010"/>
    <d v="2025-07-04T00:00:00"/>
    <x v="1"/>
    <x v="0"/>
    <s v="CJU"/>
    <s v="Business"/>
    <n v="101"/>
    <n v="306.98"/>
    <n v="29"/>
    <s v="On Time"/>
    <n v="31004.98"/>
    <s v="Jul"/>
    <n v="2025"/>
    <n v="31004.980000000003"/>
    <s v="Minor Delay"/>
  </r>
  <r>
    <n v="1011"/>
    <d v="2025-12-16T00:00:00"/>
    <x v="4"/>
    <x v="4"/>
    <s v="KIX"/>
    <s v="Economy"/>
    <n v="230"/>
    <n v="506.99"/>
    <n v="51"/>
    <s v="On Time"/>
    <n v="116607.7"/>
    <s v="Dec"/>
    <n v="2025"/>
    <n v="116607.7"/>
    <s v="Moderate Delay"/>
  </r>
  <r>
    <n v="1012"/>
    <d v="2025-01-05T00:00:00"/>
    <x v="4"/>
    <x v="6"/>
    <s v="NRT"/>
    <s v="Premium Economy"/>
    <n v="260"/>
    <n v="316.51"/>
    <n v="57"/>
    <s v="Cancelled"/>
    <n v="82292.600000000006"/>
    <s v="Jan"/>
    <n v="2025"/>
    <n v="82292.599999999991"/>
    <s v="Moderate Delay"/>
  </r>
  <r>
    <n v="1013"/>
    <d v="2025-08-30T00:00:00"/>
    <x v="3"/>
    <x v="1"/>
    <s v="ICN"/>
    <s v="Business"/>
    <n v="244"/>
    <n v="764.1"/>
    <n v="31"/>
    <s v="On Time"/>
    <n v="186440.4"/>
    <s v="Aug"/>
    <n v="2025"/>
    <n v="186440.4"/>
    <s v="Moderate Delay"/>
  </r>
  <r>
    <n v="1014"/>
    <d v="2025-04-30T00:00:00"/>
    <x v="5"/>
    <x v="2"/>
    <s v="SIN"/>
    <s v="Business"/>
    <n v="251"/>
    <n v="468.94"/>
    <n v="6"/>
    <s v="On Time"/>
    <n v="117703.94"/>
    <s v="Apr"/>
    <n v="2025"/>
    <n v="117703.94"/>
    <s v="Minor Delay"/>
  </r>
  <r>
    <n v="1015"/>
    <d v="2025-02-13T00:00:00"/>
    <x v="4"/>
    <x v="8"/>
    <s v="KIX"/>
    <s v="Economy"/>
    <n v="159"/>
    <n v="629.9"/>
    <n v="14"/>
    <s v="On Time"/>
    <n v="100154.1"/>
    <s v="Feb"/>
    <n v="2025"/>
    <n v="100154.09999999999"/>
    <s v="Minor Delay"/>
  </r>
  <r>
    <n v="1016"/>
    <d v="2025-07-11T00:00:00"/>
    <x v="0"/>
    <x v="6"/>
    <s v="ICN"/>
    <s v="Business"/>
    <n v="273"/>
    <n v="154.97999999999999"/>
    <n v="3"/>
    <s v="Delayed"/>
    <n v="42309.54"/>
    <s v="Jul"/>
    <n v="2025"/>
    <n v="42309.539999999994"/>
    <s v="Minor Delay"/>
  </r>
  <r>
    <n v="1017"/>
    <d v="2025-12-04T00:00:00"/>
    <x v="4"/>
    <x v="5"/>
    <s v="SIN"/>
    <s v="Premium Economy"/>
    <n v="107"/>
    <n v="370.17"/>
    <n v="10"/>
    <s v="On Time"/>
    <n v="39608.19"/>
    <s v="Dec"/>
    <n v="2025"/>
    <n v="39608.19"/>
    <s v="Minor Delay"/>
  </r>
  <r>
    <n v="1018"/>
    <d v="2025-06-16T00:00:00"/>
    <x v="5"/>
    <x v="6"/>
    <s v="NRT"/>
    <s v="Economy"/>
    <n v="195"/>
    <n v="641.16"/>
    <n v="0"/>
    <s v="Delayed"/>
    <n v="125026.2"/>
    <s v="Jun"/>
    <n v="2025"/>
    <n v="125026.2"/>
    <s v="On Time"/>
  </r>
  <r>
    <n v="1019"/>
    <d v="2025-10-18T00:00:00"/>
    <x v="3"/>
    <x v="7"/>
    <s v="BKK"/>
    <s v="Business"/>
    <n v="283"/>
    <n v="509.8"/>
    <n v="66"/>
    <s v="On Time"/>
    <n v="144273.4"/>
    <s v="Oct"/>
    <n v="2025"/>
    <n v="144273.4"/>
    <s v="Major Delay"/>
  </r>
  <r>
    <n v="1020"/>
    <d v="2025-10-01T00:00:00"/>
    <x v="2"/>
    <x v="1"/>
    <s v="GMP"/>
    <s v="Economy"/>
    <n v="171"/>
    <n v="140.38999999999999"/>
    <n v="0"/>
    <s v="On Time"/>
    <n v="24006.69"/>
    <s v="Oct"/>
    <n v="2025"/>
    <n v="24006.69"/>
    <s v="On Time"/>
  </r>
  <r>
    <n v="1021"/>
    <d v="2025-02-17T00:00:00"/>
    <x v="0"/>
    <x v="8"/>
    <s v="NRT"/>
    <s v="Economy"/>
    <n v="222"/>
    <n v="469.15"/>
    <n v="57"/>
    <s v="On Time"/>
    <n v="104151.3"/>
    <s v="Feb"/>
    <n v="2025"/>
    <n v="104151.29999999999"/>
    <s v="Moderate Delay"/>
  </r>
  <r>
    <n v="1022"/>
    <d v="2025-02-05T00:00:00"/>
    <x v="2"/>
    <x v="7"/>
    <s v="NRT"/>
    <s v="Premium Economy"/>
    <n v="102"/>
    <n v="232.45"/>
    <n v="27"/>
    <s v="On Time"/>
    <n v="23709.9"/>
    <s v="Feb"/>
    <n v="2025"/>
    <n v="23709.899999999998"/>
    <s v="Minor Delay"/>
  </r>
  <r>
    <n v="1023"/>
    <d v="2025-01-30T00:00:00"/>
    <x v="4"/>
    <x v="0"/>
    <s v="SIN"/>
    <s v="Business"/>
    <n v="52"/>
    <n v="187.15"/>
    <n v="36"/>
    <s v="On Time"/>
    <n v="9731.7999999999993"/>
    <s v="Jan"/>
    <n v="2025"/>
    <n v="9731.8000000000011"/>
    <s v="Moderate Delay"/>
  </r>
  <r>
    <n v="1024"/>
    <d v="2025-10-02T00:00:00"/>
    <x v="2"/>
    <x v="0"/>
    <s v="PUS"/>
    <s v="Premium Economy"/>
    <n v="240"/>
    <n v="110.88"/>
    <n v="0"/>
    <s v="Delayed"/>
    <n v="26611.200000000001"/>
    <s v="Oct"/>
    <n v="2025"/>
    <n v="26611.199999999997"/>
    <s v="On Time"/>
  </r>
  <r>
    <n v="1025"/>
    <d v="2025-04-16T00:00:00"/>
    <x v="4"/>
    <x v="2"/>
    <s v="CJU"/>
    <s v="Premium Economy"/>
    <n v="259"/>
    <n v="585.16"/>
    <n v="0"/>
    <s v="Delayed"/>
    <n v="151556.44"/>
    <s v="Apr"/>
    <n v="2025"/>
    <n v="151556.44"/>
    <s v="On Time"/>
  </r>
  <r>
    <n v="1026"/>
    <d v="2025-05-22T00:00:00"/>
    <x v="0"/>
    <x v="2"/>
    <s v="SIN"/>
    <s v="Economy"/>
    <n v="86"/>
    <n v="389.84"/>
    <n v="25"/>
    <s v="Delayed"/>
    <n v="33526.239999999998"/>
    <s v="May"/>
    <n v="2025"/>
    <n v="33526.239999999998"/>
    <s v="Minor Delay"/>
  </r>
  <r>
    <n v="1027"/>
    <d v="2025-10-19T00:00:00"/>
    <x v="2"/>
    <x v="2"/>
    <s v="BKK"/>
    <s v="Premium Economy"/>
    <n v="168"/>
    <n v="486.34"/>
    <n v="18"/>
    <s v="Delayed"/>
    <n v="81705.119999999995"/>
    <s v="Oct"/>
    <n v="2025"/>
    <n v="81705.119999999995"/>
    <s v="Minor Delay"/>
  </r>
  <r>
    <n v="1028"/>
    <d v="2025-12-25T00:00:00"/>
    <x v="3"/>
    <x v="8"/>
    <s v="KIX"/>
    <s v="Premium Economy"/>
    <n v="150"/>
    <n v="513.64"/>
    <n v="0"/>
    <s v="Delayed"/>
    <n v="77046"/>
    <s v="Dec"/>
    <n v="2025"/>
    <n v="77046"/>
    <s v="On Time"/>
  </r>
  <r>
    <n v="1029"/>
    <d v="2025-05-08T00:00:00"/>
    <x v="0"/>
    <x v="7"/>
    <s v="MNL"/>
    <s v="Business"/>
    <n v="237"/>
    <n v="379.74"/>
    <n v="0"/>
    <s v="On Time"/>
    <n v="89998.38"/>
    <s v="May"/>
    <n v="2025"/>
    <n v="89998.38"/>
    <s v="On Time"/>
  </r>
  <r>
    <n v="1030"/>
    <d v="2025-12-24T00:00:00"/>
    <x v="1"/>
    <x v="0"/>
    <s v="MNL"/>
    <s v="Economy"/>
    <n v="276"/>
    <n v="704.2"/>
    <n v="44"/>
    <s v="On Time"/>
    <n v="194359.2"/>
    <s v="Dec"/>
    <n v="2025"/>
    <n v="194359.2"/>
    <s v="Moderate Delay"/>
  </r>
  <r>
    <n v="1031"/>
    <d v="2025-12-08T00:00:00"/>
    <x v="1"/>
    <x v="6"/>
    <s v="NRT"/>
    <s v="Business"/>
    <n v="235"/>
    <n v="594.58000000000004"/>
    <n v="25"/>
    <s v="Cancelled"/>
    <n v="139726.29999999999"/>
    <s v="Dec"/>
    <n v="2025"/>
    <n v="139726.30000000002"/>
    <s v="Minor Delay"/>
  </r>
  <r>
    <n v="1032"/>
    <d v="2025-07-08T00:00:00"/>
    <x v="1"/>
    <x v="6"/>
    <s v="GMP"/>
    <s v="Economy"/>
    <n v="179"/>
    <n v="627.24"/>
    <n v="48"/>
    <s v="On Time"/>
    <n v="112275.96"/>
    <s v="Jul"/>
    <n v="2025"/>
    <n v="112275.96"/>
    <s v="Moderate Delay"/>
  </r>
  <r>
    <n v="1033"/>
    <d v="2025-05-10T00:00:00"/>
    <x v="0"/>
    <x v="8"/>
    <s v="CJU"/>
    <s v="Business"/>
    <n v="61"/>
    <n v="402"/>
    <n v="54"/>
    <s v="On Time"/>
    <n v="24522"/>
    <s v="May"/>
    <n v="2025"/>
    <n v="24522"/>
    <s v="Moderate Delay"/>
  </r>
  <r>
    <n v="1034"/>
    <d v="2025-07-24T00:00:00"/>
    <x v="0"/>
    <x v="1"/>
    <s v="KIX"/>
    <s v="Premium Economy"/>
    <n v="59"/>
    <n v="67.95"/>
    <n v="37"/>
    <s v="On Time"/>
    <n v="4009.05"/>
    <s v="Jul"/>
    <n v="2025"/>
    <n v="4009.05"/>
    <s v="Moderate Delay"/>
  </r>
  <r>
    <n v="1035"/>
    <d v="2025-12-10T00:00:00"/>
    <x v="3"/>
    <x v="7"/>
    <s v="BKK"/>
    <s v="Premium Economy"/>
    <n v="174"/>
    <n v="401.4"/>
    <n v="51"/>
    <s v="On Time"/>
    <n v="69843.600000000006"/>
    <s v="Dec"/>
    <n v="2025"/>
    <n v="69843.599999999991"/>
    <s v="Moderate Delay"/>
  </r>
  <r>
    <n v="1036"/>
    <d v="2025-08-30T00:00:00"/>
    <x v="4"/>
    <x v="8"/>
    <s v="CJU"/>
    <s v="Economy"/>
    <n v="93"/>
    <n v="680.49"/>
    <n v="38"/>
    <s v="On Time"/>
    <n v="63285.57"/>
    <s v="Aug"/>
    <n v="2025"/>
    <n v="63285.57"/>
    <s v="Moderate Delay"/>
  </r>
  <r>
    <n v="1037"/>
    <d v="2025-03-05T00:00:00"/>
    <x v="5"/>
    <x v="7"/>
    <s v="KIX"/>
    <s v="Business"/>
    <n v="150"/>
    <n v="184.66"/>
    <n v="18"/>
    <s v="On Time"/>
    <n v="27699"/>
    <s v="Mar"/>
    <n v="2025"/>
    <n v="27699"/>
    <s v="Minor Delay"/>
  </r>
  <r>
    <n v="1038"/>
    <d v="2025-04-02T00:00:00"/>
    <x v="0"/>
    <x v="8"/>
    <s v="KIX"/>
    <s v="Business"/>
    <n v="58"/>
    <n v="720.59"/>
    <n v="16"/>
    <s v="On Time"/>
    <n v="41794.22"/>
    <s v="Apr"/>
    <n v="2025"/>
    <n v="41794.22"/>
    <s v="Minor Delay"/>
  </r>
  <r>
    <n v="1039"/>
    <d v="2025-11-22T00:00:00"/>
    <x v="5"/>
    <x v="8"/>
    <s v="ICN"/>
    <s v="Business"/>
    <n v="219"/>
    <n v="590.14"/>
    <n v="39"/>
    <s v="On Time"/>
    <n v="129240.66"/>
    <s v="Nov"/>
    <n v="2025"/>
    <n v="129240.66"/>
    <s v="Moderate Delay"/>
  </r>
  <r>
    <n v="1040"/>
    <d v="2025-01-25T00:00:00"/>
    <x v="2"/>
    <x v="5"/>
    <s v="GMP"/>
    <s v="Economy"/>
    <n v="287"/>
    <n v="244.78"/>
    <n v="4"/>
    <s v="Delayed"/>
    <n v="70251.86"/>
    <s v="Jan"/>
    <n v="2025"/>
    <n v="70251.86"/>
    <s v="Minor Delay"/>
  </r>
  <r>
    <n v="1041"/>
    <d v="2025-01-09T00:00:00"/>
    <x v="2"/>
    <x v="2"/>
    <s v="GMP"/>
    <s v="Economy"/>
    <n v="53"/>
    <n v="309.47000000000003"/>
    <n v="33"/>
    <s v="On Time"/>
    <n v="16401.91"/>
    <s v="Jan"/>
    <n v="2025"/>
    <n v="16401.91"/>
    <s v="Moderate Delay"/>
  </r>
  <r>
    <n v="1042"/>
    <d v="2025-03-27T00:00:00"/>
    <x v="1"/>
    <x v="0"/>
    <s v="PUS"/>
    <s v="Premium Economy"/>
    <n v="181"/>
    <n v="139.69"/>
    <n v="54"/>
    <s v="On Time"/>
    <n v="25283.89"/>
    <s v="Mar"/>
    <n v="2025"/>
    <n v="25283.89"/>
    <s v="Moderate Delay"/>
  </r>
  <r>
    <n v="1043"/>
    <d v="2025-11-16T00:00:00"/>
    <x v="0"/>
    <x v="6"/>
    <s v="PUS"/>
    <s v="Business"/>
    <n v="151"/>
    <n v="754.8"/>
    <n v="32"/>
    <s v="On Time"/>
    <n v="113974.8"/>
    <s v="Nov"/>
    <n v="2025"/>
    <n v="113974.79999999999"/>
    <s v="Moderate Delay"/>
  </r>
  <r>
    <n v="1044"/>
    <d v="2025-07-25T00:00:00"/>
    <x v="3"/>
    <x v="7"/>
    <s v="ICN"/>
    <s v="Premium Economy"/>
    <n v="53"/>
    <n v="348"/>
    <n v="31"/>
    <s v="On Time"/>
    <n v="18444"/>
    <s v="Jul"/>
    <n v="2025"/>
    <n v="18444"/>
    <s v="Moderate Delay"/>
  </r>
  <r>
    <n v="1045"/>
    <d v="2025-11-29T00:00:00"/>
    <x v="5"/>
    <x v="0"/>
    <s v="KIX"/>
    <s v="Premium Economy"/>
    <n v="61"/>
    <n v="109.83"/>
    <n v="24"/>
    <s v="On Time"/>
    <n v="6699.63"/>
    <s v="Nov"/>
    <n v="2025"/>
    <n v="6699.63"/>
    <s v="Minor Delay"/>
  </r>
  <r>
    <n v="1046"/>
    <d v="2025-05-09T00:00:00"/>
    <x v="1"/>
    <x v="0"/>
    <s v="PUS"/>
    <s v="Business"/>
    <n v="133"/>
    <n v="786.25"/>
    <n v="40"/>
    <s v="On Time"/>
    <n v="104571.25"/>
    <s v="May"/>
    <n v="2025"/>
    <n v="104571.25"/>
    <s v="Moderate Delay"/>
  </r>
  <r>
    <n v="1047"/>
    <d v="2025-03-31T00:00:00"/>
    <x v="3"/>
    <x v="7"/>
    <s v="BKK"/>
    <s v="Business"/>
    <n v="131"/>
    <n v="783.74"/>
    <n v="15"/>
    <s v="On Time"/>
    <n v="102669.94"/>
    <s v="Mar"/>
    <n v="2025"/>
    <n v="102669.94"/>
    <s v="Minor Delay"/>
  </r>
  <r>
    <n v="1048"/>
    <d v="2025-09-19T00:00:00"/>
    <x v="3"/>
    <x v="8"/>
    <s v="BKK"/>
    <s v="Business"/>
    <n v="109"/>
    <n v="432.53"/>
    <n v="11"/>
    <s v="On Time"/>
    <n v="47145.77"/>
    <s v="Sep"/>
    <n v="2025"/>
    <n v="47145.77"/>
    <s v="Minor Delay"/>
  </r>
  <r>
    <n v="1049"/>
    <d v="2025-01-11T00:00:00"/>
    <x v="5"/>
    <x v="5"/>
    <s v="NRT"/>
    <s v="Economy"/>
    <n v="129"/>
    <n v="234.93"/>
    <n v="3"/>
    <s v="On Time"/>
    <n v="30305.97"/>
    <s v="Jan"/>
    <n v="2025"/>
    <n v="30305.97"/>
    <s v="Minor Delay"/>
  </r>
  <r>
    <n v="1050"/>
    <d v="2025-09-13T00:00:00"/>
    <x v="4"/>
    <x v="7"/>
    <s v="BKK"/>
    <s v="Economy"/>
    <n v="88"/>
    <n v="338.05"/>
    <n v="28"/>
    <s v="On Time"/>
    <n v="29748.400000000001"/>
    <s v="Sep"/>
    <n v="2025"/>
    <n v="29748.400000000001"/>
    <s v="Minor Delay"/>
  </r>
  <r>
    <n v="1051"/>
    <d v="2025-06-18T00:00:00"/>
    <x v="0"/>
    <x v="2"/>
    <s v="SIN"/>
    <s v="Premium Economy"/>
    <n v="131"/>
    <n v="536.27"/>
    <n v="21"/>
    <s v="Delayed"/>
    <n v="70251.37"/>
    <s v="Jun"/>
    <n v="2025"/>
    <n v="70251.37"/>
    <s v="Minor Delay"/>
  </r>
  <r>
    <n v="1052"/>
    <d v="2025-04-28T00:00:00"/>
    <x v="3"/>
    <x v="4"/>
    <s v="ICN"/>
    <s v="Premium Economy"/>
    <n v="137"/>
    <n v="239.26"/>
    <n v="0"/>
    <s v="On Time"/>
    <n v="32778.620000000003"/>
    <s v="Apr"/>
    <n v="2025"/>
    <n v="32778.619999999995"/>
    <s v="On Time"/>
  </r>
  <r>
    <n v="1053"/>
    <d v="2025-11-08T00:00:00"/>
    <x v="2"/>
    <x v="2"/>
    <s v="NRT"/>
    <s v="Business"/>
    <n v="132"/>
    <n v="195.82"/>
    <n v="13"/>
    <s v="On Time"/>
    <n v="25848.240000000002"/>
    <s v="Nov"/>
    <n v="2025"/>
    <n v="25848.239999999998"/>
    <s v="Minor Delay"/>
  </r>
  <r>
    <n v="1054"/>
    <d v="2025-11-21T00:00:00"/>
    <x v="0"/>
    <x v="2"/>
    <s v="ICN"/>
    <s v="Economy"/>
    <n v="82"/>
    <n v="127.9"/>
    <n v="13"/>
    <s v="On Time"/>
    <n v="10487.8"/>
    <s v="Nov"/>
    <n v="2025"/>
    <n v="10487.800000000001"/>
    <s v="Minor Delay"/>
  </r>
  <r>
    <n v="1055"/>
    <d v="2025-09-17T00:00:00"/>
    <x v="1"/>
    <x v="2"/>
    <s v="NRT"/>
    <s v="Premium Economy"/>
    <n v="235"/>
    <n v="405.63"/>
    <n v="28"/>
    <s v="On Time"/>
    <n v="95323.05"/>
    <s v="Sep"/>
    <n v="2025"/>
    <n v="95323.05"/>
    <s v="Minor Delay"/>
  </r>
  <r>
    <n v="1056"/>
    <d v="2025-05-27T00:00:00"/>
    <x v="5"/>
    <x v="2"/>
    <s v="KIX"/>
    <s v="Premium Economy"/>
    <n v="297"/>
    <n v="530.35"/>
    <n v="34"/>
    <s v="On Time"/>
    <n v="157513.95000000001"/>
    <s v="May"/>
    <n v="2025"/>
    <n v="157513.95000000001"/>
    <s v="Moderate Delay"/>
  </r>
  <r>
    <n v="1057"/>
    <d v="2025-07-04T00:00:00"/>
    <x v="2"/>
    <x v="8"/>
    <s v="GMP"/>
    <s v="Premium Economy"/>
    <n v="92"/>
    <n v="408.33"/>
    <n v="0"/>
    <s v="On Time"/>
    <n v="37566.36"/>
    <s v="Jul"/>
    <n v="2025"/>
    <n v="37566.36"/>
    <s v="On Time"/>
  </r>
  <r>
    <n v="1058"/>
    <d v="2025-01-11T00:00:00"/>
    <x v="2"/>
    <x v="7"/>
    <s v="SIN"/>
    <s v="Premium Economy"/>
    <n v="268"/>
    <n v="121.59"/>
    <n v="36"/>
    <s v="Delayed"/>
    <n v="32586.12"/>
    <s v="Jan"/>
    <n v="2025"/>
    <n v="32586.120000000003"/>
    <s v="Moderate Delay"/>
  </r>
  <r>
    <n v="1059"/>
    <d v="2025-10-11T00:00:00"/>
    <x v="3"/>
    <x v="4"/>
    <s v="CJU"/>
    <s v="Economy"/>
    <n v="115"/>
    <n v="341.53"/>
    <n v="12"/>
    <s v="On Time"/>
    <n v="39275.949999999997"/>
    <s v="Oct"/>
    <n v="2025"/>
    <n v="39275.949999999997"/>
    <s v="Minor Delay"/>
  </r>
  <r>
    <n v="1060"/>
    <d v="2025-06-20T00:00:00"/>
    <x v="0"/>
    <x v="8"/>
    <s v="GMP"/>
    <s v="Business"/>
    <n v="170"/>
    <n v="204.83"/>
    <n v="39"/>
    <s v="Delayed"/>
    <n v="34821.1"/>
    <s v="Jun"/>
    <n v="2025"/>
    <n v="34821.1"/>
    <s v="Moderate Delay"/>
  </r>
  <r>
    <n v="1061"/>
    <d v="2025-09-14T00:00:00"/>
    <x v="3"/>
    <x v="5"/>
    <s v="GMP"/>
    <s v="Business"/>
    <n v="145"/>
    <n v="423.68"/>
    <n v="72"/>
    <s v="Delayed"/>
    <n v="61433.599999999999"/>
    <s v="Sep"/>
    <n v="2025"/>
    <n v="61433.599999999999"/>
    <s v="Major Delay"/>
  </r>
  <r>
    <n v="1062"/>
    <d v="2025-09-08T00:00:00"/>
    <x v="4"/>
    <x v="3"/>
    <s v="MNL"/>
    <s v="Business"/>
    <n v="200"/>
    <n v="112.71"/>
    <n v="0"/>
    <s v="Delayed"/>
    <n v="22542"/>
    <s v="Sep"/>
    <n v="2025"/>
    <n v="22542"/>
    <s v="On Time"/>
  </r>
  <r>
    <n v="1063"/>
    <d v="2025-10-17T00:00:00"/>
    <x v="0"/>
    <x v="0"/>
    <s v="MNL"/>
    <s v="Economy"/>
    <n v="245"/>
    <n v="382.86"/>
    <n v="18"/>
    <s v="On Time"/>
    <n v="93800.7"/>
    <s v="Oct"/>
    <n v="2025"/>
    <n v="93800.7"/>
    <s v="Minor Delay"/>
  </r>
  <r>
    <n v="1064"/>
    <d v="2025-11-22T00:00:00"/>
    <x v="3"/>
    <x v="6"/>
    <s v="MNL"/>
    <s v="Premium Economy"/>
    <n v="228"/>
    <n v="102.7"/>
    <n v="75"/>
    <s v="On Time"/>
    <n v="23415.599999999999"/>
    <s v="Nov"/>
    <n v="2025"/>
    <n v="23415.600000000002"/>
    <s v="Major Delay"/>
  </r>
  <r>
    <n v="1065"/>
    <d v="2025-05-05T00:00:00"/>
    <x v="2"/>
    <x v="1"/>
    <s v="PUS"/>
    <s v="Economy"/>
    <n v="285"/>
    <n v="661.71"/>
    <n v="0"/>
    <s v="On Time"/>
    <n v="188587.35"/>
    <s v="May"/>
    <n v="2025"/>
    <n v="188587.35"/>
    <s v="On Time"/>
  </r>
  <r>
    <n v="1066"/>
    <d v="2025-11-06T00:00:00"/>
    <x v="2"/>
    <x v="7"/>
    <s v="KIX"/>
    <s v="Business"/>
    <n v="87"/>
    <n v="248.17"/>
    <n v="0"/>
    <s v="On Time"/>
    <n v="21590.79"/>
    <s v="Nov"/>
    <n v="2025"/>
    <n v="21590.789999999997"/>
    <s v="On Time"/>
  </r>
  <r>
    <n v="1067"/>
    <d v="2025-03-01T00:00:00"/>
    <x v="1"/>
    <x v="7"/>
    <s v="ICN"/>
    <s v="Business"/>
    <n v="232"/>
    <n v="738.49"/>
    <n v="0"/>
    <s v="Delayed"/>
    <n v="171329.68"/>
    <s v="Mar"/>
    <n v="2025"/>
    <n v="171329.68"/>
    <s v="On Time"/>
  </r>
  <r>
    <n v="1068"/>
    <d v="2025-08-05T00:00:00"/>
    <x v="0"/>
    <x v="6"/>
    <s v="PUS"/>
    <s v="Premium Economy"/>
    <n v="114"/>
    <n v="571.96"/>
    <n v="39"/>
    <s v="On Time"/>
    <n v="65203.44"/>
    <s v="Aug"/>
    <n v="2025"/>
    <n v="65203.44"/>
    <s v="Moderate Delay"/>
  </r>
  <r>
    <n v="1069"/>
    <d v="2025-10-28T00:00:00"/>
    <x v="4"/>
    <x v="6"/>
    <s v="BKK"/>
    <s v="Business"/>
    <n v="155"/>
    <n v="616.82000000000005"/>
    <n v="64"/>
    <s v="On Time"/>
    <n v="95607.1"/>
    <s v="Oct"/>
    <n v="2025"/>
    <n v="95607.1"/>
    <s v="Major Delay"/>
  </r>
  <r>
    <n v="1070"/>
    <d v="2025-05-18T00:00:00"/>
    <x v="3"/>
    <x v="3"/>
    <s v="CJU"/>
    <s v="Economy"/>
    <n v="288"/>
    <n v="613.73"/>
    <n v="0"/>
    <s v="On Time"/>
    <n v="176754.24"/>
    <s v="May"/>
    <n v="2025"/>
    <n v="176754.24"/>
    <s v="On Time"/>
  </r>
  <r>
    <n v="1071"/>
    <d v="2025-09-09T00:00:00"/>
    <x v="1"/>
    <x v="5"/>
    <s v="PUS"/>
    <s v="Economy"/>
    <n v="67"/>
    <n v="632.57000000000005"/>
    <n v="0"/>
    <s v="On Time"/>
    <n v="42382.19"/>
    <s v="Sep"/>
    <n v="2025"/>
    <n v="42382.19"/>
    <s v="On Time"/>
  </r>
  <r>
    <n v="1072"/>
    <d v="2025-04-01T00:00:00"/>
    <x v="4"/>
    <x v="1"/>
    <s v="CJU"/>
    <s v="Economy"/>
    <n v="230"/>
    <n v="159.41"/>
    <n v="32"/>
    <s v="On Time"/>
    <n v="36664.300000000003"/>
    <s v="Apr"/>
    <n v="2025"/>
    <n v="36664.299999999996"/>
    <s v="Moderate Delay"/>
  </r>
  <r>
    <n v="1073"/>
    <d v="2025-08-19T00:00:00"/>
    <x v="5"/>
    <x v="6"/>
    <s v="GMP"/>
    <s v="Economy"/>
    <n v="97"/>
    <n v="208.7"/>
    <n v="19"/>
    <s v="On Time"/>
    <n v="20243.900000000001"/>
    <s v="Aug"/>
    <n v="2025"/>
    <n v="20243.899999999998"/>
    <s v="Minor Delay"/>
  </r>
  <r>
    <n v="1074"/>
    <d v="2025-11-17T00:00:00"/>
    <x v="5"/>
    <x v="1"/>
    <s v="SIN"/>
    <s v="Economy"/>
    <n v="272"/>
    <n v="530.96"/>
    <n v="0"/>
    <s v="On Time"/>
    <n v="144421.12"/>
    <s v="Nov"/>
    <n v="2025"/>
    <n v="144421.12"/>
    <s v="On Time"/>
  </r>
  <r>
    <n v="1075"/>
    <d v="2025-03-05T00:00:00"/>
    <x v="4"/>
    <x v="0"/>
    <s v="MNL"/>
    <s v="Economy"/>
    <n v="137"/>
    <n v="81.95"/>
    <n v="22"/>
    <s v="On Time"/>
    <n v="11227.15"/>
    <s v="Mar"/>
    <n v="2025"/>
    <n v="11227.15"/>
    <s v="Minor Delay"/>
  </r>
  <r>
    <n v="1076"/>
    <d v="2025-05-17T00:00:00"/>
    <x v="1"/>
    <x v="5"/>
    <s v="GMP"/>
    <s v="Business"/>
    <n v="199"/>
    <n v="644.01"/>
    <n v="48"/>
    <s v="On Time"/>
    <n v="128157.99"/>
    <s v="May"/>
    <n v="2025"/>
    <n v="128157.99"/>
    <s v="Moderate Delay"/>
  </r>
  <r>
    <n v="1077"/>
    <d v="2025-07-12T00:00:00"/>
    <x v="5"/>
    <x v="2"/>
    <s v="ICN"/>
    <s v="Business"/>
    <n v="296"/>
    <n v="623.41"/>
    <n v="45"/>
    <s v="On Time"/>
    <n v="184529.36"/>
    <s v="Jul"/>
    <n v="2025"/>
    <n v="184529.36"/>
    <s v="Moderate Delay"/>
  </r>
  <r>
    <n v="1078"/>
    <d v="2025-07-09T00:00:00"/>
    <x v="3"/>
    <x v="1"/>
    <s v="KIX"/>
    <s v="Premium Economy"/>
    <n v="130"/>
    <n v="664.47"/>
    <n v="8"/>
    <s v="Delayed"/>
    <n v="86381.1"/>
    <s v="Jul"/>
    <n v="2025"/>
    <n v="86381.1"/>
    <s v="Minor Delay"/>
  </r>
  <r>
    <n v="1079"/>
    <d v="2025-11-09T00:00:00"/>
    <x v="1"/>
    <x v="1"/>
    <s v="MNL"/>
    <s v="Premium Economy"/>
    <n v="273"/>
    <n v="304.39"/>
    <n v="42"/>
    <s v="On Time"/>
    <n v="83098.47"/>
    <s v="Nov"/>
    <n v="2025"/>
    <n v="83098.47"/>
    <s v="Moderate Delay"/>
  </r>
  <r>
    <n v="1080"/>
    <d v="2025-11-05T00:00:00"/>
    <x v="1"/>
    <x v="7"/>
    <s v="ICN"/>
    <s v="Business"/>
    <n v="121"/>
    <n v="763.79"/>
    <n v="36"/>
    <s v="On Time"/>
    <n v="92418.59"/>
    <s v="Nov"/>
    <n v="2025"/>
    <n v="92418.59"/>
    <s v="Moderate Delay"/>
  </r>
  <r>
    <n v="1081"/>
    <d v="2025-08-20T00:00:00"/>
    <x v="5"/>
    <x v="2"/>
    <s v="BKK"/>
    <s v="Business"/>
    <n v="218"/>
    <n v="703.69"/>
    <n v="0"/>
    <s v="On Time"/>
    <n v="153404.42000000001"/>
    <s v="Aug"/>
    <n v="2025"/>
    <n v="153404.42000000001"/>
    <s v="On Time"/>
  </r>
  <r>
    <n v="1082"/>
    <d v="2025-11-21T00:00:00"/>
    <x v="4"/>
    <x v="3"/>
    <s v="ICN"/>
    <s v="Economy"/>
    <n v="298"/>
    <n v="657.59"/>
    <n v="16"/>
    <s v="On Time"/>
    <n v="195961.82"/>
    <s v="Nov"/>
    <n v="2025"/>
    <n v="195961.82"/>
    <s v="Minor Delay"/>
  </r>
  <r>
    <n v="1083"/>
    <d v="2025-11-07T00:00:00"/>
    <x v="2"/>
    <x v="8"/>
    <s v="PUS"/>
    <s v="Premium Economy"/>
    <n v="239"/>
    <n v="513.32000000000005"/>
    <n v="43"/>
    <s v="Delayed"/>
    <n v="122683.48"/>
    <s v="Nov"/>
    <n v="2025"/>
    <n v="122683.48000000001"/>
    <s v="Moderate Delay"/>
  </r>
  <r>
    <n v="1084"/>
    <d v="2025-07-17T00:00:00"/>
    <x v="4"/>
    <x v="8"/>
    <s v="GMP"/>
    <s v="Business"/>
    <n v="99"/>
    <n v="586.84"/>
    <n v="32"/>
    <s v="Delayed"/>
    <n v="58097.16"/>
    <s v="Jul"/>
    <n v="2025"/>
    <n v="58097.16"/>
    <s v="Moderate Delay"/>
  </r>
  <r>
    <n v="1085"/>
    <d v="2025-03-07T00:00:00"/>
    <x v="2"/>
    <x v="6"/>
    <s v="ICN"/>
    <s v="Economy"/>
    <n v="127"/>
    <n v="675.94"/>
    <n v="93"/>
    <s v="On Time"/>
    <n v="85844.38"/>
    <s v="Mar"/>
    <n v="2025"/>
    <n v="85844.38"/>
    <s v="Major Delay"/>
  </r>
  <r>
    <n v="1086"/>
    <d v="2025-09-04T00:00:00"/>
    <x v="3"/>
    <x v="8"/>
    <s v="GMP"/>
    <s v="Business"/>
    <n v="111"/>
    <n v="240.08"/>
    <n v="18"/>
    <s v="On Time"/>
    <n v="26648.880000000001"/>
    <s v="Sep"/>
    <n v="2025"/>
    <n v="26648.880000000001"/>
    <s v="Minor Delay"/>
  </r>
  <r>
    <n v="1087"/>
    <d v="2025-08-11T00:00:00"/>
    <x v="3"/>
    <x v="0"/>
    <s v="CJU"/>
    <s v="Economy"/>
    <n v="91"/>
    <n v="747.46"/>
    <n v="8"/>
    <s v="On Time"/>
    <n v="68018.86"/>
    <s v="Aug"/>
    <n v="2025"/>
    <n v="68018.86"/>
    <s v="Minor Delay"/>
  </r>
  <r>
    <n v="1088"/>
    <d v="2025-12-10T00:00:00"/>
    <x v="1"/>
    <x v="4"/>
    <s v="SIN"/>
    <s v="Business"/>
    <n v="84"/>
    <n v="742.82"/>
    <n v="41"/>
    <s v="On Time"/>
    <n v="62396.88"/>
    <s v="Dec"/>
    <n v="2025"/>
    <n v="62396.880000000005"/>
    <s v="Moderate Delay"/>
  </r>
  <r>
    <n v="1089"/>
    <d v="2025-12-21T00:00:00"/>
    <x v="4"/>
    <x v="8"/>
    <s v="GMP"/>
    <s v="Economy"/>
    <n v="288"/>
    <n v="486.22"/>
    <n v="28"/>
    <s v="On Time"/>
    <n v="140031.35999999999"/>
    <s v="Dec"/>
    <n v="2025"/>
    <n v="140031.36000000002"/>
    <s v="Minor Delay"/>
  </r>
  <r>
    <n v="1090"/>
    <d v="2025-04-30T00:00:00"/>
    <x v="0"/>
    <x v="1"/>
    <s v="MNL"/>
    <s v="Premium Economy"/>
    <n v="79"/>
    <n v="275.32"/>
    <n v="15"/>
    <s v="On Time"/>
    <n v="21750.28"/>
    <s v="Apr"/>
    <n v="2025"/>
    <n v="21750.28"/>
    <s v="Minor Delay"/>
  </r>
  <r>
    <n v="1091"/>
    <d v="2025-03-01T00:00:00"/>
    <x v="5"/>
    <x v="3"/>
    <s v="PUS"/>
    <s v="Premium Economy"/>
    <n v="82"/>
    <n v="691.46"/>
    <n v="51"/>
    <s v="On Time"/>
    <n v="56699.72"/>
    <s v="Mar"/>
    <n v="2025"/>
    <n v="56699.72"/>
    <s v="Moderate Delay"/>
  </r>
  <r>
    <n v="1092"/>
    <d v="2025-07-18T00:00:00"/>
    <x v="2"/>
    <x v="5"/>
    <s v="NRT"/>
    <s v="Premium Economy"/>
    <n v="247"/>
    <n v="330.12"/>
    <n v="10"/>
    <s v="On Time"/>
    <n v="81539.64"/>
    <s v="Jul"/>
    <n v="2025"/>
    <n v="81539.64"/>
    <s v="Minor Delay"/>
  </r>
  <r>
    <n v="1093"/>
    <d v="2025-02-24T00:00:00"/>
    <x v="2"/>
    <x v="7"/>
    <s v="NRT"/>
    <s v="Economy"/>
    <n v="187"/>
    <n v="690.75"/>
    <n v="1"/>
    <s v="On Time"/>
    <n v="129170.25"/>
    <s v="Feb"/>
    <n v="2025"/>
    <n v="129170.25"/>
    <s v="Minor Delay"/>
  </r>
  <r>
    <n v="1094"/>
    <d v="2025-12-15T00:00:00"/>
    <x v="2"/>
    <x v="2"/>
    <s v="SIN"/>
    <s v="Economy"/>
    <n v="203"/>
    <n v="269.70999999999998"/>
    <n v="62"/>
    <s v="On Time"/>
    <n v="54751.13"/>
    <s v="Dec"/>
    <n v="2025"/>
    <n v="54751.13"/>
    <s v="Major Delay"/>
  </r>
  <r>
    <n v="1095"/>
    <d v="2025-06-08T00:00:00"/>
    <x v="5"/>
    <x v="5"/>
    <s v="BKK"/>
    <s v="Business"/>
    <n v="81"/>
    <n v="262.35000000000002"/>
    <n v="38"/>
    <s v="On Time"/>
    <n v="21250.35"/>
    <s v="Jun"/>
    <n v="2025"/>
    <n v="21250.350000000002"/>
    <s v="Moderate Delay"/>
  </r>
  <r>
    <n v="1096"/>
    <d v="2025-05-30T00:00:00"/>
    <x v="3"/>
    <x v="2"/>
    <s v="SIN"/>
    <s v="Premium Economy"/>
    <n v="65"/>
    <n v="786.05"/>
    <n v="0"/>
    <s v="On Time"/>
    <n v="51093.25"/>
    <s v="May"/>
    <n v="2025"/>
    <n v="51093.25"/>
    <s v="On Time"/>
  </r>
  <r>
    <n v="1097"/>
    <d v="2025-12-25T00:00:00"/>
    <x v="3"/>
    <x v="2"/>
    <s v="NRT"/>
    <s v="Economy"/>
    <n v="286"/>
    <n v="700.42"/>
    <n v="32"/>
    <s v="On Time"/>
    <n v="200320.12"/>
    <s v="Dec"/>
    <n v="2025"/>
    <n v="200320.12"/>
    <s v="Moderate Delay"/>
  </r>
  <r>
    <n v="1098"/>
    <d v="2025-10-08T00:00:00"/>
    <x v="2"/>
    <x v="7"/>
    <s v="ICN"/>
    <s v="Premium Economy"/>
    <n v="158"/>
    <n v="561.65"/>
    <n v="46"/>
    <s v="Cancelled"/>
    <n v="88740.7"/>
    <s v="Oct"/>
    <n v="2025"/>
    <n v="88740.7"/>
    <s v="Moderate Delay"/>
  </r>
  <r>
    <n v="1099"/>
    <d v="2025-02-06T00:00:00"/>
    <x v="5"/>
    <x v="1"/>
    <s v="MNL"/>
    <s v="Business"/>
    <n v="122"/>
    <n v="268.95"/>
    <n v="54"/>
    <s v="On Time"/>
    <n v="32811.9"/>
    <s v="Feb"/>
    <n v="2025"/>
    <n v="32811.9"/>
    <s v="Moderate Delay"/>
  </r>
  <r>
    <n v="1100"/>
    <d v="2025-06-15T00:00:00"/>
    <x v="5"/>
    <x v="0"/>
    <s v="PUS"/>
    <s v="Economy"/>
    <n v="267"/>
    <n v="751.59"/>
    <n v="1"/>
    <s v="On Time"/>
    <n v="200674.53"/>
    <s v="Jun"/>
    <n v="2025"/>
    <n v="200674.53"/>
    <s v="Minor Delay"/>
  </r>
  <r>
    <n v="1101"/>
    <d v="2025-08-15T00:00:00"/>
    <x v="3"/>
    <x v="7"/>
    <s v="PUS"/>
    <s v="Premium Economy"/>
    <n v="124"/>
    <n v="723.94"/>
    <n v="31"/>
    <s v="On Time"/>
    <n v="89768.56"/>
    <s v="Aug"/>
    <n v="2025"/>
    <n v="89768.560000000012"/>
    <s v="Moderate Delay"/>
  </r>
  <r>
    <n v="1102"/>
    <d v="2025-10-22T00:00:00"/>
    <x v="1"/>
    <x v="5"/>
    <s v="BKK"/>
    <s v="Business"/>
    <n v="251"/>
    <n v="791.48"/>
    <n v="63"/>
    <s v="On Time"/>
    <n v="198661.48"/>
    <s v="Oct"/>
    <n v="2025"/>
    <n v="198661.48"/>
    <s v="Major Delay"/>
  </r>
  <r>
    <n v="1103"/>
    <d v="2025-01-29T00:00:00"/>
    <x v="1"/>
    <x v="1"/>
    <s v="CJU"/>
    <s v="Premium Economy"/>
    <n v="299"/>
    <n v="410.67"/>
    <n v="31"/>
    <s v="On Time"/>
    <n v="122790.33"/>
    <s v="Jan"/>
    <n v="2025"/>
    <n v="122790.33"/>
    <s v="Moderate Delay"/>
  </r>
  <r>
    <n v="1104"/>
    <d v="2025-03-18T00:00:00"/>
    <x v="3"/>
    <x v="3"/>
    <s v="MNL"/>
    <s v="Business"/>
    <n v="153"/>
    <n v="241.3"/>
    <n v="15"/>
    <s v="On Time"/>
    <n v="36918.9"/>
    <s v="Mar"/>
    <n v="2025"/>
    <n v="36918.9"/>
    <s v="Minor Delay"/>
  </r>
  <r>
    <n v="1105"/>
    <d v="2025-06-04T00:00:00"/>
    <x v="3"/>
    <x v="1"/>
    <s v="SIN"/>
    <s v="Business"/>
    <n v="294"/>
    <n v="187.64"/>
    <n v="18"/>
    <s v="Cancelled"/>
    <n v="55166.16"/>
    <s v="Jun"/>
    <n v="2025"/>
    <n v="55166.159999999996"/>
    <s v="Minor Delay"/>
  </r>
  <r>
    <n v="1106"/>
    <d v="2025-11-29T00:00:00"/>
    <x v="2"/>
    <x v="0"/>
    <s v="SIN"/>
    <s v="Premium Economy"/>
    <n v="211"/>
    <n v="543.36"/>
    <n v="0"/>
    <s v="On Time"/>
    <n v="114648.96000000001"/>
    <s v="Nov"/>
    <n v="2025"/>
    <n v="114648.96000000001"/>
    <s v="On Time"/>
  </r>
  <r>
    <n v="1107"/>
    <d v="2025-02-12T00:00:00"/>
    <x v="1"/>
    <x v="0"/>
    <s v="CJU"/>
    <s v="Premium Economy"/>
    <n v="214"/>
    <n v="554.91"/>
    <n v="14"/>
    <s v="On Time"/>
    <n v="118750.74"/>
    <s v="Feb"/>
    <n v="2025"/>
    <n v="118750.73999999999"/>
    <s v="Minor Delay"/>
  </r>
  <r>
    <n v="1108"/>
    <d v="2025-12-22T00:00:00"/>
    <x v="3"/>
    <x v="8"/>
    <s v="NRT"/>
    <s v="Economy"/>
    <n v="253"/>
    <n v="498.73"/>
    <n v="19"/>
    <s v="On Time"/>
    <n v="126178.69"/>
    <s v="Dec"/>
    <n v="2025"/>
    <n v="126178.69"/>
    <s v="Minor Delay"/>
  </r>
  <r>
    <n v="1109"/>
    <d v="2025-10-20T00:00:00"/>
    <x v="0"/>
    <x v="1"/>
    <s v="NRT"/>
    <s v="Economy"/>
    <n v="133"/>
    <n v="106.99"/>
    <n v="57"/>
    <s v="On Time"/>
    <n v="14229.67"/>
    <s v="Oct"/>
    <n v="2025"/>
    <n v="14229.67"/>
    <s v="Moderate Delay"/>
  </r>
  <r>
    <n v="1110"/>
    <d v="2025-10-12T00:00:00"/>
    <x v="5"/>
    <x v="5"/>
    <s v="MNL"/>
    <s v="Business"/>
    <n v="175"/>
    <n v="107.31"/>
    <n v="0"/>
    <s v="Delayed"/>
    <n v="18779.25"/>
    <s v="Oct"/>
    <n v="2025"/>
    <n v="18779.25"/>
    <s v="On Time"/>
  </r>
  <r>
    <n v="1111"/>
    <d v="2025-04-17T00:00:00"/>
    <x v="3"/>
    <x v="6"/>
    <s v="GMP"/>
    <s v="Economy"/>
    <n v="96"/>
    <n v="697.88"/>
    <n v="19"/>
    <s v="On Time"/>
    <n v="66996.479999999996"/>
    <s v="Apr"/>
    <n v="2025"/>
    <n v="66996.479999999996"/>
    <s v="Minor Delay"/>
  </r>
  <r>
    <n v="1112"/>
    <d v="2025-01-21T00:00:00"/>
    <x v="0"/>
    <x v="3"/>
    <s v="GMP"/>
    <s v="Business"/>
    <n v="102"/>
    <n v="542.95000000000005"/>
    <n v="17"/>
    <s v="On Time"/>
    <n v="55380.9"/>
    <s v="Jan"/>
    <n v="2025"/>
    <n v="55380.9"/>
    <s v="Minor Delay"/>
  </r>
  <r>
    <n v="1113"/>
    <d v="2025-02-13T00:00:00"/>
    <x v="1"/>
    <x v="4"/>
    <s v="ICN"/>
    <s v="Business"/>
    <n v="126"/>
    <n v="329.03"/>
    <n v="0"/>
    <s v="Delayed"/>
    <n v="41457.78"/>
    <s v="Feb"/>
    <n v="2025"/>
    <n v="41457.78"/>
    <s v="On Time"/>
  </r>
  <r>
    <n v="1114"/>
    <d v="2025-06-03T00:00:00"/>
    <x v="1"/>
    <x v="5"/>
    <s v="NRT"/>
    <s v="Business"/>
    <n v="281"/>
    <n v="639.27"/>
    <n v="12"/>
    <s v="On Time"/>
    <n v="179634.87"/>
    <s v="Jun"/>
    <n v="2025"/>
    <n v="179634.87"/>
    <s v="Minor Delay"/>
  </r>
  <r>
    <n v="1115"/>
    <d v="2025-10-23T00:00:00"/>
    <x v="2"/>
    <x v="8"/>
    <s v="CJU"/>
    <s v="Business"/>
    <n v="130"/>
    <n v="446.77"/>
    <n v="43"/>
    <s v="On Time"/>
    <n v="58080.1"/>
    <s v="Oct"/>
    <n v="2025"/>
    <n v="58080.1"/>
    <s v="Moderate Delay"/>
  </r>
  <r>
    <n v="1116"/>
    <d v="2025-12-06T00:00:00"/>
    <x v="1"/>
    <x v="2"/>
    <s v="GMP"/>
    <s v="Economy"/>
    <n v="59"/>
    <n v="199.17"/>
    <n v="17"/>
    <s v="On Time"/>
    <n v="11751.03"/>
    <s v="Dec"/>
    <n v="2025"/>
    <n v="11751.029999999999"/>
    <s v="Minor Delay"/>
  </r>
  <r>
    <n v="1117"/>
    <d v="2025-11-05T00:00:00"/>
    <x v="5"/>
    <x v="2"/>
    <s v="CJU"/>
    <s v="Economy"/>
    <n v="201"/>
    <n v="325.70999999999998"/>
    <n v="44"/>
    <s v="On Time"/>
    <n v="65467.71"/>
    <s v="Nov"/>
    <n v="2025"/>
    <n v="65467.71"/>
    <s v="Moderate Delay"/>
  </r>
  <r>
    <n v="1118"/>
    <d v="2025-07-15T00:00:00"/>
    <x v="3"/>
    <x v="4"/>
    <s v="KIX"/>
    <s v="Economy"/>
    <n v="152"/>
    <n v="397.49"/>
    <n v="45"/>
    <s v="Delayed"/>
    <n v="60418.48"/>
    <s v="Jul"/>
    <n v="2025"/>
    <n v="60418.48"/>
    <s v="Moderate Delay"/>
  </r>
  <r>
    <n v="1119"/>
    <d v="2025-10-02T00:00:00"/>
    <x v="0"/>
    <x v="1"/>
    <s v="CJU"/>
    <s v="Economy"/>
    <n v="211"/>
    <n v="602.17999999999995"/>
    <n v="58"/>
    <s v="On Time"/>
    <n v="127059.98"/>
    <s v="Oct"/>
    <n v="2025"/>
    <n v="127059.98"/>
    <s v="Moderate Delay"/>
  </r>
  <r>
    <n v="1120"/>
    <d v="2025-08-03T00:00:00"/>
    <x v="0"/>
    <x v="3"/>
    <s v="CJU"/>
    <s v="Premium Economy"/>
    <n v="251"/>
    <n v="380.88"/>
    <n v="18"/>
    <s v="On Time"/>
    <n v="95600.88"/>
    <s v="Aug"/>
    <n v="2025"/>
    <n v="95600.88"/>
    <s v="Minor Delay"/>
  </r>
  <r>
    <n v="1121"/>
    <d v="2025-05-19T00:00:00"/>
    <x v="1"/>
    <x v="2"/>
    <s v="GMP"/>
    <s v="Business"/>
    <n v="78"/>
    <n v="566.14"/>
    <n v="1"/>
    <s v="On Time"/>
    <n v="44158.92"/>
    <s v="May"/>
    <n v="2025"/>
    <n v="44158.92"/>
    <s v="Minor Delay"/>
  </r>
  <r>
    <n v="1122"/>
    <d v="2025-03-16T00:00:00"/>
    <x v="0"/>
    <x v="3"/>
    <s v="NRT"/>
    <s v="Premium Economy"/>
    <n v="52"/>
    <n v="132.47999999999999"/>
    <n v="32"/>
    <s v="Delayed"/>
    <n v="6888.96"/>
    <s v="Mar"/>
    <n v="2025"/>
    <n v="6888.9599999999991"/>
    <s v="Moderate Delay"/>
  </r>
  <r>
    <n v="1123"/>
    <d v="2025-02-23T00:00:00"/>
    <x v="1"/>
    <x v="2"/>
    <s v="MNL"/>
    <s v="Economy"/>
    <n v="184"/>
    <n v="598.96"/>
    <n v="3"/>
    <s v="On Time"/>
    <n v="110208.64"/>
    <s v="Feb"/>
    <n v="2025"/>
    <n v="110208.64000000001"/>
    <s v="Minor Delay"/>
  </r>
  <r>
    <n v="1124"/>
    <d v="2025-12-25T00:00:00"/>
    <x v="5"/>
    <x v="6"/>
    <s v="KIX"/>
    <s v="Premium Economy"/>
    <n v="191"/>
    <n v="260.58"/>
    <n v="63"/>
    <s v="On Time"/>
    <n v="49770.78"/>
    <s v="Dec"/>
    <n v="2025"/>
    <n v="49770.78"/>
    <s v="Major Delay"/>
  </r>
  <r>
    <n v="1125"/>
    <d v="2025-06-12T00:00:00"/>
    <x v="2"/>
    <x v="5"/>
    <s v="PUS"/>
    <s v="Economy"/>
    <n v="138"/>
    <n v="656.5"/>
    <n v="0"/>
    <s v="On Time"/>
    <n v="90597"/>
    <s v="Jun"/>
    <n v="2025"/>
    <n v="90597"/>
    <s v="On Time"/>
  </r>
  <r>
    <n v="1126"/>
    <d v="2025-10-31T00:00:00"/>
    <x v="0"/>
    <x v="1"/>
    <s v="SIN"/>
    <s v="Premium Economy"/>
    <n v="52"/>
    <n v="568.13"/>
    <n v="0"/>
    <s v="On Time"/>
    <n v="29542.76"/>
    <s v="Oct"/>
    <n v="2025"/>
    <n v="29542.76"/>
    <s v="On Time"/>
  </r>
  <r>
    <n v="1127"/>
    <d v="2025-07-13T00:00:00"/>
    <x v="5"/>
    <x v="7"/>
    <s v="PUS"/>
    <s v="Business"/>
    <n v="118"/>
    <n v="99.12"/>
    <n v="9"/>
    <s v="On Time"/>
    <n v="11696.16"/>
    <s v="Jul"/>
    <n v="2025"/>
    <n v="11696.16"/>
    <s v="Minor Delay"/>
  </r>
  <r>
    <n v="1128"/>
    <d v="2025-12-28T00:00:00"/>
    <x v="2"/>
    <x v="2"/>
    <s v="MNL"/>
    <s v="Economy"/>
    <n v="162"/>
    <n v="789.82"/>
    <n v="0"/>
    <s v="On Time"/>
    <n v="127950.84"/>
    <s v="Dec"/>
    <n v="2025"/>
    <n v="127950.84000000001"/>
    <s v="On Time"/>
  </r>
  <r>
    <n v="1129"/>
    <d v="2025-05-22T00:00:00"/>
    <x v="2"/>
    <x v="6"/>
    <s v="NRT"/>
    <s v="Business"/>
    <n v="291"/>
    <n v="591.66999999999996"/>
    <n v="35"/>
    <s v="On Time"/>
    <n v="172175.97"/>
    <s v="May"/>
    <n v="2025"/>
    <n v="172175.97"/>
    <s v="Moderate Delay"/>
  </r>
  <r>
    <n v="1130"/>
    <d v="2025-07-28T00:00:00"/>
    <x v="4"/>
    <x v="0"/>
    <s v="KIX"/>
    <s v="Economy"/>
    <n v="212"/>
    <n v="118.81"/>
    <n v="11"/>
    <s v="On Time"/>
    <n v="25187.72"/>
    <s v="Jul"/>
    <n v="2025"/>
    <n v="25187.72"/>
    <s v="Minor Delay"/>
  </r>
  <r>
    <n v="1131"/>
    <d v="2025-10-22T00:00:00"/>
    <x v="1"/>
    <x v="0"/>
    <s v="PUS"/>
    <s v="Economy"/>
    <n v="240"/>
    <n v="271.52999999999997"/>
    <n v="61"/>
    <s v="On Time"/>
    <n v="65167.199999999997"/>
    <s v="Oct"/>
    <n v="2025"/>
    <n v="65167.199999999997"/>
    <s v="Major Delay"/>
  </r>
  <r>
    <n v="1132"/>
    <d v="2025-09-03T00:00:00"/>
    <x v="2"/>
    <x v="1"/>
    <s v="CJU"/>
    <s v="Business"/>
    <n v="225"/>
    <n v="798.49"/>
    <n v="0"/>
    <s v="Delayed"/>
    <n v="179660.25"/>
    <s v="Sep"/>
    <n v="2025"/>
    <n v="179660.25"/>
    <s v="On Time"/>
  </r>
  <r>
    <n v="1133"/>
    <d v="2025-01-08T00:00:00"/>
    <x v="5"/>
    <x v="0"/>
    <s v="MNL"/>
    <s v="Economy"/>
    <n v="283"/>
    <n v="675.23"/>
    <n v="46"/>
    <s v="On Time"/>
    <n v="191090.09"/>
    <s v="Jan"/>
    <n v="2025"/>
    <n v="191090.09"/>
    <s v="Moderate Delay"/>
  </r>
  <r>
    <n v="1134"/>
    <d v="2025-12-05T00:00:00"/>
    <x v="5"/>
    <x v="3"/>
    <s v="PUS"/>
    <s v="Business"/>
    <n v="205"/>
    <n v="91.34"/>
    <n v="21"/>
    <s v="On Time"/>
    <n v="18724.7"/>
    <s v="Dec"/>
    <n v="2025"/>
    <n v="18724.7"/>
    <s v="Minor Delay"/>
  </r>
  <r>
    <n v="1135"/>
    <d v="2025-03-31T00:00:00"/>
    <x v="1"/>
    <x v="7"/>
    <s v="NRT"/>
    <s v="Premium Economy"/>
    <n v="264"/>
    <n v="158.66"/>
    <n v="15"/>
    <s v="On Time"/>
    <n v="41886.239999999998"/>
    <s v="Mar"/>
    <n v="2025"/>
    <n v="41886.239999999998"/>
    <s v="Minor Delay"/>
  </r>
  <r>
    <n v="1136"/>
    <d v="2025-02-27T00:00:00"/>
    <x v="4"/>
    <x v="7"/>
    <s v="BKK"/>
    <s v="Business"/>
    <n v="113"/>
    <n v="675.48"/>
    <n v="26"/>
    <s v="Delayed"/>
    <n v="76329.240000000005"/>
    <s v="Feb"/>
    <n v="2025"/>
    <n v="76329.240000000005"/>
    <s v="Minor Delay"/>
  </r>
  <r>
    <n v="1137"/>
    <d v="2025-06-03T00:00:00"/>
    <x v="2"/>
    <x v="0"/>
    <s v="KIX"/>
    <s v="Premium Economy"/>
    <n v="117"/>
    <n v="217.67"/>
    <n v="17"/>
    <s v="On Time"/>
    <n v="25467.39"/>
    <s v="Jun"/>
    <n v="2025"/>
    <n v="25467.39"/>
    <s v="Minor Delay"/>
  </r>
  <r>
    <n v="1138"/>
    <d v="2025-08-26T00:00:00"/>
    <x v="5"/>
    <x v="4"/>
    <s v="ICN"/>
    <s v="Premium Economy"/>
    <n v="64"/>
    <n v="323.25"/>
    <n v="0"/>
    <s v="On Time"/>
    <n v="20688"/>
    <s v="Aug"/>
    <n v="2025"/>
    <n v="20688"/>
    <s v="On Time"/>
  </r>
  <r>
    <n v="1139"/>
    <d v="2025-07-01T00:00:00"/>
    <x v="1"/>
    <x v="3"/>
    <s v="NRT"/>
    <s v="Economy"/>
    <n v="139"/>
    <n v="718.75"/>
    <n v="29"/>
    <s v="On Time"/>
    <n v="99906.25"/>
    <s v="Jul"/>
    <n v="2025"/>
    <n v="99906.25"/>
    <s v="Minor Delay"/>
  </r>
  <r>
    <n v="1140"/>
    <d v="2025-02-13T00:00:00"/>
    <x v="5"/>
    <x v="8"/>
    <s v="PUS"/>
    <s v="Business"/>
    <n v="280"/>
    <n v="173.75"/>
    <n v="41"/>
    <s v="On Time"/>
    <n v="48650"/>
    <s v="Feb"/>
    <n v="2025"/>
    <n v="48650"/>
    <s v="Moderate Delay"/>
  </r>
  <r>
    <n v="1141"/>
    <d v="2025-03-21T00:00:00"/>
    <x v="3"/>
    <x v="8"/>
    <s v="ICN"/>
    <s v="Premium Economy"/>
    <n v="107"/>
    <n v="408.32"/>
    <n v="3"/>
    <s v="Delayed"/>
    <n v="43690.239999999998"/>
    <s v="Mar"/>
    <n v="2025"/>
    <n v="43690.239999999998"/>
    <s v="Minor Delay"/>
  </r>
  <r>
    <n v="1142"/>
    <d v="2025-02-25T00:00:00"/>
    <x v="2"/>
    <x v="6"/>
    <s v="NRT"/>
    <s v="Business"/>
    <n v="264"/>
    <n v="385.12"/>
    <n v="36"/>
    <s v="On Time"/>
    <n v="101671.67999999999"/>
    <s v="Feb"/>
    <n v="2025"/>
    <n v="101671.68000000001"/>
    <s v="Moderate Delay"/>
  </r>
  <r>
    <n v="1143"/>
    <d v="2025-07-03T00:00:00"/>
    <x v="3"/>
    <x v="1"/>
    <s v="ICN"/>
    <s v="Economy"/>
    <n v="78"/>
    <n v="200.28"/>
    <n v="44"/>
    <s v="On Time"/>
    <n v="15621.84"/>
    <s v="Jul"/>
    <n v="2025"/>
    <n v="15621.84"/>
    <s v="Moderate Delay"/>
  </r>
  <r>
    <n v="1144"/>
    <d v="2025-12-08T00:00:00"/>
    <x v="0"/>
    <x v="5"/>
    <s v="PUS"/>
    <s v="Premium Economy"/>
    <n v="295"/>
    <n v="552.28"/>
    <n v="26"/>
    <s v="On Time"/>
    <n v="162922.6"/>
    <s v="Dec"/>
    <n v="2025"/>
    <n v="162922.6"/>
    <s v="Minor Delay"/>
  </r>
  <r>
    <n v="1145"/>
    <d v="2025-10-09T00:00:00"/>
    <x v="2"/>
    <x v="1"/>
    <s v="SIN"/>
    <s v="Business"/>
    <n v="232"/>
    <n v="154.30000000000001"/>
    <n v="20"/>
    <s v="On Time"/>
    <n v="35797.599999999999"/>
    <s v="Oct"/>
    <n v="2025"/>
    <n v="35797.600000000006"/>
    <s v="Minor Delay"/>
  </r>
  <r>
    <n v="1146"/>
    <d v="2025-02-26T00:00:00"/>
    <x v="1"/>
    <x v="1"/>
    <s v="CJU"/>
    <s v="Economy"/>
    <n v="82"/>
    <n v="175.1"/>
    <n v="0"/>
    <s v="On Time"/>
    <n v="14358.2"/>
    <s v="Feb"/>
    <n v="2025"/>
    <n v="14358.199999999999"/>
    <s v="On Time"/>
  </r>
  <r>
    <n v="1147"/>
    <d v="2025-12-14T00:00:00"/>
    <x v="4"/>
    <x v="2"/>
    <s v="ICN"/>
    <s v="Premium Economy"/>
    <n v="299"/>
    <n v="501.84"/>
    <n v="48"/>
    <s v="On Time"/>
    <n v="150050.16"/>
    <s v="Dec"/>
    <n v="2025"/>
    <n v="150050.16"/>
    <s v="Moderate Delay"/>
  </r>
  <r>
    <n v="1148"/>
    <d v="2025-05-07T00:00:00"/>
    <x v="5"/>
    <x v="0"/>
    <s v="MNL"/>
    <s v="Economy"/>
    <n v="236"/>
    <n v="438.32"/>
    <n v="21"/>
    <s v="On Time"/>
    <n v="103443.52"/>
    <s v="May"/>
    <n v="2025"/>
    <n v="103443.52"/>
    <s v="Minor Delay"/>
  </r>
  <r>
    <n v="1149"/>
    <d v="2025-12-25T00:00:00"/>
    <x v="0"/>
    <x v="0"/>
    <s v="KIX"/>
    <s v="Business"/>
    <n v="260"/>
    <n v="377.58"/>
    <n v="0"/>
    <s v="On Time"/>
    <n v="98170.8"/>
    <s v="Dec"/>
    <n v="2025"/>
    <n v="98170.8"/>
    <s v="On Time"/>
  </r>
  <r>
    <n v="1150"/>
    <d v="2025-04-07T00:00:00"/>
    <x v="5"/>
    <x v="6"/>
    <s v="CJU"/>
    <s v="Business"/>
    <n v="212"/>
    <n v="170.06"/>
    <n v="27"/>
    <s v="On Time"/>
    <n v="36052.720000000001"/>
    <s v="Apr"/>
    <n v="2025"/>
    <n v="36052.720000000001"/>
    <s v="Minor Delay"/>
  </r>
  <r>
    <n v="1151"/>
    <d v="2025-05-21T00:00:00"/>
    <x v="0"/>
    <x v="1"/>
    <s v="ICN"/>
    <s v="Economy"/>
    <n v="159"/>
    <n v="73.069999999999993"/>
    <n v="35"/>
    <s v="On Time"/>
    <n v="11618.13"/>
    <s v="May"/>
    <n v="2025"/>
    <n v="11618.13"/>
    <s v="Moderate Delay"/>
  </r>
  <r>
    <n v="1152"/>
    <d v="2025-12-25T00:00:00"/>
    <x v="3"/>
    <x v="6"/>
    <s v="NRT"/>
    <s v="Economy"/>
    <n v="106"/>
    <n v="308.77"/>
    <n v="67"/>
    <s v="On Time"/>
    <n v="32729.62"/>
    <s v="Dec"/>
    <n v="2025"/>
    <n v="32729.62"/>
    <s v="Major Delay"/>
  </r>
  <r>
    <n v="1153"/>
    <d v="2025-11-26T00:00:00"/>
    <x v="1"/>
    <x v="6"/>
    <s v="BKK"/>
    <s v="Premium Economy"/>
    <n v="78"/>
    <n v="259.24"/>
    <n v="15"/>
    <s v="On Time"/>
    <n v="20220.72"/>
    <s v="Nov"/>
    <n v="2025"/>
    <n v="20220.72"/>
    <s v="Minor Delay"/>
  </r>
  <r>
    <n v="1154"/>
    <d v="2025-04-04T00:00:00"/>
    <x v="1"/>
    <x v="3"/>
    <s v="ICN"/>
    <s v="Economy"/>
    <n v="63"/>
    <n v="548.72"/>
    <n v="42"/>
    <s v="On Time"/>
    <n v="34569.360000000001"/>
    <s v="Apr"/>
    <n v="2025"/>
    <n v="34569.360000000001"/>
    <s v="Moderate Delay"/>
  </r>
  <r>
    <n v="1155"/>
    <d v="2025-05-24T00:00:00"/>
    <x v="5"/>
    <x v="4"/>
    <s v="SIN"/>
    <s v="Economy"/>
    <n v="160"/>
    <n v="196.78"/>
    <n v="42"/>
    <s v="On Time"/>
    <n v="31484.799999999999"/>
    <s v="May"/>
    <n v="2025"/>
    <n v="31484.799999999999"/>
    <s v="Moderate Delay"/>
  </r>
  <r>
    <n v="1156"/>
    <d v="2025-12-16T00:00:00"/>
    <x v="5"/>
    <x v="0"/>
    <s v="ICN"/>
    <s v="Economy"/>
    <n v="134"/>
    <n v="326.82"/>
    <n v="12"/>
    <s v="Delayed"/>
    <n v="43793.88"/>
    <s v="Dec"/>
    <n v="2025"/>
    <n v="43793.88"/>
    <s v="Minor Delay"/>
  </r>
  <r>
    <n v="1157"/>
    <d v="2025-05-02T00:00:00"/>
    <x v="3"/>
    <x v="6"/>
    <s v="KIX"/>
    <s v="Premium Economy"/>
    <n v="103"/>
    <n v="492.4"/>
    <n v="30"/>
    <s v="On Time"/>
    <n v="50717.2"/>
    <s v="May"/>
    <n v="2025"/>
    <n v="50717.2"/>
    <s v="Minor Delay"/>
  </r>
  <r>
    <n v="1158"/>
    <d v="2025-10-28T00:00:00"/>
    <x v="3"/>
    <x v="0"/>
    <s v="ICN"/>
    <s v="Economy"/>
    <n v="99"/>
    <n v="581.45000000000005"/>
    <n v="26"/>
    <s v="Delayed"/>
    <n v="57563.55"/>
    <s v="Oct"/>
    <n v="2025"/>
    <n v="57563.55"/>
    <s v="Minor Delay"/>
  </r>
  <r>
    <n v="1159"/>
    <d v="2025-06-04T00:00:00"/>
    <x v="3"/>
    <x v="0"/>
    <s v="BKK"/>
    <s v="Premium Economy"/>
    <n v="244"/>
    <n v="209.48"/>
    <n v="18"/>
    <s v="On Time"/>
    <n v="51113.120000000003"/>
    <s v="Jun"/>
    <n v="2025"/>
    <n v="51113.119999999995"/>
    <s v="Minor Delay"/>
  </r>
  <r>
    <n v="1160"/>
    <d v="2025-10-14T00:00:00"/>
    <x v="4"/>
    <x v="6"/>
    <s v="NRT"/>
    <s v="Premium Economy"/>
    <n v="164"/>
    <n v="526.1"/>
    <n v="12"/>
    <s v="On Time"/>
    <n v="86280.4"/>
    <s v="Oct"/>
    <n v="2025"/>
    <n v="86280.400000000009"/>
    <s v="Minor Delay"/>
  </r>
  <r>
    <n v="1161"/>
    <d v="2025-09-05T00:00:00"/>
    <x v="2"/>
    <x v="1"/>
    <s v="GMP"/>
    <s v="Business"/>
    <n v="288"/>
    <n v="764.81"/>
    <n v="23"/>
    <s v="On Time"/>
    <n v="220265.28"/>
    <s v="Sep"/>
    <n v="2025"/>
    <n v="220265.27999999997"/>
    <s v="Minor Delay"/>
  </r>
  <r>
    <n v="1162"/>
    <d v="2025-01-24T00:00:00"/>
    <x v="5"/>
    <x v="7"/>
    <s v="KIX"/>
    <s v="Economy"/>
    <n v="253"/>
    <n v="779.63"/>
    <n v="5"/>
    <s v="On Time"/>
    <n v="197246.39"/>
    <s v="Jan"/>
    <n v="2025"/>
    <n v="197246.38999999998"/>
    <s v="Minor Delay"/>
  </r>
  <r>
    <n v="1163"/>
    <d v="2025-12-17T00:00:00"/>
    <x v="5"/>
    <x v="1"/>
    <s v="SIN"/>
    <s v="Business"/>
    <n v="298"/>
    <n v="115.49"/>
    <n v="0"/>
    <s v="On Time"/>
    <n v="34416.019999999997"/>
    <s v="Dec"/>
    <n v="2025"/>
    <n v="34416.019999999997"/>
    <s v="On Time"/>
  </r>
  <r>
    <n v="1164"/>
    <d v="2025-11-07T00:00:00"/>
    <x v="4"/>
    <x v="1"/>
    <s v="MNL"/>
    <s v="Economy"/>
    <n v="97"/>
    <n v="62.66"/>
    <n v="31"/>
    <s v="On Time"/>
    <n v="6078.02"/>
    <s v="Nov"/>
    <n v="2025"/>
    <n v="6078.0199999999995"/>
    <s v="Moderate Delay"/>
  </r>
  <r>
    <n v="1165"/>
    <d v="2025-09-15T00:00:00"/>
    <x v="3"/>
    <x v="5"/>
    <s v="SIN"/>
    <s v="Business"/>
    <n v="184"/>
    <n v="251.54"/>
    <n v="32"/>
    <s v="On Time"/>
    <n v="46283.360000000001"/>
    <s v="Sep"/>
    <n v="2025"/>
    <n v="46283.360000000001"/>
    <s v="Moderate Delay"/>
  </r>
  <r>
    <n v="1166"/>
    <d v="2025-04-25T00:00:00"/>
    <x v="1"/>
    <x v="0"/>
    <s v="PUS"/>
    <s v="Business"/>
    <n v="110"/>
    <n v="275.95999999999998"/>
    <n v="3"/>
    <s v="On Time"/>
    <n v="30355.599999999999"/>
    <s v="Apr"/>
    <n v="2025"/>
    <n v="30355.599999999999"/>
    <s v="Minor Delay"/>
  </r>
  <r>
    <n v="1167"/>
    <d v="2025-05-19T00:00:00"/>
    <x v="1"/>
    <x v="4"/>
    <s v="CJU"/>
    <s v="Business"/>
    <n v="300"/>
    <n v="244.27"/>
    <n v="33"/>
    <s v="On Time"/>
    <n v="73281"/>
    <s v="May"/>
    <n v="2025"/>
    <n v="73281"/>
    <s v="Moderate Delay"/>
  </r>
  <r>
    <n v="1168"/>
    <d v="2025-06-16T00:00:00"/>
    <x v="1"/>
    <x v="3"/>
    <s v="BKK"/>
    <s v="Business"/>
    <n v="276"/>
    <n v="466.46"/>
    <n v="0"/>
    <s v="On Time"/>
    <n v="128742.96"/>
    <s v="Jun"/>
    <n v="2025"/>
    <n v="128742.95999999999"/>
    <s v="On Time"/>
  </r>
  <r>
    <n v="1169"/>
    <d v="2025-06-16T00:00:00"/>
    <x v="1"/>
    <x v="1"/>
    <s v="NRT"/>
    <s v="Business"/>
    <n v="258"/>
    <n v="67.7"/>
    <n v="0"/>
    <s v="On Time"/>
    <n v="17466.599999999999"/>
    <s v="Jun"/>
    <n v="2025"/>
    <n v="17466.600000000002"/>
    <s v="On Time"/>
  </r>
  <r>
    <n v="1170"/>
    <d v="2025-10-03T00:00:00"/>
    <x v="3"/>
    <x v="4"/>
    <s v="ICN"/>
    <s v="Business"/>
    <n v="77"/>
    <n v="594.73"/>
    <n v="51"/>
    <s v="On Time"/>
    <n v="45794.21"/>
    <s v="Oct"/>
    <n v="2025"/>
    <n v="45794.21"/>
    <s v="Moderate Delay"/>
  </r>
  <r>
    <n v="1171"/>
    <d v="2025-08-15T00:00:00"/>
    <x v="0"/>
    <x v="4"/>
    <s v="PUS"/>
    <s v="Premium Economy"/>
    <n v="118"/>
    <n v="210.9"/>
    <n v="0"/>
    <s v="On Time"/>
    <n v="24886.2"/>
    <s v="Aug"/>
    <n v="2025"/>
    <n v="24886.2"/>
    <s v="On Time"/>
  </r>
  <r>
    <n v="1172"/>
    <d v="2025-08-11T00:00:00"/>
    <x v="4"/>
    <x v="8"/>
    <s v="PUS"/>
    <s v="Economy"/>
    <n v="280"/>
    <n v="414.47"/>
    <n v="0"/>
    <s v="On Time"/>
    <n v="116051.6"/>
    <s v="Aug"/>
    <n v="2025"/>
    <n v="116051.6"/>
    <s v="On Time"/>
  </r>
  <r>
    <n v="1173"/>
    <d v="2025-04-01T00:00:00"/>
    <x v="0"/>
    <x v="8"/>
    <s v="CJU"/>
    <s v="Business"/>
    <n v="175"/>
    <n v="758.08"/>
    <n v="28"/>
    <s v="On Time"/>
    <n v="132664"/>
    <s v="Apr"/>
    <n v="2025"/>
    <n v="132664"/>
    <s v="Minor Delay"/>
  </r>
  <r>
    <n v="1174"/>
    <d v="2025-12-18T00:00:00"/>
    <x v="5"/>
    <x v="7"/>
    <s v="MNL"/>
    <s v="Economy"/>
    <n v="67"/>
    <n v="166.21"/>
    <n v="38"/>
    <s v="On Time"/>
    <n v="11136.07"/>
    <s v="Dec"/>
    <n v="2025"/>
    <n v="11136.07"/>
    <s v="Moderate Delay"/>
  </r>
  <r>
    <n v="1175"/>
    <d v="2025-02-21T00:00:00"/>
    <x v="3"/>
    <x v="8"/>
    <s v="BKK"/>
    <s v="Business"/>
    <n v="85"/>
    <n v="597.80999999999995"/>
    <n v="32"/>
    <s v="On Time"/>
    <n v="50813.85"/>
    <s v="Feb"/>
    <n v="2025"/>
    <n v="50813.85"/>
    <s v="Moderate Delay"/>
  </r>
  <r>
    <n v="1176"/>
    <d v="2025-01-07T00:00:00"/>
    <x v="3"/>
    <x v="5"/>
    <s v="CJU"/>
    <s v="Economy"/>
    <n v="83"/>
    <n v="243.77"/>
    <n v="0"/>
    <s v="On Time"/>
    <n v="20232.91"/>
    <s v="Jan"/>
    <n v="2025"/>
    <n v="20232.91"/>
    <s v="On Time"/>
  </r>
  <r>
    <n v="1177"/>
    <d v="2025-01-05T00:00:00"/>
    <x v="1"/>
    <x v="7"/>
    <s v="ICN"/>
    <s v="Business"/>
    <n v="238"/>
    <n v="665.51"/>
    <n v="26"/>
    <s v="On Time"/>
    <n v="158391.38"/>
    <s v="Jan"/>
    <n v="2025"/>
    <n v="158391.38"/>
    <s v="Minor Delay"/>
  </r>
  <r>
    <n v="1178"/>
    <d v="2025-06-07T00:00:00"/>
    <x v="4"/>
    <x v="8"/>
    <s v="CJU"/>
    <s v="Premium Economy"/>
    <n v="89"/>
    <n v="240.42"/>
    <n v="11"/>
    <s v="On Time"/>
    <n v="21397.38"/>
    <s v="Jun"/>
    <n v="2025"/>
    <n v="21397.379999999997"/>
    <s v="Minor Delay"/>
  </r>
  <r>
    <n v="1179"/>
    <d v="2025-01-11T00:00:00"/>
    <x v="1"/>
    <x v="4"/>
    <s v="GMP"/>
    <s v="Economy"/>
    <n v="189"/>
    <n v="279.58999999999997"/>
    <n v="0"/>
    <s v="On Time"/>
    <n v="52842.51"/>
    <s v="Jan"/>
    <n v="2025"/>
    <n v="52842.509999999995"/>
    <s v="On Time"/>
  </r>
  <r>
    <n v="1180"/>
    <d v="2025-04-27T00:00:00"/>
    <x v="2"/>
    <x v="2"/>
    <s v="ICN"/>
    <s v="Premium Economy"/>
    <n v="87"/>
    <n v="321.45"/>
    <n v="16"/>
    <s v="On Time"/>
    <n v="27966.15"/>
    <s v="Apr"/>
    <n v="2025"/>
    <n v="27966.149999999998"/>
    <s v="Minor Delay"/>
  </r>
  <r>
    <n v="1181"/>
    <d v="2025-09-09T00:00:00"/>
    <x v="0"/>
    <x v="1"/>
    <s v="GMP"/>
    <s v="Economy"/>
    <n v="107"/>
    <n v="135.28"/>
    <n v="42"/>
    <s v="On Time"/>
    <n v="14474.96"/>
    <s v="Sep"/>
    <n v="2025"/>
    <n v="14474.960000000001"/>
    <s v="Moderate Delay"/>
  </r>
  <r>
    <n v="1182"/>
    <d v="2025-02-13T00:00:00"/>
    <x v="1"/>
    <x v="0"/>
    <s v="BKK"/>
    <s v="Business"/>
    <n v="88"/>
    <n v="191.77"/>
    <n v="13"/>
    <s v="On Time"/>
    <n v="16875.759999999998"/>
    <s v="Feb"/>
    <n v="2025"/>
    <n v="16875.760000000002"/>
    <s v="Minor Delay"/>
  </r>
  <r>
    <n v="1183"/>
    <d v="2025-03-18T00:00:00"/>
    <x v="3"/>
    <x v="7"/>
    <s v="MNL"/>
    <s v="Business"/>
    <n v="127"/>
    <n v="522.32000000000005"/>
    <n v="8"/>
    <s v="On Time"/>
    <n v="66334.64"/>
    <s v="Mar"/>
    <n v="2025"/>
    <n v="66334.64"/>
    <s v="Minor Delay"/>
  </r>
  <r>
    <n v="1184"/>
    <d v="2025-05-16T00:00:00"/>
    <x v="3"/>
    <x v="8"/>
    <s v="KIX"/>
    <s v="Economy"/>
    <n v="251"/>
    <n v="61.61"/>
    <n v="69"/>
    <s v="Delayed"/>
    <n v="15464.11"/>
    <s v="May"/>
    <n v="2025"/>
    <n v="15464.11"/>
    <s v="Major Delay"/>
  </r>
  <r>
    <n v="1185"/>
    <d v="2025-06-13T00:00:00"/>
    <x v="0"/>
    <x v="7"/>
    <s v="PUS"/>
    <s v="Premium Economy"/>
    <n v="164"/>
    <n v="593.79"/>
    <n v="26"/>
    <s v="On Time"/>
    <n v="97381.56"/>
    <s v="Jun"/>
    <n v="2025"/>
    <n v="97381.56"/>
    <s v="Minor Delay"/>
  </r>
  <r>
    <n v="1186"/>
    <d v="2025-03-16T00:00:00"/>
    <x v="1"/>
    <x v="1"/>
    <s v="NRT"/>
    <s v="Premium Economy"/>
    <n v="82"/>
    <n v="194.59"/>
    <n v="0"/>
    <s v="On Time"/>
    <n v="15956.38"/>
    <s v="Mar"/>
    <n v="2025"/>
    <n v="15956.380000000001"/>
    <s v="On Time"/>
  </r>
  <r>
    <n v="1187"/>
    <d v="2025-08-06T00:00:00"/>
    <x v="2"/>
    <x v="3"/>
    <s v="SIN"/>
    <s v="Business"/>
    <n v="299"/>
    <n v="366.32"/>
    <n v="26"/>
    <s v="Delayed"/>
    <n v="109529.68"/>
    <s v="Aug"/>
    <n v="2025"/>
    <n v="109529.68"/>
    <s v="Minor Delay"/>
  </r>
  <r>
    <n v="1188"/>
    <d v="2025-08-03T00:00:00"/>
    <x v="5"/>
    <x v="2"/>
    <s v="MNL"/>
    <s v="Premium Economy"/>
    <n v="187"/>
    <n v="454.99"/>
    <n v="0"/>
    <s v="On Time"/>
    <n v="85083.13"/>
    <s v="Aug"/>
    <n v="2025"/>
    <n v="85083.13"/>
    <s v="On Time"/>
  </r>
  <r>
    <n v="1189"/>
    <d v="2025-02-12T00:00:00"/>
    <x v="5"/>
    <x v="2"/>
    <s v="MNL"/>
    <s v="Business"/>
    <n v="157"/>
    <n v="449.94"/>
    <n v="27"/>
    <s v="On Time"/>
    <n v="70640.58"/>
    <s v="Feb"/>
    <n v="2025"/>
    <n v="70640.58"/>
    <s v="Minor Delay"/>
  </r>
  <r>
    <n v="1190"/>
    <d v="2025-07-05T00:00:00"/>
    <x v="1"/>
    <x v="0"/>
    <s v="NRT"/>
    <s v="Economy"/>
    <n v="267"/>
    <n v="72.69"/>
    <n v="0"/>
    <s v="On Time"/>
    <n v="19408.23"/>
    <s v="Jul"/>
    <n v="2025"/>
    <n v="19408.23"/>
    <s v="On Time"/>
  </r>
  <r>
    <n v="1191"/>
    <d v="2025-01-31T00:00:00"/>
    <x v="4"/>
    <x v="7"/>
    <s v="GMP"/>
    <s v="Premium Economy"/>
    <n v="267"/>
    <n v="688.5"/>
    <n v="22"/>
    <s v="On Time"/>
    <n v="183829.5"/>
    <s v="Jan"/>
    <n v="2025"/>
    <n v="183829.5"/>
    <s v="Minor Delay"/>
  </r>
  <r>
    <n v="1192"/>
    <d v="2025-05-05T00:00:00"/>
    <x v="0"/>
    <x v="6"/>
    <s v="BKK"/>
    <s v="Economy"/>
    <n v="64"/>
    <n v="612.78"/>
    <n v="6"/>
    <s v="On Time"/>
    <n v="39217.919999999998"/>
    <s v="May"/>
    <n v="2025"/>
    <n v="39217.919999999998"/>
    <s v="Minor Delay"/>
  </r>
  <r>
    <n v="1193"/>
    <d v="2025-01-14T00:00:00"/>
    <x v="3"/>
    <x v="7"/>
    <s v="MNL"/>
    <s v="Premium Economy"/>
    <n v="145"/>
    <n v="100.02"/>
    <n v="45"/>
    <s v="On Time"/>
    <n v="14502.9"/>
    <s v="Jan"/>
    <n v="2025"/>
    <n v="14502.9"/>
    <s v="Moderate Delay"/>
  </r>
  <r>
    <n v="1194"/>
    <d v="2025-03-17T00:00:00"/>
    <x v="4"/>
    <x v="7"/>
    <s v="ICN"/>
    <s v="Economy"/>
    <n v="70"/>
    <n v="241.33"/>
    <n v="40"/>
    <s v="On Time"/>
    <n v="16893.099999999999"/>
    <s v="Mar"/>
    <n v="2025"/>
    <n v="16893.100000000002"/>
    <s v="Moderate Delay"/>
  </r>
  <r>
    <n v="1195"/>
    <d v="2025-04-04T00:00:00"/>
    <x v="2"/>
    <x v="1"/>
    <s v="CJU"/>
    <s v="Business"/>
    <n v="85"/>
    <n v="613.6"/>
    <n v="13"/>
    <s v="On Time"/>
    <n v="52156"/>
    <s v="Apr"/>
    <n v="2025"/>
    <n v="52156"/>
    <s v="Minor Delay"/>
  </r>
  <r>
    <n v="1196"/>
    <d v="2025-11-27T00:00:00"/>
    <x v="3"/>
    <x v="3"/>
    <s v="SIN"/>
    <s v="Economy"/>
    <n v="123"/>
    <n v="142.34"/>
    <n v="0"/>
    <s v="On Time"/>
    <n v="17507.82"/>
    <s v="Nov"/>
    <n v="2025"/>
    <n v="17507.82"/>
    <s v="On Time"/>
  </r>
  <r>
    <n v="1197"/>
    <d v="2025-09-15T00:00:00"/>
    <x v="0"/>
    <x v="5"/>
    <s v="PUS"/>
    <s v="Economy"/>
    <n v="151"/>
    <n v="676.18"/>
    <n v="0"/>
    <s v="On Time"/>
    <n v="102103.18"/>
    <s v="Sep"/>
    <n v="2025"/>
    <n v="102103.18"/>
    <s v="On Time"/>
  </r>
  <r>
    <n v="1198"/>
    <d v="2025-12-30T00:00:00"/>
    <x v="0"/>
    <x v="4"/>
    <s v="KIX"/>
    <s v="Premium Economy"/>
    <n v="288"/>
    <n v="176.03"/>
    <n v="0"/>
    <s v="Delayed"/>
    <n v="50696.639999999999"/>
    <s v="Dec"/>
    <n v="2025"/>
    <n v="50696.639999999999"/>
    <s v="On Time"/>
  </r>
  <r>
    <n v="1199"/>
    <d v="2025-03-06T00:00:00"/>
    <x v="3"/>
    <x v="6"/>
    <s v="BKK"/>
    <s v="Economy"/>
    <n v="152"/>
    <n v="518.09"/>
    <n v="23"/>
    <s v="On Time"/>
    <n v="78749.679999999993"/>
    <s v="Mar"/>
    <n v="2025"/>
    <n v="78749.680000000008"/>
    <s v="Minor Delay"/>
  </r>
  <r>
    <n v="1200"/>
    <d v="2025-12-21T00:00:00"/>
    <x v="2"/>
    <x v="6"/>
    <s v="GMP"/>
    <s v="Premium Economy"/>
    <n v="130"/>
    <n v="543"/>
    <n v="35"/>
    <s v="On Time"/>
    <n v="70590"/>
    <s v="Dec"/>
    <n v="2025"/>
    <n v="70590"/>
    <s v="Moderate Delay"/>
  </r>
  <r>
    <n v="1201"/>
    <d v="2025-01-28T00:00:00"/>
    <x v="4"/>
    <x v="1"/>
    <s v="CJU"/>
    <s v="Business"/>
    <n v="158"/>
    <n v="204.1"/>
    <n v="27"/>
    <s v="On Time"/>
    <n v="32247.8"/>
    <s v="Jan"/>
    <n v="2025"/>
    <n v="32247.8"/>
    <s v="Minor Delay"/>
  </r>
  <r>
    <n v="1202"/>
    <d v="2025-05-03T00:00:00"/>
    <x v="4"/>
    <x v="3"/>
    <s v="ICN"/>
    <s v="Economy"/>
    <n v="188"/>
    <n v="138.78"/>
    <n v="26"/>
    <s v="On Time"/>
    <n v="26090.639999999999"/>
    <s v="May"/>
    <n v="2025"/>
    <n v="26090.639999999999"/>
    <s v="Minor Delay"/>
  </r>
  <r>
    <n v="1203"/>
    <d v="2025-04-07T00:00:00"/>
    <x v="5"/>
    <x v="5"/>
    <s v="KIX"/>
    <s v="Economy"/>
    <n v="213"/>
    <n v="747.61"/>
    <n v="20"/>
    <s v="On Time"/>
    <n v="159240.93"/>
    <s v="Apr"/>
    <n v="2025"/>
    <n v="159240.93"/>
    <s v="Minor Delay"/>
  </r>
  <r>
    <n v="1204"/>
    <d v="2025-01-24T00:00:00"/>
    <x v="1"/>
    <x v="5"/>
    <s v="SIN"/>
    <s v="Premium Economy"/>
    <n v="73"/>
    <n v="758.2"/>
    <n v="30"/>
    <s v="On Time"/>
    <n v="55348.6"/>
    <s v="Jan"/>
    <n v="2025"/>
    <n v="55348.600000000006"/>
    <s v="Minor Delay"/>
  </r>
  <r>
    <n v="1205"/>
    <d v="2025-07-23T00:00:00"/>
    <x v="5"/>
    <x v="3"/>
    <s v="NRT"/>
    <s v="Economy"/>
    <n v="130"/>
    <n v="616.36"/>
    <n v="9"/>
    <s v="On Time"/>
    <n v="80126.8"/>
    <s v="Jul"/>
    <n v="2025"/>
    <n v="80126.8"/>
    <s v="Minor Delay"/>
  </r>
  <r>
    <n v="1206"/>
    <d v="2025-07-28T00:00:00"/>
    <x v="3"/>
    <x v="0"/>
    <s v="BKK"/>
    <s v="Business"/>
    <n v="75"/>
    <n v="431.61"/>
    <n v="0"/>
    <s v="On Time"/>
    <n v="32370.75"/>
    <s v="Jul"/>
    <n v="2025"/>
    <n v="32370.75"/>
    <s v="On Time"/>
  </r>
  <r>
    <n v="1207"/>
    <d v="2025-09-02T00:00:00"/>
    <x v="5"/>
    <x v="5"/>
    <s v="MNL"/>
    <s v="Economy"/>
    <n v="124"/>
    <n v="179.31"/>
    <n v="15"/>
    <s v="On Time"/>
    <n v="22234.44"/>
    <s v="Sep"/>
    <n v="2025"/>
    <n v="22234.44"/>
    <s v="Minor Delay"/>
  </r>
  <r>
    <n v="1208"/>
    <d v="2025-12-15T00:00:00"/>
    <x v="3"/>
    <x v="2"/>
    <s v="NRT"/>
    <s v="Economy"/>
    <n v="246"/>
    <n v="591.73"/>
    <n v="10"/>
    <s v="Cancelled"/>
    <n v="145565.57999999999"/>
    <s v="Dec"/>
    <n v="2025"/>
    <n v="145565.58000000002"/>
    <s v="Minor Delay"/>
  </r>
  <r>
    <n v="1209"/>
    <d v="2025-08-18T00:00:00"/>
    <x v="0"/>
    <x v="6"/>
    <s v="KIX"/>
    <s v="Premium Economy"/>
    <n v="124"/>
    <n v="326.63"/>
    <n v="36"/>
    <s v="Delayed"/>
    <n v="40502.120000000003"/>
    <s v="Aug"/>
    <n v="2025"/>
    <n v="40502.120000000003"/>
    <s v="Moderate Delay"/>
  </r>
  <r>
    <n v="1210"/>
    <d v="2025-04-17T00:00:00"/>
    <x v="5"/>
    <x v="1"/>
    <s v="PUS"/>
    <s v="Business"/>
    <n v="69"/>
    <n v="768.93"/>
    <n v="0"/>
    <s v="On Time"/>
    <n v="53056.17"/>
    <s v="Apr"/>
    <n v="2025"/>
    <n v="53056.17"/>
    <s v="On Time"/>
  </r>
  <r>
    <n v="1211"/>
    <d v="2025-01-08T00:00:00"/>
    <x v="0"/>
    <x v="8"/>
    <s v="GMP"/>
    <s v="Premium Economy"/>
    <n v="190"/>
    <n v="701.97"/>
    <n v="35"/>
    <s v="On Time"/>
    <n v="133374.29999999999"/>
    <s v="Jan"/>
    <n v="2025"/>
    <n v="133374.30000000002"/>
    <s v="Moderate Delay"/>
  </r>
  <r>
    <n v="1212"/>
    <d v="2025-03-28T00:00:00"/>
    <x v="4"/>
    <x v="8"/>
    <s v="KIX"/>
    <s v="Economy"/>
    <n v="67"/>
    <n v="267.29000000000002"/>
    <n v="0"/>
    <s v="On Time"/>
    <n v="17908.43"/>
    <s v="Mar"/>
    <n v="2025"/>
    <n v="17908.43"/>
    <s v="On Time"/>
  </r>
  <r>
    <n v="1213"/>
    <d v="2025-04-02T00:00:00"/>
    <x v="3"/>
    <x v="0"/>
    <s v="CJU"/>
    <s v="Premium Economy"/>
    <n v="116"/>
    <n v="789.75"/>
    <n v="62"/>
    <s v="On Time"/>
    <n v="91611"/>
    <s v="Apr"/>
    <n v="2025"/>
    <n v="91611"/>
    <s v="Major Delay"/>
  </r>
  <r>
    <n v="1214"/>
    <d v="2025-10-19T00:00:00"/>
    <x v="2"/>
    <x v="7"/>
    <s v="GMP"/>
    <s v="Economy"/>
    <n v="143"/>
    <n v="695.66"/>
    <n v="14"/>
    <s v="On Time"/>
    <n v="99479.38"/>
    <s v="Oct"/>
    <n v="2025"/>
    <n v="99479.37999999999"/>
    <s v="Minor Delay"/>
  </r>
  <r>
    <n v="1215"/>
    <d v="2025-07-07T00:00:00"/>
    <x v="5"/>
    <x v="7"/>
    <s v="SIN"/>
    <s v="Business"/>
    <n v="293"/>
    <n v="292.10000000000002"/>
    <n v="42"/>
    <s v="On Time"/>
    <n v="85585.3"/>
    <s v="Jul"/>
    <n v="2025"/>
    <n v="85585.3"/>
    <s v="Moderate Delay"/>
  </r>
  <r>
    <n v="1216"/>
    <d v="2025-05-06T00:00:00"/>
    <x v="3"/>
    <x v="5"/>
    <s v="GMP"/>
    <s v="Business"/>
    <n v="52"/>
    <n v="174.38"/>
    <n v="32"/>
    <s v="On Time"/>
    <n v="9067.76"/>
    <s v="May"/>
    <n v="2025"/>
    <n v="9067.76"/>
    <s v="Moderate Delay"/>
  </r>
  <r>
    <n v="1217"/>
    <d v="2025-10-19T00:00:00"/>
    <x v="2"/>
    <x v="1"/>
    <s v="CJU"/>
    <s v="Economy"/>
    <n v="107"/>
    <n v="347.29"/>
    <n v="9"/>
    <s v="On Time"/>
    <n v="37160.03"/>
    <s v="Oct"/>
    <n v="2025"/>
    <n v="37160.03"/>
    <s v="Minor Delay"/>
  </r>
  <r>
    <n v="1218"/>
    <d v="2025-02-25T00:00:00"/>
    <x v="1"/>
    <x v="6"/>
    <s v="MNL"/>
    <s v="Economy"/>
    <n v="237"/>
    <n v="140.18"/>
    <n v="22"/>
    <s v="Delayed"/>
    <n v="33222.660000000003"/>
    <s v="Feb"/>
    <n v="2025"/>
    <n v="33222.660000000003"/>
    <s v="Minor Delay"/>
  </r>
  <r>
    <n v="1219"/>
    <d v="2025-04-13T00:00:00"/>
    <x v="2"/>
    <x v="1"/>
    <s v="MNL"/>
    <s v="Premium Economy"/>
    <n v="66"/>
    <n v="294.79000000000002"/>
    <n v="48"/>
    <s v="On Time"/>
    <n v="19456.14"/>
    <s v="Apr"/>
    <n v="2025"/>
    <n v="19456.140000000003"/>
    <s v="Moderate Delay"/>
  </r>
  <r>
    <n v="1220"/>
    <d v="2025-05-23T00:00:00"/>
    <x v="2"/>
    <x v="8"/>
    <s v="GMP"/>
    <s v="Economy"/>
    <n v="189"/>
    <n v="175.25"/>
    <n v="19"/>
    <s v="On Time"/>
    <n v="33122.25"/>
    <s v="May"/>
    <n v="2025"/>
    <n v="33122.25"/>
    <s v="Minor Delay"/>
  </r>
  <r>
    <n v="1221"/>
    <d v="2025-10-18T00:00:00"/>
    <x v="1"/>
    <x v="2"/>
    <s v="BKK"/>
    <s v="Business"/>
    <n v="248"/>
    <n v="341.41"/>
    <n v="41"/>
    <s v="On Time"/>
    <n v="84669.68"/>
    <s v="Oct"/>
    <n v="2025"/>
    <n v="84669.680000000008"/>
    <s v="Moderate Delay"/>
  </r>
  <r>
    <n v="1222"/>
    <d v="2025-01-28T00:00:00"/>
    <x v="0"/>
    <x v="8"/>
    <s v="PUS"/>
    <s v="Economy"/>
    <n v="293"/>
    <n v="621.38"/>
    <n v="10"/>
    <s v="On Time"/>
    <n v="182064.34"/>
    <s v="Jan"/>
    <n v="2025"/>
    <n v="182064.34"/>
    <s v="Minor Delay"/>
  </r>
  <r>
    <n v="1223"/>
    <d v="2025-02-12T00:00:00"/>
    <x v="0"/>
    <x v="4"/>
    <s v="CJU"/>
    <s v="Economy"/>
    <n v="120"/>
    <n v="359.75"/>
    <n v="8"/>
    <s v="Delayed"/>
    <n v="43170"/>
    <s v="Feb"/>
    <n v="2025"/>
    <n v="43170"/>
    <s v="Minor Delay"/>
  </r>
  <r>
    <n v="1224"/>
    <d v="2025-12-09T00:00:00"/>
    <x v="4"/>
    <x v="6"/>
    <s v="PUS"/>
    <s v="Economy"/>
    <n v="262"/>
    <n v="99.77"/>
    <n v="57"/>
    <s v="Delayed"/>
    <n v="26139.74"/>
    <s v="Dec"/>
    <n v="2025"/>
    <n v="26139.739999999998"/>
    <s v="Moderate Delay"/>
  </r>
  <r>
    <n v="1225"/>
    <d v="2025-06-02T00:00:00"/>
    <x v="0"/>
    <x v="1"/>
    <s v="KIX"/>
    <s v="Economy"/>
    <n v="139"/>
    <n v="757.04"/>
    <n v="0"/>
    <s v="On Time"/>
    <n v="105228.56"/>
    <s v="Jun"/>
    <n v="2025"/>
    <n v="105228.56"/>
    <s v="On Time"/>
  </r>
  <r>
    <n v="1226"/>
    <d v="2025-12-21T00:00:00"/>
    <x v="5"/>
    <x v="1"/>
    <s v="KIX"/>
    <s v="Premium Economy"/>
    <n v="260"/>
    <n v="67.349999999999994"/>
    <n v="23"/>
    <s v="On Time"/>
    <n v="17511"/>
    <s v="Dec"/>
    <n v="2025"/>
    <n v="17511"/>
    <s v="Minor Delay"/>
  </r>
  <r>
    <n v="1227"/>
    <d v="2025-12-08T00:00:00"/>
    <x v="5"/>
    <x v="2"/>
    <s v="GMP"/>
    <s v="Business"/>
    <n v="87"/>
    <n v="299.56"/>
    <n v="78"/>
    <s v="On Time"/>
    <n v="26061.72"/>
    <s v="Dec"/>
    <n v="2025"/>
    <n v="26061.72"/>
    <s v="Major Delay"/>
  </r>
  <r>
    <n v="1228"/>
    <d v="2025-03-19T00:00:00"/>
    <x v="2"/>
    <x v="3"/>
    <s v="ICN"/>
    <s v="Economy"/>
    <n v="177"/>
    <n v="699.58"/>
    <n v="14"/>
    <s v="On Time"/>
    <n v="123825.66"/>
    <s v="Mar"/>
    <n v="2025"/>
    <n v="123825.66"/>
    <s v="Minor Delay"/>
  </r>
  <r>
    <n v="1229"/>
    <d v="2025-09-24T00:00:00"/>
    <x v="3"/>
    <x v="1"/>
    <s v="NRT"/>
    <s v="Economy"/>
    <n v="165"/>
    <n v="758.06"/>
    <n v="42"/>
    <s v="On Time"/>
    <n v="125079.9"/>
    <s v="Sep"/>
    <n v="2025"/>
    <n v="125079.9"/>
    <s v="Moderate Delay"/>
  </r>
  <r>
    <n v="1230"/>
    <d v="2025-04-22T00:00:00"/>
    <x v="3"/>
    <x v="0"/>
    <s v="ICN"/>
    <s v="Economy"/>
    <n v="157"/>
    <n v="575.37"/>
    <n v="0"/>
    <s v="On Time"/>
    <n v="90333.09"/>
    <s v="Apr"/>
    <n v="2025"/>
    <n v="90333.09"/>
    <s v="On Time"/>
  </r>
  <r>
    <n v="1231"/>
    <d v="2025-06-28T00:00:00"/>
    <x v="0"/>
    <x v="1"/>
    <s v="PUS"/>
    <s v="Economy"/>
    <n v="298"/>
    <n v="562.91999999999996"/>
    <n v="43"/>
    <s v="On Time"/>
    <n v="167750.16"/>
    <s v="Jun"/>
    <n v="2025"/>
    <n v="167750.15999999997"/>
    <s v="Moderate Delay"/>
  </r>
  <r>
    <n v="1232"/>
    <d v="2025-09-15T00:00:00"/>
    <x v="1"/>
    <x v="4"/>
    <s v="KIX"/>
    <s v="Business"/>
    <n v="177"/>
    <n v="540.19000000000005"/>
    <n v="13"/>
    <s v="On Time"/>
    <n v="95613.63"/>
    <s v="Sep"/>
    <n v="2025"/>
    <n v="95613.63"/>
    <s v="Minor Delay"/>
  </r>
  <r>
    <n v="1233"/>
    <d v="2025-06-30T00:00:00"/>
    <x v="5"/>
    <x v="1"/>
    <s v="KIX"/>
    <s v="Premium Economy"/>
    <n v="183"/>
    <n v="780.81"/>
    <n v="0"/>
    <s v="On Time"/>
    <n v="142888.23000000001"/>
    <s v="Jun"/>
    <n v="2025"/>
    <n v="142888.22999999998"/>
    <s v="On Time"/>
  </r>
  <r>
    <n v="1234"/>
    <d v="2025-10-11T00:00:00"/>
    <x v="5"/>
    <x v="3"/>
    <s v="CJU"/>
    <s v="Economy"/>
    <n v="188"/>
    <n v="382.55"/>
    <n v="68"/>
    <s v="On Time"/>
    <n v="71919.399999999994"/>
    <s v="Oct"/>
    <n v="2025"/>
    <n v="71919.400000000009"/>
    <s v="Major Delay"/>
  </r>
  <r>
    <n v="1235"/>
    <d v="2025-12-26T00:00:00"/>
    <x v="5"/>
    <x v="1"/>
    <s v="NRT"/>
    <s v="Economy"/>
    <n v="72"/>
    <n v="656.4"/>
    <n v="48"/>
    <s v="On Time"/>
    <n v="47260.800000000003"/>
    <s v="Dec"/>
    <n v="2025"/>
    <n v="47260.799999999996"/>
    <s v="Moderate Delay"/>
  </r>
  <r>
    <n v="1236"/>
    <d v="2025-09-12T00:00:00"/>
    <x v="3"/>
    <x v="1"/>
    <s v="GMP"/>
    <s v="Business"/>
    <n v="287"/>
    <n v="463.1"/>
    <n v="41"/>
    <s v="On Time"/>
    <n v="132909.70000000001"/>
    <s v="Sep"/>
    <n v="2025"/>
    <n v="132909.70000000001"/>
    <s v="Moderate Delay"/>
  </r>
  <r>
    <n v="1237"/>
    <d v="2025-12-08T00:00:00"/>
    <x v="4"/>
    <x v="6"/>
    <s v="ICN"/>
    <s v="Premium Economy"/>
    <n v="104"/>
    <n v="224.93"/>
    <n v="0"/>
    <s v="On Time"/>
    <n v="23392.720000000001"/>
    <s v="Dec"/>
    <n v="2025"/>
    <n v="23392.720000000001"/>
    <s v="On Time"/>
  </r>
  <r>
    <n v="1238"/>
    <d v="2025-06-29T00:00:00"/>
    <x v="2"/>
    <x v="8"/>
    <s v="GMP"/>
    <s v="Premium Economy"/>
    <n v="282"/>
    <n v="667.11"/>
    <n v="26"/>
    <s v="On Time"/>
    <n v="188125.02"/>
    <s v="Jun"/>
    <n v="2025"/>
    <n v="188125.02"/>
    <s v="Minor Delay"/>
  </r>
  <r>
    <n v="1239"/>
    <d v="2025-07-11T00:00:00"/>
    <x v="0"/>
    <x v="1"/>
    <s v="ICN"/>
    <s v="Business"/>
    <n v="122"/>
    <n v="258.02999999999997"/>
    <n v="8"/>
    <s v="Delayed"/>
    <n v="31479.66"/>
    <s v="Jul"/>
    <n v="2025"/>
    <n v="31479.659999999996"/>
    <s v="Minor Delay"/>
  </r>
  <r>
    <n v="1240"/>
    <d v="2025-01-03T00:00:00"/>
    <x v="2"/>
    <x v="1"/>
    <s v="PUS"/>
    <s v="Economy"/>
    <n v="53"/>
    <n v="79.42"/>
    <n v="2"/>
    <s v="On Time"/>
    <n v="4209.26"/>
    <s v="Jan"/>
    <n v="2025"/>
    <n v="4209.26"/>
    <s v="Minor Delay"/>
  </r>
  <r>
    <n v="1241"/>
    <d v="2025-06-21T00:00:00"/>
    <x v="0"/>
    <x v="6"/>
    <s v="KIX"/>
    <s v="Business"/>
    <n v="160"/>
    <n v="238.96"/>
    <n v="36"/>
    <s v="On Time"/>
    <n v="38233.599999999999"/>
    <s v="Jun"/>
    <n v="2025"/>
    <n v="38233.599999999999"/>
    <s v="Moderate Delay"/>
  </r>
  <r>
    <n v="1242"/>
    <d v="2025-03-07T00:00:00"/>
    <x v="3"/>
    <x v="5"/>
    <s v="MNL"/>
    <s v="Premium Economy"/>
    <n v="300"/>
    <n v="598.79999999999995"/>
    <n v="17"/>
    <s v="On Time"/>
    <n v="179640"/>
    <s v="Mar"/>
    <n v="2025"/>
    <n v="179640"/>
    <s v="Minor Delay"/>
  </r>
  <r>
    <n v="1243"/>
    <d v="2025-08-12T00:00:00"/>
    <x v="0"/>
    <x v="3"/>
    <s v="CJU"/>
    <s v="Economy"/>
    <n v="231"/>
    <n v="652.87"/>
    <n v="0"/>
    <s v="On Time"/>
    <n v="150812.97"/>
    <s v="Aug"/>
    <n v="2025"/>
    <n v="150812.97"/>
    <s v="On Time"/>
  </r>
  <r>
    <n v="1244"/>
    <d v="2025-06-15T00:00:00"/>
    <x v="0"/>
    <x v="4"/>
    <s v="CJU"/>
    <s v="Economy"/>
    <n v="73"/>
    <n v="78.97"/>
    <n v="19"/>
    <s v="On Time"/>
    <n v="5764.81"/>
    <s v="Jun"/>
    <n v="2025"/>
    <n v="5764.8099999999995"/>
    <s v="Minor Delay"/>
  </r>
  <r>
    <n v="1245"/>
    <d v="2025-11-13T00:00:00"/>
    <x v="3"/>
    <x v="7"/>
    <s v="ICN"/>
    <s v="Business"/>
    <n v="285"/>
    <n v="779.58"/>
    <n v="14"/>
    <s v="On Time"/>
    <n v="222180.3"/>
    <s v="Nov"/>
    <n v="2025"/>
    <n v="222180.30000000002"/>
    <s v="Minor Delay"/>
  </r>
  <r>
    <n v="1246"/>
    <d v="2025-04-06T00:00:00"/>
    <x v="0"/>
    <x v="8"/>
    <s v="KIX"/>
    <s v="Business"/>
    <n v="279"/>
    <n v="224.1"/>
    <n v="17"/>
    <s v="On Time"/>
    <n v="62523.9"/>
    <s v="Apr"/>
    <n v="2025"/>
    <n v="62523.9"/>
    <s v="Minor Delay"/>
  </r>
  <r>
    <n v="1247"/>
    <d v="2025-05-14T00:00:00"/>
    <x v="3"/>
    <x v="2"/>
    <s v="MNL"/>
    <s v="Economy"/>
    <n v="120"/>
    <n v="121.39"/>
    <n v="23"/>
    <s v="Cancelled"/>
    <n v="14566.8"/>
    <s v="May"/>
    <n v="2025"/>
    <n v="14566.8"/>
    <s v="Minor Delay"/>
  </r>
  <r>
    <n v="1248"/>
    <d v="2025-08-24T00:00:00"/>
    <x v="5"/>
    <x v="0"/>
    <s v="CJU"/>
    <s v="Economy"/>
    <n v="77"/>
    <n v="164.96"/>
    <n v="24"/>
    <s v="On Time"/>
    <n v="12701.92"/>
    <s v="Aug"/>
    <n v="2025"/>
    <n v="12701.92"/>
    <s v="Minor Delay"/>
  </r>
  <r>
    <n v="1249"/>
    <d v="2025-02-09T00:00:00"/>
    <x v="2"/>
    <x v="7"/>
    <s v="GMP"/>
    <s v="Premium Economy"/>
    <n v="283"/>
    <n v="680.35"/>
    <n v="0"/>
    <s v="On Time"/>
    <n v="192539.05"/>
    <s v="Feb"/>
    <n v="2025"/>
    <n v="192539.05000000002"/>
    <s v="On Time"/>
  </r>
  <r>
    <n v="1250"/>
    <d v="2025-11-17T00:00:00"/>
    <x v="1"/>
    <x v="0"/>
    <s v="SIN"/>
    <s v="Economy"/>
    <n v="225"/>
    <n v="370.73"/>
    <n v="38"/>
    <s v="Delayed"/>
    <n v="83414.25"/>
    <s v="Nov"/>
    <n v="2025"/>
    <n v="83414.25"/>
    <s v="Moderate Delay"/>
  </r>
  <r>
    <n v="1251"/>
    <d v="2025-04-03T00:00:00"/>
    <x v="4"/>
    <x v="8"/>
    <s v="CJU"/>
    <s v="Economy"/>
    <n v="281"/>
    <n v="192.22"/>
    <n v="0"/>
    <s v="On Time"/>
    <n v="54013.82"/>
    <s v="Apr"/>
    <n v="2025"/>
    <n v="54013.82"/>
    <s v="On Time"/>
  </r>
  <r>
    <n v="1252"/>
    <d v="2025-09-05T00:00:00"/>
    <x v="5"/>
    <x v="3"/>
    <s v="BKK"/>
    <s v="Business"/>
    <n v="189"/>
    <n v="63.71"/>
    <n v="5"/>
    <s v="On Time"/>
    <n v="12041.19"/>
    <s v="Sep"/>
    <n v="2025"/>
    <n v="12041.19"/>
    <s v="Minor Delay"/>
  </r>
  <r>
    <n v="1253"/>
    <d v="2025-04-09T00:00:00"/>
    <x v="5"/>
    <x v="4"/>
    <s v="GMP"/>
    <s v="Economy"/>
    <n v="187"/>
    <n v="77.05"/>
    <n v="5"/>
    <s v="Delayed"/>
    <n v="14408.35"/>
    <s v="Apr"/>
    <n v="2025"/>
    <n v="14408.35"/>
    <s v="Minor Delay"/>
  </r>
  <r>
    <n v="1254"/>
    <d v="2025-01-16T00:00:00"/>
    <x v="4"/>
    <x v="0"/>
    <s v="NRT"/>
    <s v="Economy"/>
    <n v="106"/>
    <n v="121.75"/>
    <n v="18"/>
    <s v="On Time"/>
    <n v="12905.5"/>
    <s v="Jan"/>
    <n v="2025"/>
    <n v="12905.5"/>
    <s v="Minor Delay"/>
  </r>
  <r>
    <n v="1255"/>
    <d v="2025-05-21T00:00:00"/>
    <x v="2"/>
    <x v="7"/>
    <s v="KIX"/>
    <s v="Economy"/>
    <n v="294"/>
    <n v="128.06"/>
    <n v="10"/>
    <s v="On Time"/>
    <n v="37649.64"/>
    <s v="May"/>
    <n v="2025"/>
    <n v="37649.64"/>
    <s v="Minor Delay"/>
  </r>
  <r>
    <n v="1256"/>
    <d v="2025-09-20T00:00:00"/>
    <x v="2"/>
    <x v="8"/>
    <s v="BKK"/>
    <s v="Economy"/>
    <n v="114"/>
    <n v="187.99"/>
    <n v="0"/>
    <s v="On Time"/>
    <n v="21430.86"/>
    <s v="Sep"/>
    <n v="2025"/>
    <n v="21430.86"/>
    <s v="On Time"/>
  </r>
  <r>
    <n v="1257"/>
    <d v="2025-02-22T00:00:00"/>
    <x v="5"/>
    <x v="4"/>
    <s v="MNL"/>
    <s v="Business"/>
    <n v="129"/>
    <n v="182.58"/>
    <n v="30"/>
    <s v="On Time"/>
    <n v="23552.82"/>
    <s v="Feb"/>
    <n v="2025"/>
    <n v="23552.820000000003"/>
    <s v="Minor Delay"/>
  </r>
  <r>
    <n v="1258"/>
    <d v="2025-11-02T00:00:00"/>
    <x v="3"/>
    <x v="8"/>
    <s v="BKK"/>
    <s v="Premium Economy"/>
    <n v="258"/>
    <n v="295.87"/>
    <n v="58"/>
    <s v="On Time"/>
    <n v="76334.460000000006"/>
    <s v="Nov"/>
    <n v="2025"/>
    <n v="76334.460000000006"/>
    <s v="Moderate Delay"/>
  </r>
  <r>
    <n v="1259"/>
    <d v="2025-04-13T00:00:00"/>
    <x v="5"/>
    <x v="1"/>
    <s v="MNL"/>
    <s v="Premium Economy"/>
    <n v="145"/>
    <n v="724.44"/>
    <n v="31"/>
    <s v="Delayed"/>
    <n v="105043.8"/>
    <s v="Apr"/>
    <n v="2025"/>
    <n v="105043.8"/>
    <s v="Moderate Delay"/>
  </r>
  <r>
    <n v="1260"/>
    <d v="2025-10-28T00:00:00"/>
    <x v="2"/>
    <x v="6"/>
    <s v="NRT"/>
    <s v="Premium Economy"/>
    <n v="204"/>
    <n v="671.75"/>
    <n v="0"/>
    <s v="On Time"/>
    <n v="137037"/>
    <s v="Oct"/>
    <n v="2025"/>
    <n v="137037"/>
    <s v="On Time"/>
  </r>
  <r>
    <n v="1261"/>
    <d v="2025-07-23T00:00:00"/>
    <x v="1"/>
    <x v="6"/>
    <s v="KIX"/>
    <s v="Economy"/>
    <n v="96"/>
    <n v="658.69"/>
    <n v="5"/>
    <s v="On Time"/>
    <n v="63234.239999999998"/>
    <s v="Jul"/>
    <n v="2025"/>
    <n v="63234.240000000005"/>
    <s v="Minor Delay"/>
  </r>
  <r>
    <n v="1262"/>
    <d v="2025-07-10T00:00:00"/>
    <x v="0"/>
    <x v="2"/>
    <s v="BKK"/>
    <s v="Premium Economy"/>
    <n v="81"/>
    <n v="67.13"/>
    <n v="26"/>
    <s v="On Time"/>
    <n v="5437.53"/>
    <s v="Jul"/>
    <n v="2025"/>
    <n v="5437.53"/>
    <s v="Minor Delay"/>
  </r>
  <r>
    <n v="1263"/>
    <d v="2025-08-27T00:00:00"/>
    <x v="5"/>
    <x v="3"/>
    <s v="PUS"/>
    <s v="Premium Economy"/>
    <n v="280"/>
    <n v="232.16"/>
    <n v="38"/>
    <s v="On Time"/>
    <n v="65004.800000000003"/>
    <s v="Aug"/>
    <n v="2025"/>
    <n v="65004.799999999996"/>
    <s v="Moderate Delay"/>
  </r>
  <r>
    <n v="1264"/>
    <d v="2025-10-15T00:00:00"/>
    <x v="4"/>
    <x v="2"/>
    <s v="GMP"/>
    <s v="Business"/>
    <n v="205"/>
    <n v="760.24"/>
    <n v="28"/>
    <s v="Delayed"/>
    <n v="155849.20000000001"/>
    <s v="Oct"/>
    <n v="2025"/>
    <n v="155849.20000000001"/>
    <s v="Minor Delay"/>
  </r>
  <r>
    <n v="1265"/>
    <d v="2025-12-16T00:00:00"/>
    <x v="2"/>
    <x v="0"/>
    <s v="MNL"/>
    <s v="Premium Economy"/>
    <n v="258"/>
    <n v="296.89"/>
    <n v="34"/>
    <s v="On Time"/>
    <n v="76597.62"/>
    <s v="Dec"/>
    <n v="2025"/>
    <n v="76597.62"/>
    <s v="Moderate Delay"/>
  </r>
  <r>
    <n v="1266"/>
    <d v="2025-03-03T00:00:00"/>
    <x v="1"/>
    <x v="4"/>
    <s v="MNL"/>
    <s v="Premium Economy"/>
    <n v="93"/>
    <n v="505.06"/>
    <n v="62"/>
    <s v="On Time"/>
    <n v="46970.58"/>
    <s v="Mar"/>
    <n v="2025"/>
    <n v="46970.58"/>
    <s v="Major Delay"/>
  </r>
  <r>
    <n v="1267"/>
    <d v="2025-05-26T00:00:00"/>
    <x v="1"/>
    <x v="2"/>
    <s v="ICN"/>
    <s v="Business"/>
    <n v="250"/>
    <n v="693.52"/>
    <n v="74"/>
    <s v="On Time"/>
    <n v="173380"/>
    <s v="May"/>
    <n v="2025"/>
    <n v="173380"/>
    <s v="Major Delay"/>
  </r>
  <r>
    <n v="1268"/>
    <d v="2025-10-01T00:00:00"/>
    <x v="5"/>
    <x v="1"/>
    <s v="ICN"/>
    <s v="Economy"/>
    <n v="136"/>
    <n v="537.13"/>
    <n v="15"/>
    <s v="On Time"/>
    <n v="73049.679999999993"/>
    <s v="Oct"/>
    <n v="2025"/>
    <n v="73049.679999999993"/>
    <s v="Minor Delay"/>
  </r>
  <r>
    <n v="1269"/>
    <d v="2025-06-04T00:00:00"/>
    <x v="4"/>
    <x v="0"/>
    <s v="MNL"/>
    <s v="Premium Economy"/>
    <n v="242"/>
    <n v="315.91000000000003"/>
    <n v="57"/>
    <s v="On Time"/>
    <n v="76450.22"/>
    <s v="Jun"/>
    <n v="2025"/>
    <n v="76450.22"/>
    <s v="Moderate Delay"/>
  </r>
  <r>
    <n v="1270"/>
    <d v="2025-06-02T00:00:00"/>
    <x v="3"/>
    <x v="5"/>
    <s v="MNL"/>
    <s v="Premium Economy"/>
    <n v="176"/>
    <n v="688.02"/>
    <n v="40"/>
    <s v="Delayed"/>
    <n v="121091.52"/>
    <s v="Jun"/>
    <n v="2025"/>
    <n v="121091.51999999999"/>
    <s v="Moderate Delay"/>
  </r>
  <r>
    <n v="1271"/>
    <d v="2025-11-13T00:00:00"/>
    <x v="1"/>
    <x v="0"/>
    <s v="BKK"/>
    <s v="Economy"/>
    <n v="107"/>
    <n v="95.4"/>
    <n v="31"/>
    <s v="On Time"/>
    <n v="10207.799999999999"/>
    <s v="Nov"/>
    <n v="2025"/>
    <n v="10207.800000000001"/>
    <s v="Moderate Delay"/>
  </r>
  <r>
    <n v="1272"/>
    <d v="2025-03-29T00:00:00"/>
    <x v="1"/>
    <x v="1"/>
    <s v="PUS"/>
    <s v="Economy"/>
    <n v="235"/>
    <n v="727.68"/>
    <n v="20"/>
    <s v="On Time"/>
    <n v="171004.79999999999"/>
    <s v="Mar"/>
    <n v="2025"/>
    <n v="171004.79999999999"/>
    <s v="Minor Delay"/>
  </r>
  <r>
    <n v="1273"/>
    <d v="2025-12-19T00:00:00"/>
    <x v="1"/>
    <x v="6"/>
    <s v="ICN"/>
    <s v="Premium Economy"/>
    <n v="276"/>
    <n v="640.86"/>
    <n v="66"/>
    <s v="On Time"/>
    <n v="176877.36"/>
    <s v="Dec"/>
    <n v="2025"/>
    <n v="176877.36000000002"/>
    <s v="Major Delay"/>
  </r>
  <r>
    <n v="1274"/>
    <d v="2025-05-19T00:00:00"/>
    <x v="3"/>
    <x v="3"/>
    <s v="MNL"/>
    <s v="Economy"/>
    <n v="286"/>
    <n v="161.94"/>
    <n v="58"/>
    <s v="On Time"/>
    <n v="46314.84"/>
    <s v="May"/>
    <n v="2025"/>
    <n v="46314.84"/>
    <s v="Moderate Delay"/>
  </r>
  <r>
    <n v="1275"/>
    <d v="2025-03-17T00:00:00"/>
    <x v="5"/>
    <x v="7"/>
    <s v="BKK"/>
    <s v="Premium Economy"/>
    <n v="213"/>
    <n v="390.62"/>
    <n v="42"/>
    <s v="On Time"/>
    <n v="83202.06"/>
    <s v="Mar"/>
    <n v="2025"/>
    <n v="83202.06"/>
    <s v="Moderate Delay"/>
  </r>
  <r>
    <n v="1276"/>
    <d v="2025-06-14T00:00:00"/>
    <x v="3"/>
    <x v="8"/>
    <s v="NRT"/>
    <s v="Premium Economy"/>
    <n v="107"/>
    <n v="127.93"/>
    <n v="41"/>
    <s v="On Time"/>
    <n v="13688.51"/>
    <s v="Jun"/>
    <n v="2025"/>
    <n v="13688.51"/>
    <s v="Moderate Delay"/>
  </r>
  <r>
    <n v="1277"/>
    <d v="2025-10-13T00:00:00"/>
    <x v="0"/>
    <x v="0"/>
    <s v="BKK"/>
    <s v="Business"/>
    <n v="215"/>
    <n v="604.1"/>
    <n v="22"/>
    <s v="Delayed"/>
    <n v="129881.5"/>
    <s v="Oct"/>
    <n v="2025"/>
    <n v="129881.5"/>
    <s v="Minor Delay"/>
  </r>
  <r>
    <n v="1278"/>
    <d v="2025-01-07T00:00:00"/>
    <x v="3"/>
    <x v="5"/>
    <s v="NRT"/>
    <s v="Economy"/>
    <n v="169"/>
    <n v="665.7"/>
    <n v="29"/>
    <s v="On Time"/>
    <n v="112503.3"/>
    <s v="Jan"/>
    <n v="2025"/>
    <n v="112503.3"/>
    <s v="Minor Delay"/>
  </r>
  <r>
    <n v="1279"/>
    <d v="2025-04-17T00:00:00"/>
    <x v="5"/>
    <x v="0"/>
    <s v="BKK"/>
    <s v="Business"/>
    <n v="181"/>
    <n v="695.26"/>
    <n v="21"/>
    <s v="On Time"/>
    <n v="125842.06"/>
    <s v="Apr"/>
    <n v="2025"/>
    <n v="125842.06"/>
    <s v="Minor Delay"/>
  </r>
  <r>
    <n v="1280"/>
    <d v="2025-03-08T00:00:00"/>
    <x v="0"/>
    <x v="7"/>
    <s v="GMP"/>
    <s v="Premium Economy"/>
    <n v="148"/>
    <n v="781.55"/>
    <n v="0"/>
    <s v="Delayed"/>
    <n v="115669.4"/>
    <s v="Mar"/>
    <n v="2025"/>
    <n v="115669.4"/>
    <s v="On Time"/>
  </r>
  <r>
    <n v="1281"/>
    <d v="2025-07-24T00:00:00"/>
    <x v="0"/>
    <x v="6"/>
    <s v="PUS"/>
    <s v="Economy"/>
    <n v="121"/>
    <n v="373.09"/>
    <n v="0"/>
    <s v="On Time"/>
    <n v="45143.89"/>
    <s v="Jul"/>
    <n v="2025"/>
    <n v="45143.89"/>
    <s v="On Time"/>
  </r>
  <r>
    <n v="1282"/>
    <d v="2025-08-25T00:00:00"/>
    <x v="1"/>
    <x v="0"/>
    <s v="PUS"/>
    <s v="Business"/>
    <n v="78"/>
    <n v="238.02"/>
    <n v="0"/>
    <s v="Delayed"/>
    <n v="18565.560000000001"/>
    <s v="Aug"/>
    <n v="2025"/>
    <n v="18565.560000000001"/>
    <s v="On Time"/>
  </r>
  <r>
    <n v="1283"/>
    <d v="2025-01-15T00:00:00"/>
    <x v="2"/>
    <x v="7"/>
    <s v="KIX"/>
    <s v="Business"/>
    <n v="185"/>
    <n v="394.95"/>
    <n v="14"/>
    <s v="On Time"/>
    <n v="73065.75"/>
    <s v="Jan"/>
    <n v="2025"/>
    <n v="73065.75"/>
    <s v="Minor Delay"/>
  </r>
  <r>
    <n v="1284"/>
    <d v="2025-03-19T00:00:00"/>
    <x v="2"/>
    <x v="1"/>
    <s v="PUS"/>
    <s v="Business"/>
    <n v="160"/>
    <n v="435.87"/>
    <n v="76"/>
    <s v="On Time"/>
    <n v="69739.199999999997"/>
    <s v="Mar"/>
    <n v="2025"/>
    <n v="69739.199999999997"/>
    <s v="Major Delay"/>
  </r>
  <r>
    <n v="1285"/>
    <d v="2025-02-20T00:00:00"/>
    <x v="1"/>
    <x v="4"/>
    <s v="BKK"/>
    <s v="Business"/>
    <n v="147"/>
    <n v="601.67999999999995"/>
    <n v="1"/>
    <s v="On Time"/>
    <n v="88446.96"/>
    <s v="Feb"/>
    <n v="2025"/>
    <n v="88446.959999999992"/>
    <s v="Minor Delay"/>
  </r>
  <r>
    <n v="1286"/>
    <d v="2025-09-23T00:00:00"/>
    <x v="2"/>
    <x v="4"/>
    <s v="SIN"/>
    <s v="Economy"/>
    <n v="224"/>
    <n v="96.9"/>
    <n v="29"/>
    <s v="On Time"/>
    <n v="21705.599999999999"/>
    <s v="Sep"/>
    <n v="2025"/>
    <n v="21705.600000000002"/>
    <s v="Minor Delay"/>
  </r>
  <r>
    <n v="1287"/>
    <d v="2025-02-28T00:00:00"/>
    <x v="1"/>
    <x v="0"/>
    <s v="NRT"/>
    <s v="Economy"/>
    <n v="197"/>
    <n v="256.97000000000003"/>
    <n v="30"/>
    <s v="On Time"/>
    <n v="50623.09"/>
    <s v="Feb"/>
    <n v="2025"/>
    <n v="50623.090000000004"/>
    <s v="Minor Delay"/>
  </r>
  <r>
    <n v="1288"/>
    <d v="2025-07-21T00:00:00"/>
    <x v="1"/>
    <x v="1"/>
    <s v="MNL"/>
    <s v="Economy"/>
    <n v="237"/>
    <n v="669.81"/>
    <n v="24"/>
    <s v="On Time"/>
    <n v="158744.97"/>
    <s v="Jul"/>
    <n v="2025"/>
    <n v="158744.97"/>
    <s v="Minor Delay"/>
  </r>
  <r>
    <n v="1289"/>
    <d v="2025-03-29T00:00:00"/>
    <x v="0"/>
    <x v="8"/>
    <s v="PUS"/>
    <s v="Premium Economy"/>
    <n v="213"/>
    <n v="273.11"/>
    <n v="0"/>
    <s v="On Time"/>
    <n v="58172.43"/>
    <s v="Mar"/>
    <n v="2025"/>
    <n v="58172.43"/>
    <s v="On Time"/>
  </r>
  <r>
    <n v="1290"/>
    <d v="2025-06-06T00:00:00"/>
    <x v="3"/>
    <x v="6"/>
    <s v="MNL"/>
    <s v="Economy"/>
    <n v="93"/>
    <n v="293.18"/>
    <n v="0"/>
    <s v="On Time"/>
    <n v="27265.74"/>
    <s v="Jun"/>
    <n v="2025"/>
    <n v="27265.74"/>
    <s v="On Time"/>
  </r>
  <r>
    <n v="1291"/>
    <d v="2025-08-22T00:00:00"/>
    <x v="0"/>
    <x v="7"/>
    <s v="BKK"/>
    <s v="Economy"/>
    <n v="220"/>
    <n v="411.2"/>
    <n v="12"/>
    <s v="On Time"/>
    <n v="90464"/>
    <s v="Aug"/>
    <n v="2025"/>
    <n v="90464"/>
    <s v="Minor Delay"/>
  </r>
  <r>
    <n v="1292"/>
    <d v="2025-12-14T00:00:00"/>
    <x v="1"/>
    <x v="0"/>
    <s v="PUS"/>
    <s v="Business"/>
    <n v="140"/>
    <n v="777.46"/>
    <n v="33"/>
    <s v="On Time"/>
    <n v="108844.4"/>
    <s v="Dec"/>
    <n v="2025"/>
    <n v="108844.40000000001"/>
    <s v="Moderate Delay"/>
  </r>
  <r>
    <n v="1293"/>
    <d v="2025-08-30T00:00:00"/>
    <x v="1"/>
    <x v="8"/>
    <s v="PUS"/>
    <s v="Economy"/>
    <n v="259"/>
    <n v="72.87"/>
    <n v="11"/>
    <s v="On Time"/>
    <n v="18873.330000000002"/>
    <s v="Aug"/>
    <n v="2025"/>
    <n v="18873.330000000002"/>
    <s v="Minor Delay"/>
  </r>
  <r>
    <n v="1294"/>
    <d v="2025-03-17T00:00:00"/>
    <x v="1"/>
    <x v="6"/>
    <s v="CJU"/>
    <s v="Economy"/>
    <n v="127"/>
    <n v="654.88"/>
    <n v="1"/>
    <s v="On Time"/>
    <n v="83169.759999999995"/>
    <s v="Mar"/>
    <n v="2025"/>
    <n v="83169.759999999995"/>
    <s v="Minor Delay"/>
  </r>
  <r>
    <n v="1295"/>
    <d v="2025-10-07T00:00:00"/>
    <x v="4"/>
    <x v="8"/>
    <s v="KIX"/>
    <s v="Business"/>
    <n v="174"/>
    <n v="247.62"/>
    <n v="0"/>
    <s v="On Time"/>
    <n v="43085.88"/>
    <s v="Oct"/>
    <n v="2025"/>
    <n v="43085.88"/>
    <s v="On Time"/>
  </r>
  <r>
    <n v="1296"/>
    <d v="2025-02-27T00:00:00"/>
    <x v="4"/>
    <x v="3"/>
    <s v="SIN"/>
    <s v="Business"/>
    <n v="182"/>
    <n v="598.88"/>
    <n v="32"/>
    <s v="On Time"/>
    <n v="108996.16"/>
    <s v="Feb"/>
    <n v="2025"/>
    <n v="108996.16"/>
    <s v="Moderate Delay"/>
  </r>
  <r>
    <n v="1297"/>
    <d v="2025-12-04T00:00:00"/>
    <x v="0"/>
    <x v="1"/>
    <s v="PUS"/>
    <s v="Premium Economy"/>
    <n v="177"/>
    <n v="82.87"/>
    <n v="0"/>
    <s v="On Time"/>
    <n v="14667.99"/>
    <s v="Dec"/>
    <n v="2025"/>
    <n v="14667.990000000002"/>
    <s v="On Time"/>
  </r>
  <r>
    <n v="1298"/>
    <d v="2025-04-10T00:00:00"/>
    <x v="2"/>
    <x v="2"/>
    <s v="GMP"/>
    <s v="Business"/>
    <n v="77"/>
    <n v="774.44"/>
    <n v="1"/>
    <s v="Delayed"/>
    <n v="59631.88"/>
    <s v="Apr"/>
    <n v="2025"/>
    <n v="59631.880000000005"/>
    <s v="Minor Delay"/>
  </r>
  <r>
    <n v="1299"/>
    <d v="2025-09-27T00:00:00"/>
    <x v="0"/>
    <x v="6"/>
    <s v="MNL"/>
    <s v="Premium Economy"/>
    <n v="283"/>
    <n v="562.51"/>
    <n v="38"/>
    <s v="On Time"/>
    <n v="159190.32999999999"/>
    <s v="Sep"/>
    <n v="2025"/>
    <n v="159190.32999999999"/>
    <s v="Moderate Delay"/>
  </r>
  <r>
    <n v="1300"/>
    <d v="2025-04-08T00:00:00"/>
    <x v="1"/>
    <x v="4"/>
    <s v="KIX"/>
    <s v="Business"/>
    <n v="183"/>
    <n v="579.36"/>
    <n v="3"/>
    <s v="Delayed"/>
    <n v="106022.88"/>
    <s v="Apr"/>
    <n v="2025"/>
    <n v="106022.88"/>
    <s v="Minor Delay"/>
  </r>
  <r>
    <n v="1301"/>
    <d v="2025-08-21T00:00:00"/>
    <x v="5"/>
    <x v="0"/>
    <s v="MNL"/>
    <s v="Premium Economy"/>
    <n v="123"/>
    <n v="141.54"/>
    <n v="77"/>
    <s v="On Time"/>
    <n v="17409.419999999998"/>
    <s v="Aug"/>
    <n v="2025"/>
    <n v="17409.419999999998"/>
    <s v="Major Delay"/>
  </r>
  <r>
    <n v="1302"/>
    <d v="2025-11-16T00:00:00"/>
    <x v="5"/>
    <x v="7"/>
    <s v="KIX"/>
    <s v="Business"/>
    <n v="91"/>
    <n v="284.7"/>
    <n v="22"/>
    <s v="On Time"/>
    <n v="25907.7"/>
    <s v="Nov"/>
    <n v="2025"/>
    <n v="25907.7"/>
    <s v="Minor Delay"/>
  </r>
  <r>
    <n v="1303"/>
    <d v="2025-08-21T00:00:00"/>
    <x v="1"/>
    <x v="4"/>
    <s v="ICN"/>
    <s v="Economy"/>
    <n v="122"/>
    <n v="670.85"/>
    <n v="40"/>
    <s v="On Time"/>
    <n v="81843.7"/>
    <s v="Aug"/>
    <n v="2025"/>
    <n v="81843.7"/>
    <s v="Moderate Delay"/>
  </r>
  <r>
    <n v="1304"/>
    <d v="2025-01-26T00:00:00"/>
    <x v="4"/>
    <x v="3"/>
    <s v="ICN"/>
    <s v="Economy"/>
    <n v="139"/>
    <n v="710.25"/>
    <n v="40"/>
    <s v="On Time"/>
    <n v="98724.75"/>
    <s v="Jan"/>
    <n v="2025"/>
    <n v="98724.75"/>
    <s v="Moderate Delay"/>
  </r>
  <r>
    <n v="1305"/>
    <d v="2025-02-14T00:00:00"/>
    <x v="3"/>
    <x v="6"/>
    <s v="CJU"/>
    <s v="Premium Economy"/>
    <n v="86"/>
    <n v="796.98"/>
    <n v="30"/>
    <s v="On Time"/>
    <n v="68540.28"/>
    <s v="Feb"/>
    <n v="2025"/>
    <n v="68540.28"/>
    <s v="Minor Delay"/>
  </r>
  <r>
    <n v="1306"/>
    <d v="2025-08-31T00:00:00"/>
    <x v="4"/>
    <x v="2"/>
    <s v="ICN"/>
    <s v="Economy"/>
    <n v="257"/>
    <n v="562.09"/>
    <n v="51"/>
    <s v="On Time"/>
    <n v="144457.13"/>
    <s v="Aug"/>
    <n v="2025"/>
    <n v="144457.13"/>
    <s v="Moderate Delay"/>
  </r>
  <r>
    <n v="1307"/>
    <d v="2025-05-14T00:00:00"/>
    <x v="4"/>
    <x v="1"/>
    <s v="GMP"/>
    <s v="Business"/>
    <n v="129"/>
    <n v="188.24"/>
    <n v="0"/>
    <s v="Delayed"/>
    <n v="24282.959999999999"/>
    <s v="May"/>
    <n v="2025"/>
    <n v="24282.960000000003"/>
    <s v="On Time"/>
  </r>
  <r>
    <n v="1308"/>
    <d v="2025-05-09T00:00:00"/>
    <x v="0"/>
    <x v="7"/>
    <s v="NRT"/>
    <s v="Premium Economy"/>
    <n v="191"/>
    <n v="207.65"/>
    <n v="40"/>
    <s v="On Time"/>
    <n v="39661.15"/>
    <s v="May"/>
    <n v="2025"/>
    <n v="39661.15"/>
    <s v="Moderate Delay"/>
  </r>
  <r>
    <n v="1309"/>
    <d v="2025-10-07T00:00:00"/>
    <x v="0"/>
    <x v="4"/>
    <s v="SIN"/>
    <s v="Premium Economy"/>
    <n v="250"/>
    <n v="708.18"/>
    <n v="7"/>
    <s v="On Time"/>
    <n v="177045"/>
    <s v="Oct"/>
    <n v="2025"/>
    <n v="177045"/>
    <s v="Minor Delay"/>
  </r>
  <r>
    <n v="1310"/>
    <d v="2025-08-28T00:00:00"/>
    <x v="4"/>
    <x v="3"/>
    <s v="BKK"/>
    <s v="Premium Economy"/>
    <n v="169"/>
    <n v="371.17"/>
    <n v="25"/>
    <s v="On Time"/>
    <n v="62727.73"/>
    <s v="Aug"/>
    <n v="2025"/>
    <n v="62727.73"/>
    <s v="Minor Delay"/>
  </r>
  <r>
    <n v="1311"/>
    <d v="2025-08-04T00:00:00"/>
    <x v="1"/>
    <x v="5"/>
    <s v="GMP"/>
    <s v="Economy"/>
    <n v="207"/>
    <n v="731.07"/>
    <n v="27"/>
    <s v="On Time"/>
    <n v="151331.49"/>
    <s v="Aug"/>
    <n v="2025"/>
    <n v="151331.49000000002"/>
    <s v="Minor Delay"/>
  </r>
  <r>
    <n v="1312"/>
    <d v="2025-01-28T00:00:00"/>
    <x v="2"/>
    <x v="6"/>
    <s v="NRT"/>
    <s v="Economy"/>
    <n v="153"/>
    <n v="555.86"/>
    <n v="0"/>
    <s v="On Time"/>
    <n v="85046.58"/>
    <s v="Jan"/>
    <n v="2025"/>
    <n v="85046.58"/>
    <s v="On Time"/>
  </r>
  <r>
    <n v="1313"/>
    <d v="2025-01-28T00:00:00"/>
    <x v="1"/>
    <x v="6"/>
    <s v="MNL"/>
    <s v="Economy"/>
    <n v="119"/>
    <n v="674.12"/>
    <n v="6"/>
    <s v="On Time"/>
    <n v="80220.28"/>
    <s v="Jan"/>
    <n v="2025"/>
    <n v="80220.28"/>
    <s v="Minor Delay"/>
  </r>
  <r>
    <n v="1314"/>
    <d v="2025-12-20T00:00:00"/>
    <x v="4"/>
    <x v="4"/>
    <s v="SIN"/>
    <s v="Economy"/>
    <n v="81"/>
    <n v="607.95000000000005"/>
    <n v="1"/>
    <s v="On Time"/>
    <n v="49243.95"/>
    <s v="Dec"/>
    <n v="2025"/>
    <n v="49243.950000000004"/>
    <s v="Minor Delay"/>
  </r>
  <r>
    <n v="1315"/>
    <d v="2025-09-22T00:00:00"/>
    <x v="0"/>
    <x v="5"/>
    <s v="NRT"/>
    <s v="Business"/>
    <n v="239"/>
    <n v="775.79"/>
    <n v="54"/>
    <s v="On Time"/>
    <n v="185413.81"/>
    <s v="Sep"/>
    <n v="2025"/>
    <n v="185413.81"/>
    <s v="Moderate Delay"/>
  </r>
  <r>
    <n v="1316"/>
    <d v="2025-11-18T00:00:00"/>
    <x v="4"/>
    <x v="7"/>
    <s v="KIX"/>
    <s v="Business"/>
    <n v="289"/>
    <n v="64.77"/>
    <n v="60"/>
    <s v="On Time"/>
    <n v="18718.53"/>
    <s v="Nov"/>
    <n v="2025"/>
    <n v="18718.53"/>
    <s v="Moderate Delay"/>
  </r>
  <r>
    <n v="1317"/>
    <d v="2025-02-04T00:00:00"/>
    <x v="1"/>
    <x v="2"/>
    <s v="GMP"/>
    <s v="Economy"/>
    <n v="204"/>
    <n v="711.13"/>
    <n v="1"/>
    <s v="On Time"/>
    <n v="145070.51999999999"/>
    <s v="Feb"/>
    <n v="2025"/>
    <n v="145070.51999999999"/>
    <s v="Minor Delay"/>
  </r>
  <r>
    <n v="1318"/>
    <d v="2025-07-20T00:00:00"/>
    <x v="1"/>
    <x v="5"/>
    <s v="SIN"/>
    <s v="Economy"/>
    <n v="126"/>
    <n v="359.37"/>
    <n v="17"/>
    <s v="Cancelled"/>
    <n v="45280.62"/>
    <s v="Jul"/>
    <n v="2025"/>
    <n v="45280.62"/>
    <s v="Minor Delay"/>
  </r>
  <r>
    <n v="1319"/>
    <d v="2025-11-10T00:00:00"/>
    <x v="3"/>
    <x v="2"/>
    <s v="KIX"/>
    <s v="Premium Economy"/>
    <n v="269"/>
    <n v="547.04"/>
    <n v="30"/>
    <s v="On Time"/>
    <n v="147153.76"/>
    <s v="Nov"/>
    <n v="2025"/>
    <n v="147153.75999999998"/>
    <s v="Minor Delay"/>
  </r>
  <r>
    <n v="1320"/>
    <d v="2025-03-29T00:00:00"/>
    <x v="5"/>
    <x v="7"/>
    <s v="NRT"/>
    <s v="Business"/>
    <n v="229"/>
    <n v="464.54"/>
    <n v="29"/>
    <s v="On Time"/>
    <n v="106379.66"/>
    <s v="Mar"/>
    <n v="2025"/>
    <n v="106379.66"/>
    <s v="Minor Delay"/>
  </r>
  <r>
    <n v="1321"/>
    <d v="2025-12-08T00:00:00"/>
    <x v="1"/>
    <x v="4"/>
    <s v="KIX"/>
    <s v="Business"/>
    <n v="176"/>
    <n v="331.83"/>
    <n v="16"/>
    <s v="On Time"/>
    <n v="58402.080000000002"/>
    <s v="Dec"/>
    <n v="2025"/>
    <n v="58402.079999999994"/>
    <s v="Minor Delay"/>
  </r>
  <r>
    <n v="1322"/>
    <d v="2025-08-06T00:00:00"/>
    <x v="0"/>
    <x v="8"/>
    <s v="BKK"/>
    <s v="Economy"/>
    <n v="122"/>
    <n v="398.24"/>
    <n v="44"/>
    <s v="On Time"/>
    <n v="48585.279999999999"/>
    <s v="Aug"/>
    <n v="2025"/>
    <n v="48585.279999999999"/>
    <s v="Moderate Delay"/>
  </r>
  <r>
    <n v="1323"/>
    <d v="2025-01-18T00:00:00"/>
    <x v="3"/>
    <x v="5"/>
    <s v="KIX"/>
    <s v="Business"/>
    <n v="278"/>
    <n v="546.32000000000005"/>
    <n v="0"/>
    <s v="On Time"/>
    <n v="151876.96"/>
    <s v="Jan"/>
    <n v="2025"/>
    <n v="151876.96000000002"/>
    <s v="On Time"/>
  </r>
  <r>
    <n v="1324"/>
    <d v="2025-08-23T00:00:00"/>
    <x v="4"/>
    <x v="7"/>
    <s v="SIN"/>
    <s v="Economy"/>
    <n v="90"/>
    <n v="324.73"/>
    <n v="38"/>
    <s v="Delayed"/>
    <n v="29225.7"/>
    <s v="Aug"/>
    <n v="2025"/>
    <n v="29225.7"/>
    <s v="Moderate Delay"/>
  </r>
  <r>
    <n v="1325"/>
    <d v="2025-06-28T00:00:00"/>
    <x v="3"/>
    <x v="6"/>
    <s v="PUS"/>
    <s v="Business"/>
    <n v="149"/>
    <n v="439.65"/>
    <n v="26"/>
    <s v="On Time"/>
    <n v="65507.85"/>
    <s v="Jun"/>
    <n v="2025"/>
    <n v="65507.85"/>
    <s v="Minor Delay"/>
  </r>
  <r>
    <n v="1326"/>
    <d v="2025-03-13T00:00:00"/>
    <x v="4"/>
    <x v="3"/>
    <s v="SIN"/>
    <s v="Business"/>
    <n v="127"/>
    <n v="743.37"/>
    <n v="32"/>
    <s v="On Time"/>
    <n v="94407.99"/>
    <s v="Mar"/>
    <n v="2025"/>
    <n v="94407.99"/>
    <s v="Moderate Delay"/>
  </r>
  <r>
    <n v="1327"/>
    <d v="2025-08-30T00:00:00"/>
    <x v="5"/>
    <x v="8"/>
    <s v="BKK"/>
    <s v="Business"/>
    <n v="96"/>
    <n v="486.27"/>
    <n v="58"/>
    <s v="On Time"/>
    <n v="46681.919999999998"/>
    <s v="Aug"/>
    <n v="2025"/>
    <n v="46681.919999999998"/>
    <s v="Moderate Delay"/>
  </r>
  <r>
    <n v="1328"/>
    <d v="2025-10-29T00:00:00"/>
    <x v="5"/>
    <x v="7"/>
    <s v="BKK"/>
    <s v="Premium Economy"/>
    <n v="199"/>
    <n v="516.92999999999995"/>
    <n v="0"/>
    <s v="On Time"/>
    <n v="102869.07"/>
    <s v="Oct"/>
    <n v="2025"/>
    <n v="102869.06999999999"/>
    <s v="On Time"/>
  </r>
  <r>
    <n v="1329"/>
    <d v="2025-03-23T00:00:00"/>
    <x v="0"/>
    <x v="5"/>
    <s v="GMP"/>
    <s v="Economy"/>
    <n v="220"/>
    <n v="138.6"/>
    <n v="46"/>
    <s v="On Time"/>
    <n v="30492"/>
    <s v="Mar"/>
    <n v="2025"/>
    <n v="30492"/>
    <s v="Moderate Delay"/>
  </r>
  <r>
    <n v="1330"/>
    <d v="2025-03-31T00:00:00"/>
    <x v="3"/>
    <x v="2"/>
    <s v="GMP"/>
    <s v="Premium Economy"/>
    <n v="243"/>
    <n v="780.26"/>
    <n v="8"/>
    <s v="Delayed"/>
    <n v="189603.18"/>
    <s v="Mar"/>
    <n v="2025"/>
    <n v="189603.18"/>
    <s v="Minor Delay"/>
  </r>
  <r>
    <n v="1331"/>
    <d v="2025-02-28T00:00:00"/>
    <x v="1"/>
    <x v="5"/>
    <s v="KIX"/>
    <s v="Business"/>
    <n v="68"/>
    <n v="386.73"/>
    <n v="0"/>
    <s v="On Time"/>
    <n v="26297.64"/>
    <s v="Feb"/>
    <n v="2025"/>
    <n v="26297.64"/>
    <s v="On Time"/>
  </r>
  <r>
    <n v="1332"/>
    <d v="2025-02-25T00:00:00"/>
    <x v="3"/>
    <x v="7"/>
    <s v="BKK"/>
    <s v="Premium Economy"/>
    <n v="146"/>
    <n v="158.58000000000001"/>
    <n v="45"/>
    <s v="On Time"/>
    <n v="23152.68"/>
    <s v="Feb"/>
    <n v="2025"/>
    <n v="23152.68"/>
    <s v="Moderate Delay"/>
  </r>
  <r>
    <n v="1333"/>
    <d v="2025-04-11T00:00:00"/>
    <x v="4"/>
    <x v="6"/>
    <s v="PUS"/>
    <s v="Premium Economy"/>
    <n v="162"/>
    <n v="562.35"/>
    <n v="26"/>
    <s v="On Time"/>
    <n v="91100.7"/>
    <s v="Apr"/>
    <n v="2025"/>
    <n v="91100.7"/>
    <s v="Minor Delay"/>
  </r>
  <r>
    <n v="1334"/>
    <d v="2025-02-14T00:00:00"/>
    <x v="5"/>
    <x v="6"/>
    <s v="PUS"/>
    <s v="Economy"/>
    <n v="211"/>
    <n v="770.28"/>
    <n v="60"/>
    <s v="On Time"/>
    <n v="162529.07999999999"/>
    <s v="Feb"/>
    <n v="2025"/>
    <n v="162529.07999999999"/>
    <s v="Moderate Delay"/>
  </r>
  <r>
    <n v="1335"/>
    <d v="2025-01-03T00:00:00"/>
    <x v="4"/>
    <x v="5"/>
    <s v="PUS"/>
    <s v="Premium Economy"/>
    <n v="195"/>
    <n v="464.47"/>
    <n v="34"/>
    <s v="On Time"/>
    <n v="90571.65"/>
    <s v="Jan"/>
    <n v="2025"/>
    <n v="90571.650000000009"/>
    <s v="Moderate Delay"/>
  </r>
  <r>
    <n v="1336"/>
    <d v="2025-04-08T00:00:00"/>
    <x v="0"/>
    <x v="6"/>
    <s v="MNL"/>
    <s v="Business"/>
    <n v="261"/>
    <n v="410.56"/>
    <n v="26"/>
    <s v="On Time"/>
    <n v="107156.16"/>
    <s v="Apr"/>
    <n v="2025"/>
    <n v="107156.16"/>
    <s v="Minor Delay"/>
  </r>
  <r>
    <n v="1337"/>
    <d v="2025-02-04T00:00:00"/>
    <x v="2"/>
    <x v="6"/>
    <s v="CJU"/>
    <s v="Premium Economy"/>
    <n v="210"/>
    <n v="338.33"/>
    <n v="29"/>
    <s v="On Time"/>
    <n v="71049.3"/>
    <s v="Feb"/>
    <n v="2025"/>
    <n v="71049.3"/>
    <s v="Minor Delay"/>
  </r>
  <r>
    <n v="1338"/>
    <d v="2025-03-02T00:00:00"/>
    <x v="2"/>
    <x v="4"/>
    <s v="GMP"/>
    <s v="Economy"/>
    <n v="63"/>
    <n v="505.1"/>
    <n v="24"/>
    <s v="On Time"/>
    <n v="31821.3"/>
    <s v="Mar"/>
    <n v="2025"/>
    <n v="31821.300000000003"/>
    <s v="Minor Delay"/>
  </r>
  <r>
    <n v="1339"/>
    <d v="2025-05-09T00:00:00"/>
    <x v="2"/>
    <x v="2"/>
    <s v="KIX"/>
    <s v="Business"/>
    <n v="141"/>
    <n v="110.29"/>
    <n v="65"/>
    <s v="On Time"/>
    <n v="15550.89"/>
    <s v="May"/>
    <n v="2025"/>
    <n v="15550.890000000001"/>
    <s v="Major Delay"/>
  </r>
  <r>
    <n v="1340"/>
    <d v="2025-07-24T00:00:00"/>
    <x v="5"/>
    <x v="2"/>
    <s v="KIX"/>
    <s v="Economy"/>
    <n v="189"/>
    <n v="576.16"/>
    <n v="0"/>
    <s v="On Time"/>
    <n v="108894.24"/>
    <s v="Jul"/>
    <n v="2025"/>
    <n v="108894.23999999999"/>
    <s v="On Time"/>
  </r>
  <r>
    <n v="1341"/>
    <d v="2025-12-01T00:00:00"/>
    <x v="1"/>
    <x v="8"/>
    <s v="NRT"/>
    <s v="Economy"/>
    <n v="136"/>
    <n v="371.84"/>
    <n v="36"/>
    <s v="On Time"/>
    <n v="50570.239999999998"/>
    <s v="Dec"/>
    <n v="2025"/>
    <n v="50570.239999999998"/>
    <s v="Moderate Delay"/>
  </r>
  <r>
    <n v="1342"/>
    <d v="2025-12-06T00:00:00"/>
    <x v="1"/>
    <x v="2"/>
    <s v="BKK"/>
    <s v="Economy"/>
    <n v="176"/>
    <n v="113.95"/>
    <n v="69"/>
    <s v="Delayed"/>
    <n v="20055.2"/>
    <s v="Dec"/>
    <n v="2025"/>
    <n v="20055.2"/>
    <s v="Major Delay"/>
  </r>
  <r>
    <n v="1343"/>
    <d v="2025-02-06T00:00:00"/>
    <x v="2"/>
    <x v="5"/>
    <s v="BKK"/>
    <s v="Business"/>
    <n v="239"/>
    <n v="513.20000000000005"/>
    <n v="47"/>
    <s v="Delayed"/>
    <n v="122654.8"/>
    <s v="Feb"/>
    <n v="2025"/>
    <n v="122654.80000000002"/>
    <s v="Moderate Delay"/>
  </r>
  <r>
    <n v="1344"/>
    <d v="2025-02-23T00:00:00"/>
    <x v="1"/>
    <x v="4"/>
    <s v="ICN"/>
    <s v="Premium Economy"/>
    <n v="179"/>
    <n v="226.68"/>
    <n v="35"/>
    <s v="On Time"/>
    <n v="40575.72"/>
    <s v="Feb"/>
    <n v="2025"/>
    <n v="40575.72"/>
    <s v="Moderate Delay"/>
  </r>
  <r>
    <n v="1345"/>
    <d v="2025-04-27T00:00:00"/>
    <x v="1"/>
    <x v="8"/>
    <s v="NRT"/>
    <s v="Economy"/>
    <n v="56"/>
    <n v="632.47"/>
    <n v="31"/>
    <s v="Delayed"/>
    <n v="35418.32"/>
    <s v="Apr"/>
    <n v="2025"/>
    <n v="35418.32"/>
    <s v="Moderate Delay"/>
  </r>
  <r>
    <n v="1346"/>
    <d v="2025-01-27T00:00:00"/>
    <x v="2"/>
    <x v="5"/>
    <s v="SIN"/>
    <s v="Premium Economy"/>
    <n v="228"/>
    <n v="152.68"/>
    <n v="0"/>
    <s v="On Time"/>
    <n v="34811.040000000001"/>
    <s v="Jan"/>
    <n v="2025"/>
    <n v="34811.040000000001"/>
    <s v="On Time"/>
  </r>
  <r>
    <n v="1347"/>
    <d v="2025-03-01T00:00:00"/>
    <x v="2"/>
    <x v="6"/>
    <s v="CJU"/>
    <s v="Economy"/>
    <n v="279"/>
    <n v="515.58000000000004"/>
    <n v="39"/>
    <s v="On Time"/>
    <n v="143846.82"/>
    <s v="Mar"/>
    <n v="2025"/>
    <n v="143846.82"/>
    <s v="Moderate Delay"/>
  </r>
  <r>
    <n v="1348"/>
    <d v="2025-04-29T00:00:00"/>
    <x v="1"/>
    <x v="5"/>
    <s v="NRT"/>
    <s v="Business"/>
    <n v="52"/>
    <n v="228.07"/>
    <n v="6"/>
    <s v="On Time"/>
    <n v="11859.64"/>
    <s v="Apr"/>
    <n v="2025"/>
    <n v="11859.64"/>
    <s v="Minor Delay"/>
  </r>
  <r>
    <n v="1349"/>
    <d v="2025-01-08T00:00:00"/>
    <x v="3"/>
    <x v="6"/>
    <s v="ICN"/>
    <s v="Economy"/>
    <n v="258"/>
    <n v="102.09"/>
    <n v="45"/>
    <s v="On Time"/>
    <n v="26339.22"/>
    <s v="Jan"/>
    <n v="2025"/>
    <n v="26339.22"/>
    <s v="Moderate Delay"/>
  </r>
  <r>
    <n v="1350"/>
    <d v="2025-11-05T00:00:00"/>
    <x v="3"/>
    <x v="3"/>
    <s v="BKK"/>
    <s v="Economy"/>
    <n v="124"/>
    <n v="155.99"/>
    <n v="29"/>
    <s v="On Time"/>
    <n v="19342.759999999998"/>
    <s v="Nov"/>
    <n v="2025"/>
    <n v="19342.760000000002"/>
    <s v="Minor Delay"/>
  </r>
  <r>
    <n v="1351"/>
    <d v="2025-02-09T00:00:00"/>
    <x v="4"/>
    <x v="0"/>
    <s v="CJU"/>
    <s v="Business"/>
    <n v="102"/>
    <n v="426.25"/>
    <n v="17"/>
    <s v="Delayed"/>
    <n v="43477.5"/>
    <s v="Feb"/>
    <n v="2025"/>
    <n v="43477.5"/>
    <s v="Minor Delay"/>
  </r>
  <r>
    <n v="1352"/>
    <d v="2025-06-04T00:00:00"/>
    <x v="4"/>
    <x v="2"/>
    <s v="SIN"/>
    <s v="Business"/>
    <n v="124"/>
    <n v="703.04"/>
    <n v="0"/>
    <s v="On Time"/>
    <n v="87176.960000000006"/>
    <s v="Jun"/>
    <n v="2025"/>
    <n v="87176.959999999992"/>
    <s v="On Time"/>
  </r>
  <r>
    <n v="1353"/>
    <d v="2025-12-24T00:00:00"/>
    <x v="5"/>
    <x v="4"/>
    <s v="BKK"/>
    <s v="Business"/>
    <n v="76"/>
    <n v="99.96"/>
    <n v="51"/>
    <s v="On Time"/>
    <n v="7596.96"/>
    <s v="Dec"/>
    <n v="2025"/>
    <n v="7596.9599999999991"/>
    <s v="Moderate Delay"/>
  </r>
  <r>
    <n v="1354"/>
    <d v="2025-04-15T00:00:00"/>
    <x v="0"/>
    <x v="4"/>
    <s v="GMP"/>
    <s v="Business"/>
    <n v="109"/>
    <n v="285.66000000000003"/>
    <n v="0"/>
    <s v="On Time"/>
    <n v="31136.94"/>
    <s v="Apr"/>
    <n v="2025"/>
    <n v="31136.940000000002"/>
    <s v="On Time"/>
  </r>
  <r>
    <n v="1355"/>
    <d v="2025-03-14T00:00:00"/>
    <x v="1"/>
    <x v="0"/>
    <s v="BKK"/>
    <s v="Economy"/>
    <n v="228"/>
    <n v="385.81"/>
    <n v="25"/>
    <s v="On Time"/>
    <n v="87964.68"/>
    <s v="Mar"/>
    <n v="2025"/>
    <n v="87964.680000000008"/>
    <s v="Minor Delay"/>
  </r>
  <r>
    <n v="1356"/>
    <d v="2025-05-23T00:00:00"/>
    <x v="5"/>
    <x v="5"/>
    <s v="KIX"/>
    <s v="Premium Economy"/>
    <n v="126"/>
    <n v="672.11"/>
    <n v="0"/>
    <s v="On Time"/>
    <n v="84685.86"/>
    <s v="May"/>
    <n v="2025"/>
    <n v="84685.86"/>
    <s v="On Time"/>
  </r>
  <r>
    <n v="1357"/>
    <d v="2025-09-11T00:00:00"/>
    <x v="1"/>
    <x v="4"/>
    <s v="MNL"/>
    <s v="Premium Economy"/>
    <n v="148"/>
    <n v="388.57"/>
    <n v="23"/>
    <s v="On Time"/>
    <n v="57508.36"/>
    <s v="Sep"/>
    <n v="2025"/>
    <n v="57508.36"/>
    <s v="Minor Delay"/>
  </r>
  <r>
    <n v="1358"/>
    <d v="2025-12-05T00:00:00"/>
    <x v="4"/>
    <x v="6"/>
    <s v="ICN"/>
    <s v="Economy"/>
    <n v="188"/>
    <n v="624.62"/>
    <n v="44"/>
    <s v="Delayed"/>
    <n v="117428.56"/>
    <s v="Dec"/>
    <n v="2025"/>
    <n v="117428.56"/>
    <s v="Moderate Delay"/>
  </r>
  <r>
    <n v="1359"/>
    <d v="2025-10-30T00:00:00"/>
    <x v="0"/>
    <x v="3"/>
    <s v="NRT"/>
    <s v="Economy"/>
    <n v="137"/>
    <n v="597.08000000000004"/>
    <n v="0"/>
    <s v="On Time"/>
    <n v="81799.960000000006"/>
    <s v="Oct"/>
    <n v="2025"/>
    <n v="81799.960000000006"/>
    <s v="On Time"/>
  </r>
  <r>
    <n v="1360"/>
    <d v="2025-10-11T00:00:00"/>
    <x v="2"/>
    <x v="5"/>
    <s v="CJU"/>
    <s v="Business"/>
    <n v="288"/>
    <n v="561.70000000000005"/>
    <n v="0"/>
    <s v="Delayed"/>
    <n v="161769.60000000001"/>
    <s v="Oct"/>
    <n v="2025"/>
    <n v="161769.60000000001"/>
    <s v="On Time"/>
  </r>
  <r>
    <n v="1361"/>
    <d v="2025-08-06T00:00:00"/>
    <x v="5"/>
    <x v="6"/>
    <s v="MNL"/>
    <s v="Business"/>
    <n v="195"/>
    <n v="629.07000000000005"/>
    <n v="15"/>
    <s v="On Time"/>
    <n v="122668.65"/>
    <s v="Aug"/>
    <n v="2025"/>
    <n v="122668.65000000001"/>
    <s v="Minor Delay"/>
  </r>
  <r>
    <n v="1362"/>
    <d v="2025-01-08T00:00:00"/>
    <x v="4"/>
    <x v="2"/>
    <s v="CJU"/>
    <s v="Business"/>
    <n v="293"/>
    <n v="263.05"/>
    <n v="83"/>
    <s v="Cancelled"/>
    <n v="77073.649999999994"/>
    <s v="Jan"/>
    <n v="2025"/>
    <n v="77073.650000000009"/>
    <s v="Major Delay"/>
  </r>
  <r>
    <n v="1363"/>
    <d v="2025-06-22T00:00:00"/>
    <x v="5"/>
    <x v="6"/>
    <s v="NRT"/>
    <s v="Premium Economy"/>
    <n v="59"/>
    <n v="515.5"/>
    <n v="0"/>
    <s v="On Time"/>
    <n v="30414.5"/>
    <s v="Jun"/>
    <n v="2025"/>
    <n v="30414.5"/>
    <s v="On Time"/>
  </r>
  <r>
    <n v="1364"/>
    <d v="2025-06-07T00:00:00"/>
    <x v="5"/>
    <x v="5"/>
    <s v="CJU"/>
    <s v="Business"/>
    <n v="132"/>
    <n v="678.64"/>
    <n v="48"/>
    <s v="Delayed"/>
    <n v="89580.479999999996"/>
    <s v="Jun"/>
    <n v="2025"/>
    <n v="89580.479999999996"/>
    <s v="Moderate Delay"/>
  </r>
  <r>
    <n v="1365"/>
    <d v="2025-01-09T00:00:00"/>
    <x v="2"/>
    <x v="8"/>
    <s v="SIN"/>
    <s v="Economy"/>
    <n v="169"/>
    <n v="87.38"/>
    <n v="0"/>
    <s v="On Time"/>
    <n v="14767.22"/>
    <s v="Jan"/>
    <n v="2025"/>
    <n v="14767.22"/>
    <s v="On Time"/>
  </r>
  <r>
    <n v="1366"/>
    <d v="2025-10-24T00:00:00"/>
    <x v="1"/>
    <x v="1"/>
    <s v="ICN"/>
    <s v="Premium Economy"/>
    <n v="279"/>
    <n v="511.64"/>
    <n v="47"/>
    <s v="On Time"/>
    <n v="142747.56"/>
    <s v="Oct"/>
    <n v="2025"/>
    <n v="142747.56"/>
    <s v="Moderate Delay"/>
  </r>
  <r>
    <n v="1367"/>
    <d v="2025-04-03T00:00:00"/>
    <x v="4"/>
    <x v="0"/>
    <s v="SIN"/>
    <s v="Premium Economy"/>
    <n v="116"/>
    <n v="703.1"/>
    <n v="44"/>
    <s v="On Time"/>
    <n v="81559.600000000006"/>
    <s v="Apr"/>
    <n v="2025"/>
    <n v="81559.600000000006"/>
    <s v="Moderate Delay"/>
  </r>
  <r>
    <n v="1368"/>
    <d v="2025-02-28T00:00:00"/>
    <x v="3"/>
    <x v="5"/>
    <s v="NRT"/>
    <s v="Economy"/>
    <n v="97"/>
    <n v="566.49"/>
    <n v="45"/>
    <s v="Delayed"/>
    <n v="54949.53"/>
    <s v="Feb"/>
    <n v="2025"/>
    <n v="54949.53"/>
    <s v="Moderate Delay"/>
  </r>
  <r>
    <n v="1369"/>
    <d v="2025-10-11T00:00:00"/>
    <x v="3"/>
    <x v="3"/>
    <s v="ICN"/>
    <s v="Economy"/>
    <n v="65"/>
    <n v="764.26"/>
    <n v="87"/>
    <s v="On Time"/>
    <n v="49676.9"/>
    <s v="Oct"/>
    <n v="2025"/>
    <n v="49676.9"/>
    <s v="Major Delay"/>
  </r>
  <r>
    <n v="1370"/>
    <d v="2025-11-04T00:00:00"/>
    <x v="0"/>
    <x v="3"/>
    <s v="ICN"/>
    <s v="Premium Economy"/>
    <n v="77"/>
    <n v="117.33"/>
    <n v="16"/>
    <s v="On Time"/>
    <n v="9034.41"/>
    <s v="Nov"/>
    <n v="2025"/>
    <n v="9034.41"/>
    <s v="Minor Delay"/>
  </r>
  <r>
    <n v="1371"/>
    <d v="2025-05-02T00:00:00"/>
    <x v="0"/>
    <x v="6"/>
    <s v="GMP"/>
    <s v="Premium Economy"/>
    <n v="196"/>
    <n v="334.81"/>
    <n v="31"/>
    <s v="On Time"/>
    <n v="65622.759999999995"/>
    <s v="May"/>
    <n v="2025"/>
    <n v="65622.759999999995"/>
    <s v="Moderate Delay"/>
  </r>
  <r>
    <n v="1372"/>
    <d v="2025-01-13T00:00:00"/>
    <x v="4"/>
    <x v="4"/>
    <s v="CJU"/>
    <s v="Business"/>
    <n v="251"/>
    <n v="326.61"/>
    <n v="0"/>
    <s v="Delayed"/>
    <n v="81979.11"/>
    <s v="Jan"/>
    <n v="2025"/>
    <n v="81979.11"/>
    <s v="On Time"/>
  </r>
  <r>
    <n v="1373"/>
    <d v="2025-05-31T00:00:00"/>
    <x v="5"/>
    <x v="3"/>
    <s v="SIN"/>
    <s v="Economy"/>
    <n v="91"/>
    <n v="332.54"/>
    <n v="16"/>
    <s v="On Time"/>
    <n v="30261.14"/>
    <s v="May"/>
    <n v="2025"/>
    <n v="30261.140000000003"/>
    <s v="Minor Delay"/>
  </r>
  <r>
    <n v="1374"/>
    <d v="2025-06-10T00:00:00"/>
    <x v="5"/>
    <x v="0"/>
    <s v="NRT"/>
    <s v="Business"/>
    <n v="249"/>
    <n v="609.11"/>
    <n v="33"/>
    <s v="On Time"/>
    <n v="151668.39000000001"/>
    <s v="Jun"/>
    <n v="2025"/>
    <n v="151668.39000000001"/>
    <s v="Moderate Delay"/>
  </r>
  <r>
    <n v="1375"/>
    <d v="2025-07-13T00:00:00"/>
    <x v="5"/>
    <x v="3"/>
    <s v="PUS"/>
    <s v="Economy"/>
    <n v="218"/>
    <n v="597.42999999999995"/>
    <n v="0"/>
    <s v="On Time"/>
    <n v="130239.74"/>
    <s v="Jul"/>
    <n v="2025"/>
    <n v="130239.73999999999"/>
    <s v="On Time"/>
  </r>
  <r>
    <n v="1376"/>
    <d v="2025-10-17T00:00:00"/>
    <x v="5"/>
    <x v="0"/>
    <s v="NRT"/>
    <s v="Business"/>
    <n v="211"/>
    <n v="465.69"/>
    <n v="79"/>
    <s v="On Time"/>
    <n v="98260.59"/>
    <s v="Oct"/>
    <n v="2025"/>
    <n v="98260.59"/>
    <s v="Major Delay"/>
  </r>
  <r>
    <n v="1377"/>
    <d v="2025-11-07T00:00:00"/>
    <x v="2"/>
    <x v="0"/>
    <s v="ICN"/>
    <s v="Business"/>
    <n v="184"/>
    <n v="445.05"/>
    <n v="13"/>
    <s v="On Time"/>
    <n v="81889.2"/>
    <s v="Nov"/>
    <n v="2025"/>
    <n v="81889.2"/>
    <s v="Minor Delay"/>
  </r>
  <r>
    <n v="1378"/>
    <d v="2025-05-05T00:00:00"/>
    <x v="4"/>
    <x v="2"/>
    <s v="BKK"/>
    <s v="Economy"/>
    <n v="166"/>
    <n v="292.95999999999998"/>
    <n v="35"/>
    <s v="Delayed"/>
    <n v="48631.360000000001"/>
    <s v="May"/>
    <n v="2025"/>
    <n v="48631.359999999993"/>
    <s v="Moderate Delay"/>
  </r>
  <r>
    <n v="1379"/>
    <d v="2025-07-29T00:00:00"/>
    <x v="4"/>
    <x v="2"/>
    <s v="SIN"/>
    <s v="Economy"/>
    <n v="140"/>
    <n v="474.74"/>
    <n v="41"/>
    <s v="On Time"/>
    <n v="66463.600000000006"/>
    <s v="Jul"/>
    <n v="2025"/>
    <n v="66463.600000000006"/>
    <s v="Moderate Delay"/>
  </r>
  <r>
    <n v="1380"/>
    <d v="2025-08-03T00:00:00"/>
    <x v="0"/>
    <x v="2"/>
    <s v="SIN"/>
    <s v="Business"/>
    <n v="261"/>
    <n v="671.82"/>
    <n v="30"/>
    <s v="On Time"/>
    <n v="175345.02"/>
    <s v="Aug"/>
    <n v="2025"/>
    <n v="175345.02000000002"/>
    <s v="Minor Delay"/>
  </r>
  <r>
    <n v="1381"/>
    <d v="2025-07-28T00:00:00"/>
    <x v="3"/>
    <x v="6"/>
    <s v="PUS"/>
    <s v="Business"/>
    <n v="220"/>
    <n v="162.22"/>
    <n v="18"/>
    <s v="On Time"/>
    <n v="35688.400000000001"/>
    <s v="Jul"/>
    <n v="2025"/>
    <n v="35688.400000000001"/>
    <s v="Minor Delay"/>
  </r>
  <r>
    <n v="1382"/>
    <d v="2025-08-04T00:00:00"/>
    <x v="5"/>
    <x v="0"/>
    <s v="MNL"/>
    <s v="Economy"/>
    <n v="197"/>
    <n v="425.71"/>
    <n v="40"/>
    <s v="Delayed"/>
    <n v="83864.87"/>
    <s v="Aug"/>
    <n v="2025"/>
    <n v="83864.87"/>
    <s v="Moderate Delay"/>
  </r>
  <r>
    <n v="1383"/>
    <d v="2025-08-21T00:00:00"/>
    <x v="1"/>
    <x v="2"/>
    <s v="CJU"/>
    <s v="Economy"/>
    <n v="80"/>
    <n v="369.78"/>
    <n v="23"/>
    <s v="On Time"/>
    <n v="29582.400000000001"/>
    <s v="Aug"/>
    <n v="2025"/>
    <n v="29582.399999999998"/>
    <s v="Minor Delay"/>
  </r>
  <r>
    <n v="1384"/>
    <d v="2025-01-18T00:00:00"/>
    <x v="2"/>
    <x v="0"/>
    <s v="PUS"/>
    <s v="Economy"/>
    <n v="226"/>
    <n v="183.53"/>
    <n v="0"/>
    <s v="On Time"/>
    <n v="41477.78"/>
    <s v="Jan"/>
    <n v="2025"/>
    <n v="41477.78"/>
    <s v="On Time"/>
  </r>
  <r>
    <n v="1385"/>
    <d v="2025-08-05T00:00:00"/>
    <x v="4"/>
    <x v="6"/>
    <s v="BKK"/>
    <s v="Economy"/>
    <n v="152"/>
    <n v="575.73"/>
    <n v="21"/>
    <s v="On Time"/>
    <n v="87510.96"/>
    <s v="Aug"/>
    <n v="2025"/>
    <n v="87510.96"/>
    <s v="Minor Delay"/>
  </r>
  <r>
    <n v="1386"/>
    <d v="2025-01-24T00:00:00"/>
    <x v="1"/>
    <x v="3"/>
    <s v="GMP"/>
    <s v="Business"/>
    <n v="285"/>
    <n v="322.67"/>
    <n v="40"/>
    <s v="On Time"/>
    <n v="91960.95"/>
    <s v="Jan"/>
    <n v="2025"/>
    <n v="91960.950000000012"/>
    <s v="Moderate Delay"/>
  </r>
  <r>
    <n v="1387"/>
    <d v="2025-08-12T00:00:00"/>
    <x v="4"/>
    <x v="1"/>
    <s v="SIN"/>
    <s v="Premium Economy"/>
    <n v="229"/>
    <n v="159.61000000000001"/>
    <n v="37"/>
    <s v="Delayed"/>
    <n v="36550.69"/>
    <s v="Aug"/>
    <n v="2025"/>
    <n v="36550.69"/>
    <s v="Moderate Delay"/>
  </r>
  <r>
    <n v="1388"/>
    <d v="2025-03-19T00:00:00"/>
    <x v="1"/>
    <x v="6"/>
    <s v="GMP"/>
    <s v="Business"/>
    <n v="201"/>
    <n v="333.71"/>
    <n v="58"/>
    <s v="On Time"/>
    <n v="67075.710000000006"/>
    <s v="Mar"/>
    <n v="2025"/>
    <n v="67075.709999999992"/>
    <s v="Moderate Delay"/>
  </r>
  <r>
    <n v="1389"/>
    <d v="2025-08-13T00:00:00"/>
    <x v="0"/>
    <x v="1"/>
    <s v="KIX"/>
    <s v="Business"/>
    <n v="234"/>
    <n v="495.18"/>
    <n v="30"/>
    <s v="On Time"/>
    <n v="115872.12"/>
    <s v="Aug"/>
    <n v="2025"/>
    <n v="115872.12"/>
    <s v="Minor Delay"/>
  </r>
  <r>
    <n v="1390"/>
    <d v="2025-10-16T00:00:00"/>
    <x v="5"/>
    <x v="3"/>
    <s v="ICN"/>
    <s v="Business"/>
    <n v="198"/>
    <n v="436.09"/>
    <n v="16"/>
    <s v="Delayed"/>
    <n v="86345.82"/>
    <s v="Oct"/>
    <n v="2025"/>
    <n v="86345.819999999992"/>
    <s v="Minor Delay"/>
  </r>
  <r>
    <n v="1391"/>
    <d v="2025-07-16T00:00:00"/>
    <x v="4"/>
    <x v="4"/>
    <s v="BKK"/>
    <s v="Economy"/>
    <n v="294"/>
    <n v="165.97"/>
    <n v="35"/>
    <s v="Cancelled"/>
    <n v="48795.18"/>
    <s v="Jul"/>
    <n v="2025"/>
    <n v="48795.18"/>
    <s v="Moderate Delay"/>
  </r>
  <r>
    <n v="1392"/>
    <d v="2025-09-23T00:00:00"/>
    <x v="4"/>
    <x v="2"/>
    <s v="MNL"/>
    <s v="Business"/>
    <n v="275"/>
    <n v="515.45000000000005"/>
    <n v="0"/>
    <s v="On Time"/>
    <n v="141748.75"/>
    <s v="Sep"/>
    <n v="2025"/>
    <n v="141748.75"/>
    <s v="On Time"/>
  </r>
  <r>
    <n v="1393"/>
    <d v="2025-03-02T00:00:00"/>
    <x v="4"/>
    <x v="4"/>
    <s v="CJU"/>
    <s v="Premium Economy"/>
    <n v="174"/>
    <n v="384.8"/>
    <n v="35"/>
    <s v="Delayed"/>
    <n v="66955.199999999997"/>
    <s v="Mar"/>
    <n v="2025"/>
    <n v="66955.199999999997"/>
    <s v="Moderate Delay"/>
  </r>
  <r>
    <n v="1394"/>
    <d v="2025-12-08T00:00:00"/>
    <x v="4"/>
    <x v="0"/>
    <s v="NRT"/>
    <s v="Economy"/>
    <n v="74"/>
    <n v="213.06"/>
    <n v="6"/>
    <s v="Delayed"/>
    <n v="15766.44"/>
    <s v="Dec"/>
    <n v="2025"/>
    <n v="15766.44"/>
    <s v="Minor Delay"/>
  </r>
  <r>
    <n v="1395"/>
    <d v="2025-11-03T00:00:00"/>
    <x v="1"/>
    <x v="7"/>
    <s v="ICN"/>
    <s v="Business"/>
    <n v="187"/>
    <n v="651.25"/>
    <n v="67"/>
    <s v="On Time"/>
    <n v="121783.75"/>
    <s v="Nov"/>
    <n v="2025"/>
    <n v="121783.75"/>
    <s v="Major Delay"/>
  </r>
  <r>
    <n v="1396"/>
    <d v="2025-10-20T00:00:00"/>
    <x v="2"/>
    <x v="2"/>
    <s v="KIX"/>
    <s v="Business"/>
    <n v="163"/>
    <n v="445.46"/>
    <n v="21"/>
    <s v="Delayed"/>
    <n v="72609.98"/>
    <s v="Oct"/>
    <n v="2025"/>
    <n v="72609.98"/>
    <s v="Minor Delay"/>
  </r>
  <r>
    <n v="1397"/>
    <d v="2025-12-28T00:00:00"/>
    <x v="1"/>
    <x v="4"/>
    <s v="GMP"/>
    <s v="Premium Economy"/>
    <n v="277"/>
    <n v="379.88"/>
    <n v="15"/>
    <s v="Cancelled"/>
    <n v="105226.76"/>
    <s v="Dec"/>
    <n v="2025"/>
    <n v="105226.76"/>
    <s v="Minor Delay"/>
  </r>
  <r>
    <n v="1398"/>
    <d v="2025-02-10T00:00:00"/>
    <x v="3"/>
    <x v="0"/>
    <s v="BKK"/>
    <s v="Economy"/>
    <n v="236"/>
    <n v="115.02"/>
    <n v="69"/>
    <s v="On Time"/>
    <n v="27144.720000000001"/>
    <s v="Feb"/>
    <n v="2025"/>
    <n v="27144.719999999998"/>
    <s v="Major Delay"/>
  </r>
  <r>
    <n v="1399"/>
    <d v="2025-08-21T00:00:00"/>
    <x v="3"/>
    <x v="3"/>
    <s v="NRT"/>
    <s v="Business"/>
    <n v="181"/>
    <n v="557.34"/>
    <n v="54"/>
    <s v="Delayed"/>
    <n v="100878.54"/>
    <s v="Aug"/>
    <n v="2025"/>
    <n v="100878.54000000001"/>
    <s v="Moderate Delay"/>
  </r>
  <r>
    <n v="1400"/>
    <d v="2025-02-21T00:00:00"/>
    <x v="3"/>
    <x v="5"/>
    <s v="MNL"/>
    <s v="Business"/>
    <n v="131"/>
    <n v="200.9"/>
    <n v="37"/>
    <s v="On Time"/>
    <n v="26317.9"/>
    <s v="Feb"/>
    <n v="2025"/>
    <n v="26317.9"/>
    <s v="Moderate Delay"/>
  </r>
  <r>
    <n v="1401"/>
    <d v="2025-05-06T00:00:00"/>
    <x v="0"/>
    <x v="5"/>
    <s v="GMP"/>
    <s v="Business"/>
    <n v="146"/>
    <n v="705.36"/>
    <n v="23"/>
    <s v="On Time"/>
    <n v="102982.56"/>
    <s v="May"/>
    <n v="2025"/>
    <n v="102982.56"/>
    <s v="Minor Delay"/>
  </r>
  <r>
    <n v="1402"/>
    <d v="2025-09-12T00:00:00"/>
    <x v="4"/>
    <x v="8"/>
    <s v="CJU"/>
    <s v="Economy"/>
    <n v="100"/>
    <n v="529.73"/>
    <n v="36"/>
    <s v="On Time"/>
    <n v="52973"/>
    <s v="Sep"/>
    <n v="2025"/>
    <n v="52973"/>
    <s v="Moderate Delay"/>
  </r>
  <r>
    <n v="1403"/>
    <d v="2025-01-02T00:00:00"/>
    <x v="2"/>
    <x v="6"/>
    <s v="PUS"/>
    <s v="Economy"/>
    <n v="175"/>
    <n v="472.73"/>
    <n v="24"/>
    <s v="On Time"/>
    <n v="82727.75"/>
    <s v="Jan"/>
    <n v="2025"/>
    <n v="82727.75"/>
    <s v="Minor Delay"/>
  </r>
  <r>
    <n v="1404"/>
    <d v="2025-11-20T00:00:00"/>
    <x v="5"/>
    <x v="4"/>
    <s v="MNL"/>
    <s v="Economy"/>
    <n v="213"/>
    <n v="318.04000000000002"/>
    <n v="35"/>
    <s v="On Time"/>
    <n v="67742.52"/>
    <s v="Nov"/>
    <n v="2025"/>
    <n v="67742.52"/>
    <s v="Moderate Delay"/>
  </r>
  <r>
    <n v="1405"/>
    <d v="2025-04-29T00:00:00"/>
    <x v="4"/>
    <x v="7"/>
    <s v="KIX"/>
    <s v="Business"/>
    <n v="174"/>
    <n v="422.76"/>
    <n v="0"/>
    <s v="On Time"/>
    <n v="73560.240000000005"/>
    <s v="Apr"/>
    <n v="2025"/>
    <n v="73560.240000000005"/>
    <s v="On Time"/>
  </r>
  <r>
    <n v="1406"/>
    <d v="2025-04-23T00:00:00"/>
    <x v="1"/>
    <x v="4"/>
    <s v="GMP"/>
    <s v="Premium Economy"/>
    <n v="157"/>
    <n v="777.33"/>
    <n v="0"/>
    <s v="On Time"/>
    <n v="122040.81"/>
    <s v="Apr"/>
    <n v="2025"/>
    <n v="122040.81000000001"/>
    <s v="On Time"/>
  </r>
  <r>
    <n v="1407"/>
    <d v="2025-04-01T00:00:00"/>
    <x v="2"/>
    <x v="1"/>
    <s v="GMP"/>
    <s v="Premium Economy"/>
    <n v="219"/>
    <n v="144.02000000000001"/>
    <n v="7"/>
    <s v="On Time"/>
    <n v="31540.38"/>
    <s v="Apr"/>
    <n v="2025"/>
    <n v="31540.38"/>
    <s v="Minor Delay"/>
  </r>
  <r>
    <n v="1408"/>
    <d v="2025-11-04T00:00:00"/>
    <x v="2"/>
    <x v="8"/>
    <s v="SIN"/>
    <s v="Business"/>
    <n v="110"/>
    <n v="81.430000000000007"/>
    <n v="0"/>
    <s v="On Time"/>
    <n v="8957.2999999999993"/>
    <s v="Nov"/>
    <n v="2025"/>
    <n v="8957.3000000000011"/>
    <s v="On Time"/>
  </r>
  <r>
    <n v="1409"/>
    <d v="2025-02-01T00:00:00"/>
    <x v="5"/>
    <x v="2"/>
    <s v="MNL"/>
    <s v="Premium Economy"/>
    <n v="116"/>
    <n v="559.49"/>
    <n v="0"/>
    <s v="On Time"/>
    <n v="64900.84"/>
    <s v="Feb"/>
    <n v="2025"/>
    <n v="64900.840000000004"/>
    <s v="On Time"/>
  </r>
  <r>
    <n v="1410"/>
    <d v="2025-05-18T00:00:00"/>
    <x v="2"/>
    <x v="4"/>
    <s v="ICN"/>
    <s v="Business"/>
    <n v="106"/>
    <n v="311.48"/>
    <n v="44"/>
    <s v="Delayed"/>
    <n v="33016.879999999997"/>
    <s v="May"/>
    <n v="2025"/>
    <n v="33016.880000000005"/>
    <s v="Moderate Delay"/>
  </r>
  <r>
    <n v="1411"/>
    <d v="2025-07-29T00:00:00"/>
    <x v="0"/>
    <x v="4"/>
    <s v="SIN"/>
    <s v="Business"/>
    <n v="274"/>
    <n v="183.24"/>
    <n v="29"/>
    <s v="Delayed"/>
    <n v="50207.76"/>
    <s v="Jul"/>
    <n v="2025"/>
    <n v="50207.76"/>
    <s v="Minor Delay"/>
  </r>
  <r>
    <n v="1412"/>
    <d v="2025-11-06T00:00:00"/>
    <x v="5"/>
    <x v="3"/>
    <s v="CJU"/>
    <s v="Economy"/>
    <n v="293"/>
    <n v="594.45000000000005"/>
    <n v="53"/>
    <s v="Delayed"/>
    <n v="174173.85"/>
    <s v="Nov"/>
    <n v="2025"/>
    <n v="174173.85"/>
    <s v="Moderate Delay"/>
  </r>
  <r>
    <n v="1413"/>
    <d v="2025-06-30T00:00:00"/>
    <x v="5"/>
    <x v="0"/>
    <s v="BKK"/>
    <s v="Economy"/>
    <n v="217"/>
    <n v="96.42"/>
    <n v="27"/>
    <s v="Cancelled"/>
    <n v="20923.14"/>
    <s v="Jun"/>
    <n v="2025"/>
    <n v="20923.14"/>
    <s v="Minor Delay"/>
  </r>
  <r>
    <n v="1414"/>
    <d v="2025-04-28T00:00:00"/>
    <x v="4"/>
    <x v="6"/>
    <s v="BKK"/>
    <s v="Economy"/>
    <n v="283"/>
    <n v="336.67"/>
    <n v="50"/>
    <s v="On Time"/>
    <n v="95277.61"/>
    <s v="Apr"/>
    <n v="2025"/>
    <n v="95277.61"/>
    <s v="Moderate Delay"/>
  </r>
  <r>
    <n v="1415"/>
    <d v="2025-01-07T00:00:00"/>
    <x v="1"/>
    <x v="6"/>
    <s v="PUS"/>
    <s v="Economy"/>
    <n v="243"/>
    <n v="755.86"/>
    <n v="40"/>
    <s v="On Time"/>
    <n v="183673.98"/>
    <s v="Jan"/>
    <n v="2025"/>
    <n v="183673.98"/>
    <s v="Moderate Delay"/>
  </r>
  <r>
    <n v="1416"/>
    <d v="2025-06-04T00:00:00"/>
    <x v="1"/>
    <x v="7"/>
    <s v="KIX"/>
    <s v="Economy"/>
    <n v="211"/>
    <n v="631.58000000000004"/>
    <n v="35"/>
    <s v="On Time"/>
    <n v="133263.38"/>
    <s v="Jun"/>
    <n v="2025"/>
    <n v="133263.38"/>
    <s v="Moderate Delay"/>
  </r>
  <r>
    <n v="1417"/>
    <d v="2025-07-13T00:00:00"/>
    <x v="3"/>
    <x v="4"/>
    <s v="GMP"/>
    <s v="Premium Economy"/>
    <n v="83"/>
    <n v="665.54"/>
    <n v="55"/>
    <s v="On Time"/>
    <n v="55239.82"/>
    <s v="Jul"/>
    <n v="2025"/>
    <n v="55239.82"/>
    <s v="Moderate Delay"/>
  </r>
  <r>
    <n v="1418"/>
    <d v="2025-01-11T00:00:00"/>
    <x v="1"/>
    <x v="6"/>
    <s v="BKK"/>
    <s v="Business"/>
    <n v="262"/>
    <n v="460.86"/>
    <n v="0"/>
    <s v="Delayed"/>
    <n v="120745.32"/>
    <s v="Jan"/>
    <n v="2025"/>
    <n v="120745.32"/>
    <s v="On Time"/>
  </r>
  <r>
    <n v="1419"/>
    <d v="2025-04-10T00:00:00"/>
    <x v="5"/>
    <x v="0"/>
    <s v="MNL"/>
    <s v="Premium Economy"/>
    <n v="250"/>
    <n v="299.56"/>
    <n v="14"/>
    <s v="On Time"/>
    <n v="74890"/>
    <s v="Apr"/>
    <n v="2025"/>
    <n v="74890"/>
    <s v="Minor Delay"/>
  </r>
  <r>
    <n v="1420"/>
    <d v="2025-05-16T00:00:00"/>
    <x v="3"/>
    <x v="2"/>
    <s v="GMP"/>
    <s v="Business"/>
    <n v="170"/>
    <n v="338.67"/>
    <n v="19"/>
    <s v="On Time"/>
    <n v="57573.9"/>
    <s v="May"/>
    <n v="2025"/>
    <n v="57573.9"/>
    <s v="Minor Delay"/>
  </r>
  <r>
    <n v="1421"/>
    <d v="2025-10-15T00:00:00"/>
    <x v="4"/>
    <x v="2"/>
    <s v="MNL"/>
    <s v="Premium Economy"/>
    <n v="122"/>
    <n v="731.67"/>
    <n v="1"/>
    <s v="On Time"/>
    <n v="89263.74"/>
    <s v="Oct"/>
    <n v="2025"/>
    <n v="89263.739999999991"/>
    <s v="Minor Delay"/>
  </r>
  <r>
    <n v="1422"/>
    <d v="2025-07-10T00:00:00"/>
    <x v="5"/>
    <x v="8"/>
    <s v="BKK"/>
    <s v="Business"/>
    <n v="77"/>
    <n v="394.68"/>
    <n v="16"/>
    <s v="On Time"/>
    <n v="30390.36"/>
    <s v="Jul"/>
    <n v="2025"/>
    <n v="30390.36"/>
    <s v="Minor Delay"/>
  </r>
  <r>
    <n v="1423"/>
    <d v="2025-04-29T00:00:00"/>
    <x v="2"/>
    <x v="5"/>
    <s v="MNL"/>
    <s v="Premium Economy"/>
    <n v="172"/>
    <n v="476.73"/>
    <n v="5"/>
    <s v="Delayed"/>
    <n v="81997.56"/>
    <s v="Apr"/>
    <n v="2025"/>
    <n v="81997.56"/>
    <s v="Minor Delay"/>
  </r>
  <r>
    <n v="1424"/>
    <d v="2025-10-15T00:00:00"/>
    <x v="0"/>
    <x v="0"/>
    <s v="CJU"/>
    <s v="Economy"/>
    <n v="271"/>
    <n v="757.15"/>
    <n v="2"/>
    <s v="On Time"/>
    <n v="205187.65"/>
    <s v="Oct"/>
    <n v="2025"/>
    <n v="205187.65"/>
    <s v="Minor Delay"/>
  </r>
  <r>
    <n v="1425"/>
    <d v="2025-07-26T00:00:00"/>
    <x v="5"/>
    <x v="0"/>
    <s v="PUS"/>
    <s v="Premium Economy"/>
    <n v="183"/>
    <n v="595.04"/>
    <n v="3"/>
    <s v="On Time"/>
    <n v="108892.32"/>
    <s v="Jul"/>
    <n v="2025"/>
    <n v="108892.31999999999"/>
    <s v="Minor Delay"/>
  </r>
  <r>
    <n v="1426"/>
    <d v="2025-06-09T00:00:00"/>
    <x v="3"/>
    <x v="4"/>
    <s v="MNL"/>
    <s v="Premium Economy"/>
    <n v="263"/>
    <n v="171.45"/>
    <n v="12"/>
    <s v="On Time"/>
    <n v="45091.35"/>
    <s v="Jun"/>
    <n v="2025"/>
    <n v="45091.35"/>
    <s v="Minor Delay"/>
  </r>
  <r>
    <n v="1427"/>
    <d v="2025-05-18T00:00:00"/>
    <x v="3"/>
    <x v="1"/>
    <s v="ICN"/>
    <s v="Economy"/>
    <n v="243"/>
    <n v="476.18"/>
    <n v="0"/>
    <s v="Delayed"/>
    <n v="115711.74"/>
    <s v="May"/>
    <n v="2025"/>
    <n v="115711.74"/>
    <s v="On Time"/>
  </r>
  <r>
    <n v="1428"/>
    <d v="2025-08-25T00:00:00"/>
    <x v="3"/>
    <x v="2"/>
    <s v="BKK"/>
    <s v="Premium Economy"/>
    <n v="181"/>
    <n v="470.56"/>
    <n v="22"/>
    <s v="On Time"/>
    <n v="85171.36"/>
    <s v="Aug"/>
    <n v="2025"/>
    <n v="85171.36"/>
    <s v="Minor Delay"/>
  </r>
  <r>
    <n v="1429"/>
    <d v="2025-08-06T00:00:00"/>
    <x v="3"/>
    <x v="0"/>
    <s v="CJU"/>
    <s v="Economy"/>
    <n v="146"/>
    <n v="154.19"/>
    <n v="50"/>
    <s v="On Time"/>
    <n v="22511.74"/>
    <s v="Aug"/>
    <n v="2025"/>
    <n v="22511.739999999998"/>
    <s v="Moderate Delay"/>
  </r>
  <r>
    <n v="1430"/>
    <d v="2025-02-28T00:00:00"/>
    <x v="1"/>
    <x v="2"/>
    <s v="SIN"/>
    <s v="Premium Economy"/>
    <n v="176"/>
    <n v="186.33"/>
    <n v="22"/>
    <s v="Delayed"/>
    <n v="32794.080000000002"/>
    <s v="Feb"/>
    <n v="2025"/>
    <n v="32794.080000000002"/>
    <s v="Minor Delay"/>
  </r>
  <r>
    <n v="1431"/>
    <d v="2025-10-08T00:00:00"/>
    <x v="2"/>
    <x v="8"/>
    <s v="CJU"/>
    <s v="Premium Economy"/>
    <n v="52"/>
    <n v="279.60000000000002"/>
    <n v="0"/>
    <s v="Delayed"/>
    <n v="14539.2"/>
    <s v="Oct"/>
    <n v="2025"/>
    <n v="14539.2"/>
    <s v="On Time"/>
  </r>
  <r>
    <n v="1432"/>
    <d v="2025-11-11T00:00:00"/>
    <x v="4"/>
    <x v="4"/>
    <s v="BKK"/>
    <s v="Business"/>
    <n v="216"/>
    <n v="182.8"/>
    <n v="28"/>
    <s v="On Time"/>
    <n v="39484.800000000003"/>
    <s v="Nov"/>
    <n v="2025"/>
    <n v="39484.800000000003"/>
    <s v="Minor Delay"/>
  </r>
  <r>
    <n v="1433"/>
    <d v="2025-09-23T00:00:00"/>
    <x v="5"/>
    <x v="2"/>
    <s v="BKK"/>
    <s v="Premium Economy"/>
    <n v="170"/>
    <n v="402.53"/>
    <n v="72"/>
    <s v="On Time"/>
    <n v="68430.100000000006"/>
    <s v="Sep"/>
    <n v="2025"/>
    <n v="68430.099999999991"/>
    <s v="Major Delay"/>
  </r>
  <r>
    <n v="1434"/>
    <d v="2025-09-26T00:00:00"/>
    <x v="3"/>
    <x v="7"/>
    <s v="PUS"/>
    <s v="Premium Economy"/>
    <n v="52"/>
    <n v="295.08999999999997"/>
    <n v="0"/>
    <s v="On Time"/>
    <n v="15344.68"/>
    <s v="Sep"/>
    <n v="2025"/>
    <n v="15344.679999999998"/>
    <s v="On Time"/>
  </r>
  <r>
    <n v="1435"/>
    <d v="2025-01-03T00:00:00"/>
    <x v="4"/>
    <x v="8"/>
    <s v="GMP"/>
    <s v="Business"/>
    <n v="98"/>
    <n v="207.46"/>
    <n v="43"/>
    <s v="On Time"/>
    <n v="20331.080000000002"/>
    <s v="Jan"/>
    <n v="2025"/>
    <n v="20331.080000000002"/>
    <s v="Moderate Delay"/>
  </r>
  <r>
    <n v="1436"/>
    <d v="2025-02-04T00:00:00"/>
    <x v="4"/>
    <x v="8"/>
    <s v="CJU"/>
    <s v="Business"/>
    <n v="193"/>
    <n v="713.67"/>
    <n v="35"/>
    <s v="On Time"/>
    <n v="137738.31"/>
    <s v="Feb"/>
    <n v="2025"/>
    <n v="137738.31"/>
    <s v="Moderate Delay"/>
  </r>
  <r>
    <n v="1437"/>
    <d v="2025-05-21T00:00:00"/>
    <x v="4"/>
    <x v="5"/>
    <s v="NRT"/>
    <s v="Premium Economy"/>
    <n v="199"/>
    <n v="599.70000000000005"/>
    <n v="0"/>
    <s v="Delayed"/>
    <n v="119340.3"/>
    <s v="May"/>
    <n v="2025"/>
    <n v="119340.3"/>
    <s v="On Time"/>
  </r>
  <r>
    <n v="1438"/>
    <d v="2025-02-09T00:00:00"/>
    <x v="5"/>
    <x v="6"/>
    <s v="PUS"/>
    <s v="Economy"/>
    <n v="76"/>
    <n v="600.69000000000005"/>
    <n v="51"/>
    <s v="On Time"/>
    <n v="45652.44"/>
    <s v="Feb"/>
    <n v="2025"/>
    <n v="45652.44"/>
    <s v="Moderate Delay"/>
  </r>
  <r>
    <n v="1439"/>
    <d v="2025-03-06T00:00:00"/>
    <x v="5"/>
    <x v="4"/>
    <s v="GMP"/>
    <s v="Business"/>
    <n v="215"/>
    <n v="626.88"/>
    <n v="0"/>
    <s v="On Time"/>
    <n v="134779.20000000001"/>
    <s v="Mar"/>
    <n v="2025"/>
    <n v="134779.20000000001"/>
    <s v="On Time"/>
  </r>
  <r>
    <n v="1440"/>
    <d v="2025-04-18T00:00:00"/>
    <x v="0"/>
    <x v="4"/>
    <s v="SIN"/>
    <s v="Economy"/>
    <n v="250"/>
    <n v="231.55"/>
    <n v="57"/>
    <s v="On Time"/>
    <n v="57887.5"/>
    <s v="Apr"/>
    <n v="2025"/>
    <n v="57887.5"/>
    <s v="Moderate Delay"/>
  </r>
  <r>
    <n v="1441"/>
    <d v="2025-03-26T00:00:00"/>
    <x v="2"/>
    <x v="7"/>
    <s v="PUS"/>
    <s v="Economy"/>
    <n v="132"/>
    <n v="117.56"/>
    <n v="33"/>
    <s v="Delayed"/>
    <n v="15517.92"/>
    <s v="Mar"/>
    <n v="2025"/>
    <n v="15517.92"/>
    <s v="Moderate Delay"/>
  </r>
  <r>
    <n v="1442"/>
    <d v="2025-06-17T00:00:00"/>
    <x v="4"/>
    <x v="1"/>
    <s v="SIN"/>
    <s v="Business"/>
    <n v="244"/>
    <n v="146.80000000000001"/>
    <n v="17"/>
    <s v="On Time"/>
    <n v="35819.199999999997"/>
    <s v="Jun"/>
    <n v="2025"/>
    <n v="35819.200000000004"/>
    <s v="Minor Delay"/>
  </r>
  <r>
    <n v="1443"/>
    <d v="2025-12-28T00:00:00"/>
    <x v="2"/>
    <x v="1"/>
    <s v="MNL"/>
    <s v="Premium Economy"/>
    <n v="129"/>
    <n v="680.6"/>
    <n v="15"/>
    <s v="On Time"/>
    <n v="87797.4"/>
    <s v="Dec"/>
    <n v="2025"/>
    <n v="87797.400000000009"/>
    <s v="Minor Delay"/>
  </r>
  <r>
    <n v="1444"/>
    <d v="2025-11-21T00:00:00"/>
    <x v="4"/>
    <x v="2"/>
    <s v="CJU"/>
    <s v="Business"/>
    <n v="86"/>
    <n v="681.51"/>
    <n v="29"/>
    <s v="On Time"/>
    <n v="58609.86"/>
    <s v="Nov"/>
    <n v="2025"/>
    <n v="58609.86"/>
    <s v="Minor Delay"/>
  </r>
  <r>
    <n v="1445"/>
    <d v="2025-12-17T00:00:00"/>
    <x v="1"/>
    <x v="8"/>
    <s v="NRT"/>
    <s v="Business"/>
    <n v="280"/>
    <n v="382.21"/>
    <n v="16"/>
    <s v="On Time"/>
    <n v="107018.8"/>
    <s v="Dec"/>
    <n v="2025"/>
    <n v="107018.79999999999"/>
    <s v="Minor Delay"/>
  </r>
  <r>
    <n v="1446"/>
    <d v="2025-08-06T00:00:00"/>
    <x v="0"/>
    <x v="8"/>
    <s v="KIX"/>
    <s v="Business"/>
    <n v="193"/>
    <n v="708.46"/>
    <n v="24"/>
    <s v="Delayed"/>
    <n v="136732.78"/>
    <s v="Aug"/>
    <n v="2025"/>
    <n v="136732.78"/>
    <s v="Minor Delay"/>
  </r>
  <r>
    <n v="1447"/>
    <d v="2025-07-11T00:00:00"/>
    <x v="0"/>
    <x v="2"/>
    <s v="MNL"/>
    <s v="Business"/>
    <n v="52"/>
    <n v="204.92"/>
    <n v="9"/>
    <s v="On Time"/>
    <n v="10655.84"/>
    <s v="Jul"/>
    <n v="2025"/>
    <n v="10655.84"/>
    <s v="Minor Delay"/>
  </r>
  <r>
    <n v="1448"/>
    <d v="2025-07-08T00:00:00"/>
    <x v="4"/>
    <x v="3"/>
    <s v="GMP"/>
    <s v="Business"/>
    <n v="285"/>
    <n v="69.62"/>
    <n v="32"/>
    <s v="On Time"/>
    <n v="19841.7"/>
    <s v="Jul"/>
    <n v="2025"/>
    <n v="19841.7"/>
    <s v="Moderate Delay"/>
  </r>
  <r>
    <n v="1449"/>
    <d v="2025-07-23T00:00:00"/>
    <x v="1"/>
    <x v="4"/>
    <s v="SIN"/>
    <s v="Business"/>
    <n v="230"/>
    <n v="247.25"/>
    <n v="0"/>
    <s v="Delayed"/>
    <n v="56867.5"/>
    <s v="Jul"/>
    <n v="2025"/>
    <n v="56867.5"/>
    <s v="On Time"/>
  </r>
  <r>
    <n v="1450"/>
    <d v="2025-09-09T00:00:00"/>
    <x v="0"/>
    <x v="8"/>
    <s v="SIN"/>
    <s v="Premium Economy"/>
    <n v="241"/>
    <n v="707.45"/>
    <n v="0"/>
    <s v="On Time"/>
    <n v="170495.45"/>
    <s v="Sep"/>
    <n v="2025"/>
    <n v="170495.45"/>
    <s v="On Time"/>
  </r>
  <r>
    <n v="1451"/>
    <d v="2025-07-09T00:00:00"/>
    <x v="1"/>
    <x v="0"/>
    <s v="ICN"/>
    <s v="Business"/>
    <n v="278"/>
    <n v="587.85"/>
    <n v="15"/>
    <s v="Delayed"/>
    <n v="163422.29999999999"/>
    <s v="Jul"/>
    <n v="2025"/>
    <n v="163422.30000000002"/>
    <s v="Minor Delay"/>
  </r>
  <r>
    <n v="1452"/>
    <d v="2025-03-03T00:00:00"/>
    <x v="1"/>
    <x v="0"/>
    <s v="MNL"/>
    <s v="Premium Economy"/>
    <n v="213"/>
    <n v="585.84"/>
    <n v="5"/>
    <s v="On Time"/>
    <n v="124783.92"/>
    <s v="Mar"/>
    <n v="2025"/>
    <n v="124783.92000000001"/>
    <s v="Minor Delay"/>
  </r>
  <r>
    <n v="1453"/>
    <d v="2025-04-10T00:00:00"/>
    <x v="3"/>
    <x v="6"/>
    <s v="NRT"/>
    <s v="Business"/>
    <n v="238"/>
    <n v="72.34"/>
    <n v="45"/>
    <s v="On Time"/>
    <n v="17216.919999999998"/>
    <s v="Apr"/>
    <n v="2025"/>
    <n v="17216.920000000002"/>
    <s v="Moderate Delay"/>
  </r>
  <r>
    <n v="1454"/>
    <d v="2025-09-22T00:00:00"/>
    <x v="1"/>
    <x v="7"/>
    <s v="BKK"/>
    <s v="Business"/>
    <n v="153"/>
    <n v="368.12"/>
    <n v="0"/>
    <s v="On Time"/>
    <n v="56322.36"/>
    <s v="Sep"/>
    <n v="2025"/>
    <n v="56322.36"/>
    <s v="On Time"/>
  </r>
  <r>
    <n v="1455"/>
    <d v="2025-04-09T00:00:00"/>
    <x v="5"/>
    <x v="5"/>
    <s v="CJU"/>
    <s v="Economy"/>
    <n v="236"/>
    <n v="257.31"/>
    <n v="23"/>
    <s v="On Time"/>
    <n v="60725.16"/>
    <s v="Apr"/>
    <n v="2025"/>
    <n v="60725.16"/>
    <s v="Minor Delay"/>
  </r>
  <r>
    <n v="1456"/>
    <d v="2025-03-30T00:00:00"/>
    <x v="3"/>
    <x v="6"/>
    <s v="BKK"/>
    <s v="Business"/>
    <n v="265"/>
    <n v="680.02"/>
    <n v="26"/>
    <s v="On Time"/>
    <n v="180205.3"/>
    <s v="Mar"/>
    <n v="2025"/>
    <n v="180205.3"/>
    <s v="Minor Delay"/>
  </r>
  <r>
    <n v="1457"/>
    <d v="2025-03-02T00:00:00"/>
    <x v="4"/>
    <x v="4"/>
    <s v="BKK"/>
    <s v="Premium Economy"/>
    <n v="195"/>
    <n v="678.72"/>
    <n v="69"/>
    <s v="On Time"/>
    <n v="132350.39999999999"/>
    <s v="Mar"/>
    <n v="2025"/>
    <n v="132350.39999999999"/>
    <s v="Major Delay"/>
  </r>
  <r>
    <n v="1458"/>
    <d v="2025-02-14T00:00:00"/>
    <x v="0"/>
    <x v="0"/>
    <s v="PUS"/>
    <s v="Premium Economy"/>
    <n v="201"/>
    <n v="523.70000000000005"/>
    <n v="49"/>
    <s v="On Time"/>
    <n v="105263.7"/>
    <s v="Feb"/>
    <n v="2025"/>
    <n v="105263.70000000001"/>
    <s v="Moderate Delay"/>
  </r>
  <r>
    <n v="1459"/>
    <d v="2025-04-22T00:00:00"/>
    <x v="3"/>
    <x v="7"/>
    <s v="ICN"/>
    <s v="Premium Economy"/>
    <n v="167"/>
    <n v="120.14"/>
    <n v="16"/>
    <s v="Delayed"/>
    <n v="20063.38"/>
    <s v="Apr"/>
    <n v="2025"/>
    <n v="20063.38"/>
    <s v="Minor Delay"/>
  </r>
  <r>
    <n v="1460"/>
    <d v="2025-06-08T00:00:00"/>
    <x v="1"/>
    <x v="2"/>
    <s v="CJU"/>
    <s v="Premium Economy"/>
    <n v="230"/>
    <n v="272.44"/>
    <n v="1"/>
    <s v="On Time"/>
    <n v="62661.2"/>
    <s v="Jun"/>
    <n v="2025"/>
    <n v="62661.2"/>
    <s v="Minor Delay"/>
  </r>
  <r>
    <n v="1461"/>
    <d v="2025-04-26T00:00:00"/>
    <x v="0"/>
    <x v="3"/>
    <s v="MNL"/>
    <s v="Premium Economy"/>
    <n v="276"/>
    <n v="207.43"/>
    <n v="39"/>
    <s v="On Time"/>
    <n v="57250.68"/>
    <s v="Apr"/>
    <n v="2025"/>
    <n v="57250.68"/>
    <s v="Moderate Delay"/>
  </r>
  <r>
    <n v="1462"/>
    <d v="2025-07-01T00:00:00"/>
    <x v="5"/>
    <x v="0"/>
    <s v="SIN"/>
    <s v="Premium Economy"/>
    <n v="139"/>
    <n v="631.54999999999995"/>
    <n v="17"/>
    <s v="On Time"/>
    <n v="87785.45"/>
    <s v="Jul"/>
    <n v="2025"/>
    <n v="87785.45"/>
    <s v="Minor Delay"/>
  </r>
  <r>
    <n v="1463"/>
    <d v="2025-10-27T00:00:00"/>
    <x v="2"/>
    <x v="7"/>
    <s v="ICN"/>
    <s v="Economy"/>
    <n v="187"/>
    <n v="480.85"/>
    <n v="46"/>
    <s v="On Time"/>
    <n v="89918.95"/>
    <s v="Oct"/>
    <n v="2025"/>
    <n v="89918.95"/>
    <s v="Moderate Delay"/>
  </r>
  <r>
    <n v="1464"/>
    <d v="2025-06-25T00:00:00"/>
    <x v="3"/>
    <x v="4"/>
    <s v="PUS"/>
    <s v="Business"/>
    <n v="191"/>
    <n v="674.09"/>
    <n v="18"/>
    <s v="On Time"/>
    <n v="128751.19"/>
    <s v="Jun"/>
    <n v="2025"/>
    <n v="128751.19"/>
    <s v="Minor Delay"/>
  </r>
  <r>
    <n v="1465"/>
    <d v="2025-05-13T00:00:00"/>
    <x v="0"/>
    <x v="0"/>
    <s v="NRT"/>
    <s v="Premium Economy"/>
    <n v="116"/>
    <n v="83.27"/>
    <n v="47"/>
    <s v="On Time"/>
    <n v="9659.32"/>
    <s v="May"/>
    <n v="2025"/>
    <n v="9659.32"/>
    <s v="Moderate Delay"/>
  </r>
  <r>
    <n v="1466"/>
    <d v="2025-10-28T00:00:00"/>
    <x v="4"/>
    <x v="7"/>
    <s v="SIN"/>
    <s v="Premium Economy"/>
    <n v="194"/>
    <n v="339.65"/>
    <n v="44"/>
    <s v="On Time"/>
    <n v="65892.100000000006"/>
    <s v="Oct"/>
    <n v="2025"/>
    <n v="65892.099999999991"/>
    <s v="Moderate Delay"/>
  </r>
  <r>
    <n v="1467"/>
    <d v="2025-12-26T00:00:00"/>
    <x v="1"/>
    <x v="5"/>
    <s v="BKK"/>
    <s v="Business"/>
    <n v="141"/>
    <n v="703.3"/>
    <n v="46"/>
    <s v="On Time"/>
    <n v="99165.3"/>
    <s v="Dec"/>
    <n v="2025"/>
    <n v="99165.299999999988"/>
    <s v="Moderate Delay"/>
  </r>
  <r>
    <n v="1468"/>
    <d v="2025-07-03T00:00:00"/>
    <x v="4"/>
    <x v="0"/>
    <s v="PUS"/>
    <s v="Economy"/>
    <n v="169"/>
    <n v="464.62"/>
    <n v="21"/>
    <s v="On Time"/>
    <n v="78520.78"/>
    <s v="Jul"/>
    <n v="2025"/>
    <n v="78520.78"/>
    <s v="Minor Delay"/>
  </r>
  <r>
    <n v="1469"/>
    <d v="2025-10-31T00:00:00"/>
    <x v="5"/>
    <x v="8"/>
    <s v="SIN"/>
    <s v="Business"/>
    <n v="161"/>
    <n v="600.91"/>
    <n v="1"/>
    <s v="On Time"/>
    <n v="96746.51"/>
    <s v="Oct"/>
    <n v="2025"/>
    <n v="96746.51"/>
    <s v="Minor Delay"/>
  </r>
  <r>
    <n v="1470"/>
    <d v="2025-12-14T00:00:00"/>
    <x v="2"/>
    <x v="3"/>
    <s v="SIN"/>
    <s v="Premium Economy"/>
    <n v="60"/>
    <n v="778.37"/>
    <n v="23"/>
    <s v="Delayed"/>
    <n v="46702.2"/>
    <s v="Dec"/>
    <n v="2025"/>
    <n v="46702.2"/>
    <s v="Minor Delay"/>
  </r>
  <r>
    <n v="1471"/>
    <d v="2025-08-04T00:00:00"/>
    <x v="2"/>
    <x v="6"/>
    <s v="GMP"/>
    <s v="Premium Economy"/>
    <n v="294"/>
    <n v="487.34"/>
    <n v="7"/>
    <s v="On Time"/>
    <n v="143277.96"/>
    <s v="Aug"/>
    <n v="2025"/>
    <n v="143277.96"/>
    <s v="Minor Delay"/>
  </r>
  <r>
    <n v="1472"/>
    <d v="2025-10-18T00:00:00"/>
    <x v="0"/>
    <x v="4"/>
    <s v="PUS"/>
    <s v="Economy"/>
    <n v="219"/>
    <n v="306.52999999999997"/>
    <n v="11"/>
    <s v="Delayed"/>
    <n v="67130.070000000007"/>
    <s v="Oct"/>
    <n v="2025"/>
    <n v="67130.069999999992"/>
    <s v="Minor Delay"/>
  </r>
  <r>
    <n v="1473"/>
    <d v="2025-03-14T00:00:00"/>
    <x v="4"/>
    <x v="0"/>
    <s v="KIX"/>
    <s v="Premium Economy"/>
    <n v="151"/>
    <n v="182.35"/>
    <n v="34"/>
    <s v="Delayed"/>
    <n v="27534.85"/>
    <s v="Mar"/>
    <n v="2025"/>
    <n v="27534.85"/>
    <s v="Moderate Delay"/>
  </r>
  <r>
    <n v="1474"/>
    <d v="2025-02-11T00:00:00"/>
    <x v="0"/>
    <x v="4"/>
    <s v="KIX"/>
    <s v="Economy"/>
    <n v="269"/>
    <n v="210.46"/>
    <n v="20"/>
    <s v="On Time"/>
    <n v="56613.74"/>
    <s v="Feb"/>
    <n v="2025"/>
    <n v="56613.740000000005"/>
    <s v="Minor Delay"/>
  </r>
  <r>
    <n v="1475"/>
    <d v="2025-12-17T00:00:00"/>
    <x v="5"/>
    <x v="2"/>
    <s v="CJU"/>
    <s v="Premium Economy"/>
    <n v="51"/>
    <n v="413.23"/>
    <n v="4"/>
    <s v="On Time"/>
    <n v="21074.73"/>
    <s v="Dec"/>
    <n v="2025"/>
    <n v="21074.73"/>
    <s v="Minor Delay"/>
  </r>
  <r>
    <n v="1476"/>
    <d v="2025-12-09T00:00:00"/>
    <x v="2"/>
    <x v="2"/>
    <s v="SIN"/>
    <s v="Premium Economy"/>
    <n v="230"/>
    <n v="239.63"/>
    <n v="43"/>
    <s v="Delayed"/>
    <n v="55114.9"/>
    <s v="Dec"/>
    <n v="2025"/>
    <n v="55114.9"/>
    <s v="Moderate Delay"/>
  </r>
  <r>
    <n v="1477"/>
    <d v="2025-06-12T00:00:00"/>
    <x v="0"/>
    <x v="1"/>
    <s v="CJU"/>
    <s v="Premium Economy"/>
    <n v="247"/>
    <n v="302.06"/>
    <n v="12"/>
    <s v="Delayed"/>
    <n v="74608.820000000007"/>
    <s v="Jun"/>
    <n v="2025"/>
    <n v="74608.820000000007"/>
    <s v="Minor Delay"/>
  </r>
  <r>
    <n v="1478"/>
    <d v="2025-06-27T00:00:00"/>
    <x v="2"/>
    <x v="1"/>
    <s v="GMP"/>
    <s v="Business"/>
    <n v="239"/>
    <n v="777.97"/>
    <n v="56"/>
    <s v="On Time"/>
    <n v="185934.83"/>
    <s v="Jun"/>
    <n v="2025"/>
    <n v="185934.83000000002"/>
    <s v="Moderate Delay"/>
  </r>
  <r>
    <n v="1479"/>
    <d v="2025-07-08T00:00:00"/>
    <x v="4"/>
    <x v="7"/>
    <s v="NRT"/>
    <s v="Premium Economy"/>
    <n v="178"/>
    <n v="669.2"/>
    <n v="0"/>
    <s v="Delayed"/>
    <n v="119117.6"/>
    <s v="Jul"/>
    <n v="2025"/>
    <n v="119117.6"/>
    <s v="On Time"/>
  </r>
  <r>
    <n v="1480"/>
    <d v="2025-09-13T00:00:00"/>
    <x v="0"/>
    <x v="2"/>
    <s v="CJU"/>
    <s v="Economy"/>
    <n v="104"/>
    <n v="283.43"/>
    <n v="0"/>
    <s v="On Time"/>
    <n v="29476.720000000001"/>
    <s v="Sep"/>
    <n v="2025"/>
    <n v="29476.720000000001"/>
    <s v="On Time"/>
  </r>
  <r>
    <n v="1481"/>
    <d v="2025-08-06T00:00:00"/>
    <x v="0"/>
    <x v="1"/>
    <s v="CJU"/>
    <s v="Premium Economy"/>
    <n v="129"/>
    <n v="346.24"/>
    <n v="22"/>
    <s v="Delayed"/>
    <n v="44664.959999999999"/>
    <s v="Aug"/>
    <n v="2025"/>
    <n v="44664.959999999999"/>
    <s v="Minor Delay"/>
  </r>
  <r>
    <n v="1482"/>
    <d v="2025-03-25T00:00:00"/>
    <x v="2"/>
    <x v="1"/>
    <s v="CJU"/>
    <s v="Business"/>
    <n v="182"/>
    <n v="677.33"/>
    <n v="13"/>
    <s v="On Time"/>
    <n v="123274.06"/>
    <s v="Mar"/>
    <n v="2025"/>
    <n v="123274.06000000001"/>
    <s v="Minor Delay"/>
  </r>
  <r>
    <n v="1483"/>
    <d v="2025-12-18T00:00:00"/>
    <x v="3"/>
    <x v="0"/>
    <s v="BKK"/>
    <s v="Economy"/>
    <n v="217"/>
    <n v="698.23"/>
    <n v="21"/>
    <s v="On Time"/>
    <n v="151515.91"/>
    <s v="Dec"/>
    <n v="2025"/>
    <n v="151515.91"/>
    <s v="Minor Delay"/>
  </r>
  <r>
    <n v="1484"/>
    <d v="2025-12-18T00:00:00"/>
    <x v="2"/>
    <x v="6"/>
    <s v="BKK"/>
    <s v="Economy"/>
    <n v="174"/>
    <n v="543.82000000000005"/>
    <n v="16"/>
    <s v="On Time"/>
    <n v="94624.68"/>
    <s v="Dec"/>
    <n v="2025"/>
    <n v="94624.680000000008"/>
    <s v="Minor Delay"/>
  </r>
  <r>
    <n v="1485"/>
    <d v="2025-06-05T00:00:00"/>
    <x v="2"/>
    <x v="1"/>
    <s v="ICN"/>
    <s v="Premium Economy"/>
    <n v="239"/>
    <n v="529.25"/>
    <n v="0"/>
    <s v="On Time"/>
    <n v="126490.75"/>
    <s v="Jun"/>
    <n v="2025"/>
    <n v="126490.75"/>
    <s v="On Time"/>
  </r>
  <r>
    <n v="1486"/>
    <d v="2025-12-31T00:00:00"/>
    <x v="4"/>
    <x v="3"/>
    <s v="SIN"/>
    <s v="Business"/>
    <n v="298"/>
    <n v="330"/>
    <n v="0"/>
    <s v="On Time"/>
    <n v="98340"/>
    <s v="Dec"/>
    <n v="2025"/>
    <n v="98340"/>
    <s v="On Time"/>
  </r>
  <r>
    <n v="1487"/>
    <d v="2025-12-12T00:00:00"/>
    <x v="1"/>
    <x v="1"/>
    <s v="MNL"/>
    <s v="Economy"/>
    <n v="51"/>
    <n v="309.47000000000003"/>
    <n v="50"/>
    <s v="On Time"/>
    <n v="15782.97"/>
    <s v="Dec"/>
    <n v="2025"/>
    <n v="15782.970000000001"/>
    <s v="Moderate Delay"/>
  </r>
  <r>
    <n v="1488"/>
    <d v="2025-01-25T00:00:00"/>
    <x v="2"/>
    <x v="8"/>
    <s v="BKK"/>
    <s v="Premium Economy"/>
    <n v="60"/>
    <n v="149.94999999999999"/>
    <n v="6"/>
    <s v="On Time"/>
    <n v="8997"/>
    <s v="Jan"/>
    <n v="2025"/>
    <n v="8997"/>
    <s v="Minor Delay"/>
  </r>
  <r>
    <n v="1489"/>
    <d v="2025-11-03T00:00:00"/>
    <x v="3"/>
    <x v="3"/>
    <s v="ICN"/>
    <s v="Premium Economy"/>
    <n v="114"/>
    <n v="375.02"/>
    <n v="0"/>
    <s v="On Time"/>
    <n v="42752.28"/>
    <s v="Nov"/>
    <n v="2025"/>
    <n v="42752.28"/>
    <s v="On Time"/>
  </r>
  <r>
    <n v="1490"/>
    <d v="2025-05-31T00:00:00"/>
    <x v="4"/>
    <x v="4"/>
    <s v="CJU"/>
    <s v="Premium Economy"/>
    <n v="54"/>
    <n v="390.61"/>
    <n v="0"/>
    <s v="On Time"/>
    <n v="21092.94"/>
    <s v="May"/>
    <n v="2025"/>
    <n v="21092.940000000002"/>
    <s v="On Time"/>
  </r>
  <r>
    <n v="1491"/>
    <d v="2025-07-02T00:00:00"/>
    <x v="3"/>
    <x v="5"/>
    <s v="CJU"/>
    <s v="Economy"/>
    <n v="186"/>
    <n v="606.62"/>
    <n v="20"/>
    <s v="On Time"/>
    <n v="112831.32"/>
    <s v="Jul"/>
    <n v="2025"/>
    <n v="112831.32"/>
    <s v="Minor Delay"/>
  </r>
  <r>
    <n v="1492"/>
    <d v="2025-08-09T00:00:00"/>
    <x v="4"/>
    <x v="7"/>
    <s v="SIN"/>
    <s v="Premium Economy"/>
    <n v="298"/>
    <n v="398.94"/>
    <n v="30"/>
    <s v="On Time"/>
    <n v="118884.12"/>
    <s v="Aug"/>
    <n v="2025"/>
    <n v="118884.12"/>
    <s v="Minor Delay"/>
  </r>
  <r>
    <n v="1493"/>
    <d v="2025-01-21T00:00:00"/>
    <x v="1"/>
    <x v="6"/>
    <s v="MNL"/>
    <s v="Premium Economy"/>
    <n v="145"/>
    <n v="88.33"/>
    <n v="0"/>
    <s v="Delayed"/>
    <n v="12807.85"/>
    <s v="Jan"/>
    <n v="2025"/>
    <n v="12807.85"/>
    <s v="On Time"/>
  </r>
  <r>
    <n v="1494"/>
    <d v="2025-09-20T00:00:00"/>
    <x v="3"/>
    <x v="0"/>
    <s v="MNL"/>
    <s v="Economy"/>
    <n v="136"/>
    <n v="746.31"/>
    <n v="0"/>
    <s v="On Time"/>
    <n v="101498.16"/>
    <s v="Sep"/>
    <n v="2025"/>
    <n v="101498.15999999999"/>
    <s v="On Time"/>
  </r>
  <r>
    <n v="1495"/>
    <d v="2025-01-12T00:00:00"/>
    <x v="0"/>
    <x v="1"/>
    <s v="MNL"/>
    <s v="Business"/>
    <n v="115"/>
    <n v="593.98"/>
    <n v="19"/>
    <s v="Delayed"/>
    <n v="68307.7"/>
    <s v="Jan"/>
    <n v="2025"/>
    <n v="68307.7"/>
    <s v="Minor Delay"/>
  </r>
  <r>
    <n v="1496"/>
    <d v="2025-10-20T00:00:00"/>
    <x v="4"/>
    <x v="0"/>
    <s v="NRT"/>
    <s v="Premium Economy"/>
    <n v="207"/>
    <n v="440.39"/>
    <n v="9"/>
    <s v="Delayed"/>
    <n v="91160.73"/>
    <s v="Oct"/>
    <n v="2025"/>
    <n v="91160.73"/>
    <s v="Minor Delay"/>
  </r>
  <r>
    <n v="1497"/>
    <d v="2025-07-11T00:00:00"/>
    <x v="5"/>
    <x v="2"/>
    <s v="ICN"/>
    <s v="Premium Economy"/>
    <n v="105"/>
    <n v="622.92999999999995"/>
    <n v="0"/>
    <s v="On Time"/>
    <n v="65407.65"/>
    <s v="Jul"/>
    <n v="2025"/>
    <n v="65407.649999999994"/>
    <s v="On Time"/>
  </r>
  <r>
    <n v="1498"/>
    <d v="2025-11-06T00:00:00"/>
    <x v="2"/>
    <x v="4"/>
    <s v="ICN"/>
    <s v="Economy"/>
    <n v="223"/>
    <n v="270.83999999999997"/>
    <n v="35"/>
    <s v="On Time"/>
    <n v="60397.32"/>
    <s v="Nov"/>
    <n v="2025"/>
    <n v="60397.319999999992"/>
    <s v="Moderate Delay"/>
  </r>
  <r>
    <n v="1499"/>
    <d v="2025-08-01T00:00:00"/>
    <x v="3"/>
    <x v="2"/>
    <s v="ICN"/>
    <s v="Economy"/>
    <n v="120"/>
    <n v="257.62"/>
    <n v="0"/>
    <s v="On Time"/>
    <n v="30914.400000000001"/>
    <s v="Aug"/>
    <n v="2025"/>
    <n v="30914.400000000001"/>
    <s v="On Time"/>
  </r>
  <r>
    <n v="1500"/>
    <d v="2025-01-10T00:00:00"/>
    <x v="3"/>
    <x v="2"/>
    <s v="NRT"/>
    <s v="Premium Economy"/>
    <n v="106"/>
    <n v="107.15"/>
    <n v="0"/>
    <s v="On Time"/>
    <n v="11357.9"/>
    <s v="Jan"/>
    <n v="2025"/>
    <n v="11357.900000000001"/>
    <s v="On Time"/>
  </r>
  <r>
    <n v="1501"/>
    <d v="2025-11-22T00:00:00"/>
    <x v="5"/>
    <x v="8"/>
    <s v="BKK"/>
    <s v="Premium Economy"/>
    <n v="188"/>
    <n v="347.89"/>
    <n v="23"/>
    <s v="On Time"/>
    <n v="65403.32"/>
    <s v="Nov"/>
    <n v="2025"/>
    <n v="65403.32"/>
    <s v="Minor Delay"/>
  </r>
  <r>
    <n v="1502"/>
    <d v="2025-03-19T00:00:00"/>
    <x v="2"/>
    <x v="3"/>
    <s v="SIN"/>
    <s v="Business"/>
    <n v="177"/>
    <n v="215.87"/>
    <n v="18"/>
    <s v="On Time"/>
    <n v="38208.99"/>
    <s v="Mar"/>
    <n v="2025"/>
    <n v="38208.99"/>
    <s v="Minor Delay"/>
  </r>
  <r>
    <n v="1503"/>
    <d v="2025-07-26T00:00:00"/>
    <x v="1"/>
    <x v="1"/>
    <s v="NRT"/>
    <s v="Business"/>
    <n v="268"/>
    <n v="482.77"/>
    <n v="45"/>
    <s v="Cancelled"/>
    <n v="129382.36"/>
    <s v="Jul"/>
    <n v="2025"/>
    <n v="129382.36"/>
    <s v="Moderate Delay"/>
  </r>
  <r>
    <n v="1504"/>
    <d v="2025-09-29T00:00:00"/>
    <x v="4"/>
    <x v="0"/>
    <s v="NRT"/>
    <s v="Premium Economy"/>
    <n v="124"/>
    <n v="615.63"/>
    <n v="33"/>
    <s v="On Time"/>
    <n v="76338.12"/>
    <s v="Sep"/>
    <n v="2025"/>
    <n v="76338.12"/>
    <s v="Moderate Delay"/>
  </r>
  <r>
    <n v="1505"/>
    <d v="2025-03-21T00:00:00"/>
    <x v="5"/>
    <x v="8"/>
    <s v="ICN"/>
    <s v="Business"/>
    <n v="92"/>
    <n v="521.96"/>
    <n v="0"/>
    <s v="On Time"/>
    <n v="48020.32"/>
    <s v="Mar"/>
    <n v="2025"/>
    <n v="48020.320000000007"/>
    <s v="On Time"/>
  </r>
  <r>
    <n v="1506"/>
    <d v="2025-05-01T00:00:00"/>
    <x v="2"/>
    <x v="4"/>
    <s v="SIN"/>
    <s v="Business"/>
    <n v="83"/>
    <n v="340.04"/>
    <n v="9"/>
    <s v="Delayed"/>
    <n v="28223.32"/>
    <s v="May"/>
    <n v="2025"/>
    <n v="28223.320000000003"/>
    <s v="Minor Delay"/>
  </r>
  <r>
    <n v="1507"/>
    <d v="2025-07-22T00:00:00"/>
    <x v="0"/>
    <x v="0"/>
    <s v="CJU"/>
    <s v="Economy"/>
    <n v="78"/>
    <n v="482.35"/>
    <n v="26"/>
    <s v="On Time"/>
    <n v="37623.300000000003"/>
    <s v="Jul"/>
    <n v="2025"/>
    <n v="37623.300000000003"/>
    <s v="Minor Delay"/>
  </r>
  <r>
    <n v="1508"/>
    <d v="2025-06-30T00:00:00"/>
    <x v="0"/>
    <x v="1"/>
    <s v="MNL"/>
    <s v="Premium Economy"/>
    <n v="280"/>
    <n v="503.44"/>
    <n v="33"/>
    <s v="On Time"/>
    <n v="140963.20000000001"/>
    <s v="Jun"/>
    <n v="2025"/>
    <n v="140963.20000000001"/>
    <s v="Moderate Delay"/>
  </r>
  <r>
    <n v="1509"/>
    <d v="2025-12-07T00:00:00"/>
    <x v="3"/>
    <x v="3"/>
    <s v="GMP"/>
    <s v="Business"/>
    <n v="245"/>
    <n v="530.79999999999995"/>
    <n v="0"/>
    <s v="On Time"/>
    <n v="130046"/>
    <s v="Dec"/>
    <n v="2025"/>
    <n v="130045.99999999999"/>
    <s v="On Time"/>
  </r>
  <r>
    <n v="1510"/>
    <d v="2025-08-26T00:00:00"/>
    <x v="4"/>
    <x v="1"/>
    <s v="SIN"/>
    <s v="Premium Economy"/>
    <n v="90"/>
    <n v="743.69"/>
    <n v="19"/>
    <s v="On Time"/>
    <n v="66932.100000000006"/>
    <s v="Aug"/>
    <n v="2025"/>
    <n v="66932.100000000006"/>
    <s v="Minor Delay"/>
  </r>
  <r>
    <n v="1511"/>
    <d v="2025-09-30T00:00:00"/>
    <x v="4"/>
    <x v="4"/>
    <s v="ICN"/>
    <s v="Premium Economy"/>
    <n v="217"/>
    <n v="187.48"/>
    <n v="40"/>
    <s v="On Time"/>
    <n v="40683.160000000003"/>
    <s v="Sep"/>
    <n v="2025"/>
    <n v="40683.159999999996"/>
    <s v="Moderate Delay"/>
  </r>
  <r>
    <n v="1512"/>
    <d v="2025-04-07T00:00:00"/>
    <x v="3"/>
    <x v="1"/>
    <s v="MNL"/>
    <s v="Economy"/>
    <n v="208"/>
    <n v="225.9"/>
    <n v="6"/>
    <s v="On Time"/>
    <n v="46987.199999999997"/>
    <s v="Apr"/>
    <n v="2025"/>
    <n v="46987.200000000004"/>
    <s v="Minor Delay"/>
  </r>
  <r>
    <n v="1513"/>
    <d v="2025-11-03T00:00:00"/>
    <x v="5"/>
    <x v="6"/>
    <s v="GMP"/>
    <s v="Business"/>
    <n v="154"/>
    <n v="759.66"/>
    <n v="11"/>
    <s v="On Time"/>
    <n v="116987.64"/>
    <s v="Nov"/>
    <n v="2025"/>
    <n v="116987.64"/>
    <s v="Minor Delay"/>
  </r>
  <r>
    <n v="1514"/>
    <d v="2025-07-09T00:00:00"/>
    <x v="1"/>
    <x v="8"/>
    <s v="GMP"/>
    <s v="Business"/>
    <n v="203"/>
    <n v="713.8"/>
    <n v="36"/>
    <s v="On Time"/>
    <n v="144901.4"/>
    <s v="Jul"/>
    <n v="2025"/>
    <n v="144901.4"/>
    <s v="Moderate Delay"/>
  </r>
  <r>
    <n v="1515"/>
    <d v="2025-03-24T00:00:00"/>
    <x v="2"/>
    <x v="6"/>
    <s v="PUS"/>
    <s v="Premium Economy"/>
    <n v="235"/>
    <n v="707.24"/>
    <n v="46"/>
    <s v="Delayed"/>
    <n v="166201.4"/>
    <s v="Mar"/>
    <n v="2025"/>
    <n v="166201.4"/>
    <s v="Moderate Delay"/>
  </r>
  <r>
    <n v="1516"/>
    <d v="2025-05-31T00:00:00"/>
    <x v="1"/>
    <x v="3"/>
    <s v="CJU"/>
    <s v="Economy"/>
    <n v="102"/>
    <n v="487.43"/>
    <n v="72"/>
    <s v="On Time"/>
    <n v="49717.86"/>
    <s v="May"/>
    <n v="2025"/>
    <n v="49717.86"/>
    <s v="Major Delay"/>
  </r>
  <r>
    <n v="1517"/>
    <d v="2025-04-01T00:00:00"/>
    <x v="2"/>
    <x v="8"/>
    <s v="PUS"/>
    <s v="Business"/>
    <n v="214"/>
    <n v="142.26"/>
    <n v="2"/>
    <s v="Delayed"/>
    <n v="30443.64"/>
    <s v="Apr"/>
    <n v="2025"/>
    <n v="30443.64"/>
    <s v="Minor Delay"/>
  </r>
  <r>
    <n v="1518"/>
    <d v="2025-08-25T00:00:00"/>
    <x v="3"/>
    <x v="7"/>
    <s v="NRT"/>
    <s v="Economy"/>
    <n v="51"/>
    <n v="613.97"/>
    <n v="6"/>
    <s v="On Time"/>
    <n v="31312.47"/>
    <s v="Aug"/>
    <n v="2025"/>
    <n v="31312.47"/>
    <s v="Minor Delay"/>
  </r>
  <r>
    <n v="1519"/>
    <d v="2025-07-17T00:00:00"/>
    <x v="1"/>
    <x v="1"/>
    <s v="SIN"/>
    <s v="Premium Economy"/>
    <n v="295"/>
    <n v="252.42"/>
    <n v="17"/>
    <s v="On Time"/>
    <n v="74463.899999999994"/>
    <s v="Jul"/>
    <n v="2025"/>
    <n v="74463.899999999994"/>
    <s v="Minor Delay"/>
  </r>
  <r>
    <n v="1520"/>
    <d v="2025-08-13T00:00:00"/>
    <x v="2"/>
    <x v="6"/>
    <s v="ICN"/>
    <s v="Business"/>
    <n v="65"/>
    <n v="276.79000000000002"/>
    <n v="7"/>
    <s v="On Time"/>
    <n v="17991.349999999999"/>
    <s v="Aug"/>
    <n v="2025"/>
    <n v="17991.350000000002"/>
    <s v="Minor Delay"/>
  </r>
  <r>
    <n v="1521"/>
    <d v="2025-07-24T00:00:00"/>
    <x v="3"/>
    <x v="5"/>
    <s v="BKK"/>
    <s v="Business"/>
    <n v="211"/>
    <n v="540.73"/>
    <n v="8"/>
    <s v="On Time"/>
    <n v="114094.03"/>
    <s v="Jul"/>
    <n v="2025"/>
    <n v="114094.03"/>
    <s v="Minor Delay"/>
  </r>
  <r>
    <n v="1522"/>
    <d v="2025-03-28T00:00:00"/>
    <x v="4"/>
    <x v="4"/>
    <s v="GMP"/>
    <s v="Premium Economy"/>
    <n v="218"/>
    <n v="311.48"/>
    <n v="25"/>
    <s v="Delayed"/>
    <n v="67902.64"/>
    <s v="Mar"/>
    <n v="2025"/>
    <n v="67902.64"/>
    <s v="Minor Delay"/>
  </r>
  <r>
    <n v="1523"/>
    <d v="2025-05-16T00:00:00"/>
    <x v="1"/>
    <x v="8"/>
    <s v="PUS"/>
    <s v="Premium Economy"/>
    <n v="214"/>
    <n v="573.35"/>
    <n v="0"/>
    <s v="On Time"/>
    <n v="122696.9"/>
    <s v="May"/>
    <n v="2025"/>
    <n v="122696.90000000001"/>
    <s v="On Time"/>
  </r>
  <r>
    <n v="1524"/>
    <d v="2025-06-01T00:00:00"/>
    <x v="3"/>
    <x v="4"/>
    <s v="BKK"/>
    <s v="Premium Economy"/>
    <n v="134"/>
    <n v="642.66"/>
    <n v="30"/>
    <s v="On Time"/>
    <n v="86116.44"/>
    <s v="Jun"/>
    <n v="2025"/>
    <n v="86116.44"/>
    <s v="Minor Delay"/>
  </r>
  <r>
    <n v="1525"/>
    <d v="2025-03-13T00:00:00"/>
    <x v="0"/>
    <x v="4"/>
    <s v="ICN"/>
    <s v="Business"/>
    <n v="123"/>
    <n v="79.2"/>
    <n v="43"/>
    <s v="On Time"/>
    <n v="9741.6"/>
    <s v="Mar"/>
    <n v="2025"/>
    <n v="9741.6"/>
    <s v="Moderate Delay"/>
  </r>
  <r>
    <n v="1526"/>
    <d v="2025-10-18T00:00:00"/>
    <x v="3"/>
    <x v="4"/>
    <s v="CJU"/>
    <s v="Premium Economy"/>
    <n v="171"/>
    <n v="587.67999999999995"/>
    <n v="0"/>
    <s v="On Time"/>
    <n v="100493.28"/>
    <s v="Oct"/>
    <n v="2025"/>
    <n v="100493.27999999998"/>
    <s v="On Time"/>
  </r>
  <r>
    <n v="1527"/>
    <d v="2025-03-17T00:00:00"/>
    <x v="5"/>
    <x v="7"/>
    <s v="PUS"/>
    <s v="Premium Economy"/>
    <n v="269"/>
    <n v="344.33"/>
    <n v="16"/>
    <s v="On Time"/>
    <n v="92624.77"/>
    <s v="Mar"/>
    <n v="2025"/>
    <n v="92624.76999999999"/>
    <s v="Minor Delay"/>
  </r>
  <r>
    <n v="1528"/>
    <d v="2025-10-27T00:00:00"/>
    <x v="1"/>
    <x v="4"/>
    <s v="CJU"/>
    <s v="Premium Economy"/>
    <n v="143"/>
    <n v="593.64"/>
    <n v="15"/>
    <s v="On Time"/>
    <n v="84890.52"/>
    <s v="Oct"/>
    <n v="2025"/>
    <n v="84890.52"/>
    <s v="Minor Delay"/>
  </r>
  <r>
    <n v="1529"/>
    <d v="2025-09-02T00:00:00"/>
    <x v="5"/>
    <x v="6"/>
    <s v="BKK"/>
    <s v="Economy"/>
    <n v="298"/>
    <n v="314.72000000000003"/>
    <n v="47"/>
    <s v="On Time"/>
    <n v="93786.559999999998"/>
    <s v="Sep"/>
    <n v="2025"/>
    <n v="93786.560000000012"/>
    <s v="Moderate Delay"/>
  </r>
  <r>
    <n v="1530"/>
    <d v="2025-09-06T00:00:00"/>
    <x v="3"/>
    <x v="3"/>
    <s v="MNL"/>
    <s v="Economy"/>
    <n v="272"/>
    <n v="448.68"/>
    <n v="60"/>
    <s v="On Time"/>
    <n v="122040.96000000001"/>
    <s v="Sep"/>
    <n v="2025"/>
    <n v="122040.96000000001"/>
    <s v="Moderate Delay"/>
  </r>
  <r>
    <n v="1531"/>
    <d v="2025-12-09T00:00:00"/>
    <x v="1"/>
    <x v="1"/>
    <s v="ICN"/>
    <s v="Premium Economy"/>
    <n v="107"/>
    <n v="288.89"/>
    <n v="23"/>
    <s v="On Time"/>
    <n v="30911.23"/>
    <s v="Dec"/>
    <n v="2025"/>
    <n v="30911.23"/>
    <s v="Minor Delay"/>
  </r>
  <r>
    <n v="1532"/>
    <d v="2025-07-02T00:00:00"/>
    <x v="2"/>
    <x v="0"/>
    <s v="NRT"/>
    <s v="Premium Economy"/>
    <n v="195"/>
    <n v="735.4"/>
    <n v="39"/>
    <s v="Delayed"/>
    <n v="143403"/>
    <s v="Jul"/>
    <n v="2025"/>
    <n v="143403"/>
    <s v="Moderate Delay"/>
  </r>
  <r>
    <n v="1533"/>
    <d v="2025-04-14T00:00:00"/>
    <x v="4"/>
    <x v="6"/>
    <s v="PUS"/>
    <s v="Business"/>
    <n v="58"/>
    <n v="354.88"/>
    <n v="38"/>
    <s v="On Time"/>
    <n v="20583.04"/>
    <s v="Apr"/>
    <n v="2025"/>
    <n v="20583.04"/>
    <s v="Moderate Delay"/>
  </r>
  <r>
    <n v="1534"/>
    <d v="2025-01-29T00:00:00"/>
    <x v="2"/>
    <x v="6"/>
    <s v="GMP"/>
    <s v="Business"/>
    <n v="183"/>
    <n v="243.5"/>
    <n v="33"/>
    <s v="On Time"/>
    <n v="44560.5"/>
    <s v="Jan"/>
    <n v="2025"/>
    <n v="44560.5"/>
    <s v="Moderate Delay"/>
  </r>
  <r>
    <n v="1535"/>
    <d v="2025-04-27T00:00:00"/>
    <x v="3"/>
    <x v="7"/>
    <s v="NRT"/>
    <s v="Business"/>
    <n v="166"/>
    <n v="191.3"/>
    <n v="39"/>
    <s v="On Time"/>
    <n v="31755.8"/>
    <s v="Apr"/>
    <n v="2025"/>
    <n v="31755.800000000003"/>
    <s v="Moderate Delay"/>
  </r>
  <r>
    <n v="1536"/>
    <d v="2025-03-09T00:00:00"/>
    <x v="5"/>
    <x v="2"/>
    <s v="GMP"/>
    <s v="Premium Economy"/>
    <n v="65"/>
    <n v="213.72"/>
    <n v="17"/>
    <s v="On Time"/>
    <n v="13891.8"/>
    <s v="Mar"/>
    <n v="2025"/>
    <n v="13891.8"/>
    <s v="Minor Delay"/>
  </r>
  <r>
    <n v="1537"/>
    <d v="2025-02-20T00:00:00"/>
    <x v="5"/>
    <x v="8"/>
    <s v="SIN"/>
    <s v="Economy"/>
    <n v="131"/>
    <n v="644.61"/>
    <n v="45"/>
    <s v="On Time"/>
    <n v="84443.91"/>
    <s v="Feb"/>
    <n v="2025"/>
    <n v="84443.91"/>
    <s v="Moderate Delay"/>
  </r>
  <r>
    <n v="1538"/>
    <d v="2025-02-21T00:00:00"/>
    <x v="5"/>
    <x v="8"/>
    <s v="PUS"/>
    <s v="Business"/>
    <n v="105"/>
    <n v="502.74"/>
    <n v="32"/>
    <s v="On Time"/>
    <n v="52787.7"/>
    <s v="Feb"/>
    <n v="2025"/>
    <n v="52787.700000000004"/>
    <s v="Moderate Delay"/>
  </r>
  <r>
    <n v="1539"/>
    <d v="2025-02-27T00:00:00"/>
    <x v="3"/>
    <x v="5"/>
    <s v="MNL"/>
    <s v="Premium Economy"/>
    <n v="249"/>
    <n v="535.54"/>
    <n v="0"/>
    <s v="On Time"/>
    <n v="133349.46"/>
    <s v="Feb"/>
    <n v="2025"/>
    <n v="133349.46"/>
    <s v="On Time"/>
  </r>
  <r>
    <n v="1540"/>
    <d v="2025-07-28T00:00:00"/>
    <x v="5"/>
    <x v="5"/>
    <s v="KIX"/>
    <s v="Premium Economy"/>
    <n v="176"/>
    <n v="527.03"/>
    <n v="1"/>
    <s v="On Time"/>
    <n v="92757.28"/>
    <s v="Jul"/>
    <n v="2025"/>
    <n v="92757.28"/>
    <s v="Minor Delay"/>
  </r>
  <r>
    <n v="1541"/>
    <d v="2025-11-27T00:00:00"/>
    <x v="4"/>
    <x v="8"/>
    <s v="NRT"/>
    <s v="Premium Economy"/>
    <n v="272"/>
    <n v="453.82"/>
    <n v="0"/>
    <s v="On Time"/>
    <n v="123439.03999999999"/>
    <s v="Nov"/>
    <n v="2025"/>
    <n v="123439.03999999999"/>
    <s v="On Time"/>
  </r>
  <r>
    <n v="1542"/>
    <d v="2025-04-04T00:00:00"/>
    <x v="2"/>
    <x v="8"/>
    <s v="GMP"/>
    <s v="Economy"/>
    <n v="131"/>
    <n v="721.09"/>
    <n v="51"/>
    <s v="On Time"/>
    <n v="94462.79"/>
    <s v="Apr"/>
    <n v="2025"/>
    <n v="94462.790000000008"/>
    <s v="Moderate Delay"/>
  </r>
  <r>
    <n v="1543"/>
    <d v="2025-04-02T00:00:00"/>
    <x v="1"/>
    <x v="8"/>
    <s v="CJU"/>
    <s v="Premium Economy"/>
    <n v="222"/>
    <n v="285.43"/>
    <n v="44"/>
    <s v="On Time"/>
    <n v="63365.46"/>
    <s v="Apr"/>
    <n v="2025"/>
    <n v="63365.46"/>
    <s v="Moderate Delay"/>
  </r>
  <r>
    <n v="1544"/>
    <d v="2025-04-10T00:00:00"/>
    <x v="1"/>
    <x v="6"/>
    <s v="CJU"/>
    <s v="Economy"/>
    <n v="104"/>
    <n v="287.33"/>
    <n v="7"/>
    <s v="On Time"/>
    <n v="29882.32"/>
    <s v="Apr"/>
    <n v="2025"/>
    <n v="29882.32"/>
    <s v="Minor Delay"/>
  </r>
  <r>
    <n v="1545"/>
    <d v="2025-02-22T00:00:00"/>
    <x v="3"/>
    <x v="6"/>
    <s v="MNL"/>
    <s v="Premium Economy"/>
    <n v="287"/>
    <n v="511.05"/>
    <n v="6"/>
    <s v="On Time"/>
    <n v="146671.35"/>
    <s v="Feb"/>
    <n v="2025"/>
    <n v="146671.35"/>
    <s v="Minor Delay"/>
  </r>
  <r>
    <n v="1546"/>
    <d v="2025-03-22T00:00:00"/>
    <x v="5"/>
    <x v="1"/>
    <s v="CJU"/>
    <s v="Business"/>
    <n v="90"/>
    <n v="301"/>
    <n v="13"/>
    <s v="On Time"/>
    <n v="27090"/>
    <s v="Mar"/>
    <n v="2025"/>
    <n v="27090"/>
    <s v="Minor Delay"/>
  </r>
  <r>
    <n v="1547"/>
    <d v="2025-05-18T00:00:00"/>
    <x v="0"/>
    <x v="8"/>
    <s v="BKK"/>
    <s v="Premium Economy"/>
    <n v="170"/>
    <n v="751.4"/>
    <n v="32"/>
    <s v="On Time"/>
    <n v="127738"/>
    <s v="May"/>
    <n v="2025"/>
    <n v="127738"/>
    <s v="Moderate Delay"/>
  </r>
  <r>
    <n v="1548"/>
    <d v="2025-08-19T00:00:00"/>
    <x v="4"/>
    <x v="3"/>
    <s v="BKK"/>
    <s v="Premium Economy"/>
    <n v="194"/>
    <n v="351.22"/>
    <n v="0"/>
    <s v="On Time"/>
    <n v="68136.679999999993"/>
    <s v="Aug"/>
    <n v="2025"/>
    <n v="68136.680000000008"/>
    <s v="On Time"/>
  </r>
  <r>
    <n v="1549"/>
    <d v="2025-07-29T00:00:00"/>
    <x v="4"/>
    <x v="1"/>
    <s v="ICN"/>
    <s v="Business"/>
    <n v="256"/>
    <n v="163.55000000000001"/>
    <n v="0"/>
    <s v="Delayed"/>
    <n v="41868.800000000003"/>
    <s v="Jul"/>
    <n v="2025"/>
    <n v="41868.800000000003"/>
    <s v="On Time"/>
  </r>
  <r>
    <n v="1550"/>
    <d v="2025-12-05T00:00:00"/>
    <x v="3"/>
    <x v="2"/>
    <s v="NRT"/>
    <s v="Premium Economy"/>
    <n v="125"/>
    <n v="676.09"/>
    <n v="25"/>
    <s v="On Time"/>
    <n v="84511.25"/>
    <s v="Dec"/>
    <n v="2025"/>
    <n v="84511.25"/>
    <s v="Minor Delay"/>
  </r>
  <r>
    <n v="1551"/>
    <d v="2025-06-16T00:00:00"/>
    <x v="5"/>
    <x v="1"/>
    <s v="MNL"/>
    <s v="Business"/>
    <n v="239"/>
    <n v="207.59"/>
    <n v="26"/>
    <s v="Delayed"/>
    <n v="49614.01"/>
    <s v="Jun"/>
    <n v="2025"/>
    <n v="49614.01"/>
    <s v="Minor Delay"/>
  </r>
  <r>
    <n v="1552"/>
    <d v="2025-05-05T00:00:00"/>
    <x v="0"/>
    <x v="0"/>
    <s v="CJU"/>
    <s v="Premium Economy"/>
    <n v="235"/>
    <n v="414.97"/>
    <n v="48"/>
    <s v="On Time"/>
    <n v="97517.95"/>
    <s v="May"/>
    <n v="2025"/>
    <n v="97517.950000000012"/>
    <s v="Moderate Delay"/>
  </r>
  <r>
    <n v="1553"/>
    <d v="2025-12-04T00:00:00"/>
    <x v="2"/>
    <x v="8"/>
    <s v="ICN"/>
    <s v="Business"/>
    <n v="295"/>
    <n v="732.58"/>
    <n v="0"/>
    <s v="On Time"/>
    <n v="216111.1"/>
    <s v="Dec"/>
    <n v="2025"/>
    <n v="216111.1"/>
    <s v="On Time"/>
  </r>
  <r>
    <n v="1554"/>
    <d v="2025-02-21T00:00:00"/>
    <x v="1"/>
    <x v="1"/>
    <s v="ICN"/>
    <s v="Business"/>
    <n v="137"/>
    <n v="264.27"/>
    <n v="21"/>
    <s v="On Time"/>
    <n v="36204.99"/>
    <s v="Feb"/>
    <n v="2025"/>
    <n v="36204.99"/>
    <s v="Minor Delay"/>
  </r>
  <r>
    <n v="1555"/>
    <d v="2025-08-30T00:00:00"/>
    <x v="0"/>
    <x v="4"/>
    <s v="GMP"/>
    <s v="Business"/>
    <n v="68"/>
    <n v="300.16000000000003"/>
    <n v="24"/>
    <s v="On Time"/>
    <n v="20410.88"/>
    <s v="Aug"/>
    <n v="2025"/>
    <n v="20410.88"/>
    <s v="Minor Delay"/>
  </r>
  <r>
    <n v="1556"/>
    <d v="2025-10-21T00:00:00"/>
    <x v="0"/>
    <x v="7"/>
    <s v="KIX"/>
    <s v="Business"/>
    <n v="72"/>
    <n v="384.31"/>
    <n v="0"/>
    <s v="On Time"/>
    <n v="27670.32"/>
    <s v="Oct"/>
    <n v="2025"/>
    <n v="27670.32"/>
    <s v="On Time"/>
  </r>
  <r>
    <n v="1557"/>
    <d v="2025-10-13T00:00:00"/>
    <x v="5"/>
    <x v="6"/>
    <s v="NRT"/>
    <s v="Premium Economy"/>
    <n v="226"/>
    <n v="76.17"/>
    <n v="21"/>
    <s v="On Time"/>
    <n v="17214.419999999998"/>
    <s v="Oct"/>
    <n v="2025"/>
    <n v="17214.420000000002"/>
    <s v="Minor Delay"/>
  </r>
  <r>
    <n v="1558"/>
    <d v="2025-08-17T00:00:00"/>
    <x v="3"/>
    <x v="3"/>
    <s v="BKK"/>
    <s v="Economy"/>
    <n v="97"/>
    <n v="297.74"/>
    <n v="10"/>
    <s v="On Time"/>
    <n v="28880.78"/>
    <s v="Aug"/>
    <n v="2025"/>
    <n v="28880.780000000002"/>
    <s v="Minor Delay"/>
  </r>
  <r>
    <n v="1559"/>
    <d v="2025-04-12T00:00:00"/>
    <x v="3"/>
    <x v="3"/>
    <s v="BKK"/>
    <s v="Business"/>
    <n v="116"/>
    <n v="248.96"/>
    <n v="19"/>
    <s v="On Time"/>
    <n v="28879.360000000001"/>
    <s v="Apr"/>
    <n v="2025"/>
    <n v="28879.360000000001"/>
    <s v="Minor Delay"/>
  </r>
  <r>
    <n v="1560"/>
    <d v="2025-07-22T00:00:00"/>
    <x v="2"/>
    <x v="1"/>
    <s v="MNL"/>
    <s v="Economy"/>
    <n v="262"/>
    <n v="451.01"/>
    <n v="14"/>
    <s v="Delayed"/>
    <n v="118164.62"/>
    <s v="Jul"/>
    <n v="2025"/>
    <n v="118164.62"/>
    <s v="Minor Delay"/>
  </r>
  <r>
    <n v="1561"/>
    <d v="2025-01-09T00:00:00"/>
    <x v="5"/>
    <x v="6"/>
    <s v="KIX"/>
    <s v="Premium Economy"/>
    <n v="58"/>
    <n v="770.24"/>
    <n v="35"/>
    <s v="On Time"/>
    <n v="44673.919999999998"/>
    <s v="Jan"/>
    <n v="2025"/>
    <n v="44673.919999999998"/>
    <s v="Moderate Delay"/>
  </r>
  <r>
    <n v="1562"/>
    <d v="2025-11-21T00:00:00"/>
    <x v="1"/>
    <x v="4"/>
    <s v="BKK"/>
    <s v="Business"/>
    <n v="69"/>
    <n v="478.33"/>
    <n v="4"/>
    <s v="Delayed"/>
    <n v="33004.769999999997"/>
    <s v="Nov"/>
    <n v="2025"/>
    <n v="33004.769999999997"/>
    <s v="Minor Delay"/>
  </r>
  <r>
    <n v="1563"/>
    <d v="2025-09-20T00:00:00"/>
    <x v="1"/>
    <x v="0"/>
    <s v="PUS"/>
    <s v="Business"/>
    <n v="286"/>
    <n v="406.65"/>
    <n v="10"/>
    <s v="On Time"/>
    <n v="116301.9"/>
    <s v="Sep"/>
    <n v="2025"/>
    <n v="116301.9"/>
    <s v="Minor Delay"/>
  </r>
  <r>
    <n v="1564"/>
    <d v="2025-08-27T00:00:00"/>
    <x v="2"/>
    <x v="1"/>
    <s v="NRT"/>
    <s v="Business"/>
    <n v="88"/>
    <n v="541.33000000000004"/>
    <n v="6"/>
    <s v="On Time"/>
    <n v="47637.04"/>
    <s v="Aug"/>
    <n v="2025"/>
    <n v="47637.04"/>
    <s v="Minor Delay"/>
  </r>
  <r>
    <n v="1565"/>
    <d v="2025-09-28T00:00:00"/>
    <x v="3"/>
    <x v="3"/>
    <s v="SIN"/>
    <s v="Business"/>
    <n v="259"/>
    <n v="761.89"/>
    <n v="39"/>
    <s v="On Time"/>
    <n v="197329.51"/>
    <s v="Sep"/>
    <n v="2025"/>
    <n v="197329.51"/>
    <s v="Moderate Delay"/>
  </r>
  <r>
    <n v="1566"/>
    <d v="2025-01-05T00:00:00"/>
    <x v="0"/>
    <x v="1"/>
    <s v="ICN"/>
    <s v="Premium Economy"/>
    <n v="159"/>
    <n v="171.37"/>
    <n v="3"/>
    <s v="Delayed"/>
    <n v="27247.83"/>
    <s v="Jan"/>
    <n v="2025"/>
    <n v="27247.83"/>
    <s v="Minor Delay"/>
  </r>
  <r>
    <n v="1567"/>
    <d v="2025-12-01T00:00:00"/>
    <x v="3"/>
    <x v="3"/>
    <s v="SIN"/>
    <s v="Economy"/>
    <n v="247"/>
    <n v="667.93"/>
    <n v="67"/>
    <s v="On Time"/>
    <n v="164978.71"/>
    <s v="Dec"/>
    <n v="2025"/>
    <n v="164978.71"/>
    <s v="Major Delay"/>
  </r>
  <r>
    <n v="1568"/>
    <d v="2025-03-17T00:00:00"/>
    <x v="0"/>
    <x v="7"/>
    <s v="NRT"/>
    <s v="Premium Economy"/>
    <n v="96"/>
    <n v="134.66"/>
    <n v="0"/>
    <s v="On Time"/>
    <n v="12927.36"/>
    <s v="Mar"/>
    <n v="2025"/>
    <n v="12927.36"/>
    <s v="On Time"/>
  </r>
  <r>
    <n v="1569"/>
    <d v="2025-10-04T00:00:00"/>
    <x v="4"/>
    <x v="5"/>
    <s v="PUS"/>
    <s v="Economy"/>
    <n v="133"/>
    <n v="704.21"/>
    <n v="52"/>
    <s v="On Time"/>
    <n v="93659.93"/>
    <s v="Oct"/>
    <n v="2025"/>
    <n v="93659.930000000008"/>
    <s v="Moderate Delay"/>
  </r>
  <r>
    <n v="1570"/>
    <d v="2025-05-19T00:00:00"/>
    <x v="0"/>
    <x v="7"/>
    <s v="MNL"/>
    <s v="Economy"/>
    <n v="247"/>
    <n v="322.95999999999998"/>
    <n v="4"/>
    <s v="On Time"/>
    <n v="79771.12"/>
    <s v="May"/>
    <n v="2025"/>
    <n v="79771.12"/>
    <s v="Minor Delay"/>
  </r>
  <r>
    <n v="1571"/>
    <d v="2025-07-12T00:00:00"/>
    <x v="1"/>
    <x v="8"/>
    <s v="GMP"/>
    <s v="Premium Economy"/>
    <n v="272"/>
    <n v="610.52"/>
    <n v="18"/>
    <s v="On Time"/>
    <n v="166061.44"/>
    <s v="Jul"/>
    <n v="2025"/>
    <n v="166061.44"/>
    <s v="Minor Delay"/>
  </r>
  <r>
    <n v="1572"/>
    <d v="2025-04-16T00:00:00"/>
    <x v="2"/>
    <x v="1"/>
    <s v="PUS"/>
    <s v="Business"/>
    <n v="258"/>
    <n v="152.24"/>
    <n v="0"/>
    <s v="Delayed"/>
    <n v="39277.919999999998"/>
    <s v="Apr"/>
    <n v="2025"/>
    <n v="39277.920000000006"/>
    <s v="On Time"/>
  </r>
  <r>
    <n v="1573"/>
    <d v="2025-03-25T00:00:00"/>
    <x v="0"/>
    <x v="6"/>
    <s v="GMP"/>
    <s v="Economy"/>
    <n v="290"/>
    <n v="421.94"/>
    <n v="0"/>
    <s v="On Time"/>
    <n v="122362.6"/>
    <s v="Mar"/>
    <n v="2025"/>
    <n v="122362.6"/>
    <s v="On Time"/>
  </r>
  <r>
    <n v="1574"/>
    <d v="2025-02-16T00:00:00"/>
    <x v="5"/>
    <x v="2"/>
    <s v="NRT"/>
    <s v="Premium Economy"/>
    <n v="172"/>
    <n v="248.91"/>
    <n v="0"/>
    <s v="On Time"/>
    <n v="42812.52"/>
    <s v="Feb"/>
    <n v="2025"/>
    <n v="42812.52"/>
    <s v="On Time"/>
  </r>
  <r>
    <n v="1575"/>
    <d v="2025-01-04T00:00:00"/>
    <x v="2"/>
    <x v="8"/>
    <s v="ICN"/>
    <s v="Premium Economy"/>
    <n v="152"/>
    <n v="771.56"/>
    <n v="39"/>
    <s v="On Time"/>
    <n v="117277.12"/>
    <s v="Jan"/>
    <n v="2025"/>
    <n v="117277.12"/>
    <s v="Moderate Delay"/>
  </r>
  <r>
    <n v="1576"/>
    <d v="2025-11-30T00:00:00"/>
    <x v="4"/>
    <x v="0"/>
    <s v="MNL"/>
    <s v="Economy"/>
    <n v="229"/>
    <n v="122.49"/>
    <n v="33"/>
    <s v="On Time"/>
    <n v="28050.21"/>
    <s v="Nov"/>
    <n v="2025"/>
    <n v="28050.21"/>
    <s v="Moderate Delay"/>
  </r>
  <r>
    <n v="1577"/>
    <d v="2025-01-09T00:00:00"/>
    <x v="4"/>
    <x v="1"/>
    <s v="SIN"/>
    <s v="Business"/>
    <n v="215"/>
    <n v="724.03"/>
    <n v="66"/>
    <s v="On Time"/>
    <n v="155666.45000000001"/>
    <s v="Jan"/>
    <n v="2025"/>
    <n v="155666.44999999998"/>
    <s v="Major Delay"/>
  </r>
  <r>
    <n v="1578"/>
    <d v="2025-09-23T00:00:00"/>
    <x v="0"/>
    <x v="5"/>
    <s v="PUS"/>
    <s v="Economy"/>
    <n v="227"/>
    <n v="407.66"/>
    <n v="33"/>
    <s v="On Time"/>
    <n v="92538.82"/>
    <s v="Sep"/>
    <n v="2025"/>
    <n v="92538.82"/>
    <s v="Moderate Delay"/>
  </r>
  <r>
    <n v="1579"/>
    <d v="2025-07-10T00:00:00"/>
    <x v="5"/>
    <x v="2"/>
    <s v="KIX"/>
    <s v="Premium Economy"/>
    <n v="260"/>
    <n v="176.54"/>
    <n v="47"/>
    <s v="Delayed"/>
    <n v="45900.4"/>
    <s v="Jul"/>
    <n v="2025"/>
    <n v="45900.4"/>
    <s v="Moderate Delay"/>
  </r>
  <r>
    <n v="1580"/>
    <d v="2025-02-26T00:00:00"/>
    <x v="0"/>
    <x v="7"/>
    <s v="BKK"/>
    <s v="Economy"/>
    <n v="177"/>
    <n v="211.02"/>
    <n v="71"/>
    <s v="On Time"/>
    <n v="37350.54"/>
    <s v="Feb"/>
    <n v="2025"/>
    <n v="37350.54"/>
    <s v="Major Delay"/>
  </r>
  <r>
    <n v="1581"/>
    <d v="2025-11-15T00:00:00"/>
    <x v="4"/>
    <x v="3"/>
    <s v="NRT"/>
    <s v="Economy"/>
    <n v="250"/>
    <n v="79.11"/>
    <n v="47"/>
    <s v="On Time"/>
    <n v="19777.5"/>
    <s v="Nov"/>
    <n v="2025"/>
    <n v="19777.5"/>
    <s v="Moderate Delay"/>
  </r>
  <r>
    <n v="1582"/>
    <d v="2025-01-24T00:00:00"/>
    <x v="5"/>
    <x v="7"/>
    <s v="MNL"/>
    <s v="Premium Economy"/>
    <n v="245"/>
    <n v="502.9"/>
    <n v="25"/>
    <s v="On Time"/>
    <n v="123210.5"/>
    <s v="Jan"/>
    <n v="2025"/>
    <n v="123210.5"/>
    <s v="Minor Delay"/>
  </r>
  <r>
    <n v="1583"/>
    <d v="2025-01-08T00:00:00"/>
    <x v="4"/>
    <x v="7"/>
    <s v="GMP"/>
    <s v="Economy"/>
    <n v="73"/>
    <n v="370.71"/>
    <n v="80"/>
    <s v="On Time"/>
    <n v="27061.83"/>
    <s v="Jan"/>
    <n v="2025"/>
    <n v="27061.829999999998"/>
    <s v="Major Delay"/>
  </r>
  <r>
    <n v="1584"/>
    <d v="2025-03-10T00:00:00"/>
    <x v="5"/>
    <x v="1"/>
    <s v="SIN"/>
    <s v="Business"/>
    <n v="50"/>
    <n v="290.45999999999998"/>
    <n v="46"/>
    <s v="On Time"/>
    <n v="14523"/>
    <s v="Mar"/>
    <n v="2025"/>
    <n v="14522.999999999998"/>
    <s v="Moderate Delay"/>
  </r>
  <r>
    <n v="1585"/>
    <d v="2025-06-15T00:00:00"/>
    <x v="3"/>
    <x v="4"/>
    <s v="CJU"/>
    <s v="Business"/>
    <n v="143"/>
    <n v="768.11"/>
    <n v="14"/>
    <s v="On Time"/>
    <n v="109839.73"/>
    <s v="Jun"/>
    <n v="2025"/>
    <n v="109839.73"/>
    <s v="Minor Delay"/>
  </r>
  <r>
    <n v="1586"/>
    <d v="2025-04-23T00:00:00"/>
    <x v="5"/>
    <x v="2"/>
    <s v="CJU"/>
    <s v="Economy"/>
    <n v="256"/>
    <n v="757.29"/>
    <n v="10"/>
    <s v="On Time"/>
    <n v="193866.23999999999"/>
    <s v="Apr"/>
    <n v="2025"/>
    <n v="193866.23999999999"/>
    <s v="Minor Delay"/>
  </r>
  <r>
    <n v="1587"/>
    <d v="2025-07-26T00:00:00"/>
    <x v="4"/>
    <x v="0"/>
    <s v="CJU"/>
    <s v="Business"/>
    <n v="76"/>
    <n v="244.84"/>
    <n v="19"/>
    <s v="On Time"/>
    <n v="18607.84"/>
    <s v="Jul"/>
    <n v="2025"/>
    <n v="18607.84"/>
    <s v="Minor Delay"/>
  </r>
  <r>
    <n v="1588"/>
    <d v="2025-03-09T00:00:00"/>
    <x v="4"/>
    <x v="8"/>
    <s v="NRT"/>
    <s v="Premium Economy"/>
    <n v="145"/>
    <n v="549.29"/>
    <n v="60"/>
    <s v="On Time"/>
    <n v="79647.05"/>
    <s v="Mar"/>
    <n v="2025"/>
    <n v="79647.049999999988"/>
    <s v="Moderate Delay"/>
  </r>
  <r>
    <n v="1589"/>
    <d v="2025-11-20T00:00:00"/>
    <x v="1"/>
    <x v="5"/>
    <s v="MNL"/>
    <s v="Economy"/>
    <n v="300"/>
    <n v="194.81"/>
    <n v="24"/>
    <s v="On Time"/>
    <n v="58443"/>
    <s v="Nov"/>
    <n v="2025"/>
    <n v="58443"/>
    <s v="Minor Delay"/>
  </r>
  <r>
    <n v="1590"/>
    <d v="2025-06-15T00:00:00"/>
    <x v="1"/>
    <x v="7"/>
    <s v="MNL"/>
    <s v="Business"/>
    <n v="173"/>
    <n v="418.05"/>
    <n v="25"/>
    <s v="On Time"/>
    <n v="72322.649999999994"/>
    <s v="Jun"/>
    <n v="2025"/>
    <n v="72322.650000000009"/>
    <s v="Minor Delay"/>
  </r>
  <r>
    <n v="1591"/>
    <d v="2025-04-20T00:00:00"/>
    <x v="2"/>
    <x v="1"/>
    <s v="SIN"/>
    <s v="Business"/>
    <n v="117"/>
    <n v="463.95"/>
    <n v="34"/>
    <s v="On Time"/>
    <n v="54282.15"/>
    <s v="Apr"/>
    <n v="2025"/>
    <n v="54282.15"/>
    <s v="Moderate Delay"/>
  </r>
  <r>
    <n v="1592"/>
    <d v="2025-04-06T00:00:00"/>
    <x v="4"/>
    <x v="3"/>
    <s v="BKK"/>
    <s v="Premium Economy"/>
    <n v="256"/>
    <n v="705.26"/>
    <n v="33"/>
    <s v="On Time"/>
    <n v="180546.56"/>
    <s v="Apr"/>
    <n v="2025"/>
    <n v="180546.56"/>
    <s v="Moderate Delay"/>
  </r>
  <r>
    <n v="1593"/>
    <d v="2025-12-09T00:00:00"/>
    <x v="4"/>
    <x v="8"/>
    <s v="GMP"/>
    <s v="Business"/>
    <n v="117"/>
    <n v="106.71"/>
    <n v="0"/>
    <s v="Delayed"/>
    <n v="12485.07"/>
    <s v="Dec"/>
    <n v="2025"/>
    <n v="12485.07"/>
    <s v="On Time"/>
  </r>
  <r>
    <n v="1594"/>
    <d v="2025-04-27T00:00:00"/>
    <x v="2"/>
    <x v="7"/>
    <s v="GMP"/>
    <s v="Economy"/>
    <n v="80"/>
    <n v="467.34"/>
    <n v="46"/>
    <s v="On Time"/>
    <n v="37387.199999999997"/>
    <s v="Apr"/>
    <n v="2025"/>
    <n v="37387.199999999997"/>
    <s v="Moderate Delay"/>
  </r>
  <r>
    <n v="1595"/>
    <d v="2025-08-20T00:00:00"/>
    <x v="2"/>
    <x v="3"/>
    <s v="NRT"/>
    <s v="Business"/>
    <n v="290"/>
    <n v="121.4"/>
    <n v="39"/>
    <s v="On Time"/>
    <n v="35206"/>
    <s v="Aug"/>
    <n v="2025"/>
    <n v="35206"/>
    <s v="Moderate Delay"/>
  </r>
  <r>
    <n v="1596"/>
    <d v="2025-03-14T00:00:00"/>
    <x v="3"/>
    <x v="6"/>
    <s v="PUS"/>
    <s v="Economy"/>
    <n v="248"/>
    <n v="72.37"/>
    <n v="0"/>
    <s v="On Time"/>
    <n v="17947.759999999998"/>
    <s v="Mar"/>
    <n v="2025"/>
    <n v="17947.760000000002"/>
    <s v="On Time"/>
  </r>
  <r>
    <n v="1597"/>
    <d v="2025-10-16T00:00:00"/>
    <x v="5"/>
    <x v="3"/>
    <s v="CJU"/>
    <s v="Business"/>
    <n v="62"/>
    <n v="652.19000000000005"/>
    <n v="8"/>
    <s v="Delayed"/>
    <n v="40435.78"/>
    <s v="Oct"/>
    <n v="2025"/>
    <n v="40435.780000000006"/>
    <s v="Minor Delay"/>
  </r>
  <r>
    <n v="1598"/>
    <d v="2025-07-11T00:00:00"/>
    <x v="0"/>
    <x v="6"/>
    <s v="CJU"/>
    <s v="Economy"/>
    <n v="224"/>
    <n v="182.57"/>
    <n v="33"/>
    <s v="On Time"/>
    <n v="40895.68"/>
    <s v="Jul"/>
    <n v="2025"/>
    <n v="40895.68"/>
    <s v="Moderate Delay"/>
  </r>
  <r>
    <n v="1599"/>
    <d v="2025-10-04T00:00:00"/>
    <x v="5"/>
    <x v="2"/>
    <s v="CJU"/>
    <s v="Premium Economy"/>
    <n v="269"/>
    <n v="209.63"/>
    <n v="82"/>
    <s v="On Time"/>
    <n v="56390.47"/>
    <s v="Oct"/>
    <n v="2025"/>
    <n v="56390.47"/>
    <s v="Major Delay"/>
  </r>
  <r>
    <n v="1600"/>
    <d v="2025-09-01T00:00:00"/>
    <x v="2"/>
    <x v="1"/>
    <s v="MNL"/>
    <s v="Premium Economy"/>
    <n v="84"/>
    <n v="593.95000000000005"/>
    <n v="39"/>
    <s v="On Time"/>
    <n v="49891.8"/>
    <s v="Sep"/>
    <n v="2025"/>
    <n v="49891.8"/>
    <s v="Moderate Delay"/>
  </r>
  <r>
    <n v="1601"/>
    <d v="2025-12-29T00:00:00"/>
    <x v="5"/>
    <x v="0"/>
    <s v="KIX"/>
    <s v="Business"/>
    <n v="129"/>
    <n v="214.48"/>
    <n v="16"/>
    <s v="On Time"/>
    <n v="27667.919999999998"/>
    <s v="Dec"/>
    <n v="2025"/>
    <n v="27667.919999999998"/>
    <s v="Minor Delay"/>
  </r>
  <r>
    <n v="1602"/>
    <d v="2025-03-15T00:00:00"/>
    <x v="2"/>
    <x v="1"/>
    <s v="CJU"/>
    <s v="Economy"/>
    <n v="245"/>
    <n v="779.35"/>
    <n v="0"/>
    <s v="Delayed"/>
    <n v="190940.75"/>
    <s v="Mar"/>
    <n v="2025"/>
    <n v="190940.75"/>
    <s v="On Time"/>
  </r>
  <r>
    <n v="1603"/>
    <d v="2025-03-23T00:00:00"/>
    <x v="3"/>
    <x v="2"/>
    <s v="MNL"/>
    <s v="Premium Economy"/>
    <n v="150"/>
    <n v="497.65"/>
    <n v="20"/>
    <s v="On Time"/>
    <n v="74647.5"/>
    <s v="Mar"/>
    <n v="2025"/>
    <n v="74647.5"/>
    <s v="Minor Delay"/>
  </r>
  <r>
    <n v="1604"/>
    <d v="2025-07-25T00:00:00"/>
    <x v="1"/>
    <x v="4"/>
    <s v="CJU"/>
    <s v="Business"/>
    <n v="239"/>
    <n v="493.59"/>
    <n v="43"/>
    <s v="On Time"/>
    <n v="117968.01"/>
    <s v="Jul"/>
    <n v="2025"/>
    <n v="117968.01"/>
    <s v="Moderate Delay"/>
  </r>
  <r>
    <n v="1605"/>
    <d v="2025-03-14T00:00:00"/>
    <x v="3"/>
    <x v="2"/>
    <s v="SIN"/>
    <s v="Premium Economy"/>
    <n v="244"/>
    <n v="302.33"/>
    <n v="0"/>
    <s v="On Time"/>
    <n v="73768.52"/>
    <s v="Mar"/>
    <n v="2025"/>
    <n v="73768.51999999999"/>
    <s v="On Time"/>
  </r>
  <r>
    <n v="1606"/>
    <d v="2025-12-05T00:00:00"/>
    <x v="2"/>
    <x v="8"/>
    <s v="PUS"/>
    <s v="Premium Economy"/>
    <n v="260"/>
    <n v="152.4"/>
    <n v="0"/>
    <s v="On Time"/>
    <n v="39624"/>
    <s v="Dec"/>
    <n v="2025"/>
    <n v="39624"/>
    <s v="On Time"/>
  </r>
  <r>
    <n v="1607"/>
    <d v="2025-02-06T00:00:00"/>
    <x v="3"/>
    <x v="8"/>
    <s v="CJU"/>
    <s v="Premium Economy"/>
    <n v="274"/>
    <n v="261.36"/>
    <n v="44"/>
    <s v="Delayed"/>
    <n v="71612.639999999999"/>
    <s v="Feb"/>
    <n v="2025"/>
    <n v="71612.639999999999"/>
    <s v="Moderate Delay"/>
  </r>
  <r>
    <n v="1608"/>
    <d v="2025-08-07T00:00:00"/>
    <x v="5"/>
    <x v="0"/>
    <s v="SIN"/>
    <s v="Economy"/>
    <n v="274"/>
    <n v="585.22"/>
    <n v="18"/>
    <s v="Delayed"/>
    <n v="160350.28"/>
    <s v="Aug"/>
    <n v="2025"/>
    <n v="160350.28"/>
    <s v="Minor Delay"/>
  </r>
  <r>
    <n v="1609"/>
    <d v="2025-04-26T00:00:00"/>
    <x v="5"/>
    <x v="8"/>
    <s v="NRT"/>
    <s v="Economy"/>
    <n v="72"/>
    <n v="798.23"/>
    <n v="0"/>
    <s v="On Time"/>
    <n v="57472.56"/>
    <s v="Apr"/>
    <n v="2025"/>
    <n v="57472.56"/>
    <s v="On Time"/>
  </r>
  <r>
    <n v="1610"/>
    <d v="2025-08-04T00:00:00"/>
    <x v="1"/>
    <x v="8"/>
    <s v="BKK"/>
    <s v="Business"/>
    <n v="76"/>
    <n v="700.22"/>
    <n v="0"/>
    <s v="On Time"/>
    <n v="53216.72"/>
    <s v="Aug"/>
    <n v="2025"/>
    <n v="53216.72"/>
    <s v="On Time"/>
  </r>
  <r>
    <n v="1611"/>
    <d v="2025-11-24T00:00:00"/>
    <x v="5"/>
    <x v="4"/>
    <s v="KIX"/>
    <s v="Premium Economy"/>
    <n v="157"/>
    <n v="553.55999999999995"/>
    <n v="19"/>
    <s v="On Time"/>
    <n v="86908.92"/>
    <s v="Nov"/>
    <n v="2025"/>
    <n v="86908.92"/>
    <s v="Minor Delay"/>
  </r>
  <r>
    <n v="1612"/>
    <d v="2025-10-27T00:00:00"/>
    <x v="2"/>
    <x v="8"/>
    <s v="PUS"/>
    <s v="Economy"/>
    <n v="201"/>
    <n v="380.99"/>
    <n v="43"/>
    <s v="On Time"/>
    <n v="76578.990000000005"/>
    <s v="Oct"/>
    <n v="2025"/>
    <n v="76578.990000000005"/>
    <s v="Moderate Delay"/>
  </r>
  <r>
    <n v="1613"/>
    <d v="2025-11-07T00:00:00"/>
    <x v="5"/>
    <x v="8"/>
    <s v="BKK"/>
    <s v="Business"/>
    <n v="147"/>
    <n v="91.15"/>
    <n v="57"/>
    <s v="On Time"/>
    <n v="13399.05"/>
    <s v="Nov"/>
    <n v="2025"/>
    <n v="13399.050000000001"/>
    <s v="Moderate Delay"/>
  </r>
  <r>
    <n v="1614"/>
    <d v="2025-03-02T00:00:00"/>
    <x v="0"/>
    <x v="0"/>
    <s v="CJU"/>
    <s v="Premium Economy"/>
    <n v="198"/>
    <n v="557.73"/>
    <n v="49"/>
    <s v="Delayed"/>
    <n v="110430.54"/>
    <s v="Mar"/>
    <n v="2025"/>
    <n v="110430.54000000001"/>
    <s v="Moderate Delay"/>
  </r>
  <r>
    <n v="1615"/>
    <d v="2025-01-21T00:00:00"/>
    <x v="4"/>
    <x v="1"/>
    <s v="MNL"/>
    <s v="Business"/>
    <n v="251"/>
    <n v="385.78"/>
    <n v="0"/>
    <s v="On Time"/>
    <n v="96830.78"/>
    <s v="Jan"/>
    <n v="2025"/>
    <n v="96830.78"/>
    <s v="On Time"/>
  </r>
  <r>
    <n v="1616"/>
    <d v="2025-12-09T00:00:00"/>
    <x v="1"/>
    <x v="1"/>
    <s v="MNL"/>
    <s v="Economy"/>
    <n v="195"/>
    <n v="193.75"/>
    <n v="32"/>
    <s v="On Time"/>
    <n v="37781.25"/>
    <s v="Dec"/>
    <n v="2025"/>
    <n v="37781.25"/>
    <s v="Moderate Delay"/>
  </r>
  <r>
    <n v="1617"/>
    <d v="2025-05-30T00:00:00"/>
    <x v="2"/>
    <x v="3"/>
    <s v="GMP"/>
    <s v="Economy"/>
    <n v="236"/>
    <n v="397.9"/>
    <n v="38"/>
    <s v="On Time"/>
    <n v="93904.4"/>
    <s v="May"/>
    <n v="2025"/>
    <n v="93904.4"/>
    <s v="Moderate Delay"/>
  </r>
  <r>
    <n v="1618"/>
    <d v="2025-05-22T00:00:00"/>
    <x v="2"/>
    <x v="3"/>
    <s v="PUS"/>
    <s v="Economy"/>
    <n v="133"/>
    <n v="399.07"/>
    <n v="5"/>
    <s v="Cancelled"/>
    <n v="53076.31"/>
    <s v="May"/>
    <n v="2025"/>
    <n v="53076.31"/>
    <s v="Minor Delay"/>
  </r>
  <r>
    <n v="1619"/>
    <d v="2025-04-18T00:00:00"/>
    <x v="5"/>
    <x v="4"/>
    <s v="CJU"/>
    <s v="Business"/>
    <n v="215"/>
    <n v="298.19"/>
    <n v="1"/>
    <s v="Delayed"/>
    <n v="64110.85"/>
    <s v="Apr"/>
    <n v="2025"/>
    <n v="64110.85"/>
    <s v="Minor Delay"/>
  </r>
  <r>
    <n v="1620"/>
    <d v="2025-06-20T00:00:00"/>
    <x v="4"/>
    <x v="8"/>
    <s v="GMP"/>
    <s v="Business"/>
    <n v="187"/>
    <n v="607.5"/>
    <n v="33"/>
    <s v="Delayed"/>
    <n v="113602.5"/>
    <s v="Jun"/>
    <n v="2025"/>
    <n v="113602.5"/>
    <s v="Moderate Delay"/>
  </r>
  <r>
    <n v="1621"/>
    <d v="2025-06-06T00:00:00"/>
    <x v="1"/>
    <x v="2"/>
    <s v="BKK"/>
    <s v="Business"/>
    <n v="73"/>
    <n v="533.19000000000005"/>
    <n v="8"/>
    <s v="On Time"/>
    <n v="38922.870000000003"/>
    <s v="Jun"/>
    <n v="2025"/>
    <n v="38922.870000000003"/>
    <s v="Minor Delay"/>
  </r>
  <r>
    <n v="1622"/>
    <d v="2025-05-16T00:00:00"/>
    <x v="3"/>
    <x v="1"/>
    <s v="PUS"/>
    <s v="Premium Economy"/>
    <n v="139"/>
    <n v="309.38"/>
    <n v="47"/>
    <s v="On Time"/>
    <n v="43003.82"/>
    <s v="May"/>
    <n v="2025"/>
    <n v="43003.82"/>
    <s v="Moderate Delay"/>
  </r>
  <r>
    <n v="1623"/>
    <d v="2025-03-28T00:00:00"/>
    <x v="4"/>
    <x v="3"/>
    <s v="CJU"/>
    <s v="Economy"/>
    <n v="78"/>
    <n v="200.44"/>
    <n v="8"/>
    <s v="On Time"/>
    <n v="15634.32"/>
    <s v="Mar"/>
    <n v="2025"/>
    <n v="15634.32"/>
    <s v="Minor Delay"/>
  </r>
  <r>
    <n v="1624"/>
    <d v="2025-07-23T00:00:00"/>
    <x v="5"/>
    <x v="4"/>
    <s v="CJU"/>
    <s v="Business"/>
    <n v="69"/>
    <n v="206.98"/>
    <n v="47"/>
    <s v="On Time"/>
    <n v="14281.62"/>
    <s v="Jul"/>
    <n v="2025"/>
    <n v="14281.619999999999"/>
    <s v="Moderate Delay"/>
  </r>
  <r>
    <n v="1625"/>
    <d v="2025-03-16T00:00:00"/>
    <x v="3"/>
    <x v="1"/>
    <s v="NRT"/>
    <s v="Premium Economy"/>
    <n v="186"/>
    <n v="321.81"/>
    <n v="36"/>
    <s v="Delayed"/>
    <n v="59856.66"/>
    <s v="Mar"/>
    <n v="2025"/>
    <n v="59856.66"/>
    <s v="Moderate Delay"/>
  </r>
  <r>
    <n v="1626"/>
    <d v="2025-06-15T00:00:00"/>
    <x v="0"/>
    <x v="4"/>
    <s v="GMP"/>
    <s v="Premium Economy"/>
    <n v="261"/>
    <n v="90.17"/>
    <n v="38"/>
    <s v="On Time"/>
    <n v="23534.37"/>
    <s v="Jun"/>
    <n v="2025"/>
    <n v="23534.37"/>
    <s v="Moderate Delay"/>
  </r>
  <r>
    <n v="1627"/>
    <d v="2025-09-11T00:00:00"/>
    <x v="0"/>
    <x v="4"/>
    <s v="ICN"/>
    <s v="Business"/>
    <n v="106"/>
    <n v="241.56"/>
    <n v="25"/>
    <s v="On Time"/>
    <n v="25605.360000000001"/>
    <s v="Sep"/>
    <n v="2025"/>
    <n v="25605.360000000001"/>
    <s v="Minor Delay"/>
  </r>
  <r>
    <n v="1628"/>
    <d v="2025-05-05T00:00:00"/>
    <x v="1"/>
    <x v="5"/>
    <s v="KIX"/>
    <s v="Business"/>
    <n v="173"/>
    <n v="680.07"/>
    <n v="55"/>
    <s v="On Time"/>
    <n v="117652.11"/>
    <s v="May"/>
    <n v="2025"/>
    <n v="117652.11000000002"/>
    <s v="Moderate Delay"/>
  </r>
  <r>
    <n v="1629"/>
    <d v="2025-07-31T00:00:00"/>
    <x v="0"/>
    <x v="6"/>
    <s v="PUS"/>
    <s v="Business"/>
    <n v="198"/>
    <n v="355.72"/>
    <n v="0"/>
    <s v="On Time"/>
    <n v="70432.56"/>
    <s v="Jul"/>
    <n v="2025"/>
    <n v="70432.560000000012"/>
    <s v="On Time"/>
  </r>
  <r>
    <n v="1630"/>
    <d v="2025-05-15T00:00:00"/>
    <x v="2"/>
    <x v="4"/>
    <s v="BKK"/>
    <s v="Premium Economy"/>
    <n v="143"/>
    <n v="726.04"/>
    <n v="0"/>
    <s v="Delayed"/>
    <n v="103823.72"/>
    <s v="May"/>
    <n v="2025"/>
    <n v="103823.72"/>
    <s v="On Time"/>
  </r>
  <r>
    <n v="1631"/>
    <d v="2025-02-09T00:00:00"/>
    <x v="3"/>
    <x v="3"/>
    <s v="BKK"/>
    <s v="Economy"/>
    <n v="132"/>
    <n v="696.36"/>
    <n v="38"/>
    <s v="On Time"/>
    <n v="91919.52"/>
    <s v="Feb"/>
    <n v="2025"/>
    <n v="91919.52"/>
    <s v="Moderate Delay"/>
  </r>
  <r>
    <n v="1632"/>
    <d v="2025-09-17T00:00:00"/>
    <x v="3"/>
    <x v="7"/>
    <s v="GMP"/>
    <s v="Premium Economy"/>
    <n v="187"/>
    <n v="291.98"/>
    <n v="18"/>
    <s v="Delayed"/>
    <n v="54600.26"/>
    <s v="Sep"/>
    <n v="2025"/>
    <n v="54600.26"/>
    <s v="Minor Delay"/>
  </r>
  <r>
    <n v="1633"/>
    <d v="2025-12-26T00:00:00"/>
    <x v="3"/>
    <x v="2"/>
    <s v="BKK"/>
    <s v="Business"/>
    <n v="260"/>
    <n v="788.96"/>
    <n v="0"/>
    <s v="On Time"/>
    <n v="205129.60000000001"/>
    <s v="Dec"/>
    <n v="2025"/>
    <n v="205129.60000000001"/>
    <s v="On Time"/>
  </r>
  <r>
    <n v="1634"/>
    <d v="2025-10-30T00:00:00"/>
    <x v="2"/>
    <x v="8"/>
    <s v="SIN"/>
    <s v="Economy"/>
    <n v="294"/>
    <n v="796.88"/>
    <n v="27"/>
    <s v="On Time"/>
    <n v="234282.72"/>
    <s v="Oct"/>
    <n v="2025"/>
    <n v="234282.72"/>
    <s v="Minor Delay"/>
  </r>
  <r>
    <n v="1635"/>
    <d v="2025-06-27T00:00:00"/>
    <x v="2"/>
    <x v="8"/>
    <s v="ICN"/>
    <s v="Business"/>
    <n v="87"/>
    <n v="107.19"/>
    <n v="0"/>
    <s v="On Time"/>
    <n v="9325.5300000000007"/>
    <s v="Jun"/>
    <n v="2025"/>
    <n v="9325.5300000000007"/>
    <s v="On Time"/>
  </r>
  <r>
    <n v="1636"/>
    <d v="2025-11-03T00:00:00"/>
    <x v="2"/>
    <x v="4"/>
    <s v="ICN"/>
    <s v="Premium Economy"/>
    <n v="230"/>
    <n v="625.63"/>
    <n v="69"/>
    <s v="On Time"/>
    <n v="143894.9"/>
    <s v="Nov"/>
    <n v="2025"/>
    <n v="143894.9"/>
    <s v="Major Delay"/>
  </r>
  <r>
    <n v="1637"/>
    <d v="2025-12-05T00:00:00"/>
    <x v="2"/>
    <x v="1"/>
    <s v="PUS"/>
    <s v="Premium Economy"/>
    <n v="187"/>
    <n v="575.92999999999995"/>
    <n v="13"/>
    <s v="On Time"/>
    <n v="107698.91"/>
    <s v="Dec"/>
    <n v="2025"/>
    <n v="107698.90999999999"/>
    <s v="Minor Delay"/>
  </r>
  <r>
    <n v="1638"/>
    <d v="2025-03-15T00:00:00"/>
    <x v="5"/>
    <x v="6"/>
    <s v="BKK"/>
    <s v="Business"/>
    <n v="200"/>
    <n v="292.7"/>
    <n v="37"/>
    <s v="On Time"/>
    <n v="58540"/>
    <s v="Mar"/>
    <n v="2025"/>
    <n v="58540"/>
    <s v="Moderate Delay"/>
  </r>
  <r>
    <n v="1639"/>
    <d v="2025-10-28T00:00:00"/>
    <x v="1"/>
    <x v="5"/>
    <s v="BKK"/>
    <s v="Economy"/>
    <n v="207"/>
    <n v="107.09"/>
    <n v="7"/>
    <s v="On Time"/>
    <n v="22167.63"/>
    <s v="Oct"/>
    <n v="2025"/>
    <n v="22167.63"/>
    <s v="Minor Delay"/>
  </r>
  <r>
    <n v="1640"/>
    <d v="2025-01-16T00:00:00"/>
    <x v="3"/>
    <x v="7"/>
    <s v="PUS"/>
    <s v="Premium Economy"/>
    <n v="236"/>
    <n v="148.43"/>
    <n v="27"/>
    <s v="On Time"/>
    <n v="35029.480000000003"/>
    <s v="Jan"/>
    <n v="2025"/>
    <n v="35029.480000000003"/>
    <s v="Minor Delay"/>
  </r>
  <r>
    <n v="1641"/>
    <d v="2025-07-28T00:00:00"/>
    <x v="2"/>
    <x v="1"/>
    <s v="MNL"/>
    <s v="Business"/>
    <n v="171"/>
    <n v="162.5"/>
    <n v="13"/>
    <s v="On Time"/>
    <n v="27787.5"/>
    <s v="Jul"/>
    <n v="2025"/>
    <n v="27787.5"/>
    <s v="Minor Delay"/>
  </r>
  <r>
    <n v="1642"/>
    <d v="2025-09-13T00:00:00"/>
    <x v="1"/>
    <x v="1"/>
    <s v="NRT"/>
    <s v="Economy"/>
    <n v="116"/>
    <n v="357.06"/>
    <n v="29"/>
    <s v="On Time"/>
    <n v="41418.959999999999"/>
    <s v="Sep"/>
    <n v="2025"/>
    <n v="41418.959999999999"/>
    <s v="Minor Delay"/>
  </r>
  <r>
    <n v="1643"/>
    <d v="2025-08-20T00:00:00"/>
    <x v="1"/>
    <x v="0"/>
    <s v="BKK"/>
    <s v="Business"/>
    <n v="115"/>
    <n v="75.099999999999994"/>
    <n v="0"/>
    <s v="On Time"/>
    <n v="8636.5"/>
    <s v="Aug"/>
    <n v="2025"/>
    <n v="8636.5"/>
    <s v="On Time"/>
  </r>
  <r>
    <n v="1644"/>
    <d v="2025-03-28T00:00:00"/>
    <x v="1"/>
    <x v="3"/>
    <s v="GMP"/>
    <s v="Business"/>
    <n v="53"/>
    <n v="63.45"/>
    <n v="0"/>
    <s v="On Time"/>
    <n v="3362.85"/>
    <s v="Mar"/>
    <n v="2025"/>
    <n v="3362.8500000000004"/>
    <s v="On Time"/>
  </r>
  <r>
    <n v="1645"/>
    <d v="2025-02-05T00:00:00"/>
    <x v="0"/>
    <x v="5"/>
    <s v="BKK"/>
    <s v="Economy"/>
    <n v="212"/>
    <n v="519.45000000000005"/>
    <n v="27"/>
    <s v="On Time"/>
    <n v="110123.4"/>
    <s v="Feb"/>
    <n v="2025"/>
    <n v="110123.40000000001"/>
    <s v="Minor Delay"/>
  </r>
  <r>
    <n v="1646"/>
    <d v="2025-10-21T00:00:00"/>
    <x v="0"/>
    <x v="7"/>
    <s v="BKK"/>
    <s v="Premium Economy"/>
    <n v="230"/>
    <n v="686.02"/>
    <n v="35"/>
    <s v="On Time"/>
    <n v="157784.6"/>
    <s v="Oct"/>
    <n v="2025"/>
    <n v="157784.6"/>
    <s v="Moderate Delay"/>
  </r>
  <r>
    <n v="1647"/>
    <d v="2025-08-16T00:00:00"/>
    <x v="1"/>
    <x v="6"/>
    <s v="CJU"/>
    <s v="Business"/>
    <n v="59"/>
    <n v="752.12"/>
    <n v="53"/>
    <s v="On Time"/>
    <n v="44375.08"/>
    <s v="Aug"/>
    <n v="2025"/>
    <n v="44375.08"/>
    <s v="Moderate Delay"/>
  </r>
  <r>
    <n v="1648"/>
    <d v="2025-02-25T00:00:00"/>
    <x v="4"/>
    <x v="4"/>
    <s v="KIX"/>
    <s v="Business"/>
    <n v="96"/>
    <n v="496.68"/>
    <n v="0"/>
    <s v="On Time"/>
    <n v="47681.279999999999"/>
    <s v="Feb"/>
    <n v="2025"/>
    <n v="47681.279999999999"/>
    <s v="On Time"/>
  </r>
  <r>
    <n v="1649"/>
    <d v="2025-04-09T00:00:00"/>
    <x v="5"/>
    <x v="0"/>
    <s v="SIN"/>
    <s v="Economy"/>
    <n v="206"/>
    <n v="740.8"/>
    <n v="73"/>
    <s v="On Time"/>
    <n v="152604.79999999999"/>
    <s v="Apr"/>
    <n v="2025"/>
    <n v="152604.79999999999"/>
    <s v="Major Delay"/>
  </r>
  <r>
    <n v="1650"/>
    <d v="2025-03-01T00:00:00"/>
    <x v="3"/>
    <x v="1"/>
    <s v="SIN"/>
    <s v="Business"/>
    <n v="66"/>
    <n v="310.37"/>
    <n v="0"/>
    <s v="On Time"/>
    <n v="20484.419999999998"/>
    <s v="Mar"/>
    <n v="2025"/>
    <n v="20484.420000000002"/>
    <s v="On Time"/>
  </r>
  <r>
    <n v="1651"/>
    <d v="2025-04-07T00:00:00"/>
    <x v="2"/>
    <x v="2"/>
    <s v="SIN"/>
    <s v="Economy"/>
    <n v="141"/>
    <n v="103.38"/>
    <n v="48"/>
    <s v="Delayed"/>
    <n v="14576.58"/>
    <s v="Apr"/>
    <n v="2025"/>
    <n v="14576.58"/>
    <s v="Moderate Delay"/>
  </r>
  <r>
    <n v="1652"/>
    <d v="2025-12-06T00:00:00"/>
    <x v="3"/>
    <x v="0"/>
    <s v="CJU"/>
    <s v="Premium Economy"/>
    <n v="283"/>
    <n v="450.23"/>
    <n v="16"/>
    <s v="On Time"/>
    <n v="127415.09"/>
    <s v="Dec"/>
    <n v="2025"/>
    <n v="127415.09000000001"/>
    <s v="Minor Delay"/>
  </r>
  <r>
    <n v="1653"/>
    <d v="2025-10-07T00:00:00"/>
    <x v="3"/>
    <x v="6"/>
    <s v="BKK"/>
    <s v="Economy"/>
    <n v="122"/>
    <n v="297.02999999999997"/>
    <n v="4"/>
    <s v="Delayed"/>
    <n v="36237.660000000003"/>
    <s v="Oct"/>
    <n v="2025"/>
    <n v="36237.659999999996"/>
    <s v="Minor Delay"/>
  </r>
  <r>
    <n v="1654"/>
    <d v="2025-08-11T00:00:00"/>
    <x v="2"/>
    <x v="1"/>
    <s v="MNL"/>
    <s v="Economy"/>
    <n v="175"/>
    <n v="77.64"/>
    <n v="25"/>
    <s v="On Time"/>
    <n v="13587"/>
    <s v="Aug"/>
    <n v="2025"/>
    <n v="13587"/>
    <s v="Minor Delay"/>
  </r>
  <r>
    <n v="1655"/>
    <d v="2025-11-09T00:00:00"/>
    <x v="2"/>
    <x v="6"/>
    <s v="MNL"/>
    <s v="Premium Economy"/>
    <n v="177"/>
    <n v="794.29"/>
    <n v="25"/>
    <s v="On Time"/>
    <n v="140589.32999999999"/>
    <s v="Nov"/>
    <n v="2025"/>
    <n v="140589.32999999999"/>
    <s v="Minor Delay"/>
  </r>
  <r>
    <n v="1656"/>
    <d v="2025-04-07T00:00:00"/>
    <x v="1"/>
    <x v="6"/>
    <s v="ICN"/>
    <s v="Premium Economy"/>
    <n v="278"/>
    <n v="494.73"/>
    <n v="0"/>
    <s v="Delayed"/>
    <n v="137534.94"/>
    <s v="Apr"/>
    <n v="2025"/>
    <n v="137534.94"/>
    <s v="On Time"/>
  </r>
  <r>
    <n v="1657"/>
    <d v="2025-11-25T00:00:00"/>
    <x v="4"/>
    <x v="6"/>
    <s v="CJU"/>
    <s v="Business"/>
    <n v="62"/>
    <n v="455.38"/>
    <n v="40"/>
    <s v="On Time"/>
    <n v="28233.56"/>
    <s v="Nov"/>
    <n v="2025"/>
    <n v="28233.56"/>
    <s v="Moderate Delay"/>
  </r>
  <r>
    <n v="1658"/>
    <d v="2025-12-17T00:00:00"/>
    <x v="2"/>
    <x v="6"/>
    <s v="ICN"/>
    <s v="Business"/>
    <n v="180"/>
    <n v="447.75"/>
    <n v="26"/>
    <s v="On Time"/>
    <n v="80595"/>
    <s v="Dec"/>
    <n v="2025"/>
    <n v="80595"/>
    <s v="Minor Delay"/>
  </r>
  <r>
    <n v="1659"/>
    <d v="2025-04-20T00:00:00"/>
    <x v="1"/>
    <x v="3"/>
    <s v="ICN"/>
    <s v="Premium Economy"/>
    <n v="293"/>
    <n v="197.42"/>
    <n v="23"/>
    <s v="On Time"/>
    <n v="57844.06"/>
    <s v="Apr"/>
    <n v="2025"/>
    <n v="57844.06"/>
    <s v="Minor Delay"/>
  </r>
  <r>
    <n v="1660"/>
    <d v="2025-10-20T00:00:00"/>
    <x v="3"/>
    <x v="8"/>
    <s v="PUS"/>
    <s v="Business"/>
    <n v="53"/>
    <n v="93.47"/>
    <n v="41"/>
    <s v="On Time"/>
    <n v="4953.91"/>
    <s v="Oct"/>
    <n v="2025"/>
    <n v="4953.91"/>
    <s v="Moderate Delay"/>
  </r>
  <r>
    <n v="1661"/>
    <d v="2025-01-03T00:00:00"/>
    <x v="0"/>
    <x v="0"/>
    <s v="KIX"/>
    <s v="Business"/>
    <n v="258"/>
    <n v="737.28"/>
    <n v="12"/>
    <s v="On Time"/>
    <n v="190218.23999999999"/>
    <s v="Jan"/>
    <n v="2025"/>
    <n v="190218.23999999999"/>
    <s v="Minor Delay"/>
  </r>
  <r>
    <n v="1662"/>
    <d v="2025-07-25T00:00:00"/>
    <x v="1"/>
    <x v="2"/>
    <s v="BKK"/>
    <s v="Economy"/>
    <n v="86"/>
    <n v="503.08"/>
    <n v="33"/>
    <s v="On Time"/>
    <n v="43264.88"/>
    <s v="Jul"/>
    <n v="2025"/>
    <n v="43264.88"/>
    <s v="Moderate Delay"/>
  </r>
  <r>
    <n v="1663"/>
    <d v="2025-12-15T00:00:00"/>
    <x v="5"/>
    <x v="4"/>
    <s v="MNL"/>
    <s v="Business"/>
    <n v="271"/>
    <n v="727.54"/>
    <n v="0"/>
    <s v="On Time"/>
    <n v="197163.34"/>
    <s v="Dec"/>
    <n v="2025"/>
    <n v="197163.34"/>
    <s v="On Time"/>
  </r>
  <r>
    <n v="1664"/>
    <d v="2025-12-20T00:00:00"/>
    <x v="1"/>
    <x v="4"/>
    <s v="MNL"/>
    <s v="Premium Economy"/>
    <n v="260"/>
    <n v="366.09"/>
    <n v="75"/>
    <s v="On Time"/>
    <n v="95183.4"/>
    <s v="Dec"/>
    <n v="2025"/>
    <n v="95183.4"/>
    <s v="Major Delay"/>
  </r>
  <r>
    <n v="1665"/>
    <d v="2025-05-10T00:00:00"/>
    <x v="5"/>
    <x v="2"/>
    <s v="SIN"/>
    <s v="Economy"/>
    <n v="210"/>
    <n v="572.47"/>
    <n v="61"/>
    <s v="On Time"/>
    <n v="120218.7"/>
    <s v="May"/>
    <n v="2025"/>
    <n v="120218.70000000001"/>
    <s v="Major Delay"/>
  </r>
  <r>
    <n v="1666"/>
    <d v="2025-11-23T00:00:00"/>
    <x v="1"/>
    <x v="2"/>
    <s v="GMP"/>
    <s v="Economy"/>
    <n v="90"/>
    <n v="727.64"/>
    <n v="31"/>
    <s v="On Time"/>
    <n v="65487.6"/>
    <s v="Nov"/>
    <n v="2025"/>
    <n v="65487.6"/>
    <s v="Moderate Delay"/>
  </r>
  <r>
    <n v="1667"/>
    <d v="2025-03-27T00:00:00"/>
    <x v="3"/>
    <x v="7"/>
    <s v="BKK"/>
    <s v="Premium Economy"/>
    <n v="294"/>
    <n v="563.87"/>
    <n v="42"/>
    <s v="On Time"/>
    <n v="165777.78"/>
    <s v="Mar"/>
    <n v="2025"/>
    <n v="165777.78"/>
    <s v="Moderate Delay"/>
  </r>
  <r>
    <n v="1668"/>
    <d v="2025-02-25T00:00:00"/>
    <x v="1"/>
    <x v="4"/>
    <s v="KIX"/>
    <s v="Premium Economy"/>
    <n v="260"/>
    <n v="715.34"/>
    <n v="9"/>
    <s v="On Time"/>
    <n v="185988.4"/>
    <s v="Feb"/>
    <n v="2025"/>
    <n v="185988.4"/>
    <s v="Minor Delay"/>
  </r>
  <r>
    <n v="1669"/>
    <d v="2025-04-13T00:00:00"/>
    <x v="0"/>
    <x v="0"/>
    <s v="SIN"/>
    <s v="Business"/>
    <n v="59"/>
    <n v="407.03"/>
    <n v="33"/>
    <s v="Delayed"/>
    <n v="24014.77"/>
    <s v="Apr"/>
    <n v="2025"/>
    <n v="24014.769999999997"/>
    <s v="Moderate Delay"/>
  </r>
  <r>
    <n v="1670"/>
    <d v="2025-12-22T00:00:00"/>
    <x v="1"/>
    <x v="7"/>
    <s v="GMP"/>
    <s v="Economy"/>
    <n v="161"/>
    <n v="515.34"/>
    <n v="31"/>
    <s v="On Time"/>
    <n v="82969.740000000005"/>
    <s v="Dec"/>
    <n v="2025"/>
    <n v="82969.740000000005"/>
    <s v="Moderate Delay"/>
  </r>
  <r>
    <n v="1671"/>
    <d v="2025-11-02T00:00:00"/>
    <x v="1"/>
    <x v="7"/>
    <s v="SIN"/>
    <s v="Business"/>
    <n v="289"/>
    <n v="432.68"/>
    <n v="62"/>
    <s v="On Time"/>
    <n v="125044.52"/>
    <s v="Nov"/>
    <n v="2025"/>
    <n v="125044.52"/>
    <s v="Major Delay"/>
  </r>
  <r>
    <n v="1672"/>
    <d v="2025-03-20T00:00:00"/>
    <x v="4"/>
    <x v="5"/>
    <s v="GMP"/>
    <s v="Premium Economy"/>
    <n v="285"/>
    <n v="189.89"/>
    <n v="13"/>
    <s v="On Time"/>
    <n v="54118.65"/>
    <s v="Mar"/>
    <n v="2025"/>
    <n v="54118.649999999994"/>
    <s v="Minor Delay"/>
  </r>
  <r>
    <n v="1673"/>
    <d v="2025-07-14T00:00:00"/>
    <x v="0"/>
    <x v="5"/>
    <s v="MNL"/>
    <s v="Premium Economy"/>
    <n v="179"/>
    <n v="107.1"/>
    <n v="26"/>
    <s v="On Time"/>
    <n v="19170.900000000001"/>
    <s v="Jul"/>
    <n v="2025"/>
    <n v="19170.899999999998"/>
    <s v="Minor Delay"/>
  </r>
  <r>
    <n v="1674"/>
    <d v="2025-08-14T00:00:00"/>
    <x v="1"/>
    <x v="8"/>
    <s v="ICN"/>
    <s v="Economy"/>
    <n v="204"/>
    <n v="451.13"/>
    <n v="35"/>
    <s v="On Time"/>
    <n v="92030.52"/>
    <s v="Aug"/>
    <n v="2025"/>
    <n v="92030.52"/>
    <s v="Moderate Delay"/>
  </r>
  <r>
    <n v="1675"/>
    <d v="2025-01-30T00:00:00"/>
    <x v="1"/>
    <x v="7"/>
    <s v="BKK"/>
    <s v="Business"/>
    <n v="66"/>
    <n v="363.34"/>
    <n v="0"/>
    <s v="On Time"/>
    <n v="23980.44"/>
    <s v="Jan"/>
    <n v="2025"/>
    <n v="23980.44"/>
    <s v="On Time"/>
  </r>
  <r>
    <n v="1676"/>
    <d v="2025-01-20T00:00:00"/>
    <x v="0"/>
    <x v="3"/>
    <s v="BKK"/>
    <s v="Economy"/>
    <n v="225"/>
    <n v="232.91"/>
    <n v="12"/>
    <s v="On Time"/>
    <n v="52404.75"/>
    <s v="Jan"/>
    <n v="2025"/>
    <n v="52404.75"/>
    <s v="Minor Delay"/>
  </r>
  <r>
    <n v="1677"/>
    <d v="2025-10-18T00:00:00"/>
    <x v="1"/>
    <x v="5"/>
    <s v="MNL"/>
    <s v="Economy"/>
    <n v="245"/>
    <n v="524.92999999999995"/>
    <n v="10"/>
    <s v="On Time"/>
    <n v="128607.85"/>
    <s v="Oct"/>
    <n v="2025"/>
    <n v="128607.84999999999"/>
    <s v="Minor Delay"/>
  </r>
  <r>
    <n v="1678"/>
    <d v="2025-05-25T00:00:00"/>
    <x v="3"/>
    <x v="8"/>
    <s v="BKK"/>
    <s v="Business"/>
    <n v="149"/>
    <n v="392.76"/>
    <n v="16"/>
    <s v="On Time"/>
    <n v="58521.24"/>
    <s v="May"/>
    <n v="2025"/>
    <n v="58521.24"/>
    <s v="Minor Delay"/>
  </r>
  <r>
    <n v="1679"/>
    <d v="2025-06-26T00:00:00"/>
    <x v="3"/>
    <x v="8"/>
    <s v="NRT"/>
    <s v="Premium Economy"/>
    <n v="172"/>
    <n v="740.38"/>
    <n v="37"/>
    <s v="On Time"/>
    <n v="127345.36"/>
    <s v="Jun"/>
    <n v="2025"/>
    <n v="127345.36"/>
    <s v="Moderate Delay"/>
  </r>
  <r>
    <n v="1680"/>
    <d v="2025-11-23T00:00:00"/>
    <x v="3"/>
    <x v="7"/>
    <s v="KIX"/>
    <s v="Economy"/>
    <n v="296"/>
    <n v="775.85"/>
    <n v="45"/>
    <s v="Cancelled"/>
    <n v="229651.6"/>
    <s v="Nov"/>
    <n v="2025"/>
    <n v="229651.6"/>
    <s v="Moderate Delay"/>
  </r>
  <r>
    <n v="1681"/>
    <d v="2025-01-11T00:00:00"/>
    <x v="2"/>
    <x v="7"/>
    <s v="BKK"/>
    <s v="Premium Economy"/>
    <n v="86"/>
    <n v="91.49"/>
    <n v="0"/>
    <s v="Delayed"/>
    <n v="7868.14"/>
    <s v="Jan"/>
    <n v="2025"/>
    <n v="7868.1399999999994"/>
    <s v="On Time"/>
  </r>
  <r>
    <n v="1682"/>
    <d v="2025-11-17T00:00:00"/>
    <x v="4"/>
    <x v="1"/>
    <s v="CJU"/>
    <s v="Economy"/>
    <n v="291"/>
    <n v="360.29"/>
    <n v="47"/>
    <s v="Delayed"/>
    <n v="104844.39"/>
    <s v="Nov"/>
    <n v="2025"/>
    <n v="104844.39"/>
    <s v="Moderate Delay"/>
  </r>
  <r>
    <n v="1683"/>
    <d v="2025-08-16T00:00:00"/>
    <x v="2"/>
    <x v="8"/>
    <s v="SIN"/>
    <s v="Premium Economy"/>
    <n v="143"/>
    <n v="309.97000000000003"/>
    <n v="13"/>
    <s v="On Time"/>
    <n v="44325.71"/>
    <s v="Aug"/>
    <n v="2025"/>
    <n v="44325.710000000006"/>
    <s v="Minor Delay"/>
  </r>
  <r>
    <n v="1684"/>
    <d v="2025-12-31T00:00:00"/>
    <x v="0"/>
    <x v="2"/>
    <s v="NRT"/>
    <s v="Business"/>
    <n v="99"/>
    <n v="761.52"/>
    <n v="8"/>
    <s v="On Time"/>
    <n v="75390.48"/>
    <s v="Dec"/>
    <n v="2025"/>
    <n v="75390.48"/>
    <s v="Minor Delay"/>
  </r>
  <r>
    <n v="1685"/>
    <d v="2025-10-08T00:00:00"/>
    <x v="2"/>
    <x v="3"/>
    <s v="SIN"/>
    <s v="Premium Economy"/>
    <n v="214"/>
    <n v="287.11"/>
    <n v="0"/>
    <s v="On Time"/>
    <n v="61441.54"/>
    <s v="Oct"/>
    <n v="2025"/>
    <n v="61441.54"/>
    <s v="On Time"/>
  </r>
  <r>
    <n v="1686"/>
    <d v="2025-11-16T00:00:00"/>
    <x v="2"/>
    <x v="8"/>
    <s v="NRT"/>
    <s v="Economy"/>
    <n v="101"/>
    <n v="220.71"/>
    <n v="37"/>
    <s v="On Time"/>
    <n v="22291.71"/>
    <s v="Nov"/>
    <n v="2025"/>
    <n v="22291.71"/>
    <s v="Moderate Delay"/>
  </r>
  <r>
    <n v="1687"/>
    <d v="2025-09-22T00:00:00"/>
    <x v="2"/>
    <x v="7"/>
    <s v="MNL"/>
    <s v="Economy"/>
    <n v="291"/>
    <n v="387.81"/>
    <n v="11"/>
    <s v="On Time"/>
    <n v="112852.71"/>
    <s v="Sep"/>
    <n v="2025"/>
    <n v="112852.71"/>
    <s v="Minor Delay"/>
  </r>
  <r>
    <n v="1688"/>
    <d v="2025-11-25T00:00:00"/>
    <x v="2"/>
    <x v="4"/>
    <s v="CJU"/>
    <s v="Business"/>
    <n v="250"/>
    <n v="652.62"/>
    <n v="0"/>
    <s v="On Time"/>
    <n v="163155"/>
    <s v="Nov"/>
    <n v="2025"/>
    <n v="163155"/>
    <s v="On Time"/>
  </r>
  <r>
    <n v="1689"/>
    <d v="2025-05-06T00:00:00"/>
    <x v="3"/>
    <x v="3"/>
    <s v="SIN"/>
    <s v="Economy"/>
    <n v="245"/>
    <n v="749.13"/>
    <n v="0"/>
    <s v="On Time"/>
    <n v="183536.85"/>
    <s v="May"/>
    <n v="2025"/>
    <n v="183536.85"/>
    <s v="On Time"/>
  </r>
  <r>
    <n v="1690"/>
    <d v="2025-02-03T00:00:00"/>
    <x v="1"/>
    <x v="5"/>
    <s v="CJU"/>
    <s v="Economy"/>
    <n v="52"/>
    <n v="740.93"/>
    <n v="73"/>
    <s v="Delayed"/>
    <n v="38528.36"/>
    <s v="Feb"/>
    <n v="2025"/>
    <n v="38528.36"/>
    <s v="Major Delay"/>
  </r>
  <r>
    <n v="1691"/>
    <d v="2025-06-10T00:00:00"/>
    <x v="4"/>
    <x v="3"/>
    <s v="GMP"/>
    <s v="Economy"/>
    <n v="240"/>
    <n v="171.45"/>
    <n v="31"/>
    <s v="On Time"/>
    <n v="41148"/>
    <s v="Jun"/>
    <n v="2025"/>
    <n v="41148"/>
    <s v="Moderate Delay"/>
  </r>
  <r>
    <n v="1692"/>
    <d v="2025-09-01T00:00:00"/>
    <x v="4"/>
    <x v="3"/>
    <s v="SIN"/>
    <s v="Business"/>
    <n v="94"/>
    <n v="274.41000000000003"/>
    <n v="66"/>
    <s v="On Time"/>
    <n v="25794.54"/>
    <s v="Sep"/>
    <n v="2025"/>
    <n v="25794.54"/>
    <s v="Major Delay"/>
  </r>
  <r>
    <n v="1693"/>
    <d v="2025-03-19T00:00:00"/>
    <x v="0"/>
    <x v="6"/>
    <s v="CJU"/>
    <s v="Premium Economy"/>
    <n v="80"/>
    <n v="453.91"/>
    <n v="9"/>
    <s v="On Time"/>
    <n v="36312.800000000003"/>
    <s v="Mar"/>
    <n v="2025"/>
    <n v="36312.800000000003"/>
    <s v="Minor Delay"/>
  </r>
  <r>
    <n v="1694"/>
    <d v="2025-12-20T00:00:00"/>
    <x v="0"/>
    <x v="8"/>
    <s v="NRT"/>
    <s v="Economy"/>
    <n v="219"/>
    <n v="759.6"/>
    <n v="10"/>
    <s v="Delayed"/>
    <n v="166352.4"/>
    <s v="Dec"/>
    <n v="2025"/>
    <n v="166352.4"/>
    <s v="Minor Delay"/>
  </r>
  <r>
    <n v="1695"/>
    <d v="2025-03-11T00:00:00"/>
    <x v="2"/>
    <x v="0"/>
    <s v="ICN"/>
    <s v="Premium Economy"/>
    <n v="147"/>
    <n v="412.89"/>
    <n v="23"/>
    <s v="Cancelled"/>
    <n v="60694.83"/>
    <s v="Mar"/>
    <n v="2025"/>
    <n v="60694.829999999994"/>
    <s v="Minor Delay"/>
  </r>
  <r>
    <n v="1696"/>
    <d v="2025-10-27T00:00:00"/>
    <x v="5"/>
    <x v="3"/>
    <s v="SIN"/>
    <s v="Economy"/>
    <n v="164"/>
    <n v="721.55"/>
    <n v="0"/>
    <s v="Delayed"/>
    <n v="118334.2"/>
    <s v="Oct"/>
    <n v="2025"/>
    <n v="118334.2"/>
    <s v="On Time"/>
  </r>
  <r>
    <n v="1697"/>
    <d v="2025-02-13T00:00:00"/>
    <x v="4"/>
    <x v="3"/>
    <s v="BKK"/>
    <s v="Economy"/>
    <n v="95"/>
    <n v="159.86000000000001"/>
    <n v="12"/>
    <s v="On Time"/>
    <n v="15186.7"/>
    <s v="Feb"/>
    <n v="2025"/>
    <n v="15186.7"/>
    <s v="Minor Delay"/>
  </r>
  <r>
    <n v="1698"/>
    <d v="2025-05-30T00:00:00"/>
    <x v="3"/>
    <x v="2"/>
    <s v="BKK"/>
    <s v="Economy"/>
    <n v="140"/>
    <n v="506.08"/>
    <n v="43"/>
    <s v="On Time"/>
    <n v="70851.199999999997"/>
    <s v="May"/>
    <n v="2025"/>
    <n v="70851.199999999997"/>
    <s v="Moderate Delay"/>
  </r>
  <r>
    <n v="1699"/>
    <d v="2025-03-28T00:00:00"/>
    <x v="4"/>
    <x v="5"/>
    <s v="MNL"/>
    <s v="Premium Economy"/>
    <n v="99"/>
    <n v="439.93"/>
    <n v="73"/>
    <s v="On Time"/>
    <n v="43553.07"/>
    <s v="Mar"/>
    <n v="2025"/>
    <n v="43553.07"/>
    <s v="Major Delay"/>
  </r>
  <r>
    <n v="1700"/>
    <d v="2025-01-27T00:00:00"/>
    <x v="3"/>
    <x v="3"/>
    <s v="CJU"/>
    <s v="Economy"/>
    <n v="229"/>
    <n v="286.91000000000003"/>
    <n v="13"/>
    <s v="On Time"/>
    <n v="65702.39"/>
    <s v="Jan"/>
    <n v="2025"/>
    <n v="65702.39"/>
    <s v="Minor Delay"/>
  </r>
  <r>
    <n v="1701"/>
    <d v="2025-01-21T00:00:00"/>
    <x v="4"/>
    <x v="1"/>
    <s v="KIX"/>
    <s v="Business"/>
    <n v="244"/>
    <n v="545.95000000000005"/>
    <n v="7"/>
    <s v="On Time"/>
    <n v="133211.79999999999"/>
    <s v="Jan"/>
    <n v="2025"/>
    <n v="133211.80000000002"/>
    <s v="Minor Delay"/>
  </r>
  <r>
    <n v="1702"/>
    <d v="2025-06-04T00:00:00"/>
    <x v="2"/>
    <x v="5"/>
    <s v="GMP"/>
    <s v="Economy"/>
    <n v="281"/>
    <n v="407.89"/>
    <n v="1"/>
    <s v="On Time"/>
    <n v="114617.09"/>
    <s v="Jun"/>
    <n v="2025"/>
    <n v="114617.09"/>
    <s v="Minor Delay"/>
  </r>
  <r>
    <n v="1703"/>
    <d v="2025-06-21T00:00:00"/>
    <x v="4"/>
    <x v="4"/>
    <s v="MNL"/>
    <s v="Business"/>
    <n v="268"/>
    <n v="795.3"/>
    <n v="0"/>
    <s v="On Time"/>
    <n v="213140.4"/>
    <s v="Jun"/>
    <n v="2025"/>
    <n v="213140.4"/>
    <s v="On Time"/>
  </r>
  <r>
    <n v="1704"/>
    <d v="2025-10-10T00:00:00"/>
    <x v="0"/>
    <x v="3"/>
    <s v="NRT"/>
    <s v="Premium Economy"/>
    <n v="122"/>
    <n v="257.33999999999997"/>
    <n v="37"/>
    <s v="Delayed"/>
    <n v="31395.48"/>
    <s v="Oct"/>
    <n v="2025"/>
    <n v="31395.479999999996"/>
    <s v="Moderate Delay"/>
  </r>
  <r>
    <n v="1705"/>
    <d v="2025-09-18T00:00:00"/>
    <x v="1"/>
    <x v="0"/>
    <s v="BKK"/>
    <s v="Economy"/>
    <n v="257"/>
    <n v="155.11000000000001"/>
    <n v="21"/>
    <s v="On Time"/>
    <n v="39863.269999999997"/>
    <s v="Sep"/>
    <n v="2025"/>
    <n v="39863.270000000004"/>
    <s v="Minor Delay"/>
  </r>
  <r>
    <n v="1706"/>
    <d v="2025-10-20T00:00:00"/>
    <x v="0"/>
    <x v="0"/>
    <s v="PUS"/>
    <s v="Economy"/>
    <n v="271"/>
    <n v="115.8"/>
    <n v="1"/>
    <s v="On Time"/>
    <n v="31381.8"/>
    <s v="Oct"/>
    <n v="2025"/>
    <n v="31381.8"/>
    <s v="Minor Delay"/>
  </r>
  <r>
    <n v="1707"/>
    <d v="2025-03-21T00:00:00"/>
    <x v="5"/>
    <x v="3"/>
    <s v="GMP"/>
    <s v="Business"/>
    <n v="297"/>
    <n v="704.8"/>
    <n v="0"/>
    <s v="On Time"/>
    <n v="209325.6"/>
    <s v="Mar"/>
    <n v="2025"/>
    <n v="209325.59999999998"/>
    <s v="On Time"/>
  </r>
  <r>
    <n v="1708"/>
    <d v="2025-01-29T00:00:00"/>
    <x v="3"/>
    <x v="0"/>
    <s v="CJU"/>
    <s v="Economy"/>
    <n v="101"/>
    <n v="739.32"/>
    <n v="32"/>
    <s v="Delayed"/>
    <n v="74671.320000000007"/>
    <s v="Jan"/>
    <n v="2025"/>
    <n v="74671.320000000007"/>
    <s v="Moderate Delay"/>
  </r>
  <r>
    <n v="1709"/>
    <d v="2025-02-16T00:00:00"/>
    <x v="1"/>
    <x v="7"/>
    <s v="GMP"/>
    <s v="Premium Economy"/>
    <n v="252"/>
    <n v="567.34"/>
    <n v="29"/>
    <s v="On Time"/>
    <n v="142969.68"/>
    <s v="Feb"/>
    <n v="2025"/>
    <n v="142969.68000000002"/>
    <s v="Minor Delay"/>
  </r>
  <r>
    <n v="1710"/>
    <d v="2025-09-01T00:00:00"/>
    <x v="0"/>
    <x v="6"/>
    <s v="PUS"/>
    <s v="Business"/>
    <n v="176"/>
    <n v="508.04"/>
    <n v="58"/>
    <s v="On Time"/>
    <n v="89415.039999999994"/>
    <s v="Sep"/>
    <n v="2025"/>
    <n v="89415.040000000008"/>
    <s v="Moderate Delay"/>
  </r>
  <r>
    <n v="1711"/>
    <d v="2025-08-15T00:00:00"/>
    <x v="0"/>
    <x v="4"/>
    <s v="ICN"/>
    <s v="Business"/>
    <n v="51"/>
    <n v="118.87"/>
    <n v="39"/>
    <s v="Delayed"/>
    <n v="6062.37"/>
    <s v="Aug"/>
    <n v="2025"/>
    <n v="6062.37"/>
    <s v="Moderate Delay"/>
  </r>
  <r>
    <n v="1712"/>
    <d v="2025-12-26T00:00:00"/>
    <x v="1"/>
    <x v="2"/>
    <s v="GMP"/>
    <s v="Economy"/>
    <n v="97"/>
    <n v="687.98"/>
    <n v="16"/>
    <s v="On Time"/>
    <n v="66734.06"/>
    <s v="Dec"/>
    <n v="2025"/>
    <n v="66734.06"/>
    <s v="Minor Delay"/>
  </r>
  <r>
    <n v="1713"/>
    <d v="2025-07-22T00:00:00"/>
    <x v="3"/>
    <x v="2"/>
    <s v="CJU"/>
    <s v="Business"/>
    <n v="125"/>
    <n v="505.15"/>
    <n v="0"/>
    <s v="On Time"/>
    <n v="63143.75"/>
    <s v="Jul"/>
    <n v="2025"/>
    <n v="63143.75"/>
    <s v="On Time"/>
  </r>
  <r>
    <n v="1714"/>
    <d v="2025-09-29T00:00:00"/>
    <x v="1"/>
    <x v="3"/>
    <s v="PUS"/>
    <s v="Business"/>
    <n v="277"/>
    <n v="776.42"/>
    <n v="19"/>
    <s v="On Time"/>
    <n v="215068.34"/>
    <s v="Sep"/>
    <n v="2025"/>
    <n v="215068.34"/>
    <s v="Minor Delay"/>
  </r>
  <r>
    <n v="1715"/>
    <d v="2025-02-01T00:00:00"/>
    <x v="1"/>
    <x v="7"/>
    <s v="GMP"/>
    <s v="Premium Economy"/>
    <n v="138"/>
    <n v="727.99"/>
    <n v="58"/>
    <s v="On Time"/>
    <n v="100462.62"/>
    <s v="Feb"/>
    <n v="2025"/>
    <n v="100462.62"/>
    <s v="Moderate Delay"/>
  </r>
  <r>
    <n v="1716"/>
    <d v="2025-12-12T00:00:00"/>
    <x v="1"/>
    <x v="8"/>
    <s v="ICN"/>
    <s v="Premium Economy"/>
    <n v="200"/>
    <n v="630.83000000000004"/>
    <n v="35"/>
    <s v="Delayed"/>
    <n v="126166"/>
    <s v="Dec"/>
    <n v="2025"/>
    <n v="126166.00000000001"/>
    <s v="Moderate Delay"/>
  </r>
  <r>
    <n v="1717"/>
    <d v="2025-06-13T00:00:00"/>
    <x v="2"/>
    <x v="0"/>
    <s v="KIX"/>
    <s v="Premium Economy"/>
    <n v="240"/>
    <n v="660.11"/>
    <n v="5"/>
    <s v="On Time"/>
    <n v="158426.4"/>
    <s v="Jun"/>
    <n v="2025"/>
    <n v="158426.4"/>
    <s v="Minor Delay"/>
  </r>
  <r>
    <n v="1718"/>
    <d v="2025-04-27T00:00:00"/>
    <x v="5"/>
    <x v="6"/>
    <s v="PUS"/>
    <s v="Economy"/>
    <n v="60"/>
    <n v="571.24"/>
    <n v="35"/>
    <s v="On Time"/>
    <n v="34274.400000000001"/>
    <s v="Apr"/>
    <n v="2025"/>
    <n v="34274.400000000001"/>
    <s v="Moderate Delay"/>
  </r>
  <r>
    <n v="1719"/>
    <d v="2025-07-26T00:00:00"/>
    <x v="2"/>
    <x v="8"/>
    <s v="KIX"/>
    <s v="Premium Economy"/>
    <n v="165"/>
    <n v="172.99"/>
    <n v="18"/>
    <s v="Delayed"/>
    <n v="28543.35"/>
    <s v="Jul"/>
    <n v="2025"/>
    <n v="28543.350000000002"/>
    <s v="Minor Delay"/>
  </r>
  <r>
    <n v="1720"/>
    <d v="2025-07-15T00:00:00"/>
    <x v="3"/>
    <x v="7"/>
    <s v="BKK"/>
    <s v="Economy"/>
    <n v="152"/>
    <n v="330.63"/>
    <n v="0"/>
    <s v="On Time"/>
    <n v="50255.76"/>
    <s v="Jul"/>
    <n v="2025"/>
    <n v="50255.76"/>
    <s v="On Time"/>
  </r>
  <r>
    <n v="1721"/>
    <d v="2025-10-31T00:00:00"/>
    <x v="0"/>
    <x v="7"/>
    <s v="PUS"/>
    <s v="Economy"/>
    <n v="74"/>
    <n v="72.13"/>
    <n v="0"/>
    <s v="On Time"/>
    <n v="5337.62"/>
    <s v="Oct"/>
    <n v="2025"/>
    <n v="5337.62"/>
    <s v="On Time"/>
  </r>
  <r>
    <n v="1722"/>
    <d v="2025-03-23T00:00:00"/>
    <x v="4"/>
    <x v="8"/>
    <s v="BKK"/>
    <s v="Business"/>
    <n v="121"/>
    <n v="228.53"/>
    <n v="23"/>
    <s v="On Time"/>
    <n v="27652.13"/>
    <s v="Mar"/>
    <n v="2025"/>
    <n v="27652.13"/>
    <s v="Minor Delay"/>
  </r>
  <r>
    <n v="1723"/>
    <d v="2025-08-11T00:00:00"/>
    <x v="0"/>
    <x v="8"/>
    <s v="BKK"/>
    <s v="Premium Economy"/>
    <n v="298"/>
    <n v="552.67999999999995"/>
    <n v="12"/>
    <s v="Delayed"/>
    <n v="164698.64000000001"/>
    <s v="Aug"/>
    <n v="2025"/>
    <n v="164698.63999999998"/>
    <s v="Minor Delay"/>
  </r>
  <r>
    <n v="1724"/>
    <d v="2025-03-14T00:00:00"/>
    <x v="0"/>
    <x v="8"/>
    <s v="NRT"/>
    <s v="Business"/>
    <n v="291"/>
    <n v="425.73"/>
    <n v="29"/>
    <s v="On Time"/>
    <n v="123887.43"/>
    <s v="Mar"/>
    <n v="2025"/>
    <n v="123887.43000000001"/>
    <s v="Minor Delay"/>
  </r>
  <r>
    <n v="1725"/>
    <d v="2025-06-07T00:00:00"/>
    <x v="3"/>
    <x v="8"/>
    <s v="ICN"/>
    <s v="Economy"/>
    <n v="136"/>
    <n v="526.54"/>
    <n v="9"/>
    <s v="On Time"/>
    <n v="71609.440000000002"/>
    <s v="Jun"/>
    <n v="2025"/>
    <n v="71609.440000000002"/>
    <s v="Minor Delay"/>
  </r>
  <r>
    <n v="1726"/>
    <d v="2025-06-24T00:00:00"/>
    <x v="3"/>
    <x v="7"/>
    <s v="KIX"/>
    <s v="Premium Economy"/>
    <n v="256"/>
    <n v="569.5"/>
    <n v="0"/>
    <s v="On Time"/>
    <n v="145792"/>
    <s v="Jun"/>
    <n v="2025"/>
    <n v="145792"/>
    <s v="On Time"/>
  </r>
  <r>
    <n v="1727"/>
    <d v="2025-01-10T00:00:00"/>
    <x v="2"/>
    <x v="8"/>
    <s v="GMP"/>
    <s v="Premium Economy"/>
    <n v="156"/>
    <n v="242.12"/>
    <n v="55"/>
    <s v="Delayed"/>
    <n v="37770.720000000001"/>
    <s v="Jan"/>
    <n v="2025"/>
    <n v="37770.720000000001"/>
    <s v="Moderate Delay"/>
  </r>
  <r>
    <n v="1728"/>
    <d v="2025-05-24T00:00:00"/>
    <x v="5"/>
    <x v="3"/>
    <s v="SIN"/>
    <s v="Premium Economy"/>
    <n v="197"/>
    <n v="647.42999999999995"/>
    <n v="6"/>
    <s v="On Time"/>
    <n v="127543.71"/>
    <s v="May"/>
    <n v="2025"/>
    <n v="127543.70999999999"/>
    <s v="Minor Delay"/>
  </r>
  <r>
    <n v="1729"/>
    <d v="2025-11-20T00:00:00"/>
    <x v="5"/>
    <x v="7"/>
    <s v="BKK"/>
    <s v="Economy"/>
    <n v="231"/>
    <n v="498.7"/>
    <n v="23"/>
    <s v="On Time"/>
    <n v="115199.7"/>
    <s v="Nov"/>
    <n v="2025"/>
    <n v="115199.7"/>
    <s v="Minor Delay"/>
  </r>
  <r>
    <n v="1730"/>
    <d v="2025-06-10T00:00:00"/>
    <x v="5"/>
    <x v="8"/>
    <s v="ICN"/>
    <s v="Economy"/>
    <n v="148"/>
    <n v="615.14"/>
    <n v="66"/>
    <s v="On Time"/>
    <n v="91040.72"/>
    <s v="Jun"/>
    <n v="2025"/>
    <n v="91040.72"/>
    <s v="Major Delay"/>
  </r>
  <r>
    <n v="1731"/>
    <d v="2025-08-25T00:00:00"/>
    <x v="5"/>
    <x v="0"/>
    <s v="SIN"/>
    <s v="Business"/>
    <n v="118"/>
    <n v="109.52"/>
    <n v="7"/>
    <s v="On Time"/>
    <n v="12923.36"/>
    <s v="Aug"/>
    <n v="2025"/>
    <n v="12923.359999999999"/>
    <s v="Minor Delay"/>
  </r>
  <r>
    <n v="1732"/>
    <d v="2025-01-31T00:00:00"/>
    <x v="2"/>
    <x v="7"/>
    <s v="BKK"/>
    <s v="Economy"/>
    <n v="107"/>
    <n v="528.47"/>
    <n v="30"/>
    <s v="On Time"/>
    <n v="56546.29"/>
    <s v="Jan"/>
    <n v="2025"/>
    <n v="56546.29"/>
    <s v="Minor Delay"/>
  </r>
  <r>
    <n v="1733"/>
    <d v="2025-05-20T00:00:00"/>
    <x v="4"/>
    <x v="8"/>
    <s v="CJU"/>
    <s v="Premium Economy"/>
    <n v="130"/>
    <n v="507.53"/>
    <n v="0"/>
    <s v="On Time"/>
    <n v="65978.899999999994"/>
    <s v="May"/>
    <n v="2025"/>
    <n v="65978.899999999994"/>
    <s v="On Time"/>
  </r>
  <r>
    <n v="1734"/>
    <d v="2025-02-01T00:00:00"/>
    <x v="3"/>
    <x v="0"/>
    <s v="KIX"/>
    <s v="Economy"/>
    <n v="184"/>
    <n v="651.15"/>
    <n v="9"/>
    <s v="On Time"/>
    <n v="119811.6"/>
    <s v="Feb"/>
    <n v="2025"/>
    <n v="119811.59999999999"/>
    <s v="Minor Delay"/>
  </r>
  <r>
    <n v="1735"/>
    <d v="2025-12-25T00:00:00"/>
    <x v="1"/>
    <x v="1"/>
    <s v="MNL"/>
    <s v="Premium Economy"/>
    <n v="116"/>
    <n v="211.14"/>
    <n v="18"/>
    <s v="On Time"/>
    <n v="24492.240000000002"/>
    <s v="Dec"/>
    <n v="2025"/>
    <n v="24492.239999999998"/>
    <s v="Minor Delay"/>
  </r>
  <r>
    <n v="1736"/>
    <d v="2025-07-08T00:00:00"/>
    <x v="2"/>
    <x v="1"/>
    <s v="GMP"/>
    <s v="Economy"/>
    <n v="164"/>
    <n v="523.16"/>
    <n v="25"/>
    <s v="On Time"/>
    <n v="85798.24"/>
    <s v="Jul"/>
    <n v="2025"/>
    <n v="85798.239999999991"/>
    <s v="Minor Delay"/>
  </r>
  <r>
    <n v="1737"/>
    <d v="2025-02-25T00:00:00"/>
    <x v="4"/>
    <x v="8"/>
    <s v="KIX"/>
    <s v="Premium Economy"/>
    <n v="120"/>
    <n v="206.36"/>
    <n v="3"/>
    <s v="On Time"/>
    <n v="24763.200000000001"/>
    <s v="Feb"/>
    <n v="2025"/>
    <n v="24763.200000000001"/>
    <s v="Minor Delay"/>
  </r>
  <r>
    <n v="1738"/>
    <d v="2025-03-05T00:00:00"/>
    <x v="1"/>
    <x v="3"/>
    <s v="ICN"/>
    <s v="Premium Economy"/>
    <n v="191"/>
    <n v="413.06"/>
    <n v="7"/>
    <s v="On Time"/>
    <n v="78894.460000000006"/>
    <s v="Mar"/>
    <n v="2025"/>
    <n v="78894.460000000006"/>
    <s v="Minor Delay"/>
  </r>
  <r>
    <n v="1739"/>
    <d v="2025-11-18T00:00:00"/>
    <x v="2"/>
    <x v="1"/>
    <s v="ICN"/>
    <s v="Business"/>
    <n v="132"/>
    <n v="352.7"/>
    <n v="0"/>
    <s v="On Time"/>
    <n v="46556.4"/>
    <s v="Nov"/>
    <n v="2025"/>
    <n v="46556.4"/>
    <s v="On Time"/>
  </r>
  <r>
    <n v="1740"/>
    <d v="2025-10-17T00:00:00"/>
    <x v="5"/>
    <x v="4"/>
    <s v="BKK"/>
    <s v="Economy"/>
    <n v="276"/>
    <n v="438.66"/>
    <n v="62"/>
    <s v="On Time"/>
    <n v="121070.16"/>
    <s v="Oct"/>
    <n v="2025"/>
    <n v="121070.16"/>
    <s v="Major Delay"/>
  </r>
  <r>
    <n v="1741"/>
    <d v="2025-02-02T00:00:00"/>
    <x v="1"/>
    <x v="7"/>
    <s v="SIN"/>
    <s v="Economy"/>
    <n v="88"/>
    <n v="135.66999999999999"/>
    <n v="40"/>
    <s v="On Time"/>
    <n v="11938.96"/>
    <s v="Feb"/>
    <n v="2025"/>
    <n v="11938.96"/>
    <s v="Moderate Delay"/>
  </r>
  <r>
    <n v="1742"/>
    <d v="2025-06-23T00:00:00"/>
    <x v="1"/>
    <x v="3"/>
    <s v="BKK"/>
    <s v="Premium Economy"/>
    <n v="137"/>
    <n v="615.63"/>
    <n v="53"/>
    <s v="On Time"/>
    <n v="84341.31"/>
    <s v="Jun"/>
    <n v="2025"/>
    <n v="84341.31"/>
    <s v="Moderate Delay"/>
  </r>
  <r>
    <n v="1743"/>
    <d v="2025-09-26T00:00:00"/>
    <x v="2"/>
    <x v="6"/>
    <s v="ICN"/>
    <s v="Business"/>
    <n v="252"/>
    <n v="353.03"/>
    <n v="46"/>
    <s v="Delayed"/>
    <n v="88963.56"/>
    <s v="Sep"/>
    <n v="2025"/>
    <n v="88963.56"/>
    <s v="Moderate Delay"/>
  </r>
  <r>
    <n v="1744"/>
    <d v="2025-03-01T00:00:00"/>
    <x v="4"/>
    <x v="8"/>
    <s v="CJU"/>
    <s v="Economy"/>
    <n v="111"/>
    <n v="101.82"/>
    <n v="58"/>
    <s v="On Time"/>
    <n v="11302.02"/>
    <s v="Mar"/>
    <n v="2025"/>
    <n v="11302.019999999999"/>
    <s v="Moderate Delay"/>
  </r>
  <r>
    <n v="1745"/>
    <d v="2025-11-26T00:00:00"/>
    <x v="3"/>
    <x v="5"/>
    <s v="GMP"/>
    <s v="Economy"/>
    <n v="172"/>
    <n v="91.37"/>
    <n v="23"/>
    <s v="On Time"/>
    <n v="15715.64"/>
    <s v="Nov"/>
    <n v="2025"/>
    <n v="15715.640000000001"/>
    <s v="Minor Delay"/>
  </r>
  <r>
    <n v="1746"/>
    <d v="2025-06-15T00:00:00"/>
    <x v="2"/>
    <x v="7"/>
    <s v="BKK"/>
    <s v="Business"/>
    <n v="221"/>
    <n v="352.9"/>
    <n v="37"/>
    <s v="On Time"/>
    <n v="77990.899999999994"/>
    <s v="Jun"/>
    <n v="2025"/>
    <n v="77990.899999999994"/>
    <s v="Moderate Delay"/>
  </r>
  <r>
    <n v="1747"/>
    <d v="2025-01-13T00:00:00"/>
    <x v="3"/>
    <x v="4"/>
    <s v="SIN"/>
    <s v="Business"/>
    <n v="228"/>
    <n v="367.05"/>
    <n v="35"/>
    <s v="On Time"/>
    <n v="83687.399999999994"/>
    <s v="Jan"/>
    <n v="2025"/>
    <n v="83687.400000000009"/>
    <s v="Moderate Delay"/>
  </r>
  <r>
    <n v="1748"/>
    <d v="2025-01-04T00:00:00"/>
    <x v="4"/>
    <x v="2"/>
    <s v="SIN"/>
    <s v="Business"/>
    <n v="70"/>
    <n v="490.37"/>
    <n v="26"/>
    <s v="On Time"/>
    <n v="34325.9"/>
    <s v="Jan"/>
    <n v="2025"/>
    <n v="34325.9"/>
    <s v="Minor Delay"/>
  </r>
  <r>
    <n v="1749"/>
    <d v="2025-04-19T00:00:00"/>
    <x v="0"/>
    <x v="7"/>
    <s v="MNL"/>
    <s v="Business"/>
    <n v="51"/>
    <n v="737.25"/>
    <n v="19"/>
    <s v="On Time"/>
    <n v="37599.75"/>
    <s v="Apr"/>
    <n v="2025"/>
    <n v="37599.75"/>
    <s v="Minor Delay"/>
  </r>
  <r>
    <n v="1750"/>
    <d v="2025-03-23T00:00:00"/>
    <x v="0"/>
    <x v="6"/>
    <s v="BKK"/>
    <s v="Business"/>
    <n v="115"/>
    <n v="307.52"/>
    <n v="0"/>
    <s v="On Time"/>
    <n v="35364.800000000003"/>
    <s v="Mar"/>
    <n v="2025"/>
    <n v="35364.799999999996"/>
    <s v="On Time"/>
  </r>
  <r>
    <n v="1751"/>
    <d v="2025-03-03T00:00:00"/>
    <x v="3"/>
    <x v="4"/>
    <s v="MNL"/>
    <s v="Premium Economy"/>
    <n v="165"/>
    <n v="81.319999999999993"/>
    <n v="0"/>
    <s v="On Time"/>
    <n v="13417.8"/>
    <s v="Mar"/>
    <n v="2025"/>
    <n v="13417.8"/>
    <s v="On Time"/>
  </r>
  <r>
    <n v="1752"/>
    <d v="2025-04-05T00:00:00"/>
    <x v="1"/>
    <x v="1"/>
    <s v="PUS"/>
    <s v="Economy"/>
    <n v="149"/>
    <n v="655.43"/>
    <n v="0"/>
    <s v="On Time"/>
    <n v="97659.07"/>
    <s v="Apr"/>
    <n v="2025"/>
    <n v="97659.069999999992"/>
    <s v="On Time"/>
  </r>
  <r>
    <n v="1753"/>
    <d v="2025-10-19T00:00:00"/>
    <x v="3"/>
    <x v="2"/>
    <s v="NRT"/>
    <s v="Business"/>
    <n v="126"/>
    <n v="676.37"/>
    <n v="0"/>
    <s v="Delayed"/>
    <n v="85222.62"/>
    <s v="Oct"/>
    <n v="2025"/>
    <n v="85222.62"/>
    <s v="On Time"/>
  </r>
  <r>
    <n v="1754"/>
    <d v="2025-01-28T00:00:00"/>
    <x v="3"/>
    <x v="3"/>
    <s v="SIN"/>
    <s v="Business"/>
    <n v="108"/>
    <n v="479.47"/>
    <n v="0"/>
    <s v="Delayed"/>
    <n v="51782.76"/>
    <s v="Jan"/>
    <n v="2025"/>
    <n v="51782.76"/>
    <s v="On Time"/>
  </r>
  <r>
    <n v="1755"/>
    <d v="2025-09-19T00:00:00"/>
    <x v="1"/>
    <x v="4"/>
    <s v="PUS"/>
    <s v="Premium Economy"/>
    <n v="53"/>
    <n v="220.15"/>
    <n v="29"/>
    <s v="On Time"/>
    <n v="11667.95"/>
    <s v="Sep"/>
    <n v="2025"/>
    <n v="11667.95"/>
    <s v="Minor Delay"/>
  </r>
  <r>
    <n v="1756"/>
    <d v="2025-08-23T00:00:00"/>
    <x v="2"/>
    <x v="1"/>
    <s v="KIX"/>
    <s v="Business"/>
    <n v="242"/>
    <n v="182.29"/>
    <n v="40"/>
    <s v="On Time"/>
    <n v="44114.18"/>
    <s v="Aug"/>
    <n v="2025"/>
    <n v="44114.18"/>
    <s v="Moderate Delay"/>
  </r>
  <r>
    <n v="1757"/>
    <d v="2025-12-08T00:00:00"/>
    <x v="0"/>
    <x v="6"/>
    <s v="NRT"/>
    <s v="Economy"/>
    <n v="207"/>
    <n v="139.37"/>
    <n v="26"/>
    <s v="On Time"/>
    <n v="28849.59"/>
    <s v="Dec"/>
    <n v="2025"/>
    <n v="28849.59"/>
    <s v="Minor Delay"/>
  </r>
  <r>
    <n v="1758"/>
    <d v="2025-01-01T00:00:00"/>
    <x v="4"/>
    <x v="5"/>
    <s v="KIX"/>
    <s v="Premium Economy"/>
    <n v="147"/>
    <n v="599.27"/>
    <n v="20"/>
    <s v="Delayed"/>
    <n v="88092.69"/>
    <s v="Jan"/>
    <n v="2025"/>
    <n v="88092.69"/>
    <s v="Minor Delay"/>
  </r>
  <r>
    <n v="1759"/>
    <d v="2025-07-08T00:00:00"/>
    <x v="0"/>
    <x v="0"/>
    <s v="ICN"/>
    <s v="Business"/>
    <n v="98"/>
    <n v="778.5"/>
    <n v="18"/>
    <s v="On Time"/>
    <n v="76293"/>
    <s v="Jul"/>
    <n v="2025"/>
    <n v="76293"/>
    <s v="Minor Delay"/>
  </r>
  <r>
    <n v="1760"/>
    <d v="2025-01-18T00:00:00"/>
    <x v="1"/>
    <x v="5"/>
    <s v="KIX"/>
    <s v="Premium Economy"/>
    <n v="86"/>
    <n v="254.42"/>
    <n v="0"/>
    <s v="Delayed"/>
    <n v="21880.12"/>
    <s v="Jan"/>
    <n v="2025"/>
    <n v="21880.12"/>
    <s v="On Time"/>
  </r>
  <r>
    <n v="1761"/>
    <d v="2025-11-22T00:00:00"/>
    <x v="3"/>
    <x v="2"/>
    <s v="GMP"/>
    <s v="Business"/>
    <n v="252"/>
    <n v="82.47"/>
    <n v="45"/>
    <s v="On Time"/>
    <n v="20782.439999999999"/>
    <s v="Nov"/>
    <n v="2025"/>
    <n v="20782.439999999999"/>
    <s v="Moderate Delay"/>
  </r>
  <r>
    <n v="1762"/>
    <d v="2025-08-22T00:00:00"/>
    <x v="5"/>
    <x v="0"/>
    <s v="NRT"/>
    <s v="Business"/>
    <n v="192"/>
    <n v="262.12"/>
    <n v="8"/>
    <s v="On Time"/>
    <n v="50327.040000000001"/>
    <s v="Aug"/>
    <n v="2025"/>
    <n v="50327.040000000001"/>
    <s v="Minor Delay"/>
  </r>
  <r>
    <n v="1763"/>
    <d v="2025-12-21T00:00:00"/>
    <x v="0"/>
    <x v="8"/>
    <s v="GMP"/>
    <s v="Economy"/>
    <n v="66"/>
    <n v="354.18"/>
    <n v="15"/>
    <s v="On Time"/>
    <n v="23375.88"/>
    <s v="Dec"/>
    <n v="2025"/>
    <n v="23375.88"/>
    <s v="Minor Delay"/>
  </r>
  <r>
    <n v="1764"/>
    <d v="2025-03-31T00:00:00"/>
    <x v="1"/>
    <x v="8"/>
    <s v="BKK"/>
    <s v="Business"/>
    <n v="279"/>
    <n v="92.58"/>
    <n v="24"/>
    <s v="On Time"/>
    <n v="25829.82"/>
    <s v="Mar"/>
    <n v="2025"/>
    <n v="25829.82"/>
    <s v="Minor Delay"/>
  </r>
  <r>
    <n v="1765"/>
    <d v="2025-09-03T00:00:00"/>
    <x v="0"/>
    <x v="4"/>
    <s v="KIX"/>
    <s v="Premium Economy"/>
    <n v="56"/>
    <n v="556.72"/>
    <n v="35"/>
    <s v="On Time"/>
    <n v="31176.32"/>
    <s v="Sep"/>
    <n v="2025"/>
    <n v="31176.32"/>
    <s v="Moderate Delay"/>
  </r>
  <r>
    <n v="1766"/>
    <d v="2025-10-16T00:00:00"/>
    <x v="2"/>
    <x v="5"/>
    <s v="GMP"/>
    <s v="Business"/>
    <n v="293"/>
    <n v="580.17999999999995"/>
    <n v="16"/>
    <s v="On Time"/>
    <n v="169992.74"/>
    <s v="Oct"/>
    <n v="2025"/>
    <n v="169992.74"/>
    <s v="Minor Delay"/>
  </r>
  <r>
    <n v="1767"/>
    <d v="2025-07-06T00:00:00"/>
    <x v="1"/>
    <x v="5"/>
    <s v="KIX"/>
    <s v="Business"/>
    <n v="144"/>
    <n v="397.63"/>
    <n v="5"/>
    <s v="On Time"/>
    <n v="57258.720000000001"/>
    <s v="Jul"/>
    <n v="2025"/>
    <n v="57258.720000000001"/>
    <s v="Minor Delay"/>
  </r>
  <r>
    <n v="1768"/>
    <d v="2025-06-14T00:00:00"/>
    <x v="3"/>
    <x v="3"/>
    <s v="CJU"/>
    <s v="Business"/>
    <n v="138"/>
    <n v="361.18"/>
    <n v="22"/>
    <s v="On Time"/>
    <n v="49842.84"/>
    <s v="Jun"/>
    <n v="2025"/>
    <n v="49842.840000000004"/>
    <s v="Minor Delay"/>
  </r>
  <r>
    <n v="1769"/>
    <d v="2025-06-27T00:00:00"/>
    <x v="4"/>
    <x v="3"/>
    <s v="SIN"/>
    <s v="Economy"/>
    <n v="258"/>
    <n v="557.77"/>
    <n v="48"/>
    <s v="On Time"/>
    <n v="143904.66"/>
    <s v="Jun"/>
    <n v="2025"/>
    <n v="143904.66"/>
    <s v="Moderate Delay"/>
  </r>
  <r>
    <n v="1770"/>
    <d v="2025-11-05T00:00:00"/>
    <x v="4"/>
    <x v="1"/>
    <s v="GMP"/>
    <s v="Economy"/>
    <n v="135"/>
    <n v="744.29"/>
    <n v="0"/>
    <s v="On Time"/>
    <n v="100479.15"/>
    <s v="Nov"/>
    <n v="2025"/>
    <n v="100479.15"/>
    <s v="On Time"/>
  </r>
  <r>
    <n v="1771"/>
    <d v="2025-01-22T00:00:00"/>
    <x v="4"/>
    <x v="8"/>
    <s v="CJU"/>
    <s v="Business"/>
    <n v="285"/>
    <n v="696.19"/>
    <n v="0"/>
    <s v="On Time"/>
    <n v="198414.15"/>
    <s v="Jan"/>
    <n v="2025"/>
    <n v="198414.15000000002"/>
    <s v="On Time"/>
  </r>
  <r>
    <n v="1772"/>
    <d v="2025-04-16T00:00:00"/>
    <x v="3"/>
    <x v="7"/>
    <s v="PUS"/>
    <s v="Premium Economy"/>
    <n v="70"/>
    <n v="669.35"/>
    <n v="0"/>
    <s v="Delayed"/>
    <n v="46854.5"/>
    <s v="Apr"/>
    <n v="2025"/>
    <n v="46854.5"/>
    <s v="On Time"/>
  </r>
  <r>
    <n v="1773"/>
    <d v="2025-09-24T00:00:00"/>
    <x v="1"/>
    <x v="6"/>
    <s v="ICN"/>
    <s v="Business"/>
    <n v="51"/>
    <n v="248.49"/>
    <n v="0"/>
    <s v="On Time"/>
    <n v="12672.99"/>
    <s v="Sep"/>
    <n v="2025"/>
    <n v="12672.99"/>
    <s v="On Time"/>
  </r>
  <r>
    <n v="1774"/>
    <d v="2025-03-01T00:00:00"/>
    <x v="4"/>
    <x v="3"/>
    <s v="SIN"/>
    <s v="Business"/>
    <n v="264"/>
    <n v="649.72"/>
    <n v="1"/>
    <s v="On Time"/>
    <n v="171526.08"/>
    <s v="Mar"/>
    <n v="2025"/>
    <n v="171526.08000000002"/>
    <s v="Minor Delay"/>
  </r>
  <r>
    <n v="1775"/>
    <d v="2025-04-23T00:00:00"/>
    <x v="5"/>
    <x v="1"/>
    <s v="MNL"/>
    <s v="Premium Economy"/>
    <n v="241"/>
    <n v="361.92"/>
    <n v="20"/>
    <s v="On Time"/>
    <n v="87222.720000000001"/>
    <s v="Apr"/>
    <n v="2025"/>
    <n v="87222.720000000001"/>
    <s v="Minor Delay"/>
  </r>
  <r>
    <n v="1776"/>
    <d v="2025-12-22T00:00:00"/>
    <x v="0"/>
    <x v="8"/>
    <s v="CJU"/>
    <s v="Business"/>
    <n v="50"/>
    <n v="720.96"/>
    <n v="8"/>
    <s v="Delayed"/>
    <n v="36048"/>
    <s v="Dec"/>
    <n v="2025"/>
    <n v="36048"/>
    <s v="Minor Delay"/>
  </r>
  <r>
    <n v="1777"/>
    <d v="2025-03-15T00:00:00"/>
    <x v="1"/>
    <x v="0"/>
    <s v="SIN"/>
    <s v="Business"/>
    <n v="293"/>
    <n v="286.85000000000002"/>
    <n v="20"/>
    <s v="On Time"/>
    <n v="84047.05"/>
    <s v="Mar"/>
    <n v="2025"/>
    <n v="84047.05"/>
    <s v="Minor Delay"/>
  </r>
  <r>
    <n v="1778"/>
    <d v="2025-01-13T00:00:00"/>
    <x v="1"/>
    <x v="0"/>
    <s v="NRT"/>
    <s v="Economy"/>
    <n v="125"/>
    <n v="149.6"/>
    <n v="0"/>
    <s v="On Time"/>
    <n v="18700"/>
    <s v="Jan"/>
    <n v="2025"/>
    <n v="18700"/>
    <s v="On Time"/>
  </r>
  <r>
    <n v="1779"/>
    <d v="2025-05-10T00:00:00"/>
    <x v="2"/>
    <x v="0"/>
    <s v="CJU"/>
    <s v="Economy"/>
    <n v="158"/>
    <n v="759.21"/>
    <n v="18"/>
    <s v="On Time"/>
    <n v="119955.18"/>
    <s v="May"/>
    <n v="2025"/>
    <n v="119955.18000000001"/>
    <s v="Minor Delay"/>
  </r>
  <r>
    <n v="1780"/>
    <d v="2025-07-11T00:00:00"/>
    <x v="0"/>
    <x v="3"/>
    <s v="MNL"/>
    <s v="Premium Economy"/>
    <n v="159"/>
    <n v="518.25"/>
    <n v="16"/>
    <s v="Delayed"/>
    <n v="82401.75"/>
    <s v="Jul"/>
    <n v="2025"/>
    <n v="82401.75"/>
    <s v="Minor Delay"/>
  </r>
  <r>
    <n v="1781"/>
    <d v="2025-01-17T00:00:00"/>
    <x v="2"/>
    <x v="5"/>
    <s v="SIN"/>
    <s v="Premium Economy"/>
    <n v="139"/>
    <n v="82.97"/>
    <n v="4"/>
    <s v="On Time"/>
    <n v="11532.83"/>
    <s v="Jan"/>
    <n v="2025"/>
    <n v="11532.83"/>
    <s v="Minor Delay"/>
  </r>
  <r>
    <n v="1782"/>
    <d v="2025-08-05T00:00:00"/>
    <x v="3"/>
    <x v="6"/>
    <s v="GMP"/>
    <s v="Business"/>
    <n v="208"/>
    <n v="711.67"/>
    <n v="0"/>
    <s v="Delayed"/>
    <n v="148027.35999999999"/>
    <s v="Aug"/>
    <n v="2025"/>
    <n v="148027.35999999999"/>
    <s v="On Time"/>
  </r>
  <r>
    <n v="1783"/>
    <d v="2025-07-14T00:00:00"/>
    <x v="1"/>
    <x v="8"/>
    <s v="ICN"/>
    <s v="Premium Economy"/>
    <n v="244"/>
    <n v="730.35"/>
    <n v="0"/>
    <s v="On Time"/>
    <n v="178205.4"/>
    <s v="Jul"/>
    <n v="2025"/>
    <n v="178205.4"/>
    <s v="On Time"/>
  </r>
  <r>
    <n v="1784"/>
    <d v="2025-07-14T00:00:00"/>
    <x v="3"/>
    <x v="0"/>
    <s v="SIN"/>
    <s v="Premium Economy"/>
    <n v="111"/>
    <n v="506.67"/>
    <n v="24"/>
    <s v="On Time"/>
    <n v="56240.37"/>
    <s v="Jul"/>
    <n v="2025"/>
    <n v="56240.37"/>
    <s v="Minor Delay"/>
  </r>
  <r>
    <n v="1785"/>
    <d v="2025-10-10T00:00:00"/>
    <x v="3"/>
    <x v="3"/>
    <s v="NRT"/>
    <s v="Premium Economy"/>
    <n v="105"/>
    <n v="514.15"/>
    <n v="51"/>
    <s v="On Time"/>
    <n v="53985.75"/>
    <s v="Oct"/>
    <n v="2025"/>
    <n v="53985.75"/>
    <s v="Moderate Delay"/>
  </r>
  <r>
    <n v="1786"/>
    <d v="2025-02-05T00:00:00"/>
    <x v="5"/>
    <x v="5"/>
    <s v="SIN"/>
    <s v="Economy"/>
    <n v="168"/>
    <n v="263.31"/>
    <n v="41"/>
    <s v="On Time"/>
    <n v="44236.08"/>
    <s v="Feb"/>
    <n v="2025"/>
    <n v="44236.08"/>
    <s v="Moderate Delay"/>
  </r>
  <r>
    <n v="1787"/>
    <d v="2025-05-10T00:00:00"/>
    <x v="5"/>
    <x v="6"/>
    <s v="ICN"/>
    <s v="Economy"/>
    <n v="228"/>
    <n v="442.38"/>
    <n v="32"/>
    <s v="Delayed"/>
    <n v="100862.64"/>
    <s v="May"/>
    <n v="2025"/>
    <n v="100862.64"/>
    <s v="Moderate Delay"/>
  </r>
  <r>
    <n v="1788"/>
    <d v="2025-11-04T00:00:00"/>
    <x v="4"/>
    <x v="5"/>
    <s v="KIX"/>
    <s v="Premium Economy"/>
    <n v="78"/>
    <n v="568.24"/>
    <n v="44"/>
    <s v="Delayed"/>
    <n v="44322.720000000001"/>
    <s v="Nov"/>
    <n v="2025"/>
    <n v="44322.720000000001"/>
    <s v="Moderate Delay"/>
  </r>
  <r>
    <n v="1789"/>
    <d v="2025-09-04T00:00:00"/>
    <x v="2"/>
    <x v="0"/>
    <s v="NRT"/>
    <s v="Economy"/>
    <n v="51"/>
    <n v="346.6"/>
    <n v="18"/>
    <s v="On Time"/>
    <n v="17676.599999999999"/>
    <s v="Sep"/>
    <n v="2025"/>
    <n v="17676.600000000002"/>
    <s v="Minor Delay"/>
  </r>
  <r>
    <n v="1790"/>
    <d v="2025-06-04T00:00:00"/>
    <x v="0"/>
    <x v="1"/>
    <s v="ICN"/>
    <s v="Economy"/>
    <n v="137"/>
    <n v="700.52"/>
    <n v="0"/>
    <s v="On Time"/>
    <n v="95971.24"/>
    <s v="Jun"/>
    <n v="2025"/>
    <n v="95971.239999999991"/>
    <s v="On Time"/>
  </r>
  <r>
    <n v="1791"/>
    <d v="2025-08-16T00:00:00"/>
    <x v="3"/>
    <x v="8"/>
    <s v="PUS"/>
    <s v="Economy"/>
    <n v="75"/>
    <n v="181.68"/>
    <n v="66"/>
    <s v="On Time"/>
    <n v="13626"/>
    <s v="Aug"/>
    <n v="2025"/>
    <n v="13626"/>
    <s v="Major Delay"/>
  </r>
  <r>
    <n v="1792"/>
    <d v="2025-09-12T00:00:00"/>
    <x v="4"/>
    <x v="5"/>
    <s v="SIN"/>
    <s v="Business"/>
    <n v="160"/>
    <n v="75.2"/>
    <n v="71"/>
    <s v="On Time"/>
    <n v="12032"/>
    <s v="Sep"/>
    <n v="2025"/>
    <n v="12032"/>
    <s v="Major Delay"/>
  </r>
  <r>
    <n v="1793"/>
    <d v="2025-08-03T00:00:00"/>
    <x v="2"/>
    <x v="3"/>
    <s v="GMP"/>
    <s v="Economy"/>
    <n v="121"/>
    <n v="382.86"/>
    <n v="17"/>
    <s v="On Time"/>
    <n v="46326.06"/>
    <s v="Aug"/>
    <n v="2025"/>
    <n v="46326.060000000005"/>
    <s v="Minor Delay"/>
  </r>
  <r>
    <n v="1794"/>
    <d v="2025-07-25T00:00:00"/>
    <x v="5"/>
    <x v="3"/>
    <s v="SIN"/>
    <s v="Economy"/>
    <n v="282"/>
    <n v="746.62"/>
    <n v="11"/>
    <s v="On Time"/>
    <n v="210546.84"/>
    <s v="Jul"/>
    <n v="2025"/>
    <n v="210546.84"/>
    <s v="Minor Delay"/>
  </r>
  <r>
    <n v="1795"/>
    <d v="2025-02-14T00:00:00"/>
    <x v="5"/>
    <x v="5"/>
    <s v="PUS"/>
    <s v="Economy"/>
    <n v="220"/>
    <n v="205.42"/>
    <n v="3"/>
    <s v="On Time"/>
    <n v="45192.4"/>
    <s v="Feb"/>
    <n v="2025"/>
    <n v="45192.399999999994"/>
    <s v="Minor Delay"/>
  </r>
  <r>
    <n v="1796"/>
    <d v="2025-12-03T00:00:00"/>
    <x v="0"/>
    <x v="8"/>
    <s v="GMP"/>
    <s v="Business"/>
    <n v="155"/>
    <n v="145.72999999999999"/>
    <n v="0"/>
    <s v="On Time"/>
    <n v="22588.15"/>
    <s v="Dec"/>
    <n v="2025"/>
    <n v="22588.149999999998"/>
    <s v="On Time"/>
  </r>
  <r>
    <n v="1797"/>
    <d v="2025-06-03T00:00:00"/>
    <x v="0"/>
    <x v="2"/>
    <s v="CJU"/>
    <s v="Business"/>
    <n v="229"/>
    <n v="349.13"/>
    <n v="0"/>
    <s v="On Time"/>
    <n v="79950.77"/>
    <s v="Jun"/>
    <n v="2025"/>
    <n v="79950.77"/>
    <s v="On Time"/>
  </r>
  <r>
    <n v="1798"/>
    <d v="2025-10-27T00:00:00"/>
    <x v="5"/>
    <x v="6"/>
    <s v="NRT"/>
    <s v="Economy"/>
    <n v="127"/>
    <n v="711.48"/>
    <n v="41"/>
    <s v="On Time"/>
    <n v="90357.96"/>
    <s v="Oct"/>
    <n v="2025"/>
    <n v="90357.96"/>
    <s v="Moderate Delay"/>
  </r>
  <r>
    <n v="1799"/>
    <d v="2025-04-20T00:00:00"/>
    <x v="0"/>
    <x v="2"/>
    <s v="SIN"/>
    <s v="Business"/>
    <n v="171"/>
    <n v="413.92"/>
    <n v="23"/>
    <s v="On Time"/>
    <n v="70780.320000000007"/>
    <s v="Apr"/>
    <n v="2025"/>
    <n v="70780.320000000007"/>
    <s v="Minor Delay"/>
  </r>
  <r>
    <n v="1800"/>
    <d v="2025-03-16T00:00:00"/>
    <x v="3"/>
    <x v="6"/>
    <s v="GMP"/>
    <s v="Economy"/>
    <n v="269"/>
    <n v="437.3"/>
    <n v="34"/>
    <s v="Delayed"/>
    <n v="117633.7"/>
    <s v="Mar"/>
    <n v="2025"/>
    <n v="117633.7"/>
    <s v="Moderate Delay"/>
  </r>
  <r>
    <n v="1801"/>
    <d v="2025-09-20T00:00:00"/>
    <x v="1"/>
    <x v="0"/>
    <s v="SIN"/>
    <s v="Business"/>
    <n v="92"/>
    <n v="242.83"/>
    <n v="21"/>
    <s v="On Time"/>
    <n v="22340.36"/>
    <s v="Sep"/>
    <n v="2025"/>
    <n v="22340.36"/>
    <s v="Minor Delay"/>
  </r>
  <r>
    <n v="1802"/>
    <d v="2025-07-28T00:00:00"/>
    <x v="1"/>
    <x v="2"/>
    <s v="KIX"/>
    <s v="Premium Economy"/>
    <n v="60"/>
    <n v="704.29"/>
    <n v="0"/>
    <s v="On Time"/>
    <n v="42257.4"/>
    <s v="Jul"/>
    <n v="2025"/>
    <n v="42257.399999999994"/>
    <s v="On Time"/>
  </r>
  <r>
    <n v="1803"/>
    <d v="2025-12-10T00:00:00"/>
    <x v="3"/>
    <x v="5"/>
    <s v="NRT"/>
    <s v="Premium Economy"/>
    <n v="150"/>
    <n v="392.87"/>
    <n v="29"/>
    <s v="Delayed"/>
    <n v="58930.5"/>
    <s v="Dec"/>
    <n v="2025"/>
    <n v="58930.5"/>
    <s v="Minor Delay"/>
  </r>
  <r>
    <n v="1804"/>
    <d v="2025-11-27T00:00:00"/>
    <x v="3"/>
    <x v="8"/>
    <s v="BKK"/>
    <s v="Economy"/>
    <n v="111"/>
    <n v="503.24"/>
    <n v="4"/>
    <s v="On Time"/>
    <n v="55859.64"/>
    <s v="Nov"/>
    <n v="2025"/>
    <n v="55859.64"/>
    <s v="Minor Delay"/>
  </r>
  <r>
    <n v="1805"/>
    <d v="2025-11-04T00:00:00"/>
    <x v="1"/>
    <x v="0"/>
    <s v="MNL"/>
    <s v="Premium Economy"/>
    <n v="66"/>
    <n v="475.65"/>
    <n v="7"/>
    <s v="On Time"/>
    <n v="31392.9"/>
    <s v="Nov"/>
    <n v="2025"/>
    <n v="31392.899999999998"/>
    <s v="Minor Delay"/>
  </r>
  <r>
    <n v="1806"/>
    <d v="2025-05-23T00:00:00"/>
    <x v="2"/>
    <x v="5"/>
    <s v="BKK"/>
    <s v="Premium Economy"/>
    <n v="168"/>
    <n v="541.12"/>
    <n v="0"/>
    <s v="Cancelled"/>
    <n v="90908.160000000003"/>
    <s v="May"/>
    <n v="2025"/>
    <n v="90908.160000000003"/>
    <s v="On Time"/>
  </r>
  <r>
    <n v="1807"/>
    <d v="2025-10-02T00:00:00"/>
    <x v="5"/>
    <x v="3"/>
    <s v="NRT"/>
    <s v="Premium Economy"/>
    <n v="285"/>
    <n v="288.02"/>
    <n v="48"/>
    <s v="On Time"/>
    <n v="82085.7"/>
    <s v="Oct"/>
    <n v="2025"/>
    <n v="82085.7"/>
    <s v="Moderate Delay"/>
  </r>
  <r>
    <n v="1808"/>
    <d v="2025-08-29T00:00:00"/>
    <x v="4"/>
    <x v="6"/>
    <s v="CJU"/>
    <s v="Economy"/>
    <n v="227"/>
    <n v="422.36"/>
    <n v="10"/>
    <s v="On Time"/>
    <n v="95875.72"/>
    <s v="Aug"/>
    <n v="2025"/>
    <n v="95875.72"/>
    <s v="Minor Delay"/>
  </r>
  <r>
    <n v="1809"/>
    <d v="2025-05-09T00:00:00"/>
    <x v="3"/>
    <x v="6"/>
    <s v="GMP"/>
    <s v="Premium Economy"/>
    <n v="289"/>
    <n v="260.73"/>
    <n v="12"/>
    <s v="On Time"/>
    <n v="75350.97"/>
    <s v="May"/>
    <n v="2025"/>
    <n v="75350.97"/>
    <s v="Minor Delay"/>
  </r>
  <r>
    <n v="1810"/>
    <d v="2025-10-17T00:00:00"/>
    <x v="0"/>
    <x v="3"/>
    <s v="PUS"/>
    <s v="Premium Economy"/>
    <n v="298"/>
    <n v="286.7"/>
    <n v="49"/>
    <s v="Delayed"/>
    <n v="85436.6"/>
    <s v="Oct"/>
    <n v="2025"/>
    <n v="85436.599999999991"/>
    <s v="Moderate Delay"/>
  </r>
  <r>
    <n v="1811"/>
    <d v="2025-05-23T00:00:00"/>
    <x v="4"/>
    <x v="6"/>
    <s v="BKK"/>
    <s v="Business"/>
    <n v="158"/>
    <n v="555.57000000000005"/>
    <n v="33"/>
    <s v="On Time"/>
    <n v="87780.06"/>
    <s v="May"/>
    <n v="2025"/>
    <n v="87780.060000000012"/>
    <s v="Moderate Delay"/>
  </r>
  <r>
    <n v="1812"/>
    <d v="2025-12-18T00:00:00"/>
    <x v="3"/>
    <x v="4"/>
    <s v="PUS"/>
    <s v="Premium Economy"/>
    <n v="232"/>
    <n v="461.65"/>
    <n v="51"/>
    <s v="On Time"/>
    <n v="107102.8"/>
    <s v="Dec"/>
    <n v="2025"/>
    <n v="107102.79999999999"/>
    <s v="Moderate Delay"/>
  </r>
  <r>
    <n v="1813"/>
    <d v="2025-03-02T00:00:00"/>
    <x v="3"/>
    <x v="8"/>
    <s v="CJU"/>
    <s v="Business"/>
    <n v="274"/>
    <n v="275.68"/>
    <n v="20"/>
    <s v="On Time"/>
    <n v="75536.320000000007"/>
    <s v="Mar"/>
    <n v="2025"/>
    <n v="75536.320000000007"/>
    <s v="Minor Delay"/>
  </r>
  <r>
    <n v="1814"/>
    <d v="2025-11-28T00:00:00"/>
    <x v="2"/>
    <x v="3"/>
    <s v="CJU"/>
    <s v="Premium Economy"/>
    <n v="112"/>
    <n v="349.81"/>
    <n v="53"/>
    <s v="On Time"/>
    <n v="39178.720000000001"/>
    <s v="Nov"/>
    <n v="2025"/>
    <n v="39178.720000000001"/>
    <s v="Moderate Delay"/>
  </r>
  <r>
    <n v="1815"/>
    <d v="2025-03-16T00:00:00"/>
    <x v="4"/>
    <x v="8"/>
    <s v="KIX"/>
    <s v="Business"/>
    <n v="68"/>
    <n v="246.88"/>
    <n v="64"/>
    <s v="Cancelled"/>
    <n v="16787.84"/>
    <s v="Mar"/>
    <n v="2025"/>
    <n v="16787.84"/>
    <s v="Major Delay"/>
  </r>
  <r>
    <n v="1816"/>
    <d v="2025-04-07T00:00:00"/>
    <x v="4"/>
    <x v="5"/>
    <s v="CJU"/>
    <s v="Premium Economy"/>
    <n v="166"/>
    <n v="751.72"/>
    <n v="10"/>
    <s v="On Time"/>
    <n v="124785.52"/>
    <s v="Apr"/>
    <n v="2025"/>
    <n v="124785.52"/>
    <s v="Minor Delay"/>
  </r>
  <r>
    <n v="1817"/>
    <d v="2025-04-12T00:00:00"/>
    <x v="4"/>
    <x v="4"/>
    <s v="MNL"/>
    <s v="Economy"/>
    <n v="159"/>
    <n v="524.79999999999995"/>
    <n v="8"/>
    <s v="On Time"/>
    <n v="83443.199999999997"/>
    <s v="Apr"/>
    <n v="2025"/>
    <n v="83443.199999999997"/>
    <s v="Minor Delay"/>
  </r>
  <r>
    <n v="1818"/>
    <d v="2025-03-13T00:00:00"/>
    <x v="0"/>
    <x v="3"/>
    <s v="GMP"/>
    <s v="Economy"/>
    <n v="142"/>
    <n v="622.49"/>
    <n v="20"/>
    <s v="Cancelled"/>
    <n v="88393.58"/>
    <s v="Mar"/>
    <n v="2025"/>
    <n v="88393.58"/>
    <s v="Minor Delay"/>
  </r>
  <r>
    <n v="1819"/>
    <d v="2025-05-23T00:00:00"/>
    <x v="1"/>
    <x v="5"/>
    <s v="CJU"/>
    <s v="Business"/>
    <n v="187"/>
    <n v="258.63"/>
    <n v="32"/>
    <s v="On Time"/>
    <n v="48363.81"/>
    <s v="May"/>
    <n v="2025"/>
    <n v="48363.81"/>
    <s v="Moderate Delay"/>
  </r>
  <r>
    <n v="1820"/>
    <d v="2025-12-05T00:00:00"/>
    <x v="5"/>
    <x v="2"/>
    <s v="ICN"/>
    <s v="Economy"/>
    <n v="52"/>
    <n v="142.46"/>
    <n v="0"/>
    <s v="Delayed"/>
    <n v="7407.92"/>
    <s v="Dec"/>
    <n v="2025"/>
    <n v="7407.92"/>
    <s v="On Time"/>
  </r>
  <r>
    <n v="1821"/>
    <d v="2025-08-09T00:00:00"/>
    <x v="0"/>
    <x v="4"/>
    <s v="KIX"/>
    <s v="Economy"/>
    <n v="106"/>
    <n v="517.54999999999995"/>
    <n v="2"/>
    <s v="On Time"/>
    <n v="54860.3"/>
    <s v="Aug"/>
    <n v="2025"/>
    <n v="54860.299999999996"/>
    <s v="Minor Delay"/>
  </r>
  <r>
    <n v="1822"/>
    <d v="2025-01-12T00:00:00"/>
    <x v="5"/>
    <x v="2"/>
    <s v="CJU"/>
    <s v="Business"/>
    <n v="131"/>
    <n v="624.14"/>
    <n v="11"/>
    <s v="On Time"/>
    <n v="81762.34"/>
    <s v="Jan"/>
    <n v="2025"/>
    <n v="81762.34"/>
    <s v="Minor Delay"/>
  </r>
  <r>
    <n v="1823"/>
    <d v="2025-10-05T00:00:00"/>
    <x v="5"/>
    <x v="1"/>
    <s v="PUS"/>
    <s v="Economy"/>
    <n v="294"/>
    <n v="178.69"/>
    <n v="0"/>
    <s v="Delayed"/>
    <n v="52534.86"/>
    <s v="Oct"/>
    <n v="2025"/>
    <n v="52534.86"/>
    <s v="On Time"/>
  </r>
  <r>
    <n v="1824"/>
    <d v="2025-02-18T00:00:00"/>
    <x v="0"/>
    <x v="8"/>
    <s v="GMP"/>
    <s v="Premium Economy"/>
    <n v="106"/>
    <n v="239.1"/>
    <n v="5"/>
    <s v="On Time"/>
    <n v="25344.6"/>
    <s v="Feb"/>
    <n v="2025"/>
    <n v="25344.6"/>
    <s v="Minor Delay"/>
  </r>
  <r>
    <n v="1825"/>
    <d v="2025-05-24T00:00:00"/>
    <x v="1"/>
    <x v="7"/>
    <s v="NRT"/>
    <s v="Economy"/>
    <n v="111"/>
    <n v="556.66"/>
    <n v="0"/>
    <s v="Delayed"/>
    <n v="61789.26"/>
    <s v="May"/>
    <n v="2025"/>
    <n v="61789.259999999995"/>
    <s v="On Time"/>
  </r>
  <r>
    <n v="1826"/>
    <d v="2025-04-29T00:00:00"/>
    <x v="1"/>
    <x v="8"/>
    <s v="PUS"/>
    <s v="Economy"/>
    <n v="154"/>
    <n v="587.19000000000005"/>
    <n v="39"/>
    <s v="On Time"/>
    <n v="90427.26"/>
    <s v="Apr"/>
    <n v="2025"/>
    <n v="90427.260000000009"/>
    <s v="Moderate Delay"/>
  </r>
  <r>
    <n v="1827"/>
    <d v="2025-01-12T00:00:00"/>
    <x v="5"/>
    <x v="1"/>
    <s v="MNL"/>
    <s v="Premium Economy"/>
    <n v="102"/>
    <n v="712.54"/>
    <n v="0"/>
    <s v="On Time"/>
    <n v="72679.08"/>
    <s v="Jan"/>
    <n v="2025"/>
    <n v="72679.08"/>
    <s v="On Time"/>
  </r>
  <r>
    <n v="1828"/>
    <d v="2025-09-13T00:00:00"/>
    <x v="5"/>
    <x v="3"/>
    <s v="ICN"/>
    <s v="Business"/>
    <n v="149"/>
    <n v="680.28"/>
    <n v="22"/>
    <s v="On Time"/>
    <n v="101361.72"/>
    <s v="Sep"/>
    <n v="2025"/>
    <n v="101361.72"/>
    <s v="Minor Delay"/>
  </r>
  <r>
    <n v="1829"/>
    <d v="2025-12-27T00:00:00"/>
    <x v="1"/>
    <x v="3"/>
    <s v="CJU"/>
    <s v="Business"/>
    <n v="264"/>
    <n v="577.21"/>
    <n v="0"/>
    <s v="On Time"/>
    <n v="152383.44"/>
    <s v="Dec"/>
    <n v="2025"/>
    <n v="152383.44"/>
    <s v="On Time"/>
  </r>
  <r>
    <n v="1830"/>
    <d v="2025-07-27T00:00:00"/>
    <x v="4"/>
    <x v="3"/>
    <s v="BKK"/>
    <s v="Economy"/>
    <n v="233"/>
    <n v="275.10000000000002"/>
    <n v="50"/>
    <s v="On Time"/>
    <n v="64098.3"/>
    <s v="Jul"/>
    <n v="2025"/>
    <n v="64098.3"/>
    <s v="Moderate Delay"/>
  </r>
  <r>
    <n v="1831"/>
    <d v="2025-12-18T00:00:00"/>
    <x v="5"/>
    <x v="8"/>
    <s v="ICN"/>
    <s v="Economy"/>
    <n v="215"/>
    <n v="576.21"/>
    <n v="0"/>
    <s v="On Time"/>
    <n v="123885.15"/>
    <s v="Dec"/>
    <n v="2025"/>
    <n v="123885.15000000001"/>
    <s v="On Time"/>
  </r>
  <r>
    <n v="1832"/>
    <d v="2025-07-15T00:00:00"/>
    <x v="1"/>
    <x v="3"/>
    <s v="BKK"/>
    <s v="Premium Economy"/>
    <n v="161"/>
    <n v="595.89"/>
    <n v="33"/>
    <s v="Delayed"/>
    <n v="95938.29"/>
    <s v="Jul"/>
    <n v="2025"/>
    <n v="95938.29"/>
    <s v="Moderate Delay"/>
  </r>
  <r>
    <n v="1833"/>
    <d v="2025-05-11T00:00:00"/>
    <x v="4"/>
    <x v="0"/>
    <s v="MNL"/>
    <s v="Economy"/>
    <n v="118"/>
    <n v="331.28"/>
    <n v="48"/>
    <s v="On Time"/>
    <n v="39091.040000000001"/>
    <s v="May"/>
    <n v="2025"/>
    <n v="39091.039999999994"/>
    <s v="Moderate Delay"/>
  </r>
  <r>
    <n v="1834"/>
    <d v="2025-01-19T00:00:00"/>
    <x v="2"/>
    <x v="6"/>
    <s v="PUS"/>
    <s v="Premium Economy"/>
    <n v="62"/>
    <n v="622.92999999999995"/>
    <n v="19"/>
    <s v="On Time"/>
    <n v="38621.660000000003"/>
    <s v="Jan"/>
    <n v="2025"/>
    <n v="38621.659999999996"/>
    <s v="Minor Delay"/>
  </r>
  <r>
    <n v="1835"/>
    <d v="2025-11-12T00:00:00"/>
    <x v="3"/>
    <x v="7"/>
    <s v="GMP"/>
    <s v="Business"/>
    <n v="62"/>
    <n v="245.29"/>
    <n v="1"/>
    <s v="On Time"/>
    <n v="15207.98"/>
    <s v="Nov"/>
    <n v="2025"/>
    <n v="15207.98"/>
    <s v="Minor Delay"/>
  </r>
  <r>
    <n v="1836"/>
    <d v="2025-05-23T00:00:00"/>
    <x v="0"/>
    <x v="7"/>
    <s v="MNL"/>
    <s v="Economy"/>
    <n v="154"/>
    <n v="290.58"/>
    <n v="16"/>
    <s v="On Time"/>
    <n v="44749.32"/>
    <s v="May"/>
    <n v="2025"/>
    <n v="44749.32"/>
    <s v="Minor Delay"/>
  </r>
  <r>
    <n v="1837"/>
    <d v="2025-11-14T00:00:00"/>
    <x v="1"/>
    <x v="2"/>
    <s v="GMP"/>
    <s v="Business"/>
    <n v="217"/>
    <n v="639.49"/>
    <n v="54"/>
    <s v="On Time"/>
    <n v="138769.32999999999"/>
    <s v="Nov"/>
    <n v="2025"/>
    <n v="138769.33000000002"/>
    <s v="Moderate Delay"/>
  </r>
  <r>
    <n v="1838"/>
    <d v="2025-08-05T00:00:00"/>
    <x v="0"/>
    <x v="4"/>
    <s v="SIN"/>
    <s v="Economy"/>
    <n v="54"/>
    <n v="657.72"/>
    <n v="0"/>
    <s v="On Time"/>
    <n v="35516.879999999997"/>
    <s v="Aug"/>
    <n v="2025"/>
    <n v="35516.880000000005"/>
    <s v="On Time"/>
  </r>
  <r>
    <n v="1839"/>
    <d v="2025-02-21T00:00:00"/>
    <x v="4"/>
    <x v="0"/>
    <s v="CJU"/>
    <s v="Economy"/>
    <n v="186"/>
    <n v="151.86000000000001"/>
    <n v="0"/>
    <s v="On Time"/>
    <n v="28245.96"/>
    <s v="Feb"/>
    <n v="2025"/>
    <n v="28245.960000000003"/>
    <s v="On Time"/>
  </r>
  <r>
    <n v="1840"/>
    <d v="2025-05-06T00:00:00"/>
    <x v="1"/>
    <x v="7"/>
    <s v="PUS"/>
    <s v="Premium Economy"/>
    <n v="268"/>
    <n v="187.13"/>
    <n v="29"/>
    <s v="On Time"/>
    <n v="50150.84"/>
    <s v="May"/>
    <n v="2025"/>
    <n v="50150.84"/>
    <s v="Minor Delay"/>
  </r>
  <r>
    <n v="1841"/>
    <d v="2025-07-21T00:00:00"/>
    <x v="0"/>
    <x v="5"/>
    <s v="GMP"/>
    <s v="Economy"/>
    <n v="62"/>
    <n v="407.11"/>
    <n v="30"/>
    <s v="On Time"/>
    <n v="25240.82"/>
    <s v="Jul"/>
    <n v="2025"/>
    <n v="25240.82"/>
    <s v="Minor Delay"/>
  </r>
  <r>
    <n v="1842"/>
    <d v="2025-08-25T00:00:00"/>
    <x v="0"/>
    <x v="3"/>
    <s v="NRT"/>
    <s v="Premium Economy"/>
    <n v="94"/>
    <n v="585.54999999999995"/>
    <n v="4"/>
    <s v="On Time"/>
    <n v="55041.7"/>
    <s v="Aug"/>
    <n v="2025"/>
    <n v="55041.7"/>
    <s v="Minor Delay"/>
  </r>
  <r>
    <n v="1843"/>
    <d v="2025-02-04T00:00:00"/>
    <x v="2"/>
    <x v="7"/>
    <s v="ICN"/>
    <s v="Economy"/>
    <n v="50"/>
    <n v="272.52999999999997"/>
    <n v="0"/>
    <s v="On Time"/>
    <n v="13626.5"/>
    <s v="Feb"/>
    <n v="2025"/>
    <n v="13626.499999999998"/>
    <s v="On Time"/>
  </r>
  <r>
    <n v="1844"/>
    <d v="2025-09-26T00:00:00"/>
    <x v="2"/>
    <x v="6"/>
    <s v="BKK"/>
    <s v="Business"/>
    <n v="291"/>
    <n v="444.55"/>
    <n v="14"/>
    <s v="On Time"/>
    <n v="129364.05"/>
    <s v="Sep"/>
    <n v="2025"/>
    <n v="129364.05"/>
    <s v="Minor Delay"/>
  </r>
  <r>
    <n v="1845"/>
    <d v="2025-09-26T00:00:00"/>
    <x v="2"/>
    <x v="1"/>
    <s v="NRT"/>
    <s v="Economy"/>
    <n v="178"/>
    <n v="694.87"/>
    <n v="24"/>
    <s v="On Time"/>
    <n v="123686.86"/>
    <s v="Sep"/>
    <n v="2025"/>
    <n v="123686.86"/>
    <s v="Minor Delay"/>
  </r>
  <r>
    <n v="1846"/>
    <d v="2025-03-01T00:00:00"/>
    <x v="5"/>
    <x v="3"/>
    <s v="NRT"/>
    <s v="Premium Economy"/>
    <n v="147"/>
    <n v="338.2"/>
    <n v="24"/>
    <s v="On Time"/>
    <n v="49715.4"/>
    <s v="Mar"/>
    <n v="2025"/>
    <n v="49715.4"/>
    <s v="Minor Delay"/>
  </r>
  <r>
    <n v="1847"/>
    <d v="2025-04-12T00:00:00"/>
    <x v="1"/>
    <x v="3"/>
    <s v="SIN"/>
    <s v="Economy"/>
    <n v="161"/>
    <n v="633.54999999999995"/>
    <n v="20"/>
    <s v="On Time"/>
    <n v="102001.55"/>
    <s v="Apr"/>
    <n v="2025"/>
    <n v="102001.54999999999"/>
    <s v="Minor Delay"/>
  </r>
  <r>
    <n v="1848"/>
    <d v="2025-07-22T00:00:00"/>
    <x v="0"/>
    <x v="7"/>
    <s v="KIX"/>
    <s v="Economy"/>
    <n v="54"/>
    <n v="726.37"/>
    <n v="0"/>
    <s v="Delayed"/>
    <n v="39223.980000000003"/>
    <s v="Jul"/>
    <n v="2025"/>
    <n v="39223.980000000003"/>
    <s v="On Time"/>
  </r>
  <r>
    <n v="1849"/>
    <d v="2025-07-24T00:00:00"/>
    <x v="2"/>
    <x v="4"/>
    <s v="SIN"/>
    <s v="Business"/>
    <n v="169"/>
    <n v="334.96"/>
    <n v="23"/>
    <s v="Delayed"/>
    <n v="56608.24"/>
    <s v="Jul"/>
    <n v="2025"/>
    <n v="56608.24"/>
    <s v="Minor Delay"/>
  </r>
  <r>
    <n v="1850"/>
    <d v="2025-11-24T00:00:00"/>
    <x v="1"/>
    <x v="2"/>
    <s v="CJU"/>
    <s v="Premium Economy"/>
    <n v="145"/>
    <n v="99.31"/>
    <n v="32"/>
    <s v="On Time"/>
    <n v="14399.95"/>
    <s v="Nov"/>
    <n v="2025"/>
    <n v="14399.95"/>
    <s v="Moderate Delay"/>
  </r>
  <r>
    <n v="1851"/>
    <d v="2025-02-09T00:00:00"/>
    <x v="5"/>
    <x v="1"/>
    <s v="MNL"/>
    <s v="Premium Economy"/>
    <n v="140"/>
    <n v="667.61"/>
    <n v="13"/>
    <s v="Cancelled"/>
    <n v="93465.4"/>
    <s v="Feb"/>
    <n v="2025"/>
    <n v="93465.400000000009"/>
    <s v="Minor Delay"/>
  </r>
  <r>
    <n v="1852"/>
    <d v="2025-06-30T00:00:00"/>
    <x v="4"/>
    <x v="8"/>
    <s v="GMP"/>
    <s v="Economy"/>
    <n v="129"/>
    <n v="742.27"/>
    <n v="17"/>
    <s v="On Time"/>
    <n v="95752.83"/>
    <s v="Jun"/>
    <n v="2025"/>
    <n v="95752.83"/>
    <s v="Minor Delay"/>
  </r>
  <r>
    <n v="1853"/>
    <d v="2025-12-31T00:00:00"/>
    <x v="5"/>
    <x v="0"/>
    <s v="PUS"/>
    <s v="Premium Economy"/>
    <n v="65"/>
    <n v="78.27"/>
    <n v="25"/>
    <s v="On Time"/>
    <n v="5087.55"/>
    <s v="Dec"/>
    <n v="2025"/>
    <n v="5087.55"/>
    <s v="Minor Delay"/>
  </r>
  <r>
    <n v="1854"/>
    <d v="2025-11-10T00:00:00"/>
    <x v="2"/>
    <x v="1"/>
    <s v="KIX"/>
    <s v="Premium Economy"/>
    <n v="209"/>
    <n v="301.64"/>
    <n v="49"/>
    <s v="On Time"/>
    <n v="63042.76"/>
    <s v="Nov"/>
    <n v="2025"/>
    <n v="63042.759999999995"/>
    <s v="Moderate Delay"/>
  </r>
  <r>
    <n v="1855"/>
    <d v="2025-08-13T00:00:00"/>
    <x v="2"/>
    <x v="6"/>
    <s v="GMP"/>
    <s v="Premium Economy"/>
    <n v="245"/>
    <n v="440.34"/>
    <n v="4"/>
    <s v="On Time"/>
    <n v="107883.3"/>
    <s v="Aug"/>
    <n v="2025"/>
    <n v="107883.29999999999"/>
    <s v="Minor Delay"/>
  </r>
  <r>
    <n v="1856"/>
    <d v="2025-03-20T00:00:00"/>
    <x v="2"/>
    <x v="6"/>
    <s v="GMP"/>
    <s v="Premium Economy"/>
    <n v="219"/>
    <n v="588.55999999999995"/>
    <n v="0"/>
    <s v="On Time"/>
    <n v="128894.64"/>
    <s v="Mar"/>
    <n v="2025"/>
    <n v="128894.63999999998"/>
    <s v="On Time"/>
  </r>
  <r>
    <n v="1857"/>
    <d v="2025-03-14T00:00:00"/>
    <x v="0"/>
    <x v="4"/>
    <s v="CJU"/>
    <s v="Economy"/>
    <n v="207"/>
    <n v="344.08"/>
    <n v="14"/>
    <s v="On Time"/>
    <n v="71224.56"/>
    <s v="Mar"/>
    <n v="2025"/>
    <n v="71224.56"/>
    <s v="Minor Delay"/>
  </r>
  <r>
    <n v="1858"/>
    <d v="2025-08-03T00:00:00"/>
    <x v="5"/>
    <x v="7"/>
    <s v="NRT"/>
    <s v="Economy"/>
    <n v="156"/>
    <n v="651.61"/>
    <n v="24"/>
    <s v="Delayed"/>
    <n v="101651.16"/>
    <s v="Aug"/>
    <n v="2025"/>
    <n v="101651.16"/>
    <s v="Minor Delay"/>
  </r>
  <r>
    <n v="1859"/>
    <d v="2025-04-18T00:00:00"/>
    <x v="1"/>
    <x v="1"/>
    <s v="NRT"/>
    <s v="Economy"/>
    <n v="91"/>
    <n v="695.54"/>
    <n v="17"/>
    <s v="On Time"/>
    <n v="63294.14"/>
    <s v="Apr"/>
    <n v="2025"/>
    <n v="63294.14"/>
    <s v="Minor Delay"/>
  </r>
  <r>
    <n v="1860"/>
    <d v="2025-12-11T00:00:00"/>
    <x v="2"/>
    <x v="8"/>
    <s v="CJU"/>
    <s v="Economy"/>
    <n v="70"/>
    <n v="555.37"/>
    <n v="48"/>
    <s v="Delayed"/>
    <n v="38875.9"/>
    <s v="Dec"/>
    <n v="2025"/>
    <n v="38875.9"/>
    <s v="Moderate Delay"/>
  </r>
  <r>
    <n v="1861"/>
    <d v="2025-08-29T00:00:00"/>
    <x v="4"/>
    <x v="3"/>
    <s v="BKK"/>
    <s v="Business"/>
    <n v="192"/>
    <n v="465.46"/>
    <n v="53"/>
    <s v="On Time"/>
    <n v="89368.320000000007"/>
    <s v="Aug"/>
    <n v="2025"/>
    <n v="89368.319999999992"/>
    <s v="Moderate Delay"/>
  </r>
  <r>
    <n v="1862"/>
    <d v="2025-12-08T00:00:00"/>
    <x v="3"/>
    <x v="3"/>
    <s v="CJU"/>
    <s v="Business"/>
    <n v="200"/>
    <n v="444.84"/>
    <n v="0"/>
    <s v="On Time"/>
    <n v="88968"/>
    <s v="Dec"/>
    <n v="2025"/>
    <n v="88968"/>
    <s v="On Time"/>
  </r>
  <r>
    <n v="1863"/>
    <d v="2025-01-12T00:00:00"/>
    <x v="2"/>
    <x v="2"/>
    <s v="NRT"/>
    <s v="Premium Economy"/>
    <n v="119"/>
    <n v="302.83"/>
    <n v="0"/>
    <s v="On Time"/>
    <n v="36036.769999999997"/>
    <s v="Jan"/>
    <n v="2025"/>
    <n v="36036.769999999997"/>
    <s v="On Time"/>
  </r>
  <r>
    <n v="1864"/>
    <d v="2025-10-30T00:00:00"/>
    <x v="4"/>
    <x v="1"/>
    <s v="ICN"/>
    <s v="Premium Economy"/>
    <n v="77"/>
    <n v="669.81"/>
    <n v="18"/>
    <s v="On Time"/>
    <n v="51575.37"/>
    <s v="Oct"/>
    <n v="2025"/>
    <n v="51575.369999999995"/>
    <s v="Minor Delay"/>
  </r>
  <r>
    <n v="1865"/>
    <d v="2025-08-26T00:00:00"/>
    <x v="0"/>
    <x v="2"/>
    <s v="NRT"/>
    <s v="Economy"/>
    <n v="228"/>
    <n v="461.23"/>
    <n v="0"/>
    <s v="On Time"/>
    <n v="105160.44"/>
    <s v="Aug"/>
    <n v="2025"/>
    <n v="105160.44"/>
    <s v="On Time"/>
  </r>
  <r>
    <n v="1866"/>
    <d v="2025-02-11T00:00:00"/>
    <x v="0"/>
    <x v="3"/>
    <s v="NRT"/>
    <s v="Economy"/>
    <n v="209"/>
    <n v="416.07"/>
    <n v="51"/>
    <s v="Delayed"/>
    <n v="86958.63"/>
    <s v="Feb"/>
    <n v="2025"/>
    <n v="86958.63"/>
    <s v="Moderate Delay"/>
  </r>
  <r>
    <n v="1867"/>
    <d v="2025-01-30T00:00:00"/>
    <x v="2"/>
    <x v="0"/>
    <s v="BKK"/>
    <s v="Premium Economy"/>
    <n v="258"/>
    <n v="379.8"/>
    <n v="0"/>
    <s v="On Time"/>
    <n v="97988.4"/>
    <s v="Jan"/>
    <n v="2025"/>
    <n v="97988.400000000009"/>
    <s v="On Time"/>
  </r>
  <r>
    <n v="1868"/>
    <d v="2025-06-07T00:00:00"/>
    <x v="0"/>
    <x v="3"/>
    <s v="GMP"/>
    <s v="Premium Economy"/>
    <n v="275"/>
    <n v="798.37"/>
    <n v="55"/>
    <s v="Delayed"/>
    <n v="219551.75"/>
    <s v="Jun"/>
    <n v="2025"/>
    <n v="219551.75"/>
    <s v="Moderate Delay"/>
  </r>
  <r>
    <n v="1869"/>
    <d v="2025-07-27T00:00:00"/>
    <x v="2"/>
    <x v="1"/>
    <s v="PUS"/>
    <s v="Economy"/>
    <n v="123"/>
    <n v="239.99"/>
    <n v="27"/>
    <s v="On Time"/>
    <n v="29518.77"/>
    <s v="Jul"/>
    <n v="2025"/>
    <n v="29518.77"/>
    <s v="Minor Delay"/>
  </r>
  <r>
    <n v="1870"/>
    <d v="2025-02-21T00:00:00"/>
    <x v="1"/>
    <x v="1"/>
    <s v="GMP"/>
    <s v="Economy"/>
    <n v="253"/>
    <n v="605.70000000000005"/>
    <n v="0"/>
    <s v="On Time"/>
    <n v="153242.1"/>
    <s v="Feb"/>
    <n v="2025"/>
    <n v="153242.1"/>
    <s v="On Time"/>
  </r>
  <r>
    <n v="1871"/>
    <d v="2025-02-17T00:00:00"/>
    <x v="3"/>
    <x v="1"/>
    <s v="SIN"/>
    <s v="Business"/>
    <n v="88"/>
    <n v="793.96"/>
    <n v="35"/>
    <s v="On Time"/>
    <n v="69868.479999999996"/>
    <s v="Feb"/>
    <n v="2025"/>
    <n v="69868.48000000001"/>
    <s v="Moderate Delay"/>
  </r>
  <r>
    <n v="1872"/>
    <d v="2025-12-08T00:00:00"/>
    <x v="5"/>
    <x v="3"/>
    <s v="BKK"/>
    <s v="Economy"/>
    <n v="60"/>
    <n v="182.26"/>
    <n v="20"/>
    <s v="On Time"/>
    <n v="10935.6"/>
    <s v="Dec"/>
    <n v="2025"/>
    <n v="10935.599999999999"/>
    <s v="Minor Delay"/>
  </r>
  <r>
    <n v="1873"/>
    <d v="2025-10-26T00:00:00"/>
    <x v="1"/>
    <x v="0"/>
    <s v="ICN"/>
    <s v="Economy"/>
    <n v="207"/>
    <n v="60.16"/>
    <n v="59"/>
    <s v="Delayed"/>
    <n v="12453.12"/>
    <s v="Oct"/>
    <n v="2025"/>
    <n v="12453.119999999999"/>
    <s v="Moderate Delay"/>
  </r>
  <r>
    <n v="1874"/>
    <d v="2025-05-17T00:00:00"/>
    <x v="5"/>
    <x v="8"/>
    <s v="GMP"/>
    <s v="Premium Economy"/>
    <n v="207"/>
    <n v="679.27"/>
    <n v="0"/>
    <s v="On Time"/>
    <n v="140608.89000000001"/>
    <s v="May"/>
    <n v="2025"/>
    <n v="140608.88999999998"/>
    <s v="On Time"/>
  </r>
  <r>
    <n v="1875"/>
    <d v="2025-02-03T00:00:00"/>
    <x v="2"/>
    <x v="4"/>
    <s v="CJU"/>
    <s v="Business"/>
    <n v="268"/>
    <n v="252.39"/>
    <n v="0"/>
    <s v="On Time"/>
    <n v="67640.52"/>
    <s v="Feb"/>
    <n v="2025"/>
    <n v="67640.51999999999"/>
    <s v="On Time"/>
  </r>
  <r>
    <n v="1876"/>
    <d v="2025-01-17T00:00:00"/>
    <x v="2"/>
    <x v="2"/>
    <s v="KIX"/>
    <s v="Premium Economy"/>
    <n v="220"/>
    <n v="180.48"/>
    <n v="0"/>
    <s v="On Time"/>
    <n v="39705.599999999999"/>
    <s v="Jan"/>
    <n v="2025"/>
    <n v="39705.599999999999"/>
    <s v="On Time"/>
  </r>
  <r>
    <n v="1877"/>
    <d v="2025-09-18T00:00:00"/>
    <x v="4"/>
    <x v="8"/>
    <s v="KIX"/>
    <s v="Premium Economy"/>
    <n v="217"/>
    <n v="582.19000000000005"/>
    <n v="0"/>
    <s v="On Time"/>
    <n v="126335.23"/>
    <s v="Sep"/>
    <n v="2025"/>
    <n v="126335.23000000001"/>
    <s v="On Time"/>
  </r>
  <r>
    <n v="1878"/>
    <d v="2025-04-18T00:00:00"/>
    <x v="0"/>
    <x v="4"/>
    <s v="BKK"/>
    <s v="Premium Economy"/>
    <n v="88"/>
    <n v="580.39"/>
    <n v="46"/>
    <s v="On Time"/>
    <n v="51074.32"/>
    <s v="Apr"/>
    <n v="2025"/>
    <n v="51074.32"/>
    <s v="Moderate Delay"/>
  </r>
  <r>
    <n v="1879"/>
    <d v="2025-03-17T00:00:00"/>
    <x v="1"/>
    <x v="5"/>
    <s v="CJU"/>
    <s v="Premium Economy"/>
    <n v="82"/>
    <n v="170.5"/>
    <n v="58"/>
    <s v="On Time"/>
    <n v="13981"/>
    <s v="Mar"/>
    <n v="2025"/>
    <n v="13981"/>
    <s v="Moderate Delay"/>
  </r>
  <r>
    <n v="1880"/>
    <d v="2025-08-11T00:00:00"/>
    <x v="2"/>
    <x v="2"/>
    <s v="SIN"/>
    <s v="Economy"/>
    <n v="288"/>
    <n v="536.79"/>
    <n v="39"/>
    <s v="Delayed"/>
    <n v="154595.51999999999"/>
    <s v="Aug"/>
    <n v="2025"/>
    <n v="154595.51999999999"/>
    <s v="Moderate Delay"/>
  </r>
  <r>
    <n v="1881"/>
    <d v="2025-12-30T00:00:00"/>
    <x v="0"/>
    <x v="6"/>
    <s v="NRT"/>
    <s v="Premium Economy"/>
    <n v="217"/>
    <n v="85.04"/>
    <n v="29"/>
    <s v="On Time"/>
    <n v="18453.68"/>
    <s v="Dec"/>
    <n v="2025"/>
    <n v="18453.68"/>
    <s v="Minor Delay"/>
  </r>
  <r>
    <n v="1882"/>
    <d v="2025-07-19T00:00:00"/>
    <x v="0"/>
    <x v="5"/>
    <s v="KIX"/>
    <s v="Premium Economy"/>
    <n v="168"/>
    <n v="547.16"/>
    <n v="33"/>
    <s v="On Time"/>
    <n v="91922.880000000005"/>
    <s v="Jul"/>
    <n v="2025"/>
    <n v="91922.87999999999"/>
    <s v="Moderate Delay"/>
  </r>
  <r>
    <n v="1883"/>
    <d v="2025-03-10T00:00:00"/>
    <x v="4"/>
    <x v="3"/>
    <s v="SIN"/>
    <s v="Business"/>
    <n v="297"/>
    <n v="583.46"/>
    <n v="0"/>
    <s v="On Time"/>
    <n v="173287.62"/>
    <s v="Mar"/>
    <n v="2025"/>
    <n v="173287.62000000002"/>
    <s v="On Time"/>
  </r>
  <r>
    <n v="1884"/>
    <d v="2025-03-26T00:00:00"/>
    <x v="4"/>
    <x v="7"/>
    <s v="ICN"/>
    <s v="Premium Economy"/>
    <n v="73"/>
    <n v="420.3"/>
    <n v="0"/>
    <s v="Cancelled"/>
    <n v="30681.9"/>
    <s v="Mar"/>
    <n v="2025"/>
    <n v="30681.9"/>
    <s v="On Time"/>
  </r>
  <r>
    <n v="1885"/>
    <d v="2025-03-13T00:00:00"/>
    <x v="0"/>
    <x v="7"/>
    <s v="ICN"/>
    <s v="Business"/>
    <n v="204"/>
    <n v="426.56"/>
    <n v="17"/>
    <s v="On Time"/>
    <n v="87018.240000000005"/>
    <s v="Mar"/>
    <n v="2025"/>
    <n v="87018.240000000005"/>
    <s v="Minor Delay"/>
  </r>
  <r>
    <n v="1886"/>
    <d v="2025-11-20T00:00:00"/>
    <x v="4"/>
    <x v="5"/>
    <s v="GMP"/>
    <s v="Business"/>
    <n v="137"/>
    <n v="652.15"/>
    <n v="36"/>
    <s v="On Time"/>
    <n v="89344.55"/>
    <s v="Nov"/>
    <n v="2025"/>
    <n v="89344.55"/>
    <s v="Moderate Delay"/>
  </r>
  <r>
    <n v="1887"/>
    <d v="2025-09-05T00:00:00"/>
    <x v="5"/>
    <x v="5"/>
    <s v="CJU"/>
    <s v="Economy"/>
    <n v="104"/>
    <n v="169.38"/>
    <n v="0"/>
    <s v="On Time"/>
    <n v="17615.52"/>
    <s v="Sep"/>
    <n v="2025"/>
    <n v="17615.52"/>
    <s v="On Time"/>
  </r>
  <r>
    <n v="1888"/>
    <d v="2025-09-28T00:00:00"/>
    <x v="5"/>
    <x v="4"/>
    <s v="MNL"/>
    <s v="Business"/>
    <n v="287"/>
    <n v="513.04999999999995"/>
    <n v="0"/>
    <s v="On Time"/>
    <n v="147245.35"/>
    <s v="Sep"/>
    <n v="2025"/>
    <n v="147245.34999999998"/>
    <s v="On Time"/>
  </r>
  <r>
    <n v="1889"/>
    <d v="2025-10-30T00:00:00"/>
    <x v="5"/>
    <x v="5"/>
    <s v="SIN"/>
    <s v="Premium Economy"/>
    <n v="187"/>
    <n v="797.62"/>
    <n v="0"/>
    <s v="On Time"/>
    <n v="149154.94"/>
    <s v="Oct"/>
    <n v="2025"/>
    <n v="149154.94"/>
    <s v="On Time"/>
  </r>
  <r>
    <n v="1890"/>
    <d v="2025-08-02T00:00:00"/>
    <x v="2"/>
    <x v="0"/>
    <s v="SIN"/>
    <s v="Business"/>
    <n v="196"/>
    <n v="230.9"/>
    <n v="25"/>
    <s v="On Time"/>
    <n v="45256.4"/>
    <s v="Aug"/>
    <n v="2025"/>
    <n v="45256.4"/>
    <s v="Minor Delay"/>
  </r>
  <r>
    <n v="1891"/>
    <d v="2025-05-16T00:00:00"/>
    <x v="4"/>
    <x v="2"/>
    <s v="SIN"/>
    <s v="Business"/>
    <n v="268"/>
    <n v="88.65"/>
    <n v="26"/>
    <s v="On Time"/>
    <n v="23758.2"/>
    <s v="May"/>
    <n v="2025"/>
    <n v="23758.2"/>
    <s v="Minor Delay"/>
  </r>
  <r>
    <n v="1892"/>
    <d v="2025-09-29T00:00:00"/>
    <x v="0"/>
    <x v="4"/>
    <s v="ICN"/>
    <s v="Economy"/>
    <n v="106"/>
    <n v="764.49"/>
    <n v="73"/>
    <s v="On Time"/>
    <n v="81035.94"/>
    <s v="Sep"/>
    <n v="2025"/>
    <n v="81035.94"/>
    <s v="Major Delay"/>
  </r>
  <r>
    <n v="1893"/>
    <d v="2025-08-09T00:00:00"/>
    <x v="1"/>
    <x v="1"/>
    <s v="ICN"/>
    <s v="Economy"/>
    <n v="255"/>
    <n v="654.42999999999995"/>
    <n v="0"/>
    <s v="Delayed"/>
    <n v="166879.65"/>
    <s v="Aug"/>
    <n v="2025"/>
    <n v="166879.65"/>
    <s v="On Time"/>
  </r>
  <r>
    <n v="1894"/>
    <d v="2025-11-04T00:00:00"/>
    <x v="3"/>
    <x v="5"/>
    <s v="KIX"/>
    <s v="Economy"/>
    <n v="177"/>
    <n v="791.76"/>
    <n v="8"/>
    <s v="On Time"/>
    <n v="140141.51999999999"/>
    <s v="Nov"/>
    <n v="2025"/>
    <n v="140141.51999999999"/>
    <s v="Minor Delay"/>
  </r>
  <r>
    <n v="1895"/>
    <d v="2025-03-01T00:00:00"/>
    <x v="0"/>
    <x v="6"/>
    <s v="NRT"/>
    <s v="Premium Economy"/>
    <n v="193"/>
    <n v="597.03"/>
    <n v="36"/>
    <s v="On Time"/>
    <n v="115226.79"/>
    <s v="Mar"/>
    <n v="2025"/>
    <n v="115226.79"/>
    <s v="Moderate Delay"/>
  </r>
  <r>
    <n v="1896"/>
    <d v="2025-06-18T00:00:00"/>
    <x v="3"/>
    <x v="1"/>
    <s v="GMP"/>
    <s v="Economy"/>
    <n v="292"/>
    <n v="415.1"/>
    <n v="52"/>
    <s v="On Time"/>
    <n v="121209.2"/>
    <s v="Jun"/>
    <n v="2025"/>
    <n v="121209.20000000001"/>
    <s v="Moderate Delay"/>
  </r>
  <r>
    <n v="1897"/>
    <d v="2025-12-03T00:00:00"/>
    <x v="4"/>
    <x v="4"/>
    <s v="CJU"/>
    <s v="Business"/>
    <n v="115"/>
    <n v="367.53"/>
    <n v="34"/>
    <s v="On Time"/>
    <n v="42265.95"/>
    <s v="Dec"/>
    <n v="2025"/>
    <n v="42265.95"/>
    <s v="Moderate Delay"/>
  </r>
  <r>
    <n v="1898"/>
    <d v="2025-06-08T00:00:00"/>
    <x v="5"/>
    <x v="0"/>
    <s v="KIX"/>
    <s v="Business"/>
    <n v="190"/>
    <n v="532.88"/>
    <n v="10"/>
    <s v="On Time"/>
    <n v="101247.2"/>
    <s v="Jun"/>
    <n v="2025"/>
    <n v="101247.2"/>
    <s v="Minor Delay"/>
  </r>
  <r>
    <n v="1899"/>
    <d v="2025-01-02T00:00:00"/>
    <x v="0"/>
    <x v="7"/>
    <s v="GMP"/>
    <s v="Economy"/>
    <n v="249"/>
    <n v="630.04999999999995"/>
    <n v="21"/>
    <s v="On Time"/>
    <n v="156882.45000000001"/>
    <s v="Jan"/>
    <n v="2025"/>
    <n v="156882.44999999998"/>
    <s v="Minor Delay"/>
  </r>
  <r>
    <n v="1900"/>
    <d v="2025-03-04T00:00:00"/>
    <x v="5"/>
    <x v="8"/>
    <s v="KIX"/>
    <s v="Business"/>
    <n v="169"/>
    <n v="437.98"/>
    <n v="0"/>
    <s v="On Time"/>
    <n v="74018.62"/>
    <s v="Mar"/>
    <n v="2025"/>
    <n v="74018.62000000001"/>
    <s v="On Time"/>
  </r>
  <r>
    <n v="1901"/>
    <d v="2025-07-02T00:00:00"/>
    <x v="1"/>
    <x v="4"/>
    <s v="GMP"/>
    <s v="Premium Economy"/>
    <n v="95"/>
    <n v="347.03"/>
    <n v="42"/>
    <s v="On Time"/>
    <n v="32967.85"/>
    <s v="Jul"/>
    <n v="2025"/>
    <n v="32967.85"/>
    <s v="Moderate Delay"/>
  </r>
  <r>
    <n v="1902"/>
    <d v="2025-03-25T00:00:00"/>
    <x v="0"/>
    <x v="0"/>
    <s v="CJU"/>
    <s v="Premium Economy"/>
    <n v="91"/>
    <n v="446.34"/>
    <n v="75"/>
    <s v="On Time"/>
    <n v="40616.94"/>
    <s v="Mar"/>
    <n v="2025"/>
    <n v="40616.939999999995"/>
    <s v="Major Delay"/>
  </r>
  <r>
    <n v="1903"/>
    <d v="2025-11-20T00:00:00"/>
    <x v="4"/>
    <x v="2"/>
    <s v="SIN"/>
    <s v="Economy"/>
    <n v="137"/>
    <n v="691.59"/>
    <n v="27"/>
    <s v="Delayed"/>
    <n v="94747.83"/>
    <s v="Nov"/>
    <n v="2025"/>
    <n v="94747.83"/>
    <s v="Minor Delay"/>
  </r>
  <r>
    <n v="1904"/>
    <d v="2025-03-27T00:00:00"/>
    <x v="0"/>
    <x v="1"/>
    <s v="PUS"/>
    <s v="Business"/>
    <n v="213"/>
    <n v="417.73"/>
    <n v="0"/>
    <s v="On Time"/>
    <n v="88976.49"/>
    <s v="Mar"/>
    <n v="2025"/>
    <n v="88976.49"/>
    <s v="On Time"/>
  </r>
  <r>
    <n v="1905"/>
    <d v="2025-12-03T00:00:00"/>
    <x v="2"/>
    <x v="0"/>
    <s v="NRT"/>
    <s v="Business"/>
    <n v="247"/>
    <n v="398.81"/>
    <n v="9"/>
    <s v="Delayed"/>
    <n v="98506.07"/>
    <s v="Dec"/>
    <n v="2025"/>
    <n v="98506.07"/>
    <s v="Minor Delay"/>
  </r>
  <r>
    <n v="1906"/>
    <d v="2025-04-07T00:00:00"/>
    <x v="1"/>
    <x v="5"/>
    <s v="SIN"/>
    <s v="Business"/>
    <n v="140"/>
    <n v="72.67"/>
    <n v="41"/>
    <s v="On Time"/>
    <n v="10173.799999999999"/>
    <s v="Apr"/>
    <n v="2025"/>
    <n v="10173.800000000001"/>
    <s v="Moderate Delay"/>
  </r>
  <r>
    <n v="1907"/>
    <d v="2025-08-01T00:00:00"/>
    <x v="3"/>
    <x v="3"/>
    <s v="BKK"/>
    <s v="Economy"/>
    <n v="298"/>
    <n v="293.23"/>
    <n v="6"/>
    <s v="On Time"/>
    <n v="87382.54"/>
    <s v="Aug"/>
    <n v="2025"/>
    <n v="87382.540000000008"/>
    <s v="Minor Delay"/>
  </r>
  <r>
    <n v="1908"/>
    <d v="2025-10-31T00:00:00"/>
    <x v="0"/>
    <x v="6"/>
    <s v="GMP"/>
    <s v="Premium Economy"/>
    <n v="176"/>
    <n v="469.65"/>
    <n v="23"/>
    <s v="On Time"/>
    <n v="82658.399999999994"/>
    <s v="Oct"/>
    <n v="2025"/>
    <n v="82658.399999999994"/>
    <s v="Minor Delay"/>
  </r>
  <r>
    <n v="1909"/>
    <d v="2025-11-16T00:00:00"/>
    <x v="1"/>
    <x v="3"/>
    <s v="GMP"/>
    <s v="Business"/>
    <n v="131"/>
    <n v="242.07"/>
    <n v="0"/>
    <s v="On Time"/>
    <n v="31711.17"/>
    <s v="Nov"/>
    <n v="2025"/>
    <n v="31711.17"/>
    <s v="On Time"/>
  </r>
  <r>
    <n v="1910"/>
    <d v="2025-06-03T00:00:00"/>
    <x v="3"/>
    <x v="0"/>
    <s v="ICN"/>
    <s v="Economy"/>
    <n v="228"/>
    <n v="251.13"/>
    <n v="13"/>
    <s v="On Time"/>
    <n v="57257.64"/>
    <s v="Jun"/>
    <n v="2025"/>
    <n v="57257.64"/>
    <s v="Minor Delay"/>
  </r>
  <r>
    <n v="1911"/>
    <d v="2025-06-24T00:00:00"/>
    <x v="2"/>
    <x v="7"/>
    <s v="KIX"/>
    <s v="Economy"/>
    <n v="299"/>
    <n v="452.91"/>
    <n v="39"/>
    <s v="On Time"/>
    <n v="135420.09"/>
    <s v="Jun"/>
    <n v="2025"/>
    <n v="135420.09"/>
    <s v="Moderate Delay"/>
  </r>
  <r>
    <n v="1912"/>
    <d v="2025-05-26T00:00:00"/>
    <x v="4"/>
    <x v="5"/>
    <s v="GMP"/>
    <s v="Economy"/>
    <n v="232"/>
    <n v="128.88"/>
    <n v="29"/>
    <s v="On Time"/>
    <n v="29900.16"/>
    <s v="May"/>
    <n v="2025"/>
    <n v="29900.16"/>
    <s v="Minor Delay"/>
  </r>
  <r>
    <n v="1913"/>
    <d v="2025-07-05T00:00:00"/>
    <x v="1"/>
    <x v="6"/>
    <s v="GMP"/>
    <s v="Economy"/>
    <n v="299"/>
    <n v="255.51"/>
    <n v="0"/>
    <s v="On Time"/>
    <n v="76397.490000000005"/>
    <s v="Jul"/>
    <n v="2025"/>
    <n v="76397.489999999991"/>
    <s v="On Time"/>
  </r>
  <r>
    <n v="1914"/>
    <d v="2025-04-29T00:00:00"/>
    <x v="1"/>
    <x v="2"/>
    <s v="GMP"/>
    <s v="Premium Economy"/>
    <n v="129"/>
    <n v="682.69"/>
    <n v="65"/>
    <s v="On Time"/>
    <n v="88067.01"/>
    <s v="Apr"/>
    <n v="2025"/>
    <n v="88067.010000000009"/>
    <s v="Major Delay"/>
  </r>
  <r>
    <n v="1915"/>
    <d v="2025-12-31T00:00:00"/>
    <x v="5"/>
    <x v="6"/>
    <s v="GMP"/>
    <s v="Business"/>
    <n v="272"/>
    <n v="570.96"/>
    <n v="10"/>
    <s v="On Time"/>
    <n v="155301.12"/>
    <s v="Dec"/>
    <n v="2025"/>
    <n v="155301.12"/>
    <s v="Minor Delay"/>
  </r>
  <r>
    <n v="1916"/>
    <d v="2025-06-09T00:00:00"/>
    <x v="2"/>
    <x v="1"/>
    <s v="ICN"/>
    <s v="Economy"/>
    <n v="218"/>
    <n v="306.62"/>
    <n v="50"/>
    <s v="On Time"/>
    <n v="66843.16"/>
    <s v="Jun"/>
    <n v="2025"/>
    <n v="66843.16"/>
    <s v="Moderate Delay"/>
  </r>
  <r>
    <n v="1917"/>
    <d v="2025-02-18T00:00:00"/>
    <x v="5"/>
    <x v="7"/>
    <s v="GMP"/>
    <s v="Economy"/>
    <n v="77"/>
    <n v="719.64"/>
    <n v="63"/>
    <s v="On Time"/>
    <n v="55412.28"/>
    <s v="Feb"/>
    <n v="2025"/>
    <n v="55412.28"/>
    <s v="Major Delay"/>
  </r>
  <r>
    <n v="1918"/>
    <d v="2025-03-23T00:00:00"/>
    <x v="5"/>
    <x v="0"/>
    <s v="KIX"/>
    <s v="Business"/>
    <n v="279"/>
    <n v="647.64"/>
    <n v="32"/>
    <s v="On Time"/>
    <n v="180691.56"/>
    <s v="Mar"/>
    <n v="2025"/>
    <n v="180691.56"/>
    <s v="Moderate Delay"/>
  </r>
  <r>
    <n v="1919"/>
    <d v="2025-11-29T00:00:00"/>
    <x v="5"/>
    <x v="7"/>
    <s v="PUS"/>
    <s v="Business"/>
    <n v="271"/>
    <n v="136.87"/>
    <n v="30"/>
    <s v="On Time"/>
    <n v="37091.769999999997"/>
    <s v="Nov"/>
    <n v="2025"/>
    <n v="37091.770000000004"/>
    <s v="Minor Delay"/>
  </r>
  <r>
    <n v="1920"/>
    <d v="2025-12-16T00:00:00"/>
    <x v="5"/>
    <x v="7"/>
    <s v="PUS"/>
    <s v="Economy"/>
    <n v="154"/>
    <n v="63.91"/>
    <n v="0"/>
    <s v="On Time"/>
    <n v="9842.14"/>
    <s v="Dec"/>
    <n v="2025"/>
    <n v="9842.14"/>
    <s v="On Time"/>
  </r>
  <r>
    <n v="1921"/>
    <d v="2025-09-10T00:00:00"/>
    <x v="5"/>
    <x v="4"/>
    <s v="PUS"/>
    <s v="Economy"/>
    <n v="65"/>
    <n v="378"/>
    <n v="1"/>
    <s v="Delayed"/>
    <n v="24570"/>
    <s v="Sep"/>
    <n v="2025"/>
    <n v="24570"/>
    <s v="Minor Delay"/>
  </r>
  <r>
    <n v="1922"/>
    <d v="2025-03-11T00:00:00"/>
    <x v="2"/>
    <x v="4"/>
    <s v="BKK"/>
    <s v="Business"/>
    <n v="155"/>
    <n v="733.95"/>
    <n v="3"/>
    <s v="On Time"/>
    <n v="113762.25"/>
    <s v="Mar"/>
    <n v="2025"/>
    <n v="113762.25"/>
    <s v="Minor Delay"/>
  </r>
  <r>
    <n v="1923"/>
    <d v="2025-12-28T00:00:00"/>
    <x v="2"/>
    <x v="2"/>
    <s v="GMP"/>
    <s v="Premium Economy"/>
    <n v="215"/>
    <n v="507.89"/>
    <n v="32"/>
    <s v="On Time"/>
    <n v="109196.35"/>
    <s v="Dec"/>
    <n v="2025"/>
    <n v="109196.34999999999"/>
    <s v="Moderate Delay"/>
  </r>
  <r>
    <n v="1924"/>
    <d v="2025-10-23T00:00:00"/>
    <x v="0"/>
    <x v="4"/>
    <s v="CJU"/>
    <s v="Business"/>
    <n v="198"/>
    <n v="148.78"/>
    <n v="20"/>
    <s v="On Time"/>
    <n v="29458.44"/>
    <s v="Oct"/>
    <n v="2025"/>
    <n v="29458.44"/>
    <s v="Minor Delay"/>
  </r>
  <r>
    <n v="1925"/>
    <d v="2025-04-29T00:00:00"/>
    <x v="0"/>
    <x v="7"/>
    <s v="ICN"/>
    <s v="Business"/>
    <n v="61"/>
    <n v="601.13"/>
    <n v="14"/>
    <s v="On Time"/>
    <n v="36668.93"/>
    <s v="Apr"/>
    <n v="2025"/>
    <n v="36668.93"/>
    <s v="Minor Delay"/>
  </r>
  <r>
    <n v="1926"/>
    <d v="2025-11-30T00:00:00"/>
    <x v="0"/>
    <x v="0"/>
    <s v="ICN"/>
    <s v="Business"/>
    <n v="78"/>
    <n v="674.18"/>
    <n v="7"/>
    <s v="On Time"/>
    <n v="52586.04"/>
    <s v="Nov"/>
    <n v="2025"/>
    <n v="52586.039999999994"/>
    <s v="Minor Delay"/>
  </r>
  <r>
    <n v="1927"/>
    <d v="2025-04-16T00:00:00"/>
    <x v="2"/>
    <x v="0"/>
    <s v="BKK"/>
    <s v="Economy"/>
    <n v="87"/>
    <n v="595.99"/>
    <n v="31"/>
    <s v="On Time"/>
    <n v="51851.13"/>
    <s v="Apr"/>
    <n v="2025"/>
    <n v="51851.13"/>
    <s v="Moderate Delay"/>
  </r>
  <r>
    <n v="1928"/>
    <d v="2025-12-04T00:00:00"/>
    <x v="5"/>
    <x v="1"/>
    <s v="MNL"/>
    <s v="Business"/>
    <n v="120"/>
    <n v="388.12"/>
    <n v="0"/>
    <s v="On Time"/>
    <n v="46574.400000000001"/>
    <s v="Dec"/>
    <n v="2025"/>
    <n v="46574.400000000001"/>
    <s v="On Time"/>
  </r>
  <r>
    <n v="1929"/>
    <d v="2025-07-19T00:00:00"/>
    <x v="4"/>
    <x v="7"/>
    <s v="NRT"/>
    <s v="Economy"/>
    <n v="272"/>
    <n v="552.73"/>
    <n v="37"/>
    <s v="On Time"/>
    <n v="150342.56"/>
    <s v="Jul"/>
    <n v="2025"/>
    <n v="150342.56"/>
    <s v="Moderate Delay"/>
  </r>
  <r>
    <n v="1930"/>
    <d v="2025-01-26T00:00:00"/>
    <x v="4"/>
    <x v="4"/>
    <s v="MNL"/>
    <s v="Economy"/>
    <n v="160"/>
    <n v="403.05"/>
    <n v="13"/>
    <s v="On Time"/>
    <n v="64488"/>
    <s v="Jan"/>
    <n v="2025"/>
    <n v="64488"/>
    <s v="Minor Delay"/>
  </r>
  <r>
    <n v="1931"/>
    <d v="2025-09-26T00:00:00"/>
    <x v="4"/>
    <x v="5"/>
    <s v="SIN"/>
    <s v="Economy"/>
    <n v="155"/>
    <n v="141.71"/>
    <n v="15"/>
    <s v="On Time"/>
    <n v="21965.05"/>
    <s v="Sep"/>
    <n v="2025"/>
    <n v="21965.050000000003"/>
    <s v="Minor Delay"/>
  </r>
  <r>
    <n v="1932"/>
    <d v="2025-09-29T00:00:00"/>
    <x v="1"/>
    <x v="5"/>
    <s v="SIN"/>
    <s v="Business"/>
    <n v="166"/>
    <n v="317.39999999999998"/>
    <n v="39"/>
    <s v="On Time"/>
    <n v="52688.4"/>
    <s v="Sep"/>
    <n v="2025"/>
    <n v="52688.399999999994"/>
    <s v="Moderate Delay"/>
  </r>
  <r>
    <n v="1933"/>
    <d v="2025-12-19T00:00:00"/>
    <x v="4"/>
    <x v="8"/>
    <s v="PUS"/>
    <s v="Premium Economy"/>
    <n v="296"/>
    <n v="349.04"/>
    <n v="29"/>
    <s v="Delayed"/>
    <n v="103315.84"/>
    <s v="Dec"/>
    <n v="2025"/>
    <n v="103315.84000000001"/>
    <s v="Minor Delay"/>
  </r>
  <r>
    <n v="1934"/>
    <d v="2025-11-27T00:00:00"/>
    <x v="2"/>
    <x v="5"/>
    <s v="NRT"/>
    <s v="Premium Economy"/>
    <n v="106"/>
    <n v="790"/>
    <n v="34"/>
    <s v="On Time"/>
    <n v="83740"/>
    <s v="Nov"/>
    <n v="2025"/>
    <n v="83740"/>
    <s v="Moderate Delay"/>
  </r>
  <r>
    <n v="1935"/>
    <d v="2025-05-18T00:00:00"/>
    <x v="3"/>
    <x v="7"/>
    <s v="GMP"/>
    <s v="Premium Economy"/>
    <n v="183"/>
    <n v="248.56"/>
    <n v="60"/>
    <s v="On Time"/>
    <n v="45486.48"/>
    <s v="May"/>
    <n v="2025"/>
    <n v="45486.48"/>
    <s v="Moderate Delay"/>
  </r>
  <r>
    <n v="1936"/>
    <d v="2025-01-11T00:00:00"/>
    <x v="1"/>
    <x v="4"/>
    <s v="MNL"/>
    <s v="Business"/>
    <n v="295"/>
    <n v="714.76"/>
    <n v="48"/>
    <s v="On Time"/>
    <n v="210854.2"/>
    <s v="Jan"/>
    <n v="2025"/>
    <n v="210854.2"/>
    <s v="Moderate Delay"/>
  </r>
  <r>
    <n v="1937"/>
    <d v="2025-05-06T00:00:00"/>
    <x v="3"/>
    <x v="4"/>
    <s v="KIX"/>
    <s v="Business"/>
    <n v="269"/>
    <n v="514.05999999999995"/>
    <n v="29"/>
    <s v="On Time"/>
    <n v="138282.14000000001"/>
    <s v="May"/>
    <n v="2025"/>
    <n v="138282.13999999998"/>
    <s v="Minor Delay"/>
  </r>
  <r>
    <n v="1938"/>
    <d v="2025-03-18T00:00:00"/>
    <x v="1"/>
    <x v="8"/>
    <s v="ICN"/>
    <s v="Premium Economy"/>
    <n v="246"/>
    <n v="570.33000000000004"/>
    <n v="0"/>
    <s v="On Time"/>
    <n v="140301.18"/>
    <s v="Mar"/>
    <n v="2025"/>
    <n v="140301.18000000002"/>
    <s v="On Time"/>
  </r>
  <r>
    <n v="1939"/>
    <d v="2025-09-04T00:00:00"/>
    <x v="0"/>
    <x v="3"/>
    <s v="ICN"/>
    <s v="Economy"/>
    <n v="77"/>
    <n v="602.14"/>
    <n v="15"/>
    <s v="On Time"/>
    <n v="46364.78"/>
    <s v="Sep"/>
    <n v="2025"/>
    <n v="46364.78"/>
    <s v="Minor Delay"/>
  </r>
  <r>
    <n v="1940"/>
    <d v="2025-11-18T00:00:00"/>
    <x v="2"/>
    <x v="4"/>
    <s v="PUS"/>
    <s v="Business"/>
    <n v="265"/>
    <n v="770.88"/>
    <n v="0"/>
    <s v="On Time"/>
    <n v="204283.2"/>
    <s v="Nov"/>
    <n v="2025"/>
    <n v="204283.2"/>
    <s v="On Time"/>
  </r>
  <r>
    <n v="1941"/>
    <d v="2025-07-14T00:00:00"/>
    <x v="2"/>
    <x v="3"/>
    <s v="GMP"/>
    <s v="Business"/>
    <n v="100"/>
    <n v="718.79"/>
    <n v="0"/>
    <s v="On Time"/>
    <n v="71879"/>
    <s v="Jul"/>
    <n v="2025"/>
    <n v="71879"/>
    <s v="On Time"/>
  </r>
  <r>
    <n v="1942"/>
    <d v="2025-09-10T00:00:00"/>
    <x v="0"/>
    <x v="2"/>
    <s v="BKK"/>
    <s v="Premium Economy"/>
    <n v="295"/>
    <n v="476.2"/>
    <n v="64"/>
    <s v="On Time"/>
    <n v="140479"/>
    <s v="Sep"/>
    <n v="2025"/>
    <n v="140479"/>
    <s v="Major Delay"/>
  </r>
  <r>
    <n v="1943"/>
    <d v="2025-04-29T00:00:00"/>
    <x v="2"/>
    <x v="0"/>
    <s v="PUS"/>
    <s v="Economy"/>
    <n v="102"/>
    <n v="405.64"/>
    <n v="0"/>
    <s v="On Time"/>
    <n v="41375.279999999999"/>
    <s v="Apr"/>
    <n v="2025"/>
    <n v="41375.279999999999"/>
    <s v="On Time"/>
  </r>
  <r>
    <n v="1944"/>
    <d v="2025-03-11T00:00:00"/>
    <x v="0"/>
    <x v="6"/>
    <s v="MNL"/>
    <s v="Business"/>
    <n v="104"/>
    <n v="221.67"/>
    <n v="11"/>
    <s v="On Time"/>
    <n v="23053.68"/>
    <s v="Mar"/>
    <n v="2025"/>
    <n v="23053.68"/>
    <s v="Minor Delay"/>
  </r>
  <r>
    <n v="1945"/>
    <d v="2025-10-28T00:00:00"/>
    <x v="2"/>
    <x v="4"/>
    <s v="ICN"/>
    <s v="Economy"/>
    <n v="121"/>
    <n v="535.83000000000004"/>
    <n v="60"/>
    <s v="On Time"/>
    <n v="64835.43"/>
    <s v="Oct"/>
    <n v="2025"/>
    <n v="64835.430000000008"/>
    <s v="Moderate Delay"/>
  </r>
  <r>
    <n v="1946"/>
    <d v="2025-02-17T00:00:00"/>
    <x v="4"/>
    <x v="2"/>
    <s v="GMP"/>
    <s v="Business"/>
    <n v="187"/>
    <n v="612.35"/>
    <n v="0"/>
    <s v="Delayed"/>
    <n v="114509.45"/>
    <s v="Feb"/>
    <n v="2025"/>
    <n v="114509.45"/>
    <s v="On Time"/>
  </r>
  <r>
    <n v="1947"/>
    <d v="2025-09-01T00:00:00"/>
    <x v="3"/>
    <x v="2"/>
    <s v="ICN"/>
    <s v="Premium Economy"/>
    <n v="188"/>
    <n v="183.61"/>
    <n v="21"/>
    <s v="Delayed"/>
    <n v="34518.68"/>
    <s v="Sep"/>
    <n v="2025"/>
    <n v="34518.68"/>
    <s v="Minor Delay"/>
  </r>
  <r>
    <n v="1948"/>
    <d v="2025-07-30T00:00:00"/>
    <x v="4"/>
    <x v="8"/>
    <s v="PUS"/>
    <s v="Economy"/>
    <n v="72"/>
    <n v="432.74"/>
    <n v="0"/>
    <s v="On Time"/>
    <n v="31157.279999999999"/>
    <s v="Jul"/>
    <n v="2025"/>
    <n v="31157.279999999999"/>
    <s v="On Time"/>
  </r>
  <r>
    <n v="1949"/>
    <d v="2025-08-07T00:00:00"/>
    <x v="3"/>
    <x v="4"/>
    <s v="ICN"/>
    <s v="Premium Economy"/>
    <n v="289"/>
    <n v="324.11"/>
    <n v="0"/>
    <s v="On Time"/>
    <n v="93667.79"/>
    <s v="Aug"/>
    <n v="2025"/>
    <n v="93667.790000000008"/>
    <s v="On Time"/>
  </r>
  <r>
    <n v="1950"/>
    <d v="2025-12-08T00:00:00"/>
    <x v="4"/>
    <x v="0"/>
    <s v="ICN"/>
    <s v="Economy"/>
    <n v="94"/>
    <n v="668.51"/>
    <n v="31"/>
    <s v="On Time"/>
    <n v="62839.94"/>
    <s v="Dec"/>
    <n v="2025"/>
    <n v="62839.94"/>
    <s v="Moderate Delay"/>
  </r>
  <r>
    <n v="1951"/>
    <d v="2025-04-11T00:00:00"/>
    <x v="0"/>
    <x v="5"/>
    <s v="PUS"/>
    <s v="Economy"/>
    <n v="83"/>
    <n v="278.3"/>
    <n v="45"/>
    <s v="On Time"/>
    <n v="23098.9"/>
    <s v="Apr"/>
    <n v="2025"/>
    <n v="23098.9"/>
    <s v="Moderate Delay"/>
  </r>
  <r>
    <n v="1952"/>
    <d v="2025-04-15T00:00:00"/>
    <x v="4"/>
    <x v="5"/>
    <s v="CJU"/>
    <s v="Business"/>
    <n v="243"/>
    <n v="711.32"/>
    <n v="30"/>
    <s v="On Time"/>
    <n v="172850.76"/>
    <s v="Apr"/>
    <n v="2025"/>
    <n v="172850.76"/>
    <s v="Minor Delay"/>
  </r>
  <r>
    <n v="1953"/>
    <d v="2025-12-19T00:00:00"/>
    <x v="1"/>
    <x v="1"/>
    <s v="CJU"/>
    <s v="Economy"/>
    <n v="171"/>
    <n v="339.78"/>
    <n v="23"/>
    <s v="On Time"/>
    <n v="58102.38"/>
    <s v="Dec"/>
    <n v="2025"/>
    <n v="58102.38"/>
    <s v="Minor Delay"/>
  </r>
  <r>
    <n v="1954"/>
    <d v="2025-02-13T00:00:00"/>
    <x v="0"/>
    <x v="1"/>
    <s v="GMP"/>
    <s v="Economy"/>
    <n v="68"/>
    <n v="173.77"/>
    <n v="25"/>
    <s v="On Time"/>
    <n v="11816.36"/>
    <s v="Feb"/>
    <n v="2025"/>
    <n v="11816.36"/>
    <s v="Minor Delay"/>
  </r>
  <r>
    <n v="1955"/>
    <d v="2025-05-17T00:00:00"/>
    <x v="3"/>
    <x v="2"/>
    <s v="CJU"/>
    <s v="Business"/>
    <n v="232"/>
    <n v="470.7"/>
    <n v="0"/>
    <s v="Delayed"/>
    <n v="109202.4"/>
    <s v="May"/>
    <n v="2025"/>
    <n v="109202.4"/>
    <s v="On Time"/>
  </r>
  <r>
    <n v="1956"/>
    <d v="2025-03-22T00:00:00"/>
    <x v="5"/>
    <x v="3"/>
    <s v="SIN"/>
    <s v="Business"/>
    <n v="219"/>
    <n v="479.8"/>
    <n v="0"/>
    <s v="Delayed"/>
    <n v="105076.2"/>
    <s v="Mar"/>
    <n v="2025"/>
    <n v="105076.2"/>
    <s v="On Time"/>
  </r>
  <r>
    <n v="1957"/>
    <d v="2025-11-09T00:00:00"/>
    <x v="2"/>
    <x v="1"/>
    <s v="CJU"/>
    <s v="Premium Economy"/>
    <n v="130"/>
    <n v="252.57"/>
    <n v="29"/>
    <s v="On Time"/>
    <n v="32834.1"/>
    <s v="Nov"/>
    <n v="2025"/>
    <n v="32834.1"/>
    <s v="Minor Delay"/>
  </r>
  <r>
    <n v="1958"/>
    <d v="2025-07-27T00:00:00"/>
    <x v="4"/>
    <x v="5"/>
    <s v="NRT"/>
    <s v="Premium Economy"/>
    <n v="247"/>
    <n v="456.23"/>
    <n v="59"/>
    <s v="Delayed"/>
    <n v="112688.81"/>
    <s v="Jul"/>
    <n v="2025"/>
    <n v="112688.81"/>
    <s v="Moderate Delay"/>
  </r>
  <r>
    <n v="1959"/>
    <d v="2025-01-28T00:00:00"/>
    <x v="0"/>
    <x v="0"/>
    <s v="PUS"/>
    <s v="Business"/>
    <n v="229"/>
    <n v="454.82"/>
    <n v="39"/>
    <s v="On Time"/>
    <n v="104153.78"/>
    <s v="Jan"/>
    <n v="2025"/>
    <n v="104153.78"/>
    <s v="Moderate Delay"/>
  </r>
  <r>
    <n v="1960"/>
    <d v="2025-09-23T00:00:00"/>
    <x v="0"/>
    <x v="7"/>
    <s v="ICN"/>
    <s v="Business"/>
    <n v="274"/>
    <n v="231.53"/>
    <n v="0"/>
    <s v="On Time"/>
    <n v="63439.22"/>
    <s v="Sep"/>
    <n v="2025"/>
    <n v="63439.22"/>
    <s v="On Time"/>
  </r>
  <r>
    <n v="1961"/>
    <d v="2025-05-04T00:00:00"/>
    <x v="5"/>
    <x v="5"/>
    <s v="CJU"/>
    <s v="Business"/>
    <n v="71"/>
    <n v="310.94"/>
    <n v="1"/>
    <s v="On Time"/>
    <n v="22076.74"/>
    <s v="May"/>
    <n v="2025"/>
    <n v="22076.74"/>
    <s v="Minor Delay"/>
  </r>
  <r>
    <n v="1962"/>
    <d v="2025-01-23T00:00:00"/>
    <x v="2"/>
    <x v="7"/>
    <s v="PUS"/>
    <s v="Premium Economy"/>
    <n v="267"/>
    <n v="680.05"/>
    <n v="15"/>
    <s v="On Time"/>
    <n v="181573.35"/>
    <s v="Jan"/>
    <n v="2025"/>
    <n v="181573.34999999998"/>
    <s v="Minor Delay"/>
  </r>
  <r>
    <n v="1963"/>
    <d v="2025-09-23T00:00:00"/>
    <x v="0"/>
    <x v="2"/>
    <s v="GMP"/>
    <s v="Business"/>
    <n v="163"/>
    <n v="112.86"/>
    <n v="14"/>
    <s v="On Time"/>
    <n v="18396.18"/>
    <s v="Sep"/>
    <n v="2025"/>
    <n v="18396.18"/>
    <s v="Minor Delay"/>
  </r>
  <r>
    <n v="1964"/>
    <d v="2025-03-26T00:00:00"/>
    <x v="3"/>
    <x v="3"/>
    <s v="SIN"/>
    <s v="Premium Economy"/>
    <n v="266"/>
    <n v="309.88"/>
    <n v="0"/>
    <s v="On Time"/>
    <n v="82428.08"/>
    <s v="Mar"/>
    <n v="2025"/>
    <n v="82428.08"/>
    <s v="On Time"/>
  </r>
  <r>
    <n v="1965"/>
    <d v="2025-12-07T00:00:00"/>
    <x v="3"/>
    <x v="5"/>
    <s v="GMP"/>
    <s v="Economy"/>
    <n v="270"/>
    <n v="659.1"/>
    <n v="41"/>
    <s v="On Time"/>
    <n v="177957"/>
    <s v="Dec"/>
    <n v="2025"/>
    <n v="177957"/>
    <s v="Moderate Delay"/>
  </r>
  <r>
    <n v="1966"/>
    <d v="2025-12-19T00:00:00"/>
    <x v="0"/>
    <x v="0"/>
    <s v="CJU"/>
    <s v="Premium Economy"/>
    <n v="293"/>
    <n v="655.98"/>
    <n v="24"/>
    <s v="On Time"/>
    <n v="192202.14"/>
    <s v="Dec"/>
    <n v="2025"/>
    <n v="192202.14"/>
    <s v="Minor Delay"/>
  </r>
  <r>
    <n v="1967"/>
    <d v="2025-01-30T00:00:00"/>
    <x v="3"/>
    <x v="6"/>
    <s v="KIX"/>
    <s v="Business"/>
    <n v="297"/>
    <n v="507.6"/>
    <n v="5"/>
    <s v="On Time"/>
    <n v="150757.20000000001"/>
    <s v="Jan"/>
    <n v="2025"/>
    <n v="150757.20000000001"/>
    <s v="Minor Delay"/>
  </r>
  <r>
    <n v="1968"/>
    <d v="2025-05-30T00:00:00"/>
    <x v="4"/>
    <x v="0"/>
    <s v="KIX"/>
    <s v="Economy"/>
    <n v="71"/>
    <n v="463.87"/>
    <n v="0"/>
    <s v="On Time"/>
    <n v="32934.769999999997"/>
    <s v="May"/>
    <n v="2025"/>
    <n v="32934.769999999997"/>
    <s v="On Time"/>
  </r>
  <r>
    <n v="1969"/>
    <d v="2025-05-28T00:00:00"/>
    <x v="2"/>
    <x v="6"/>
    <s v="MNL"/>
    <s v="Business"/>
    <n v="283"/>
    <n v="628.30999999999995"/>
    <n v="47"/>
    <s v="On Time"/>
    <n v="177811.73"/>
    <s v="May"/>
    <n v="2025"/>
    <n v="177811.72999999998"/>
    <s v="Moderate Delay"/>
  </r>
  <r>
    <n v="1970"/>
    <d v="2025-07-14T00:00:00"/>
    <x v="2"/>
    <x v="5"/>
    <s v="BKK"/>
    <s v="Economy"/>
    <n v="179"/>
    <n v="381.67"/>
    <n v="57"/>
    <s v="On Time"/>
    <n v="68318.929999999993"/>
    <s v="Jul"/>
    <n v="2025"/>
    <n v="68318.930000000008"/>
    <s v="Moderate Delay"/>
  </r>
  <r>
    <n v="1971"/>
    <d v="2025-12-05T00:00:00"/>
    <x v="4"/>
    <x v="5"/>
    <s v="GMP"/>
    <s v="Economy"/>
    <n v="146"/>
    <n v="315.56"/>
    <n v="7"/>
    <s v="On Time"/>
    <n v="46071.76"/>
    <s v="Dec"/>
    <n v="2025"/>
    <n v="46071.76"/>
    <s v="Minor Delay"/>
  </r>
  <r>
    <n v="1972"/>
    <d v="2025-07-27T00:00:00"/>
    <x v="2"/>
    <x v="6"/>
    <s v="CJU"/>
    <s v="Business"/>
    <n v="81"/>
    <n v="234.49"/>
    <n v="39"/>
    <s v="On Time"/>
    <n v="18993.689999999999"/>
    <s v="Jul"/>
    <n v="2025"/>
    <n v="18993.690000000002"/>
    <s v="Moderate Delay"/>
  </r>
  <r>
    <n v="1973"/>
    <d v="2025-06-14T00:00:00"/>
    <x v="4"/>
    <x v="4"/>
    <s v="PUS"/>
    <s v="Business"/>
    <n v="62"/>
    <n v="331"/>
    <n v="39"/>
    <s v="On Time"/>
    <n v="20522"/>
    <s v="Jun"/>
    <n v="2025"/>
    <n v="20522"/>
    <s v="Moderate Delay"/>
  </r>
  <r>
    <n v="1974"/>
    <d v="2025-11-17T00:00:00"/>
    <x v="2"/>
    <x v="5"/>
    <s v="GMP"/>
    <s v="Economy"/>
    <n v="154"/>
    <n v="213.86"/>
    <n v="0"/>
    <s v="On Time"/>
    <n v="32934.44"/>
    <s v="Nov"/>
    <n v="2025"/>
    <n v="32934.44"/>
    <s v="On Time"/>
  </r>
  <r>
    <n v="1975"/>
    <d v="2025-11-13T00:00:00"/>
    <x v="4"/>
    <x v="6"/>
    <s v="MNL"/>
    <s v="Economy"/>
    <n v="247"/>
    <n v="522.04999999999995"/>
    <n v="0"/>
    <s v="Delayed"/>
    <n v="128946.35"/>
    <s v="Nov"/>
    <n v="2025"/>
    <n v="128946.34999999999"/>
    <s v="On Time"/>
  </r>
  <r>
    <n v="1976"/>
    <d v="2025-02-03T00:00:00"/>
    <x v="1"/>
    <x v="7"/>
    <s v="PUS"/>
    <s v="Premium Economy"/>
    <n v="255"/>
    <n v="94.77"/>
    <n v="0"/>
    <s v="On Time"/>
    <n v="24166.35"/>
    <s v="Feb"/>
    <n v="2025"/>
    <n v="24166.35"/>
    <s v="On Time"/>
  </r>
  <r>
    <n v="1977"/>
    <d v="2025-09-28T00:00:00"/>
    <x v="1"/>
    <x v="1"/>
    <s v="NRT"/>
    <s v="Business"/>
    <n v="284"/>
    <n v="451.67"/>
    <n v="55"/>
    <s v="On Time"/>
    <n v="128274.28"/>
    <s v="Sep"/>
    <n v="2025"/>
    <n v="128274.28"/>
    <s v="Moderate Delay"/>
  </r>
  <r>
    <n v="1978"/>
    <d v="2025-09-13T00:00:00"/>
    <x v="0"/>
    <x v="7"/>
    <s v="SIN"/>
    <s v="Business"/>
    <n v="99"/>
    <n v="339.79"/>
    <n v="21"/>
    <s v="On Time"/>
    <n v="33639.21"/>
    <s v="Sep"/>
    <n v="2025"/>
    <n v="33639.21"/>
    <s v="Minor Delay"/>
  </r>
  <r>
    <n v="1979"/>
    <d v="2025-07-24T00:00:00"/>
    <x v="4"/>
    <x v="6"/>
    <s v="GMP"/>
    <s v="Economy"/>
    <n v="89"/>
    <n v="558.02"/>
    <n v="35"/>
    <s v="On Time"/>
    <n v="49663.78"/>
    <s v="Jul"/>
    <n v="2025"/>
    <n v="49663.78"/>
    <s v="Moderate Delay"/>
  </r>
  <r>
    <n v="1980"/>
    <d v="2025-07-28T00:00:00"/>
    <x v="4"/>
    <x v="7"/>
    <s v="KIX"/>
    <s v="Economy"/>
    <n v="55"/>
    <n v="239.61"/>
    <n v="39"/>
    <s v="On Time"/>
    <n v="13178.55"/>
    <s v="Jul"/>
    <n v="2025"/>
    <n v="13178.550000000001"/>
    <s v="Moderate Delay"/>
  </r>
  <r>
    <n v="1981"/>
    <d v="2025-09-28T00:00:00"/>
    <x v="2"/>
    <x v="7"/>
    <s v="BKK"/>
    <s v="Economy"/>
    <n v="76"/>
    <n v="289.08999999999997"/>
    <n v="21"/>
    <s v="Delayed"/>
    <n v="21970.84"/>
    <s v="Sep"/>
    <n v="2025"/>
    <n v="21970.839999999997"/>
    <s v="Minor Delay"/>
  </r>
  <r>
    <n v="1982"/>
    <d v="2025-11-20T00:00:00"/>
    <x v="2"/>
    <x v="1"/>
    <s v="NRT"/>
    <s v="Economy"/>
    <n v="140"/>
    <n v="760.14"/>
    <n v="9"/>
    <s v="On Time"/>
    <n v="106419.6"/>
    <s v="Nov"/>
    <n v="2025"/>
    <n v="106419.59999999999"/>
    <s v="Minor Delay"/>
  </r>
  <r>
    <n v="1983"/>
    <d v="2025-04-06T00:00:00"/>
    <x v="2"/>
    <x v="4"/>
    <s v="ICN"/>
    <s v="Economy"/>
    <n v="234"/>
    <n v="560.05999999999995"/>
    <n v="0"/>
    <s v="On Time"/>
    <n v="131054.04"/>
    <s v="Apr"/>
    <n v="2025"/>
    <n v="131054.04"/>
    <s v="On Time"/>
  </r>
  <r>
    <n v="1984"/>
    <d v="2025-08-29T00:00:00"/>
    <x v="2"/>
    <x v="5"/>
    <s v="CJU"/>
    <s v="Premium Economy"/>
    <n v="155"/>
    <n v="646.15"/>
    <n v="52"/>
    <s v="Delayed"/>
    <n v="100153.25"/>
    <s v="Aug"/>
    <n v="2025"/>
    <n v="100153.25"/>
    <s v="Moderate Delay"/>
  </r>
  <r>
    <n v="1985"/>
    <d v="2025-04-26T00:00:00"/>
    <x v="3"/>
    <x v="6"/>
    <s v="ICN"/>
    <s v="Economy"/>
    <n v="144"/>
    <n v="238.67"/>
    <n v="10"/>
    <s v="Delayed"/>
    <n v="34368.480000000003"/>
    <s v="Apr"/>
    <n v="2025"/>
    <n v="34368.479999999996"/>
    <s v="Minor Delay"/>
  </r>
  <r>
    <n v="1986"/>
    <d v="2025-03-10T00:00:00"/>
    <x v="2"/>
    <x v="4"/>
    <s v="BKK"/>
    <s v="Business"/>
    <n v="262"/>
    <n v="575.91999999999996"/>
    <n v="0"/>
    <s v="On Time"/>
    <n v="150891.04"/>
    <s v="Mar"/>
    <n v="2025"/>
    <n v="150891.03999999998"/>
    <s v="On Time"/>
  </r>
  <r>
    <n v="1987"/>
    <d v="2025-05-29T00:00:00"/>
    <x v="3"/>
    <x v="3"/>
    <s v="ICN"/>
    <s v="Business"/>
    <n v="64"/>
    <n v="794.91"/>
    <n v="15"/>
    <s v="On Time"/>
    <n v="50874.239999999998"/>
    <s v="May"/>
    <n v="2025"/>
    <n v="50874.239999999998"/>
    <s v="Minor Delay"/>
  </r>
  <r>
    <n v="1988"/>
    <d v="2025-09-27T00:00:00"/>
    <x v="4"/>
    <x v="3"/>
    <s v="PUS"/>
    <s v="Business"/>
    <n v="130"/>
    <n v="713.78"/>
    <n v="36"/>
    <s v="On Time"/>
    <n v="92791.4"/>
    <s v="Sep"/>
    <n v="2025"/>
    <n v="92791.4"/>
    <s v="Moderate Delay"/>
  </r>
  <r>
    <n v="1989"/>
    <d v="2025-02-22T00:00:00"/>
    <x v="1"/>
    <x v="2"/>
    <s v="CJU"/>
    <s v="Economy"/>
    <n v="232"/>
    <n v="503.89"/>
    <n v="0"/>
    <s v="On Time"/>
    <n v="116902.48"/>
    <s v="Feb"/>
    <n v="2025"/>
    <n v="116902.48"/>
    <s v="On Time"/>
  </r>
  <r>
    <n v="1990"/>
    <d v="2025-11-07T00:00:00"/>
    <x v="0"/>
    <x v="6"/>
    <s v="ICN"/>
    <s v="Economy"/>
    <n v="201"/>
    <n v="127.65"/>
    <n v="13"/>
    <s v="On Time"/>
    <n v="25657.65"/>
    <s v="Nov"/>
    <n v="2025"/>
    <n v="25657.65"/>
    <s v="Minor Delay"/>
  </r>
  <r>
    <n v="1991"/>
    <d v="2025-03-10T00:00:00"/>
    <x v="2"/>
    <x v="8"/>
    <s v="PUS"/>
    <s v="Business"/>
    <n v="132"/>
    <n v="799.59"/>
    <n v="44"/>
    <s v="On Time"/>
    <n v="105545.88"/>
    <s v="Mar"/>
    <n v="2025"/>
    <n v="105545.88"/>
    <s v="Moderate Delay"/>
  </r>
  <r>
    <n v="1992"/>
    <d v="2025-11-10T00:00:00"/>
    <x v="5"/>
    <x v="0"/>
    <s v="CJU"/>
    <s v="Premium Economy"/>
    <n v="244"/>
    <n v="771.66"/>
    <n v="26"/>
    <s v="Cancelled"/>
    <n v="188285.04"/>
    <s v="Nov"/>
    <n v="2025"/>
    <n v="188285.03999999998"/>
    <s v="Minor Delay"/>
  </r>
  <r>
    <n v="1993"/>
    <d v="2025-09-14T00:00:00"/>
    <x v="2"/>
    <x v="0"/>
    <s v="SIN"/>
    <s v="Business"/>
    <n v="234"/>
    <n v="699.37"/>
    <n v="22"/>
    <s v="On Time"/>
    <n v="163652.57999999999"/>
    <s v="Sep"/>
    <n v="2025"/>
    <n v="163652.57999999999"/>
    <s v="Minor Delay"/>
  </r>
  <r>
    <n v="1994"/>
    <d v="2025-10-28T00:00:00"/>
    <x v="1"/>
    <x v="5"/>
    <s v="GMP"/>
    <s v="Premium Economy"/>
    <n v="249"/>
    <n v="367.12"/>
    <n v="17"/>
    <s v="On Time"/>
    <n v="91412.88"/>
    <s v="Oct"/>
    <n v="2025"/>
    <n v="91412.88"/>
    <s v="Minor Delay"/>
  </r>
  <r>
    <n v="1995"/>
    <d v="2025-05-06T00:00:00"/>
    <x v="3"/>
    <x v="6"/>
    <s v="ICN"/>
    <s v="Premium Economy"/>
    <n v="135"/>
    <n v="409.48"/>
    <n v="14"/>
    <s v="On Time"/>
    <n v="55279.8"/>
    <s v="May"/>
    <n v="2025"/>
    <n v="55279.8"/>
    <s v="Minor Delay"/>
  </r>
  <r>
    <n v="1996"/>
    <d v="2025-01-02T00:00:00"/>
    <x v="5"/>
    <x v="0"/>
    <s v="MNL"/>
    <s v="Business"/>
    <n v="104"/>
    <n v="349.9"/>
    <n v="1"/>
    <s v="On Time"/>
    <n v="36389.599999999999"/>
    <s v="Jan"/>
    <n v="2025"/>
    <n v="36389.599999999999"/>
    <s v="Minor Delay"/>
  </r>
  <r>
    <n v="1997"/>
    <d v="2025-01-30T00:00:00"/>
    <x v="1"/>
    <x v="3"/>
    <s v="CJU"/>
    <s v="Premium Economy"/>
    <n v="204"/>
    <n v="112.48"/>
    <n v="41"/>
    <s v="On Time"/>
    <n v="22945.919999999998"/>
    <s v="Jan"/>
    <n v="2025"/>
    <n v="22945.920000000002"/>
    <s v="Moderate Delay"/>
  </r>
  <r>
    <n v="1998"/>
    <d v="2025-10-04T00:00:00"/>
    <x v="4"/>
    <x v="4"/>
    <s v="GMP"/>
    <s v="Economy"/>
    <n v="109"/>
    <n v="353.78"/>
    <n v="41"/>
    <s v="On Time"/>
    <n v="38562.019999999997"/>
    <s v="Oct"/>
    <n v="2025"/>
    <n v="38562.019999999997"/>
    <s v="Moderate Delay"/>
  </r>
  <r>
    <n v="1999"/>
    <d v="2025-07-28T00:00:00"/>
    <x v="0"/>
    <x v="5"/>
    <s v="PUS"/>
    <s v="Economy"/>
    <n v="258"/>
    <n v="594.99"/>
    <n v="51"/>
    <s v="On Time"/>
    <n v="153507.42000000001"/>
    <s v="Jul"/>
    <n v="2025"/>
    <n v="153507.42000000001"/>
    <s v="Moderate Delay"/>
  </r>
  <r>
    <n v="2000"/>
    <d v="2025-08-20T00:00:00"/>
    <x v="4"/>
    <x v="0"/>
    <s v="NRT"/>
    <s v="Premium Economy"/>
    <n v="136"/>
    <n v="369.52"/>
    <n v="7"/>
    <s v="On Time"/>
    <n v="50254.720000000001"/>
    <s v="Aug"/>
    <n v="2025"/>
    <n v="50254.720000000001"/>
    <s v="Minor Delay"/>
  </r>
  <r>
    <n v="2001"/>
    <d v="2025-03-08T00:00:00"/>
    <x v="5"/>
    <x v="5"/>
    <s v="KIX"/>
    <s v="Business"/>
    <n v="154"/>
    <n v="756.09"/>
    <n v="43"/>
    <s v="On Time"/>
    <n v="116437.86"/>
    <s v="Mar"/>
    <n v="2025"/>
    <n v="116437.86"/>
    <s v="Moderate Delay"/>
  </r>
  <r>
    <n v="2002"/>
    <d v="2025-09-10T00:00:00"/>
    <x v="2"/>
    <x v="3"/>
    <s v="PUS"/>
    <s v="Premium Economy"/>
    <n v="161"/>
    <n v="775.05"/>
    <n v="26"/>
    <s v="On Time"/>
    <n v="124783.05"/>
    <s v="Sep"/>
    <n v="2025"/>
    <n v="124783.04999999999"/>
    <s v="Minor Delay"/>
  </r>
  <r>
    <n v="2003"/>
    <d v="2025-03-01T00:00:00"/>
    <x v="3"/>
    <x v="6"/>
    <s v="GMP"/>
    <s v="Economy"/>
    <n v="159"/>
    <n v="637.42999999999995"/>
    <n v="27"/>
    <s v="On Time"/>
    <n v="101351.37"/>
    <s v="Mar"/>
    <n v="2025"/>
    <n v="101351.37"/>
    <s v="Minor Delay"/>
  </r>
  <r>
    <n v="2004"/>
    <d v="2025-07-04T00:00:00"/>
    <x v="2"/>
    <x v="5"/>
    <s v="NRT"/>
    <s v="Premium Economy"/>
    <n v="276"/>
    <n v="509.5"/>
    <n v="20"/>
    <s v="Delayed"/>
    <n v="140622"/>
    <s v="Jul"/>
    <n v="2025"/>
    <n v="140622"/>
    <s v="Minor Delay"/>
  </r>
  <r>
    <n v="2005"/>
    <d v="2025-03-20T00:00:00"/>
    <x v="3"/>
    <x v="5"/>
    <s v="MNL"/>
    <s v="Premium Economy"/>
    <n v="68"/>
    <n v="297.08"/>
    <n v="19"/>
    <s v="On Time"/>
    <n v="20201.439999999999"/>
    <s v="Mar"/>
    <n v="2025"/>
    <n v="20201.439999999999"/>
    <s v="Minor Delay"/>
  </r>
  <r>
    <n v="2006"/>
    <d v="2025-06-24T00:00:00"/>
    <x v="4"/>
    <x v="2"/>
    <s v="KIX"/>
    <s v="Economy"/>
    <n v="259"/>
    <n v="378.05"/>
    <n v="8"/>
    <s v="On Time"/>
    <n v="97914.95"/>
    <s v="Jun"/>
    <n v="2025"/>
    <n v="97914.95"/>
    <s v="Minor Delay"/>
  </r>
  <r>
    <n v="2007"/>
    <d v="2025-09-06T00:00:00"/>
    <x v="3"/>
    <x v="1"/>
    <s v="GMP"/>
    <s v="Premium Economy"/>
    <n v="158"/>
    <n v="624.66"/>
    <n v="11"/>
    <s v="On Time"/>
    <n v="98696.28"/>
    <s v="Sep"/>
    <n v="2025"/>
    <n v="98696.28"/>
    <s v="Minor Delay"/>
  </r>
  <r>
    <n v="2008"/>
    <d v="2025-05-29T00:00:00"/>
    <x v="3"/>
    <x v="6"/>
    <s v="NRT"/>
    <s v="Economy"/>
    <n v="79"/>
    <n v="239.15"/>
    <n v="9"/>
    <s v="Delayed"/>
    <n v="18892.849999999999"/>
    <s v="May"/>
    <n v="2025"/>
    <n v="18892.850000000002"/>
    <s v="Minor Delay"/>
  </r>
  <r>
    <n v="2009"/>
    <d v="2025-04-10T00:00:00"/>
    <x v="4"/>
    <x v="5"/>
    <s v="SIN"/>
    <s v="Premium Economy"/>
    <n v="110"/>
    <n v="412.9"/>
    <n v="4"/>
    <s v="Delayed"/>
    <n v="45419"/>
    <s v="Apr"/>
    <n v="2025"/>
    <n v="45419"/>
    <s v="Minor Delay"/>
  </r>
  <r>
    <n v="2010"/>
    <d v="2025-01-24T00:00:00"/>
    <x v="0"/>
    <x v="7"/>
    <s v="MNL"/>
    <s v="Economy"/>
    <n v="215"/>
    <n v="336.98"/>
    <n v="0"/>
    <s v="On Time"/>
    <n v="72450.7"/>
    <s v="Jan"/>
    <n v="2025"/>
    <n v="72450.7"/>
    <s v="On Time"/>
  </r>
  <r>
    <n v="2011"/>
    <d v="2025-12-08T00:00:00"/>
    <x v="4"/>
    <x v="5"/>
    <s v="CJU"/>
    <s v="Premium Economy"/>
    <n v="226"/>
    <n v="573.54"/>
    <n v="13"/>
    <s v="On Time"/>
    <n v="129620.04"/>
    <s v="Dec"/>
    <n v="2025"/>
    <n v="129620.04"/>
    <s v="Minor Delay"/>
  </r>
  <r>
    <n v="2012"/>
    <d v="2025-05-27T00:00:00"/>
    <x v="5"/>
    <x v="0"/>
    <s v="KIX"/>
    <s v="Economy"/>
    <n v="289"/>
    <n v="71.67"/>
    <n v="15"/>
    <s v="Cancelled"/>
    <n v="20712.63"/>
    <s v="May"/>
    <n v="2025"/>
    <n v="20712.63"/>
    <s v="Minor Delay"/>
  </r>
  <r>
    <n v="2013"/>
    <d v="2025-07-26T00:00:00"/>
    <x v="5"/>
    <x v="4"/>
    <s v="CJU"/>
    <s v="Business"/>
    <n v="196"/>
    <n v="521.59"/>
    <n v="0"/>
    <s v="On Time"/>
    <n v="102231.64"/>
    <s v="Jul"/>
    <n v="2025"/>
    <n v="102231.64"/>
    <s v="On Time"/>
  </r>
  <r>
    <n v="2014"/>
    <d v="2025-10-10T00:00:00"/>
    <x v="3"/>
    <x v="1"/>
    <s v="NRT"/>
    <s v="Business"/>
    <n v="244"/>
    <n v="504.23"/>
    <n v="0"/>
    <s v="On Time"/>
    <n v="123032.12"/>
    <s v="Oct"/>
    <n v="2025"/>
    <n v="123032.12000000001"/>
    <s v="On Time"/>
  </r>
  <r>
    <n v="2015"/>
    <d v="2025-09-25T00:00:00"/>
    <x v="4"/>
    <x v="8"/>
    <s v="GMP"/>
    <s v="Economy"/>
    <n v="187"/>
    <n v="639.80999999999995"/>
    <n v="0"/>
    <s v="On Time"/>
    <n v="119644.47"/>
    <s v="Sep"/>
    <n v="2025"/>
    <n v="119644.46999999999"/>
    <s v="On Time"/>
  </r>
  <r>
    <n v="2016"/>
    <d v="2025-10-17T00:00:00"/>
    <x v="1"/>
    <x v="7"/>
    <s v="BKK"/>
    <s v="Premium Economy"/>
    <n v="55"/>
    <n v="631.5"/>
    <n v="3"/>
    <s v="Delayed"/>
    <n v="34732.5"/>
    <s v="Oct"/>
    <n v="2025"/>
    <n v="34732.5"/>
    <s v="Minor Delay"/>
  </r>
  <r>
    <n v="2017"/>
    <d v="2025-04-08T00:00:00"/>
    <x v="1"/>
    <x v="2"/>
    <s v="CJU"/>
    <s v="Economy"/>
    <n v="264"/>
    <n v="637.45000000000005"/>
    <n v="28"/>
    <s v="On Time"/>
    <n v="168286.8"/>
    <s v="Apr"/>
    <n v="2025"/>
    <n v="168286.80000000002"/>
    <s v="Minor Delay"/>
  </r>
  <r>
    <n v="2018"/>
    <d v="2025-10-16T00:00:00"/>
    <x v="5"/>
    <x v="1"/>
    <s v="MNL"/>
    <s v="Economy"/>
    <n v="154"/>
    <n v="520.44000000000005"/>
    <n v="1"/>
    <s v="On Time"/>
    <n v="80147.759999999995"/>
    <s v="Oct"/>
    <n v="2025"/>
    <n v="80147.760000000009"/>
    <s v="Minor Delay"/>
  </r>
  <r>
    <n v="2019"/>
    <d v="2025-03-21T00:00:00"/>
    <x v="2"/>
    <x v="6"/>
    <s v="MNL"/>
    <s v="Business"/>
    <n v="80"/>
    <n v="398.31"/>
    <n v="0"/>
    <s v="On Time"/>
    <n v="31864.799999999999"/>
    <s v="Mar"/>
    <n v="2025"/>
    <n v="31864.799999999999"/>
    <s v="On Time"/>
  </r>
  <r>
    <n v="2020"/>
    <d v="2025-06-08T00:00:00"/>
    <x v="5"/>
    <x v="7"/>
    <s v="NRT"/>
    <s v="Business"/>
    <n v="108"/>
    <n v="444.8"/>
    <n v="46"/>
    <s v="On Time"/>
    <n v="48038.400000000001"/>
    <s v="Jun"/>
    <n v="2025"/>
    <n v="48038.400000000001"/>
    <s v="Moderate Delay"/>
  </r>
  <r>
    <n v="2021"/>
    <d v="2025-09-24T00:00:00"/>
    <x v="0"/>
    <x v="3"/>
    <s v="PUS"/>
    <s v="Business"/>
    <n v="279"/>
    <n v="475.25"/>
    <n v="65"/>
    <s v="On Time"/>
    <n v="132594.75"/>
    <s v="Sep"/>
    <n v="2025"/>
    <n v="132594.75"/>
    <s v="Major Delay"/>
  </r>
  <r>
    <n v="2022"/>
    <d v="2025-07-28T00:00:00"/>
    <x v="3"/>
    <x v="5"/>
    <s v="BKK"/>
    <s v="Economy"/>
    <n v="86"/>
    <n v="727.66"/>
    <n v="25"/>
    <s v="On Time"/>
    <n v="62578.76"/>
    <s v="Jul"/>
    <n v="2025"/>
    <n v="62578.759999999995"/>
    <s v="Minor Delay"/>
  </r>
  <r>
    <n v="2023"/>
    <d v="2025-01-16T00:00:00"/>
    <x v="5"/>
    <x v="1"/>
    <s v="KIX"/>
    <s v="Economy"/>
    <n v="153"/>
    <n v="496.98"/>
    <n v="0"/>
    <s v="On Time"/>
    <n v="76037.94"/>
    <s v="Jan"/>
    <n v="2025"/>
    <n v="76037.94"/>
    <s v="On Time"/>
  </r>
  <r>
    <n v="2024"/>
    <d v="2025-10-09T00:00:00"/>
    <x v="2"/>
    <x v="4"/>
    <s v="GMP"/>
    <s v="Business"/>
    <n v="146"/>
    <n v="315.08999999999997"/>
    <n v="49"/>
    <s v="On Time"/>
    <n v="46003.14"/>
    <s v="Oct"/>
    <n v="2025"/>
    <n v="46003.14"/>
    <s v="Moderate Delay"/>
  </r>
  <r>
    <n v="2025"/>
    <d v="2025-10-15T00:00:00"/>
    <x v="2"/>
    <x v="2"/>
    <s v="ICN"/>
    <s v="Premium Economy"/>
    <n v="75"/>
    <n v="557.29"/>
    <n v="14"/>
    <s v="On Time"/>
    <n v="41796.75"/>
    <s v="Oct"/>
    <n v="2025"/>
    <n v="41796.75"/>
    <s v="Minor Delay"/>
  </r>
  <r>
    <n v="2026"/>
    <d v="2025-10-20T00:00:00"/>
    <x v="4"/>
    <x v="6"/>
    <s v="KIX"/>
    <s v="Economy"/>
    <n v="114"/>
    <n v="684.05"/>
    <n v="7"/>
    <s v="On Time"/>
    <n v="77981.7"/>
    <s v="Oct"/>
    <n v="2025"/>
    <n v="77981.7"/>
    <s v="Minor Delay"/>
  </r>
  <r>
    <n v="2027"/>
    <d v="2025-05-04T00:00:00"/>
    <x v="5"/>
    <x v="1"/>
    <s v="CJU"/>
    <s v="Premium Economy"/>
    <n v="267"/>
    <n v="436.68"/>
    <n v="14"/>
    <s v="On Time"/>
    <n v="116593.56"/>
    <s v="May"/>
    <n v="2025"/>
    <n v="116593.56"/>
    <s v="Minor Delay"/>
  </r>
  <r>
    <n v="2028"/>
    <d v="2025-04-25T00:00:00"/>
    <x v="1"/>
    <x v="7"/>
    <s v="SIN"/>
    <s v="Economy"/>
    <n v="220"/>
    <n v="690.63"/>
    <n v="14"/>
    <s v="On Time"/>
    <n v="151938.6"/>
    <s v="Apr"/>
    <n v="2025"/>
    <n v="151938.6"/>
    <s v="Minor Delay"/>
  </r>
  <r>
    <n v="2029"/>
    <d v="2025-02-02T00:00:00"/>
    <x v="1"/>
    <x v="1"/>
    <s v="MNL"/>
    <s v="Economy"/>
    <n v="263"/>
    <n v="784.94"/>
    <n v="7"/>
    <s v="On Time"/>
    <n v="206439.22"/>
    <s v="Feb"/>
    <n v="2025"/>
    <n v="206439.22"/>
    <s v="Minor Delay"/>
  </r>
  <r>
    <n v="2030"/>
    <d v="2025-01-14T00:00:00"/>
    <x v="1"/>
    <x v="2"/>
    <s v="BKK"/>
    <s v="Economy"/>
    <n v="146"/>
    <n v="450.58"/>
    <n v="30"/>
    <s v="On Time"/>
    <n v="65784.679999999993"/>
    <s v="Jan"/>
    <n v="2025"/>
    <n v="65784.679999999993"/>
    <s v="Minor Delay"/>
  </r>
  <r>
    <n v="2031"/>
    <d v="2025-05-31T00:00:00"/>
    <x v="3"/>
    <x v="4"/>
    <s v="GMP"/>
    <s v="Business"/>
    <n v="68"/>
    <n v="694.8"/>
    <n v="8"/>
    <s v="On Time"/>
    <n v="47246.400000000001"/>
    <s v="May"/>
    <n v="2025"/>
    <n v="47246.399999999994"/>
    <s v="Minor Delay"/>
  </r>
  <r>
    <n v="2032"/>
    <d v="2025-10-26T00:00:00"/>
    <x v="2"/>
    <x v="6"/>
    <s v="PUS"/>
    <s v="Business"/>
    <n v="155"/>
    <n v="523.96"/>
    <n v="44"/>
    <s v="On Time"/>
    <n v="81213.8"/>
    <s v="Oct"/>
    <n v="2025"/>
    <n v="81213.8"/>
    <s v="Moderate Delay"/>
  </r>
  <r>
    <n v="2033"/>
    <d v="2025-11-23T00:00:00"/>
    <x v="4"/>
    <x v="3"/>
    <s v="PUS"/>
    <s v="Premium Economy"/>
    <n v="54"/>
    <n v="722.83"/>
    <n v="0"/>
    <s v="On Time"/>
    <n v="39032.82"/>
    <s v="Nov"/>
    <n v="2025"/>
    <n v="39032.82"/>
    <s v="On Time"/>
  </r>
  <r>
    <n v="2034"/>
    <d v="2025-03-13T00:00:00"/>
    <x v="3"/>
    <x v="5"/>
    <s v="SIN"/>
    <s v="Premium Economy"/>
    <n v="245"/>
    <n v="698.63"/>
    <n v="32"/>
    <s v="On Time"/>
    <n v="171164.35"/>
    <s v="Mar"/>
    <n v="2025"/>
    <n v="171164.35"/>
    <s v="Moderate Delay"/>
  </r>
  <r>
    <n v="2035"/>
    <d v="2025-01-10T00:00:00"/>
    <x v="5"/>
    <x v="7"/>
    <s v="BKK"/>
    <s v="Economy"/>
    <n v="240"/>
    <n v="705.61"/>
    <n v="12"/>
    <s v="Delayed"/>
    <n v="169346.4"/>
    <s v="Jan"/>
    <n v="2025"/>
    <n v="169346.4"/>
    <s v="Minor Delay"/>
  </r>
  <r>
    <n v="2036"/>
    <d v="2025-10-17T00:00:00"/>
    <x v="3"/>
    <x v="5"/>
    <s v="PUS"/>
    <s v="Business"/>
    <n v="67"/>
    <n v="629.14"/>
    <n v="0"/>
    <s v="On Time"/>
    <n v="42152.38"/>
    <s v="Oct"/>
    <n v="2025"/>
    <n v="42152.38"/>
    <s v="On Time"/>
  </r>
  <r>
    <n v="2037"/>
    <d v="2025-02-04T00:00:00"/>
    <x v="0"/>
    <x v="1"/>
    <s v="NRT"/>
    <s v="Economy"/>
    <n v="101"/>
    <n v="395.86"/>
    <n v="31"/>
    <s v="Delayed"/>
    <n v="39981.86"/>
    <s v="Feb"/>
    <n v="2025"/>
    <n v="39981.86"/>
    <s v="Moderate Delay"/>
  </r>
  <r>
    <n v="2038"/>
    <d v="2025-04-14T00:00:00"/>
    <x v="4"/>
    <x v="3"/>
    <s v="CJU"/>
    <s v="Premium Economy"/>
    <n v="77"/>
    <n v="405.72"/>
    <n v="27"/>
    <s v="Delayed"/>
    <n v="31240.44"/>
    <s v="Apr"/>
    <n v="2025"/>
    <n v="31240.440000000002"/>
    <s v="Minor Delay"/>
  </r>
  <r>
    <n v="2039"/>
    <d v="2025-04-15T00:00:00"/>
    <x v="0"/>
    <x v="8"/>
    <s v="ICN"/>
    <s v="Business"/>
    <n v="76"/>
    <n v="118.16"/>
    <n v="32"/>
    <s v="On Time"/>
    <n v="8980.16"/>
    <s v="Apr"/>
    <n v="2025"/>
    <n v="8980.16"/>
    <s v="Moderate Delay"/>
  </r>
  <r>
    <n v="2040"/>
    <d v="2025-09-20T00:00:00"/>
    <x v="3"/>
    <x v="1"/>
    <s v="PUS"/>
    <s v="Premium Economy"/>
    <n v="83"/>
    <n v="406.12"/>
    <n v="40"/>
    <s v="On Time"/>
    <n v="33707.96"/>
    <s v="Sep"/>
    <n v="2025"/>
    <n v="33707.96"/>
    <s v="Moderate Delay"/>
  </r>
  <r>
    <n v="2041"/>
    <d v="2025-03-04T00:00:00"/>
    <x v="0"/>
    <x v="3"/>
    <s v="MNL"/>
    <s v="Economy"/>
    <n v="164"/>
    <n v="115.01"/>
    <n v="9"/>
    <s v="On Time"/>
    <n v="18861.64"/>
    <s v="Mar"/>
    <n v="2025"/>
    <n v="18861.64"/>
    <s v="Minor Delay"/>
  </r>
  <r>
    <n v="2042"/>
    <d v="2025-10-24T00:00:00"/>
    <x v="4"/>
    <x v="5"/>
    <s v="PUS"/>
    <s v="Economy"/>
    <n v="86"/>
    <n v="699.45"/>
    <n v="1"/>
    <s v="On Time"/>
    <n v="60152.7"/>
    <s v="Oct"/>
    <n v="2025"/>
    <n v="60152.700000000004"/>
    <s v="Minor Delay"/>
  </r>
  <r>
    <n v="2043"/>
    <d v="2025-08-09T00:00:00"/>
    <x v="4"/>
    <x v="5"/>
    <s v="CJU"/>
    <s v="Premium Economy"/>
    <n v="63"/>
    <n v="235.02"/>
    <n v="25"/>
    <s v="On Time"/>
    <n v="14806.26"/>
    <s v="Aug"/>
    <n v="2025"/>
    <n v="14806.26"/>
    <s v="Minor Delay"/>
  </r>
  <r>
    <n v="2044"/>
    <d v="2025-03-14T00:00:00"/>
    <x v="2"/>
    <x v="8"/>
    <s v="GMP"/>
    <s v="Business"/>
    <n v="252"/>
    <n v="429.75"/>
    <n v="38"/>
    <s v="On Time"/>
    <n v="108297"/>
    <s v="Mar"/>
    <n v="2025"/>
    <n v="108297"/>
    <s v="Moderate Delay"/>
  </r>
  <r>
    <n v="2045"/>
    <d v="2025-01-08T00:00:00"/>
    <x v="0"/>
    <x v="7"/>
    <s v="GMP"/>
    <s v="Business"/>
    <n v="73"/>
    <n v="709.85"/>
    <n v="46"/>
    <s v="Delayed"/>
    <n v="51819.05"/>
    <s v="Jan"/>
    <n v="2025"/>
    <n v="51819.05"/>
    <s v="Moderate Delay"/>
  </r>
  <r>
    <n v="2046"/>
    <d v="2025-05-14T00:00:00"/>
    <x v="5"/>
    <x v="0"/>
    <s v="NRT"/>
    <s v="Premium Economy"/>
    <n v="93"/>
    <n v="483.66"/>
    <n v="0"/>
    <s v="On Time"/>
    <n v="44980.38"/>
    <s v="May"/>
    <n v="2025"/>
    <n v="44980.380000000005"/>
    <s v="On Time"/>
  </r>
  <r>
    <n v="2047"/>
    <d v="2025-04-30T00:00:00"/>
    <x v="2"/>
    <x v="8"/>
    <s v="SIN"/>
    <s v="Economy"/>
    <n v="273"/>
    <n v="668.68"/>
    <n v="20"/>
    <s v="On Time"/>
    <n v="182549.64"/>
    <s v="Apr"/>
    <n v="2025"/>
    <n v="182549.63999999998"/>
    <s v="Minor Delay"/>
  </r>
  <r>
    <n v="2048"/>
    <d v="2025-07-29T00:00:00"/>
    <x v="1"/>
    <x v="6"/>
    <s v="KIX"/>
    <s v="Premium Economy"/>
    <n v="108"/>
    <n v="483.59"/>
    <n v="32"/>
    <s v="On Time"/>
    <n v="52227.72"/>
    <s v="Jul"/>
    <n v="2025"/>
    <n v="52227.719999999994"/>
    <s v="Moderate Delay"/>
  </r>
  <r>
    <n v="2049"/>
    <d v="2025-12-26T00:00:00"/>
    <x v="5"/>
    <x v="5"/>
    <s v="SIN"/>
    <s v="Business"/>
    <n v="234"/>
    <n v="531.12"/>
    <n v="0"/>
    <s v="On Time"/>
    <n v="124282.08"/>
    <s v="Dec"/>
    <n v="2025"/>
    <n v="124282.08"/>
    <s v="On Time"/>
  </r>
  <r>
    <n v="2050"/>
    <d v="2025-07-26T00:00:00"/>
    <x v="2"/>
    <x v="8"/>
    <s v="ICN"/>
    <s v="Economy"/>
    <n v="280"/>
    <n v="359.76"/>
    <n v="52"/>
    <s v="On Time"/>
    <n v="100732.8"/>
    <s v="Jul"/>
    <n v="2025"/>
    <n v="100732.8"/>
    <s v="Moderate Delay"/>
  </r>
  <r>
    <n v="2051"/>
    <d v="2025-07-06T00:00:00"/>
    <x v="1"/>
    <x v="7"/>
    <s v="ICN"/>
    <s v="Premium Economy"/>
    <n v="188"/>
    <n v="166.29"/>
    <n v="11"/>
    <s v="On Time"/>
    <n v="31262.52"/>
    <s v="Jul"/>
    <n v="2025"/>
    <n v="31262.519999999997"/>
    <s v="Minor Delay"/>
  </r>
  <r>
    <n v="2052"/>
    <d v="2025-12-12T00:00:00"/>
    <x v="0"/>
    <x v="3"/>
    <s v="BKK"/>
    <s v="Economy"/>
    <n v="150"/>
    <n v="562.27"/>
    <n v="7"/>
    <s v="On Time"/>
    <n v="84340.5"/>
    <s v="Dec"/>
    <n v="2025"/>
    <n v="84340.5"/>
    <s v="Minor Delay"/>
  </r>
  <r>
    <n v="2053"/>
    <d v="2025-10-04T00:00:00"/>
    <x v="2"/>
    <x v="5"/>
    <s v="BKK"/>
    <s v="Economy"/>
    <n v="225"/>
    <n v="256.02999999999997"/>
    <n v="0"/>
    <s v="On Time"/>
    <n v="57606.75"/>
    <s v="Oct"/>
    <n v="2025"/>
    <n v="57606.749999999993"/>
    <s v="On Time"/>
  </r>
  <r>
    <n v="2054"/>
    <d v="2025-10-20T00:00:00"/>
    <x v="0"/>
    <x v="7"/>
    <s v="GMP"/>
    <s v="Premium Economy"/>
    <n v="195"/>
    <n v="354.47"/>
    <n v="2"/>
    <s v="On Time"/>
    <n v="69121.649999999994"/>
    <s v="Oct"/>
    <n v="2025"/>
    <n v="69121.650000000009"/>
    <s v="Minor Delay"/>
  </r>
  <r>
    <n v="2055"/>
    <d v="2025-05-01T00:00:00"/>
    <x v="2"/>
    <x v="5"/>
    <s v="KIX"/>
    <s v="Business"/>
    <n v="205"/>
    <n v="460.97"/>
    <n v="30"/>
    <s v="Delayed"/>
    <n v="94498.85"/>
    <s v="May"/>
    <n v="2025"/>
    <n v="94498.85"/>
    <s v="Minor Delay"/>
  </r>
  <r>
    <n v="2056"/>
    <d v="2025-06-19T00:00:00"/>
    <x v="1"/>
    <x v="7"/>
    <s v="ICN"/>
    <s v="Business"/>
    <n v="227"/>
    <n v="599.92999999999995"/>
    <n v="0"/>
    <s v="On Time"/>
    <n v="136184.10999999999"/>
    <s v="Jun"/>
    <n v="2025"/>
    <n v="136184.10999999999"/>
    <s v="On Time"/>
  </r>
  <r>
    <n v="2057"/>
    <d v="2025-11-03T00:00:00"/>
    <x v="3"/>
    <x v="6"/>
    <s v="BKK"/>
    <s v="Business"/>
    <n v="114"/>
    <n v="435.45"/>
    <n v="16"/>
    <s v="Delayed"/>
    <n v="49641.3"/>
    <s v="Nov"/>
    <n v="2025"/>
    <n v="49641.299999999996"/>
    <s v="Minor Delay"/>
  </r>
  <r>
    <n v="2058"/>
    <d v="2025-11-28T00:00:00"/>
    <x v="1"/>
    <x v="3"/>
    <s v="GMP"/>
    <s v="Premium Economy"/>
    <n v="138"/>
    <n v="394.38"/>
    <n v="32"/>
    <s v="On Time"/>
    <n v="54424.44"/>
    <s v="Nov"/>
    <n v="2025"/>
    <n v="54424.44"/>
    <s v="Moderate Delay"/>
  </r>
  <r>
    <n v="2059"/>
    <d v="2025-12-22T00:00:00"/>
    <x v="3"/>
    <x v="8"/>
    <s v="ICN"/>
    <s v="Premium Economy"/>
    <n v="73"/>
    <n v="324.13"/>
    <n v="42"/>
    <s v="On Time"/>
    <n v="23661.49"/>
    <s v="Dec"/>
    <n v="2025"/>
    <n v="23661.489999999998"/>
    <s v="Moderate Delay"/>
  </r>
  <r>
    <n v="2060"/>
    <d v="2025-04-11T00:00:00"/>
    <x v="5"/>
    <x v="1"/>
    <s v="SIN"/>
    <s v="Business"/>
    <n v="97"/>
    <n v="79.400000000000006"/>
    <n v="67"/>
    <s v="On Time"/>
    <n v="7701.8"/>
    <s v="Apr"/>
    <n v="2025"/>
    <n v="7701.8"/>
    <s v="Major Delay"/>
  </r>
  <r>
    <n v="2061"/>
    <d v="2025-02-09T00:00:00"/>
    <x v="5"/>
    <x v="4"/>
    <s v="MNL"/>
    <s v="Economy"/>
    <n v="234"/>
    <n v="524.59"/>
    <n v="48"/>
    <s v="On Time"/>
    <n v="122754.06"/>
    <s v="Feb"/>
    <n v="2025"/>
    <n v="122754.06000000001"/>
    <s v="Moderate Delay"/>
  </r>
  <r>
    <n v="2062"/>
    <d v="2025-11-16T00:00:00"/>
    <x v="5"/>
    <x v="1"/>
    <s v="CJU"/>
    <s v="Premium Economy"/>
    <n v="179"/>
    <n v="427.95"/>
    <n v="15"/>
    <s v="Delayed"/>
    <n v="76603.05"/>
    <s v="Nov"/>
    <n v="2025"/>
    <n v="76603.05"/>
    <s v="Minor Delay"/>
  </r>
  <r>
    <n v="2063"/>
    <d v="2025-09-22T00:00:00"/>
    <x v="5"/>
    <x v="7"/>
    <s v="BKK"/>
    <s v="Economy"/>
    <n v="176"/>
    <n v="795.7"/>
    <n v="54"/>
    <s v="On Time"/>
    <n v="140043.20000000001"/>
    <s v="Sep"/>
    <n v="2025"/>
    <n v="140043.20000000001"/>
    <s v="Moderate Delay"/>
  </r>
  <r>
    <n v="2064"/>
    <d v="2025-07-24T00:00:00"/>
    <x v="3"/>
    <x v="6"/>
    <s v="ICN"/>
    <s v="Economy"/>
    <n v="224"/>
    <n v="522.65"/>
    <n v="28"/>
    <s v="On Time"/>
    <n v="117073.60000000001"/>
    <s v="Jul"/>
    <n v="2025"/>
    <n v="117073.59999999999"/>
    <s v="Minor Delay"/>
  </r>
  <r>
    <n v="2065"/>
    <d v="2025-01-16T00:00:00"/>
    <x v="3"/>
    <x v="5"/>
    <s v="KIX"/>
    <s v="Premium Economy"/>
    <n v="243"/>
    <n v="795.91"/>
    <n v="0"/>
    <s v="On Time"/>
    <n v="193406.13"/>
    <s v="Jan"/>
    <n v="2025"/>
    <n v="193406.13"/>
    <s v="On Time"/>
  </r>
  <r>
    <n v="2066"/>
    <d v="2025-12-11T00:00:00"/>
    <x v="1"/>
    <x v="5"/>
    <s v="GMP"/>
    <s v="Economy"/>
    <n v="121"/>
    <n v="725.83"/>
    <n v="43"/>
    <s v="On Time"/>
    <n v="87825.43"/>
    <s v="Dec"/>
    <n v="2025"/>
    <n v="87825.430000000008"/>
    <s v="Moderate Delay"/>
  </r>
  <r>
    <n v="2067"/>
    <d v="2025-05-18T00:00:00"/>
    <x v="4"/>
    <x v="3"/>
    <s v="BKK"/>
    <s v="Economy"/>
    <n v="289"/>
    <n v="447.45"/>
    <n v="0"/>
    <s v="On Time"/>
    <n v="129313.05"/>
    <s v="May"/>
    <n v="2025"/>
    <n v="129313.05"/>
    <s v="On Time"/>
  </r>
  <r>
    <n v="2068"/>
    <d v="2025-11-23T00:00:00"/>
    <x v="0"/>
    <x v="4"/>
    <s v="CJU"/>
    <s v="Business"/>
    <n v="293"/>
    <n v="158.49"/>
    <n v="26"/>
    <s v="On Time"/>
    <n v="46437.57"/>
    <s v="Nov"/>
    <n v="2025"/>
    <n v="46437.57"/>
    <s v="Minor Delay"/>
  </r>
  <r>
    <n v="2069"/>
    <d v="2025-04-24T00:00:00"/>
    <x v="0"/>
    <x v="4"/>
    <s v="MNL"/>
    <s v="Business"/>
    <n v="295"/>
    <n v="727.12"/>
    <n v="9"/>
    <s v="On Time"/>
    <n v="214500.4"/>
    <s v="Apr"/>
    <n v="2025"/>
    <n v="214500.4"/>
    <s v="Minor Delay"/>
  </r>
  <r>
    <n v="2070"/>
    <d v="2025-12-17T00:00:00"/>
    <x v="3"/>
    <x v="4"/>
    <s v="GMP"/>
    <s v="Premium Economy"/>
    <n v="97"/>
    <n v="454.45"/>
    <n v="14"/>
    <s v="On Time"/>
    <n v="44081.65"/>
    <s v="Dec"/>
    <n v="2025"/>
    <n v="44081.65"/>
    <s v="Minor Delay"/>
  </r>
  <r>
    <n v="2071"/>
    <d v="2025-06-25T00:00:00"/>
    <x v="2"/>
    <x v="8"/>
    <s v="CJU"/>
    <s v="Economy"/>
    <n v="297"/>
    <n v="485.83"/>
    <n v="0"/>
    <s v="Delayed"/>
    <n v="144291.51"/>
    <s v="Jun"/>
    <n v="2025"/>
    <n v="144291.51"/>
    <s v="On Time"/>
  </r>
  <r>
    <n v="2072"/>
    <d v="2025-09-29T00:00:00"/>
    <x v="5"/>
    <x v="2"/>
    <s v="BKK"/>
    <s v="Business"/>
    <n v="144"/>
    <n v="135.63999999999999"/>
    <n v="38"/>
    <s v="Delayed"/>
    <n v="19532.16"/>
    <s v="Sep"/>
    <n v="2025"/>
    <n v="19532.159999999996"/>
    <s v="Moderate Delay"/>
  </r>
  <r>
    <n v="2073"/>
    <d v="2025-10-14T00:00:00"/>
    <x v="3"/>
    <x v="6"/>
    <s v="GMP"/>
    <s v="Premium Economy"/>
    <n v="144"/>
    <n v="330.7"/>
    <n v="47"/>
    <s v="On Time"/>
    <n v="47620.800000000003"/>
    <s v="Oct"/>
    <n v="2025"/>
    <n v="47620.799999999996"/>
    <s v="Moderate Delay"/>
  </r>
  <r>
    <n v="2074"/>
    <d v="2025-01-09T00:00:00"/>
    <x v="5"/>
    <x v="1"/>
    <s v="KIX"/>
    <s v="Premium Economy"/>
    <n v="243"/>
    <n v="420.95"/>
    <n v="11"/>
    <s v="On Time"/>
    <n v="102290.85"/>
    <s v="Jan"/>
    <n v="2025"/>
    <n v="102290.84999999999"/>
    <s v="Minor Delay"/>
  </r>
  <r>
    <n v="2075"/>
    <d v="2025-01-04T00:00:00"/>
    <x v="0"/>
    <x v="4"/>
    <s v="PUS"/>
    <s v="Premium Economy"/>
    <n v="210"/>
    <n v="521.15"/>
    <n v="58"/>
    <s v="Delayed"/>
    <n v="109441.5"/>
    <s v="Jan"/>
    <n v="2025"/>
    <n v="109441.5"/>
    <s v="Moderate Delay"/>
  </r>
  <r>
    <n v="2076"/>
    <d v="2025-09-04T00:00:00"/>
    <x v="5"/>
    <x v="0"/>
    <s v="CJU"/>
    <s v="Premium Economy"/>
    <n v="92"/>
    <n v="94.7"/>
    <n v="0"/>
    <s v="On Time"/>
    <n v="8712.4"/>
    <s v="Sep"/>
    <n v="2025"/>
    <n v="8712.4"/>
    <s v="On Time"/>
  </r>
  <r>
    <n v="2077"/>
    <d v="2025-05-18T00:00:00"/>
    <x v="1"/>
    <x v="3"/>
    <s v="PUS"/>
    <s v="Economy"/>
    <n v="264"/>
    <n v="329.53"/>
    <n v="11"/>
    <s v="On Time"/>
    <n v="86995.92"/>
    <s v="May"/>
    <n v="2025"/>
    <n v="86995.92"/>
    <s v="Minor Delay"/>
  </r>
  <r>
    <n v="2078"/>
    <d v="2025-06-17T00:00:00"/>
    <x v="0"/>
    <x v="0"/>
    <s v="BKK"/>
    <s v="Economy"/>
    <n v="105"/>
    <n v="599.41"/>
    <n v="26"/>
    <s v="On Time"/>
    <n v="62938.05"/>
    <s v="Jun"/>
    <n v="2025"/>
    <n v="62938.049999999996"/>
    <s v="Minor Delay"/>
  </r>
  <r>
    <n v="2079"/>
    <d v="2025-09-01T00:00:00"/>
    <x v="3"/>
    <x v="2"/>
    <s v="MNL"/>
    <s v="Business"/>
    <n v="74"/>
    <n v="236.23"/>
    <n v="0"/>
    <s v="On Time"/>
    <n v="17481.02"/>
    <s v="Sep"/>
    <n v="2025"/>
    <n v="17481.02"/>
    <s v="On Time"/>
  </r>
  <r>
    <n v="2080"/>
    <d v="2025-12-23T00:00:00"/>
    <x v="3"/>
    <x v="4"/>
    <s v="CJU"/>
    <s v="Economy"/>
    <n v="122"/>
    <n v="763.29"/>
    <n v="41"/>
    <s v="On Time"/>
    <n v="93121.38"/>
    <s v="Dec"/>
    <n v="2025"/>
    <n v="93121.37999999999"/>
    <s v="Moderate Delay"/>
  </r>
  <r>
    <n v="2081"/>
    <d v="2025-04-01T00:00:00"/>
    <x v="2"/>
    <x v="5"/>
    <s v="BKK"/>
    <s v="Premium Economy"/>
    <n v="207"/>
    <n v="451.62"/>
    <n v="58"/>
    <s v="On Time"/>
    <n v="93485.34"/>
    <s v="Apr"/>
    <n v="2025"/>
    <n v="93485.34"/>
    <s v="Moderate Delay"/>
  </r>
  <r>
    <n v="2082"/>
    <d v="2025-11-06T00:00:00"/>
    <x v="3"/>
    <x v="6"/>
    <s v="ICN"/>
    <s v="Economy"/>
    <n v="243"/>
    <n v="413.73"/>
    <n v="19"/>
    <s v="On Time"/>
    <n v="100536.39"/>
    <s v="Nov"/>
    <n v="2025"/>
    <n v="100536.39"/>
    <s v="Minor Delay"/>
  </r>
  <r>
    <n v="2083"/>
    <d v="2025-09-21T00:00:00"/>
    <x v="5"/>
    <x v="7"/>
    <s v="NRT"/>
    <s v="Business"/>
    <n v="269"/>
    <n v="627.57000000000005"/>
    <n v="0"/>
    <s v="Delayed"/>
    <n v="168816.33"/>
    <s v="Sep"/>
    <n v="2025"/>
    <n v="168816.33000000002"/>
    <s v="On Time"/>
  </r>
  <r>
    <n v="2084"/>
    <d v="2025-08-02T00:00:00"/>
    <x v="1"/>
    <x v="6"/>
    <s v="BKK"/>
    <s v="Premium Economy"/>
    <n v="271"/>
    <n v="631.96"/>
    <n v="50"/>
    <s v="On Time"/>
    <n v="171261.16"/>
    <s v="Aug"/>
    <n v="2025"/>
    <n v="171261.16"/>
    <s v="Moderate Delay"/>
  </r>
  <r>
    <n v="2085"/>
    <d v="2025-05-24T00:00:00"/>
    <x v="4"/>
    <x v="8"/>
    <s v="SIN"/>
    <s v="Economy"/>
    <n v="85"/>
    <n v="424.61"/>
    <n v="8"/>
    <s v="On Time"/>
    <n v="36091.85"/>
    <s v="May"/>
    <n v="2025"/>
    <n v="36091.85"/>
    <s v="Minor Delay"/>
  </r>
  <r>
    <n v="2086"/>
    <d v="2025-10-29T00:00:00"/>
    <x v="2"/>
    <x v="4"/>
    <s v="BKK"/>
    <s v="Premium Economy"/>
    <n v="253"/>
    <n v="701.43"/>
    <n v="39"/>
    <s v="On Time"/>
    <n v="177461.79"/>
    <s v="Oct"/>
    <n v="2025"/>
    <n v="177461.78999999998"/>
    <s v="Moderate Delay"/>
  </r>
  <r>
    <n v="2087"/>
    <d v="2025-09-15T00:00:00"/>
    <x v="0"/>
    <x v="4"/>
    <s v="CJU"/>
    <s v="Premium Economy"/>
    <n v="295"/>
    <n v="514.64"/>
    <n v="27"/>
    <s v="On Time"/>
    <n v="151818.79999999999"/>
    <s v="Sep"/>
    <n v="2025"/>
    <n v="151818.79999999999"/>
    <s v="Minor Delay"/>
  </r>
  <r>
    <n v="2088"/>
    <d v="2025-03-11T00:00:00"/>
    <x v="1"/>
    <x v="3"/>
    <s v="ICN"/>
    <s v="Economy"/>
    <n v="60"/>
    <n v="175.4"/>
    <n v="27"/>
    <s v="On Time"/>
    <n v="10524"/>
    <s v="Mar"/>
    <n v="2025"/>
    <n v="10524"/>
    <s v="Minor Delay"/>
  </r>
  <r>
    <n v="2089"/>
    <d v="2025-02-07T00:00:00"/>
    <x v="0"/>
    <x v="2"/>
    <s v="NRT"/>
    <s v="Economy"/>
    <n v="214"/>
    <n v="709.26"/>
    <n v="54"/>
    <s v="On Time"/>
    <n v="151781.64000000001"/>
    <s v="Feb"/>
    <n v="2025"/>
    <n v="151781.63999999998"/>
    <s v="Moderate Delay"/>
  </r>
  <r>
    <n v="2090"/>
    <d v="2025-04-17T00:00:00"/>
    <x v="1"/>
    <x v="3"/>
    <s v="GMP"/>
    <s v="Premium Economy"/>
    <n v="137"/>
    <n v="415.59"/>
    <n v="0"/>
    <s v="On Time"/>
    <n v="56935.83"/>
    <s v="Apr"/>
    <n v="2025"/>
    <n v="56935.829999999994"/>
    <s v="On Time"/>
  </r>
  <r>
    <n v="2091"/>
    <d v="2025-12-16T00:00:00"/>
    <x v="1"/>
    <x v="1"/>
    <s v="CJU"/>
    <s v="Premium Economy"/>
    <n v="127"/>
    <n v="270.43"/>
    <n v="0"/>
    <s v="On Time"/>
    <n v="34344.61"/>
    <s v="Dec"/>
    <n v="2025"/>
    <n v="34344.61"/>
    <s v="On Time"/>
  </r>
  <r>
    <n v="2092"/>
    <d v="2025-09-13T00:00:00"/>
    <x v="3"/>
    <x v="8"/>
    <s v="CJU"/>
    <s v="Economy"/>
    <n v="158"/>
    <n v="392.26"/>
    <n v="15"/>
    <s v="On Time"/>
    <n v="61977.08"/>
    <s v="Sep"/>
    <n v="2025"/>
    <n v="61977.08"/>
    <s v="Minor Delay"/>
  </r>
  <r>
    <n v="2093"/>
    <d v="2025-11-26T00:00:00"/>
    <x v="2"/>
    <x v="8"/>
    <s v="NRT"/>
    <s v="Economy"/>
    <n v="241"/>
    <n v="64.709999999999994"/>
    <n v="0"/>
    <s v="On Time"/>
    <n v="15595.11"/>
    <s v="Nov"/>
    <n v="2025"/>
    <n v="15595.109999999999"/>
    <s v="On Time"/>
  </r>
  <r>
    <n v="2094"/>
    <d v="2025-05-28T00:00:00"/>
    <x v="0"/>
    <x v="7"/>
    <s v="BKK"/>
    <s v="Economy"/>
    <n v="184"/>
    <n v="221.64"/>
    <n v="42"/>
    <s v="Delayed"/>
    <n v="40781.760000000002"/>
    <s v="May"/>
    <n v="2025"/>
    <n v="40781.759999999995"/>
    <s v="Moderate Delay"/>
  </r>
  <r>
    <n v="2095"/>
    <d v="2025-03-10T00:00:00"/>
    <x v="0"/>
    <x v="6"/>
    <s v="GMP"/>
    <s v="Economy"/>
    <n v="82"/>
    <n v="208.13"/>
    <n v="49"/>
    <s v="On Time"/>
    <n v="17066.66"/>
    <s v="Mar"/>
    <n v="2025"/>
    <n v="17066.66"/>
    <s v="Moderate Delay"/>
  </r>
  <r>
    <n v="2096"/>
    <d v="2025-01-31T00:00:00"/>
    <x v="2"/>
    <x v="4"/>
    <s v="GMP"/>
    <s v="Business"/>
    <n v="52"/>
    <n v="715.26"/>
    <n v="57"/>
    <s v="On Time"/>
    <n v="37193.519999999997"/>
    <s v="Jan"/>
    <n v="2025"/>
    <n v="37193.519999999997"/>
    <s v="Moderate Delay"/>
  </r>
  <r>
    <n v="2097"/>
    <d v="2025-09-08T00:00:00"/>
    <x v="0"/>
    <x v="1"/>
    <s v="NRT"/>
    <s v="Economy"/>
    <n v="233"/>
    <n v="469.03"/>
    <n v="2"/>
    <s v="On Time"/>
    <n v="109283.99"/>
    <s v="Sep"/>
    <n v="2025"/>
    <n v="109283.98999999999"/>
    <s v="Minor Delay"/>
  </r>
  <r>
    <n v="2098"/>
    <d v="2025-12-07T00:00:00"/>
    <x v="2"/>
    <x v="1"/>
    <s v="GMP"/>
    <s v="Economy"/>
    <n v="251"/>
    <n v="193.69"/>
    <n v="45"/>
    <s v="On Time"/>
    <n v="48616.19"/>
    <s v="Dec"/>
    <n v="2025"/>
    <n v="48616.19"/>
    <s v="Moderate Delay"/>
  </r>
  <r>
    <n v="2099"/>
    <d v="2025-05-14T00:00:00"/>
    <x v="3"/>
    <x v="8"/>
    <s v="KIX"/>
    <s v="Premium Economy"/>
    <n v="193"/>
    <n v="524.52"/>
    <n v="0"/>
    <s v="Delayed"/>
    <n v="101232.36"/>
    <s v="May"/>
    <n v="2025"/>
    <n v="101232.36"/>
    <s v="On Time"/>
  </r>
  <r>
    <n v="2100"/>
    <d v="2025-03-14T00:00:00"/>
    <x v="5"/>
    <x v="5"/>
    <s v="BKK"/>
    <s v="Economy"/>
    <n v="180"/>
    <n v="664.33"/>
    <n v="22"/>
    <s v="Delayed"/>
    <n v="119579.4"/>
    <s v="Mar"/>
    <n v="2025"/>
    <n v="119579.40000000001"/>
    <s v="Minor Delay"/>
  </r>
  <r>
    <n v="2101"/>
    <d v="2025-12-03T00:00:00"/>
    <x v="5"/>
    <x v="8"/>
    <s v="BKK"/>
    <s v="Economy"/>
    <n v="236"/>
    <n v="135.66"/>
    <n v="67"/>
    <s v="On Time"/>
    <n v="32015.759999999998"/>
    <s v="Dec"/>
    <n v="2025"/>
    <n v="32015.759999999998"/>
    <s v="Major Delay"/>
  </r>
  <r>
    <n v="2102"/>
    <d v="2025-03-31T00:00:00"/>
    <x v="1"/>
    <x v="0"/>
    <s v="SIN"/>
    <s v="Premium Economy"/>
    <n v="225"/>
    <n v="219.15"/>
    <n v="36"/>
    <s v="On Time"/>
    <n v="49308.75"/>
    <s v="Mar"/>
    <n v="2025"/>
    <n v="49308.75"/>
    <s v="Moderate Delay"/>
  </r>
  <r>
    <n v="2103"/>
    <d v="2025-01-15T00:00:00"/>
    <x v="4"/>
    <x v="2"/>
    <s v="CJU"/>
    <s v="Economy"/>
    <n v="94"/>
    <n v="174.84"/>
    <n v="72"/>
    <s v="On Time"/>
    <n v="16434.96"/>
    <s v="Jan"/>
    <n v="2025"/>
    <n v="16434.96"/>
    <s v="Major Delay"/>
  </r>
  <r>
    <n v="2104"/>
    <d v="2025-02-21T00:00:00"/>
    <x v="3"/>
    <x v="1"/>
    <s v="CJU"/>
    <s v="Premium Economy"/>
    <n v="254"/>
    <n v="301.95"/>
    <n v="4"/>
    <s v="Delayed"/>
    <n v="76695.3"/>
    <s v="Feb"/>
    <n v="2025"/>
    <n v="76695.3"/>
    <s v="Minor Delay"/>
  </r>
  <r>
    <n v="2105"/>
    <d v="2025-05-01T00:00:00"/>
    <x v="5"/>
    <x v="0"/>
    <s v="KIX"/>
    <s v="Business"/>
    <n v="86"/>
    <n v="234.98"/>
    <n v="38"/>
    <s v="On Time"/>
    <n v="20208.28"/>
    <s v="May"/>
    <n v="2025"/>
    <n v="20208.28"/>
    <s v="Moderate Delay"/>
  </r>
  <r>
    <n v="2106"/>
    <d v="2025-06-13T00:00:00"/>
    <x v="5"/>
    <x v="2"/>
    <s v="NRT"/>
    <s v="Premium Economy"/>
    <n v="118"/>
    <n v="369.23"/>
    <n v="51"/>
    <s v="On Time"/>
    <n v="43569.14"/>
    <s v="Jun"/>
    <n v="2025"/>
    <n v="43569.14"/>
    <s v="Moderate Delay"/>
  </r>
  <r>
    <n v="2107"/>
    <d v="2025-04-23T00:00:00"/>
    <x v="0"/>
    <x v="8"/>
    <s v="SIN"/>
    <s v="Premium Economy"/>
    <n v="124"/>
    <n v="242.88"/>
    <n v="42"/>
    <s v="Delayed"/>
    <n v="30117.119999999999"/>
    <s v="Apr"/>
    <n v="2025"/>
    <n v="30117.119999999999"/>
    <s v="Moderate Delay"/>
  </r>
  <r>
    <n v="2108"/>
    <d v="2025-04-03T00:00:00"/>
    <x v="2"/>
    <x v="8"/>
    <s v="GMP"/>
    <s v="Business"/>
    <n v="261"/>
    <n v="687.48"/>
    <n v="22"/>
    <s v="On Time"/>
    <n v="179432.28"/>
    <s v="Apr"/>
    <n v="2025"/>
    <n v="179432.28"/>
    <s v="Minor Delay"/>
  </r>
  <r>
    <n v="2109"/>
    <d v="2025-10-20T00:00:00"/>
    <x v="0"/>
    <x v="5"/>
    <s v="PUS"/>
    <s v="Premium Economy"/>
    <n v="67"/>
    <n v="179.95"/>
    <n v="1"/>
    <s v="On Time"/>
    <n v="12056.65"/>
    <s v="Oct"/>
    <n v="2025"/>
    <n v="12056.65"/>
    <s v="Minor Delay"/>
  </r>
  <r>
    <n v="2110"/>
    <d v="2025-02-27T00:00:00"/>
    <x v="0"/>
    <x v="6"/>
    <s v="MNL"/>
    <s v="Premium Economy"/>
    <n v="231"/>
    <n v="722.58"/>
    <n v="52"/>
    <s v="On Time"/>
    <n v="166915.98000000001"/>
    <s v="Feb"/>
    <n v="2025"/>
    <n v="166915.98000000001"/>
    <s v="Moderate Delay"/>
  </r>
  <r>
    <n v="2111"/>
    <d v="2025-03-08T00:00:00"/>
    <x v="0"/>
    <x v="6"/>
    <s v="PUS"/>
    <s v="Economy"/>
    <n v="257"/>
    <n v="559.66"/>
    <n v="33"/>
    <s v="On Time"/>
    <n v="143832.62"/>
    <s v="Mar"/>
    <n v="2025"/>
    <n v="143832.62"/>
    <s v="Moderate Delay"/>
  </r>
  <r>
    <n v="2112"/>
    <d v="2025-03-30T00:00:00"/>
    <x v="1"/>
    <x v="5"/>
    <s v="NRT"/>
    <s v="Economy"/>
    <n v="117"/>
    <n v="623.14"/>
    <n v="17"/>
    <s v="On Time"/>
    <n v="72907.38"/>
    <s v="Mar"/>
    <n v="2025"/>
    <n v="72907.38"/>
    <s v="Minor Delay"/>
  </r>
  <r>
    <n v="2113"/>
    <d v="2025-06-28T00:00:00"/>
    <x v="3"/>
    <x v="8"/>
    <s v="SIN"/>
    <s v="Economy"/>
    <n v="227"/>
    <n v="607.59"/>
    <n v="13"/>
    <s v="On Time"/>
    <n v="137922.93"/>
    <s v="Jun"/>
    <n v="2025"/>
    <n v="137922.93"/>
    <s v="Minor Delay"/>
  </r>
  <r>
    <n v="2114"/>
    <d v="2025-11-23T00:00:00"/>
    <x v="5"/>
    <x v="7"/>
    <s v="NRT"/>
    <s v="Premium Economy"/>
    <n v="286"/>
    <n v="105.05"/>
    <n v="0"/>
    <s v="Delayed"/>
    <n v="30044.3"/>
    <s v="Nov"/>
    <n v="2025"/>
    <n v="30044.3"/>
    <s v="On Time"/>
  </r>
  <r>
    <n v="2115"/>
    <d v="2025-01-09T00:00:00"/>
    <x v="4"/>
    <x v="5"/>
    <s v="NRT"/>
    <s v="Premium Economy"/>
    <n v="110"/>
    <n v="742.68"/>
    <n v="0"/>
    <s v="Delayed"/>
    <n v="81694.8"/>
    <s v="Jan"/>
    <n v="2025"/>
    <n v="81694.799999999988"/>
    <s v="On Time"/>
  </r>
  <r>
    <n v="2116"/>
    <d v="2025-08-24T00:00:00"/>
    <x v="1"/>
    <x v="3"/>
    <s v="GMP"/>
    <s v="Premium Economy"/>
    <n v="263"/>
    <n v="705.15"/>
    <n v="0"/>
    <s v="Delayed"/>
    <n v="185454.45"/>
    <s v="Aug"/>
    <n v="2025"/>
    <n v="185454.44999999998"/>
    <s v="On Time"/>
  </r>
  <r>
    <n v="2117"/>
    <d v="2025-03-18T00:00:00"/>
    <x v="3"/>
    <x v="0"/>
    <s v="ICN"/>
    <s v="Business"/>
    <n v="92"/>
    <n v="636.62"/>
    <n v="15"/>
    <s v="On Time"/>
    <n v="58569.04"/>
    <s v="Mar"/>
    <n v="2025"/>
    <n v="58569.04"/>
    <s v="Minor Delay"/>
  </r>
  <r>
    <n v="2118"/>
    <d v="2025-06-05T00:00:00"/>
    <x v="0"/>
    <x v="5"/>
    <s v="CJU"/>
    <s v="Premium Economy"/>
    <n v="120"/>
    <n v="543.78"/>
    <n v="0"/>
    <s v="On Time"/>
    <n v="65253.599999999999"/>
    <s v="Jun"/>
    <n v="2025"/>
    <n v="65253.599999999999"/>
    <s v="On Time"/>
  </r>
  <r>
    <n v="2119"/>
    <d v="2025-11-10T00:00:00"/>
    <x v="0"/>
    <x v="2"/>
    <s v="ICN"/>
    <s v="Economy"/>
    <n v="197"/>
    <n v="367.53"/>
    <n v="3"/>
    <s v="On Time"/>
    <n v="72403.41"/>
    <s v="Nov"/>
    <n v="2025"/>
    <n v="72403.409999999989"/>
    <s v="Minor Delay"/>
  </r>
  <r>
    <n v="2120"/>
    <d v="2025-03-16T00:00:00"/>
    <x v="2"/>
    <x v="0"/>
    <s v="CJU"/>
    <s v="Economy"/>
    <n v="212"/>
    <n v="171.69"/>
    <n v="23"/>
    <s v="On Time"/>
    <n v="36398.28"/>
    <s v="Mar"/>
    <n v="2025"/>
    <n v="36398.28"/>
    <s v="Minor Delay"/>
  </r>
  <r>
    <n v="2121"/>
    <d v="2025-03-02T00:00:00"/>
    <x v="3"/>
    <x v="2"/>
    <s v="CJU"/>
    <s v="Business"/>
    <n v="295"/>
    <n v="400.66"/>
    <n v="0"/>
    <s v="On Time"/>
    <n v="118194.7"/>
    <s v="Mar"/>
    <n v="2025"/>
    <n v="118194.70000000001"/>
    <s v="On Time"/>
  </r>
  <r>
    <n v="2122"/>
    <d v="2025-02-27T00:00:00"/>
    <x v="2"/>
    <x v="0"/>
    <s v="CJU"/>
    <s v="Premium Economy"/>
    <n v="76"/>
    <n v="155.83000000000001"/>
    <n v="27"/>
    <s v="On Time"/>
    <n v="11843.08"/>
    <s v="Feb"/>
    <n v="2025"/>
    <n v="11843.080000000002"/>
    <s v="Minor Delay"/>
  </r>
  <r>
    <n v="2123"/>
    <d v="2025-08-17T00:00:00"/>
    <x v="0"/>
    <x v="0"/>
    <s v="ICN"/>
    <s v="Business"/>
    <n v="137"/>
    <n v="549.66999999999996"/>
    <n v="57"/>
    <s v="Delayed"/>
    <n v="75304.789999999994"/>
    <s v="Aug"/>
    <n v="2025"/>
    <n v="75304.789999999994"/>
    <s v="Moderate Delay"/>
  </r>
  <r>
    <n v="2124"/>
    <d v="2025-01-19T00:00:00"/>
    <x v="4"/>
    <x v="2"/>
    <s v="NRT"/>
    <s v="Business"/>
    <n v="99"/>
    <n v="379.27"/>
    <n v="0"/>
    <s v="On Time"/>
    <n v="37547.730000000003"/>
    <s v="Jan"/>
    <n v="2025"/>
    <n v="37547.729999999996"/>
    <s v="On Time"/>
  </r>
  <r>
    <n v="2125"/>
    <d v="2025-12-05T00:00:00"/>
    <x v="0"/>
    <x v="6"/>
    <s v="ICN"/>
    <s v="Premium Economy"/>
    <n v="216"/>
    <n v="708.89"/>
    <n v="36"/>
    <s v="On Time"/>
    <n v="153120.24"/>
    <s v="Dec"/>
    <n v="2025"/>
    <n v="153120.24"/>
    <s v="Moderate Delay"/>
  </r>
  <r>
    <n v="2126"/>
    <d v="2025-02-21T00:00:00"/>
    <x v="1"/>
    <x v="4"/>
    <s v="CJU"/>
    <s v="Premium Economy"/>
    <n v="55"/>
    <n v="644.48"/>
    <n v="0"/>
    <s v="On Time"/>
    <n v="35446.400000000001"/>
    <s v="Feb"/>
    <n v="2025"/>
    <n v="35446.400000000001"/>
    <s v="On Time"/>
  </r>
  <r>
    <n v="2127"/>
    <d v="2025-06-22T00:00:00"/>
    <x v="1"/>
    <x v="6"/>
    <s v="CJU"/>
    <s v="Business"/>
    <n v="220"/>
    <n v="301.70999999999998"/>
    <n v="42"/>
    <s v="On Time"/>
    <n v="66376.2"/>
    <s v="Jun"/>
    <n v="2025"/>
    <n v="66376.2"/>
    <s v="Moderate Delay"/>
  </r>
  <r>
    <n v="2128"/>
    <d v="2025-12-25T00:00:00"/>
    <x v="4"/>
    <x v="5"/>
    <s v="NRT"/>
    <s v="Premium Economy"/>
    <n v="234"/>
    <n v="341.57"/>
    <n v="45"/>
    <s v="On Time"/>
    <n v="79927.38"/>
    <s v="Dec"/>
    <n v="2025"/>
    <n v="79927.38"/>
    <s v="Moderate Delay"/>
  </r>
  <r>
    <n v="2129"/>
    <d v="2025-12-08T00:00:00"/>
    <x v="5"/>
    <x v="5"/>
    <s v="NRT"/>
    <s v="Business"/>
    <n v="138"/>
    <n v="154.87"/>
    <n v="10"/>
    <s v="On Time"/>
    <n v="21372.06"/>
    <s v="Dec"/>
    <n v="2025"/>
    <n v="21372.06"/>
    <s v="Minor Delay"/>
  </r>
  <r>
    <n v="2130"/>
    <d v="2025-08-21T00:00:00"/>
    <x v="1"/>
    <x v="0"/>
    <s v="NRT"/>
    <s v="Economy"/>
    <n v="120"/>
    <n v="201.16"/>
    <n v="0"/>
    <s v="Delayed"/>
    <n v="24139.200000000001"/>
    <s v="Aug"/>
    <n v="2025"/>
    <n v="24139.200000000001"/>
    <s v="On Time"/>
  </r>
  <r>
    <n v="2131"/>
    <d v="2025-10-04T00:00:00"/>
    <x v="4"/>
    <x v="6"/>
    <s v="KIX"/>
    <s v="Premium Economy"/>
    <n v="128"/>
    <n v="624.29999999999995"/>
    <n v="53"/>
    <s v="On Time"/>
    <n v="79910.399999999994"/>
    <s v="Oct"/>
    <n v="2025"/>
    <n v="79910.399999999994"/>
    <s v="Moderate Delay"/>
  </r>
  <r>
    <n v="2132"/>
    <d v="2025-01-14T00:00:00"/>
    <x v="0"/>
    <x v="0"/>
    <s v="PUS"/>
    <s v="Premium Economy"/>
    <n v="288"/>
    <n v="99.82"/>
    <n v="55"/>
    <s v="On Time"/>
    <n v="28748.16"/>
    <s v="Jan"/>
    <n v="2025"/>
    <n v="28748.159999999996"/>
    <s v="Moderate Delay"/>
  </r>
  <r>
    <n v="2133"/>
    <d v="2025-04-29T00:00:00"/>
    <x v="5"/>
    <x v="7"/>
    <s v="SIN"/>
    <s v="Premium Economy"/>
    <n v="121"/>
    <n v="104.63"/>
    <n v="12"/>
    <s v="On Time"/>
    <n v="12660.23"/>
    <s v="Apr"/>
    <n v="2025"/>
    <n v="12660.23"/>
    <s v="Minor Delay"/>
  </r>
  <r>
    <n v="2134"/>
    <d v="2025-08-07T00:00:00"/>
    <x v="5"/>
    <x v="0"/>
    <s v="MNL"/>
    <s v="Economy"/>
    <n v="155"/>
    <n v="228.87"/>
    <n v="14"/>
    <s v="On Time"/>
    <n v="35474.85"/>
    <s v="Aug"/>
    <n v="2025"/>
    <n v="35474.85"/>
    <s v="Minor Delay"/>
  </r>
  <r>
    <n v="2135"/>
    <d v="2025-06-25T00:00:00"/>
    <x v="4"/>
    <x v="4"/>
    <s v="GMP"/>
    <s v="Premium Economy"/>
    <n v="293"/>
    <n v="699.4"/>
    <n v="37"/>
    <s v="On Time"/>
    <n v="204924.2"/>
    <s v="Jun"/>
    <n v="2025"/>
    <n v="204924.19999999998"/>
    <s v="Moderate Delay"/>
  </r>
  <r>
    <n v="2136"/>
    <d v="2025-01-17T00:00:00"/>
    <x v="0"/>
    <x v="2"/>
    <s v="KIX"/>
    <s v="Economy"/>
    <n v="81"/>
    <n v="72.48"/>
    <n v="0"/>
    <s v="On Time"/>
    <n v="5870.88"/>
    <s v="Jan"/>
    <n v="2025"/>
    <n v="5870.88"/>
    <s v="On Time"/>
  </r>
  <r>
    <n v="2137"/>
    <d v="2025-10-16T00:00:00"/>
    <x v="3"/>
    <x v="1"/>
    <s v="SIN"/>
    <s v="Premium Economy"/>
    <n v="144"/>
    <n v="373.16"/>
    <n v="28"/>
    <s v="On Time"/>
    <n v="53735.040000000001"/>
    <s v="Oct"/>
    <n v="2025"/>
    <n v="53735.040000000001"/>
    <s v="Minor Delay"/>
  </r>
  <r>
    <n v="2138"/>
    <d v="2025-05-26T00:00:00"/>
    <x v="2"/>
    <x v="3"/>
    <s v="BKK"/>
    <s v="Economy"/>
    <n v="292"/>
    <n v="242.11"/>
    <n v="0"/>
    <s v="On Time"/>
    <n v="70696.12"/>
    <s v="May"/>
    <n v="2025"/>
    <n v="70696.12000000001"/>
    <s v="On Time"/>
  </r>
  <r>
    <n v="2139"/>
    <d v="2025-05-09T00:00:00"/>
    <x v="2"/>
    <x v="0"/>
    <s v="PUS"/>
    <s v="Premium Economy"/>
    <n v="50"/>
    <n v="141.81"/>
    <n v="0"/>
    <s v="On Time"/>
    <n v="7090.5"/>
    <s v="May"/>
    <n v="2025"/>
    <n v="7090.5"/>
    <s v="On Time"/>
  </r>
  <r>
    <n v="2140"/>
    <d v="2025-01-20T00:00:00"/>
    <x v="0"/>
    <x v="6"/>
    <s v="GMP"/>
    <s v="Economy"/>
    <n v="256"/>
    <n v="734.49"/>
    <n v="5"/>
    <s v="On Time"/>
    <n v="188029.44"/>
    <s v="Jan"/>
    <n v="2025"/>
    <n v="188029.44"/>
    <s v="Minor Delay"/>
  </r>
  <r>
    <n v="2141"/>
    <d v="2025-02-21T00:00:00"/>
    <x v="2"/>
    <x v="6"/>
    <s v="PUS"/>
    <s v="Premium Economy"/>
    <n v="120"/>
    <n v="624.95000000000005"/>
    <n v="32"/>
    <s v="On Time"/>
    <n v="74994"/>
    <s v="Feb"/>
    <n v="2025"/>
    <n v="74994"/>
    <s v="Moderate Delay"/>
  </r>
  <r>
    <n v="2142"/>
    <d v="2025-09-22T00:00:00"/>
    <x v="1"/>
    <x v="6"/>
    <s v="ICN"/>
    <s v="Business"/>
    <n v="221"/>
    <n v="331.02"/>
    <n v="27"/>
    <s v="On Time"/>
    <n v="73155.42"/>
    <s v="Sep"/>
    <n v="2025"/>
    <n v="73155.42"/>
    <s v="Minor Delay"/>
  </r>
  <r>
    <n v="2143"/>
    <d v="2025-06-25T00:00:00"/>
    <x v="3"/>
    <x v="5"/>
    <s v="CJU"/>
    <s v="Economy"/>
    <n v="168"/>
    <n v="122.48"/>
    <n v="0"/>
    <s v="On Time"/>
    <n v="20576.64"/>
    <s v="Jun"/>
    <n v="2025"/>
    <n v="20576.64"/>
    <s v="On Time"/>
  </r>
  <r>
    <n v="2144"/>
    <d v="2025-12-31T00:00:00"/>
    <x v="0"/>
    <x v="5"/>
    <s v="SIN"/>
    <s v="Premium Economy"/>
    <n v="70"/>
    <n v="776.89"/>
    <n v="18"/>
    <s v="Delayed"/>
    <n v="54382.3"/>
    <s v="Dec"/>
    <n v="2025"/>
    <n v="54382.299999999996"/>
    <s v="Minor Delay"/>
  </r>
  <r>
    <n v="2145"/>
    <d v="2025-09-29T00:00:00"/>
    <x v="4"/>
    <x v="4"/>
    <s v="BKK"/>
    <s v="Premium Economy"/>
    <n v="126"/>
    <n v="207.63"/>
    <n v="10"/>
    <s v="On Time"/>
    <n v="26161.38"/>
    <s v="Sep"/>
    <n v="2025"/>
    <n v="26161.38"/>
    <s v="Minor Delay"/>
  </r>
  <r>
    <n v="2146"/>
    <d v="2025-04-04T00:00:00"/>
    <x v="4"/>
    <x v="5"/>
    <s v="MNL"/>
    <s v="Business"/>
    <n v="270"/>
    <n v="450.81"/>
    <n v="27"/>
    <s v="On Time"/>
    <n v="121718.7"/>
    <s v="Apr"/>
    <n v="2025"/>
    <n v="121718.7"/>
    <s v="Minor Delay"/>
  </r>
  <r>
    <n v="2147"/>
    <d v="2025-11-02T00:00:00"/>
    <x v="4"/>
    <x v="1"/>
    <s v="MNL"/>
    <s v="Premium Economy"/>
    <n v="57"/>
    <n v="211.38"/>
    <n v="0"/>
    <s v="Cancelled"/>
    <n v="12048.66"/>
    <s v="Nov"/>
    <n v="2025"/>
    <n v="12048.66"/>
    <s v="On Time"/>
  </r>
  <r>
    <n v="2148"/>
    <d v="2025-03-22T00:00:00"/>
    <x v="2"/>
    <x v="2"/>
    <s v="MNL"/>
    <s v="Premium Economy"/>
    <n v="264"/>
    <n v="383.73"/>
    <n v="11"/>
    <s v="On Time"/>
    <n v="101304.72"/>
    <s v="Mar"/>
    <n v="2025"/>
    <n v="101304.72"/>
    <s v="Minor Delay"/>
  </r>
  <r>
    <n v="2149"/>
    <d v="2025-06-30T00:00:00"/>
    <x v="5"/>
    <x v="7"/>
    <s v="GMP"/>
    <s v="Economy"/>
    <n v="184"/>
    <n v="238.01"/>
    <n v="51"/>
    <s v="On Time"/>
    <n v="43793.84"/>
    <s v="Jun"/>
    <n v="2025"/>
    <n v="43793.84"/>
    <s v="Moderate Delay"/>
  </r>
  <r>
    <n v="2150"/>
    <d v="2025-07-26T00:00:00"/>
    <x v="2"/>
    <x v="5"/>
    <s v="KIX"/>
    <s v="Premium Economy"/>
    <n v="75"/>
    <n v="289.83999999999997"/>
    <n v="57"/>
    <s v="On Time"/>
    <n v="21738"/>
    <s v="Jul"/>
    <n v="2025"/>
    <n v="21737.999999999996"/>
    <s v="Moderate Delay"/>
  </r>
  <r>
    <n v="2151"/>
    <d v="2025-03-01T00:00:00"/>
    <x v="1"/>
    <x v="5"/>
    <s v="CJU"/>
    <s v="Premium Economy"/>
    <n v="200"/>
    <n v="419.38"/>
    <n v="0"/>
    <s v="On Time"/>
    <n v="83876"/>
    <s v="Mar"/>
    <n v="2025"/>
    <n v="83876"/>
    <s v="On Time"/>
  </r>
  <r>
    <n v="2152"/>
    <d v="2025-10-06T00:00:00"/>
    <x v="5"/>
    <x v="4"/>
    <s v="PUS"/>
    <s v="Economy"/>
    <n v="260"/>
    <n v="589.03"/>
    <n v="31"/>
    <s v="On Time"/>
    <n v="153147.79999999999"/>
    <s v="Oct"/>
    <n v="2025"/>
    <n v="153147.79999999999"/>
    <s v="Moderate Delay"/>
  </r>
  <r>
    <n v="2153"/>
    <d v="2025-06-11T00:00:00"/>
    <x v="0"/>
    <x v="4"/>
    <s v="ICN"/>
    <s v="Business"/>
    <n v="231"/>
    <n v="108.68"/>
    <n v="21"/>
    <s v="On Time"/>
    <n v="25105.08"/>
    <s v="Jun"/>
    <n v="2025"/>
    <n v="25105.08"/>
    <s v="Minor Delay"/>
  </r>
  <r>
    <n v="2154"/>
    <d v="2025-10-29T00:00:00"/>
    <x v="4"/>
    <x v="6"/>
    <s v="ICN"/>
    <s v="Business"/>
    <n v="262"/>
    <n v="502.47"/>
    <n v="12"/>
    <s v="On Time"/>
    <n v="131647.14000000001"/>
    <s v="Oct"/>
    <n v="2025"/>
    <n v="131647.14000000001"/>
    <s v="Minor Delay"/>
  </r>
  <r>
    <n v="2155"/>
    <d v="2025-11-24T00:00:00"/>
    <x v="0"/>
    <x v="1"/>
    <s v="SIN"/>
    <s v="Business"/>
    <n v="66"/>
    <n v="207.01"/>
    <n v="0"/>
    <s v="Delayed"/>
    <n v="13662.66"/>
    <s v="Nov"/>
    <n v="2025"/>
    <n v="13662.66"/>
    <s v="On Time"/>
  </r>
  <r>
    <n v="2156"/>
    <d v="2025-02-22T00:00:00"/>
    <x v="2"/>
    <x v="1"/>
    <s v="NRT"/>
    <s v="Premium Economy"/>
    <n v="294"/>
    <n v="133.69"/>
    <n v="0"/>
    <s v="On Time"/>
    <n v="39304.86"/>
    <s v="Feb"/>
    <n v="2025"/>
    <n v="39304.86"/>
    <s v="On Time"/>
  </r>
  <r>
    <n v="2157"/>
    <d v="2025-09-06T00:00:00"/>
    <x v="2"/>
    <x v="4"/>
    <s v="ICN"/>
    <s v="Business"/>
    <n v="118"/>
    <n v="243.7"/>
    <n v="40"/>
    <s v="On Time"/>
    <n v="28756.6"/>
    <s v="Sep"/>
    <n v="2025"/>
    <n v="28756.6"/>
    <s v="Moderate Delay"/>
  </r>
  <r>
    <n v="2158"/>
    <d v="2025-10-26T00:00:00"/>
    <x v="5"/>
    <x v="2"/>
    <s v="KIX"/>
    <s v="Economy"/>
    <n v="206"/>
    <n v="390.09"/>
    <n v="0"/>
    <s v="On Time"/>
    <n v="80358.539999999994"/>
    <s v="Oct"/>
    <n v="2025"/>
    <n v="80358.539999999994"/>
    <s v="On Time"/>
  </r>
  <r>
    <n v="2159"/>
    <d v="2025-08-09T00:00:00"/>
    <x v="3"/>
    <x v="4"/>
    <s v="CJU"/>
    <s v="Economy"/>
    <n v="56"/>
    <n v="218.61"/>
    <n v="46"/>
    <s v="Delayed"/>
    <n v="12242.16"/>
    <s v="Aug"/>
    <n v="2025"/>
    <n v="12242.16"/>
    <s v="Moderate Delay"/>
  </r>
  <r>
    <n v="2160"/>
    <d v="2025-02-15T00:00:00"/>
    <x v="2"/>
    <x v="7"/>
    <s v="GMP"/>
    <s v="Economy"/>
    <n v="265"/>
    <n v="177.19"/>
    <n v="28"/>
    <s v="On Time"/>
    <n v="46955.35"/>
    <s v="Feb"/>
    <n v="2025"/>
    <n v="46955.35"/>
    <s v="Minor Delay"/>
  </r>
  <r>
    <n v="2161"/>
    <d v="2025-02-18T00:00:00"/>
    <x v="5"/>
    <x v="5"/>
    <s v="KIX"/>
    <s v="Economy"/>
    <n v="110"/>
    <n v="333.34"/>
    <n v="9"/>
    <s v="On Time"/>
    <n v="36667.4"/>
    <s v="Feb"/>
    <n v="2025"/>
    <n v="36667.399999999994"/>
    <s v="Minor Delay"/>
  </r>
  <r>
    <n v="2162"/>
    <d v="2025-03-17T00:00:00"/>
    <x v="1"/>
    <x v="6"/>
    <s v="MNL"/>
    <s v="Economy"/>
    <n v="299"/>
    <n v="388.9"/>
    <n v="0"/>
    <s v="On Time"/>
    <n v="116281.1"/>
    <s v="Mar"/>
    <n v="2025"/>
    <n v="116281.09999999999"/>
    <s v="On Time"/>
  </r>
  <r>
    <n v="2163"/>
    <d v="2025-12-05T00:00:00"/>
    <x v="5"/>
    <x v="6"/>
    <s v="NRT"/>
    <s v="Economy"/>
    <n v="258"/>
    <n v="667.06"/>
    <n v="48"/>
    <s v="On Time"/>
    <n v="172101.48"/>
    <s v="Dec"/>
    <n v="2025"/>
    <n v="172101.47999999998"/>
    <s v="Moderate Delay"/>
  </r>
  <r>
    <n v="2164"/>
    <d v="2025-10-01T00:00:00"/>
    <x v="0"/>
    <x v="4"/>
    <s v="KIX"/>
    <s v="Economy"/>
    <n v="244"/>
    <n v="148.97999999999999"/>
    <n v="33"/>
    <s v="Delayed"/>
    <n v="36351.120000000003"/>
    <s v="Oct"/>
    <n v="2025"/>
    <n v="36351.119999999995"/>
    <s v="Moderate Delay"/>
  </r>
  <r>
    <n v="2165"/>
    <d v="2025-10-20T00:00:00"/>
    <x v="2"/>
    <x v="3"/>
    <s v="PUS"/>
    <s v="Business"/>
    <n v="145"/>
    <n v="383.87"/>
    <n v="35"/>
    <s v="Delayed"/>
    <n v="55661.15"/>
    <s v="Oct"/>
    <n v="2025"/>
    <n v="55661.15"/>
    <s v="Moderate Delay"/>
  </r>
  <r>
    <n v="2166"/>
    <d v="2025-08-03T00:00:00"/>
    <x v="2"/>
    <x v="4"/>
    <s v="ICN"/>
    <s v="Premium Economy"/>
    <n v="171"/>
    <n v="553.27"/>
    <n v="21"/>
    <s v="Delayed"/>
    <n v="94609.17"/>
    <s v="Aug"/>
    <n v="2025"/>
    <n v="94609.17"/>
    <s v="Minor Delay"/>
  </r>
  <r>
    <n v="2167"/>
    <d v="2025-07-14T00:00:00"/>
    <x v="5"/>
    <x v="7"/>
    <s v="NRT"/>
    <s v="Economy"/>
    <n v="126"/>
    <n v="500.8"/>
    <n v="50"/>
    <s v="On Time"/>
    <n v="63100.800000000003"/>
    <s v="Jul"/>
    <n v="2025"/>
    <n v="63100.800000000003"/>
    <s v="Moderate Delay"/>
  </r>
  <r>
    <n v="2168"/>
    <d v="2025-12-12T00:00:00"/>
    <x v="5"/>
    <x v="7"/>
    <s v="SIN"/>
    <s v="Premium Economy"/>
    <n v="252"/>
    <n v="182.36"/>
    <n v="39"/>
    <s v="On Time"/>
    <n v="45954.720000000001"/>
    <s v="Dec"/>
    <n v="2025"/>
    <n v="45954.720000000001"/>
    <s v="Moderate Delay"/>
  </r>
  <r>
    <n v="2169"/>
    <d v="2025-08-26T00:00:00"/>
    <x v="3"/>
    <x v="6"/>
    <s v="CJU"/>
    <s v="Premium Economy"/>
    <n v="198"/>
    <n v="758.02"/>
    <n v="0"/>
    <s v="On Time"/>
    <n v="150087.96"/>
    <s v="Aug"/>
    <n v="2025"/>
    <n v="150087.96"/>
    <s v="On Time"/>
  </r>
  <r>
    <n v="2170"/>
    <d v="2025-01-23T00:00:00"/>
    <x v="5"/>
    <x v="5"/>
    <s v="KIX"/>
    <s v="Premium Economy"/>
    <n v="108"/>
    <n v="587.9"/>
    <n v="0"/>
    <s v="On Time"/>
    <n v="63493.2"/>
    <s v="Jan"/>
    <n v="2025"/>
    <n v="63493.2"/>
    <s v="On Time"/>
  </r>
  <r>
    <n v="2171"/>
    <d v="2025-02-27T00:00:00"/>
    <x v="4"/>
    <x v="0"/>
    <s v="MNL"/>
    <s v="Premium Economy"/>
    <n v="61"/>
    <n v="425.82"/>
    <n v="2"/>
    <s v="On Time"/>
    <n v="25975.02"/>
    <s v="Feb"/>
    <n v="2025"/>
    <n v="25975.02"/>
    <s v="Minor Delay"/>
  </r>
  <r>
    <n v="2172"/>
    <d v="2025-06-20T00:00:00"/>
    <x v="3"/>
    <x v="6"/>
    <s v="PUS"/>
    <s v="Premium Economy"/>
    <n v="140"/>
    <n v="139.19"/>
    <n v="13"/>
    <s v="Delayed"/>
    <n v="19486.599999999999"/>
    <s v="Jun"/>
    <n v="2025"/>
    <n v="19486.599999999999"/>
    <s v="Minor Delay"/>
  </r>
  <r>
    <n v="2173"/>
    <d v="2025-05-30T00:00:00"/>
    <x v="3"/>
    <x v="1"/>
    <s v="CJU"/>
    <s v="Economy"/>
    <n v="276"/>
    <n v="507.51"/>
    <n v="0"/>
    <s v="Delayed"/>
    <n v="140072.76"/>
    <s v="May"/>
    <n v="2025"/>
    <n v="140072.76"/>
    <s v="On Time"/>
  </r>
  <r>
    <n v="2174"/>
    <d v="2025-10-07T00:00:00"/>
    <x v="0"/>
    <x v="1"/>
    <s v="MNL"/>
    <s v="Business"/>
    <n v="117"/>
    <n v="752.31"/>
    <n v="36"/>
    <s v="On Time"/>
    <n v="88020.27"/>
    <s v="Oct"/>
    <n v="2025"/>
    <n v="88020.26999999999"/>
    <s v="Moderate Delay"/>
  </r>
  <r>
    <n v="2175"/>
    <d v="2025-09-19T00:00:00"/>
    <x v="4"/>
    <x v="4"/>
    <s v="SIN"/>
    <s v="Economy"/>
    <n v="66"/>
    <n v="388.52"/>
    <n v="33"/>
    <s v="On Time"/>
    <n v="25642.32"/>
    <s v="Sep"/>
    <n v="2025"/>
    <n v="25642.32"/>
    <s v="Moderate Delay"/>
  </r>
  <r>
    <n v="2176"/>
    <d v="2025-10-24T00:00:00"/>
    <x v="0"/>
    <x v="7"/>
    <s v="BKK"/>
    <s v="Business"/>
    <n v="154"/>
    <n v="263.66000000000003"/>
    <n v="38"/>
    <s v="On Time"/>
    <n v="40603.64"/>
    <s v="Oct"/>
    <n v="2025"/>
    <n v="40603.640000000007"/>
    <s v="Moderate Delay"/>
  </r>
  <r>
    <n v="2177"/>
    <d v="2025-05-17T00:00:00"/>
    <x v="5"/>
    <x v="5"/>
    <s v="NRT"/>
    <s v="Premium Economy"/>
    <n v="186"/>
    <n v="575.54999999999995"/>
    <n v="21"/>
    <s v="On Time"/>
    <n v="107052.3"/>
    <s v="May"/>
    <n v="2025"/>
    <n v="107052.29999999999"/>
    <s v="Minor Delay"/>
  </r>
  <r>
    <n v="2178"/>
    <d v="2025-09-03T00:00:00"/>
    <x v="0"/>
    <x v="4"/>
    <s v="MNL"/>
    <s v="Business"/>
    <n v="163"/>
    <n v="505.44"/>
    <n v="27"/>
    <s v="On Time"/>
    <n v="82386.720000000001"/>
    <s v="Sep"/>
    <n v="2025"/>
    <n v="82386.720000000001"/>
    <s v="Minor Delay"/>
  </r>
  <r>
    <n v="2179"/>
    <d v="2025-02-15T00:00:00"/>
    <x v="4"/>
    <x v="5"/>
    <s v="CJU"/>
    <s v="Economy"/>
    <n v="104"/>
    <n v="799.05"/>
    <n v="60"/>
    <s v="Cancelled"/>
    <n v="83101.2"/>
    <s v="Feb"/>
    <n v="2025"/>
    <n v="83101.2"/>
    <s v="Moderate Delay"/>
  </r>
  <r>
    <n v="2180"/>
    <d v="2025-12-05T00:00:00"/>
    <x v="5"/>
    <x v="2"/>
    <s v="BKK"/>
    <s v="Business"/>
    <n v="258"/>
    <n v="180.8"/>
    <n v="54"/>
    <s v="Delayed"/>
    <n v="46646.400000000001"/>
    <s v="Dec"/>
    <n v="2025"/>
    <n v="46646.400000000001"/>
    <s v="Moderate Delay"/>
  </r>
  <r>
    <n v="2181"/>
    <d v="2025-02-25T00:00:00"/>
    <x v="0"/>
    <x v="2"/>
    <s v="MNL"/>
    <s v="Economy"/>
    <n v="171"/>
    <n v="592.59"/>
    <n v="38"/>
    <s v="Cancelled"/>
    <n v="101332.89"/>
    <s v="Feb"/>
    <n v="2025"/>
    <n v="101332.89"/>
    <s v="Moderate Delay"/>
  </r>
  <r>
    <n v="2182"/>
    <d v="2025-06-14T00:00:00"/>
    <x v="5"/>
    <x v="5"/>
    <s v="KIX"/>
    <s v="Business"/>
    <n v="74"/>
    <n v="356.45"/>
    <n v="5"/>
    <s v="On Time"/>
    <n v="26377.3"/>
    <s v="Jun"/>
    <n v="2025"/>
    <n v="26377.3"/>
    <s v="Minor Delay"/>
  </r>
  <r>
    <n v="2183"/>
    <d v="2025-07-04T00:00:00"/>
    <x v="4"/>
    <x v="5"/>
    <s v="PUS"/>
    <s v="Premium Economy"/>
    <n v="176"/>
    <n v="167.04"/>
    <n v="28"/>
    <s v="On Time"/>
    <n v="29399.040000000001"/>
    <s v="Jul"/>
    <n v="2025"/>
    <n v="29399.039999999997"/>
    <s v="Minor Delay"/>
  </r>
  <r>
    <n v="2184"/>
    <d v="2025-12-23T00:00:00"/>
    <x v="4"/>
    <x v="5"/>
    <s v="NRT"/>
    <s v="Premium Economy"/>
    <n v="57"/>
    <n v="642.9"/>
    <n v="27"/>
    <s v="On Time"/>
    <n v="36645.300000000003"/>
    <s v="Dec"/>
    <n v="2025"/>
    <n v="36645.299999999996"/>
    <s v="Minor Delay"/>
  </r>
  <r>
    <n v="2185"/>
    <d v="2025-09-05T00:00:00"/>
    <x v="3"/>
    <x v="0"/>
    <s v="SIN"/>
    <s v="Economy"/>
    <n v="247"/>
    <n v="441.68"/>
    <n v="9"/>
    <s v="On Time"/>
    <n v="109094.96"/>
    <s v="Sep"/>
    <n v="2025"/>
    <n v="109094.96"/>
    <s v="Minor Delay"/>
  </r>
  <r>
    <n v="2186"/>
    <d v="2025-10-07T00:00:00"/>
    <x v="5"/>
    <x v="6"/>
    <s v="ICN"/>
    <s v="Business"/>
    <n v="50"/>
    <n v="701.06"/>
    <n v="0"/>
    <s v="On Time"/>
    <n v="35053"/>
    <s v="Oct"/>
    <n v="2025"/>
    <n v="35053"/>
    <s v="On Time"/>
  </r>
  <r>
    <n v="2187"/>
    <d v="2025-02-19T00:00:00"/>
    <x v="4"/>
    <x v="6"/>
    <s v="CJU"/>
    <s v="Economy"/>
    <n v="163"/>
    <n v="260.44"/>
    <n v="0"/>
    <s v="On Time"/>
    <n v="42451.72"/>
    <s v="Feb"/>
    <n v="2025"/>
    <n v="42451.72"/>
    <s v="On Time"/>
  </r>
  <r>
    <n v="2188"/>
    <d v="2025-07-21T00:00:00"/>
    <x v="3"/>
    <x v="3"/>
    <s v="CJU"/>
    <s v="Premium Economy"/>
    <n v="292"/>
    <n v="256.12"/>
    <n v="11"/>
    <s v="On Time"/>
    <n v="74787.039999999994"/>
    <s v="Jul"/>
    <n v="2025"/>
    <n v="74787.040000000008"/>
    <s v="Minor Delay"/>
  </r>
  <r>
    <n v="2189"/>
    <d v="2025-12-24T00:00:00"/>
    <x v="5"/>
    <x v="6"/>
    <s v="PUS"/>
    <s v="Premium Economy"/>
    <n v="228"/>
    <n v="517.72"/>
    <n v="0"/>
    <s v="On Time"/>
    <n v="118040.16"/>
    <s v="Dec"/>
    <n v="2025"/>
    <n v="118040.16"/>
    <s v="On Time"/>
  </r>
  <r>
    <n v="2190"/>
    <d v="2025-06-17T00:00:00"/>
    <x v="4"/>
    <x v="4"/>
    <s v="GMP"/>
    <s v="Business"/>
    <n v="116"/>
    <n v="784.38"/>
    <n v="41"/>
    <s v="Delayed"/>
    <n v="90988.08"/>
    <s v="Jun"/>
    <n v="2025"/>
    <n v="90988.08"/>
    <s v="Moderate Delay"/>
  </r>
  <r>
    <n v="2191"/>
    <d v="2025-03-05T00:00:00"/>
    <x v="5"/>
    <x v="5"/>
    <s v="CJU"/>
    <s v="Economy"/>
    <n v="234"/>
    <n v="503.34"/>
    <n v="40"/>
    <s v="On Time"/>
    <n v="117781.56"/>
    <s v="Mar"/>
    <n v="2025"/>
    <n v="117781.56"/>
    <s v="Moderate Delay"/>
  </r>
  <r>
    <n v="2192"/>
    <d v="2025-12-23T00:00:00"/>
    <x v="2"/>
    <x v="3"/>
    <s v="PUS"/>
    <s v="Business"/>
    <n v="61"/>
    <n v="319.93"/>
    <n v="63"/>
    <s v="On Time"/>
    <n v="19515.73"/>
    <s v="Dec"/>
    <n v="2025"/>
    <n v="19515.73"/>
    <s v="Major Delay"/>
  </r>
  <r>
    <n v="2193"/>
    <d v="2025-12-16T00:00:00"/>
    <x v="3"/>
    <x v="0"/>
    <s v="MNL"/>
    <s v="Economy"/>
    <n v="108"/>
    <n v="676.07"/>
    <n v="0"/>
    <s v="Delayed"/>
    <n v="73015.56"/>
    <s v="Dec"/>
    <n v="2025"/>
    <n v="73015.560000000012"/>
    <s v="On Time"/>
  </r>
  <r>
    <n v="2194"/>
    <d v="2025-06-10T00:00:00"/>
    <x v="0"/>
    <x v="2"/>
    <s v="MNL"/>
    <s v="Premium Economy"/>
    <n v="299"/>
    <n v="584.91999999999996"/>
    <n v="9"/>
    <s v="On Time"/>
    <n v="174891.08"/>
    <s v="Jun"/>
    <n v="2025"/>
    <n v="174891.08"/>
    <s v="Minor Delay"/>
  </r>
  <r>
    <n v="2195"/>
    <d v="2025-06-17T00:00:00"/>
    <x v="4"/>
    <x v="6"/>
    <s v="NRT"/>
    <s v="Business"/>
    <n v="64"/>
    <n v="340.45"/>
    <n v="25"/>
    <s v="On Time"/>
    <n v="21788.799999999999"/>
    <s v="Jun"/>
    <n v="2025"/>
    <n v="21788.799999999999"/>
    <s v="Minor Delay"/>
  </r>
  <r>
    <n v="2196"/>
    <d v="2025-06-02T00:00:00"/>
    <x v="5"/>
    <x v="4"/>
    <s v="CJU"/>
    <s v="Business"/>
    <n v="114"/>
    <n v="192.41"/>
    <n v="20"/>
    <s v="On Time"/>
    <n v="21934.74"/>
    <s v="Jun"/>
    <n v="2025"/>
    <n v="21934.739999999998"/>
    <s v="Minor Delay"/>
  </r>
  <r>
    <n v="2197"/>
    <d v="2025-12-16T00:00:00"/>
    <x v="4"/>
    <x v="1"/>
    <s v="MNL"/>
    <s v="Business"/>
    <n v="270"/>
    <n v="472"/>
    <n v="0"/>
    <s v="On Time"/>
    <n v="127440"/>
    <s v="Dec"/>
    <n v="2025"/>
    <n v="127440"/>
    <s v="On Time"/>
  </r>
  <r>
    <n v="2198"/>
    <d v="2025-03-24T00:00:00"/>
    <x v="1"/>
    <x v="1"/>
    <s v="NRT"/>
    <s v="Premium Economy"/>
    <n v="130"/>
    <n v="373.46"/>
    <n v="31"/>
    <s v="On Time"/>
    <n v="48549.8"/>
    <s v="Mar"/>
    <n v="2025"/>
    <n v="48549.799999999996"/>
    <s v="Moderate Delay"/>
  </r>
  <r>
    <n v="2199"/>
    <d v="2025-10-03T00:00:00"/>
    <x v="1"/>
    <x v="8"/>
    <s v="KIX"/>
    <s v="Business"/>
    <n v="165"/>
    <n v="639.05999999999995"/>
    <n v="12"/>
    <s v="On Time"/>
    <n v="105444.9"/>
    <s v="Oct"/>
    <n v="2025"/>
    <n v="105444.9"/>
    <s v="Minor Delay"/>
  </r>
  <r>
    <n v="2200"/>
    <d v="2025-08-06T00:00:00"/>
    <x v="0"/>
    <x v="6"/>
    <s v="ICN"/>
    <s v="Economy"/>
    <n v="269"/>
    <n v="638.85"/>
    <n v="40"/>
    <s v="On Time"/>
    <n v="171850.65"/>
    <s v="Aug"/>
    <n v="2025"/>
    <n v="171850.65"/>
    <s v="Moderate Delay"/>
  </r>
  <r>
    <n v="2201"/>
    <d v="2025-03-08T00:00:00"/>
    <x v="3"/>
    <x v="1"/>
    <s v="MNL"/>
    <s v="Economy"/>
    <n v="247"/>
    <n v="369.86"/>
    <n v="17"/>
    <s v="On Time"/>
    <n v="91355.42"/>
    <s v="Mar"/>
    <n v="2025"/>
    <n v="91355.42"/>
    <s v="Minor Delay"/>
  </r>
  <r>
    <n v="2202"/>
    <d v="2025-04-28T00:00:00"/>
    <x v="1"/>
    <x v="3"/>
    <s v="BKK"/>
    <s v="Economy"/>
    <n v="227"/>
    <n v="749.62"/>
    <n v="12"/>
    <s v="On Time"/>
    <n v="170163.74"/>
    <s v="Apr"/>
    <n v="2025"/>
    <n v="170163.74"/>
    <s v="Minor Delay"/>
  </r>
  <r>
    <n v="2203"/>
    <d v="2025-03-31T00:00:00"/>
    <x v="0"/>
    <x v="7"/>
    <s v="GMP"/>
    <s v="Premium Economy"/>
    <n v="96"/>
    <n v="772.83"/>
    <n v="27"/>
    <s v="Delayed"/>
    <n v="74191.679999999993"/>
    <s v="Mar"/>
    <n v="2025"/>
    <n v="74191.680000000008"/>
    <s v="Minor Delay"/>
  </r>
  <r>
    <n v="2204"/>
    <d v="2025-07-25T00:00:00"/>
    <x v="0"/>
    <x v="8"/>
    <s v="NRT"/>
    <s v="Premium Economy"/>
    <n v="206"/>
    <n v="109.83"/>
    <n v="0"/>
    <s v="On Time"/>
    <n v="22624.98"/>
    <s v="Jul"/>
    <n v="2025"/>
    <n v="22624.98"/>
    <s v="On Time"/>
  </r>
  <r>
    <n v="2205"/>
    <d v="2025-05-24T00:00:00"/>
    <x v="3"/>
    <x v="0"/>
    <s v="PUS"/>
    <s v="Economy"/>
    <n v="73"/>
    <n v="335.66"/>
    <n v="49"/>
    <s v="Delayed"/>
    <n v="24503.18"/>
    <s v="May"/>
    <n v="2025"/>
    <n v="24503.18"/>
    <s v="Moderate Delay"/>
  </r>
  <r>
    <n v="2206"/>
    <d v="2025-01-31T00:00:00"/>
    <x v="1"/>
    <x v="6"/>
    <s v="BKK"/>
    <s v="Business"/>
    <n v="53"/>
    <n v="140.18"/>
    <n v="14"/>
    <s v="On Time"/>
    <n v="7429.54"/>
    <s v="Jan"/>
    <n v="2025"/>
    <n v="7429.54"/>
    <s v="Minor Delay"/>
  </r>
  <r>
    <n v="2207"/>
    <d v="2025-12-31T00:00:00"/>
    <x v="2"/>
    <x v="1"/>
    <s v="SIN"/>
    <s v="Business"/>
    <n v="82"/>
    <n v="204.95"/>
    <n v="48"/>
    <s v="Delayed"/>
    <n v="16805.900000000001"/>
    <s v="Dec"/>
    <n v="2025"/>
    <n v="16805.899999999998"/>
    <s v="Moderate Delay"/>
  </r>
  <r>
    <n v="2208"/>
    <d v="2025-01-07T00:00:00"/>
    <x v="4"/>
    <x v="3"/>
    <s v="SIN"/>
    <s v="Premium Economy"/>
    <n v="84"/>
    <n v="795.72"/>
    <n v="35"/>
    <s v="On Time"/>
    <n v="66840.479999999996"/>
    <s v="Jan"/>
    <n v="2025"/>
    <n v="66840.479999999996"/>
    <s v="Moderate Delay"/>
  </r>
  <r>
    <n v="2209"/>
    <d v="2025-11-23T00:00:00"/>
    <x v="2"/>
    <x v="4"/>
    <s v="CJU"/>
    <s v="Economy"/>
    <n v="87"/>
    <n v="600.53"/>
    <n v="27"/>
    <s v="On Time"/>
    <n v="52246.11"/>
    <s v="Nov"/>
    <n v="2025"/>
    <n v="52246.11"/>
    <s v="Minor Delay"/>
  </r>
  <r>
    <n v="2210"/>
    <d v="2025-06-25T00:00:00"/>
    <x v="0"/>
    <x v="2"/>
    <s v="SIN"/>
    <s v="Premium Economy"/>
    <n v="138"/>
    <n v="575.36"/>
    <n v="15"/>
    <s v="On Time"/>
    <n v="79399.679999999993"/>
    <s v="Jun"/>
    <n v="2025"/>
    <n v="79399.680000000008"/>
    <s v="Minor Delay"/>
  </r>
  <r>
    <n v="2211"/>
    <d v="2025-08-25T00:00:00"/>
    <x v="5"/>
    <x v="6"/>
    <s v="ICN"/>
    <s v="Premium Economy"/>
    <n v="299"/>
    <n v="666.06"/>
    <n v="54"/>
    <s v="Delayed"/>
    <n v="199151.94"/>
    <s v="Aug"/>
    <n v="2025"/>
    <n v="199151.93999999997"/>
    <s v="Moderate Delay"/>
  </r>
  <r>
    <n v="2212"/>
    <d v="2025-03-07T00:00:00"/>
    <x v="1"/>
    <x v="7"/>
    <s v="KIX"/>
    <s v="Business"/>
    <n v="192"/>
    <n v="574.09"/>
    <n v="82"/>
    <s v="On Time"/>
    <n v="110225.28"/>
    <s v="Mar"/>
    <n v="2025"/>
    <n v="110225.28"/>
    <s v="Major Delay"/>
  </r>
  <r>
    <n v="2213"/>
    <d v="2025-07-05T00:00:00"/>
    <x v="4"/>
    <x v="3"/>
    <s v="NRT"/>
    <s v="Economy"/>
    <n v="58"/>
    <n v="560.11"/>
    <n v="0"/>
    <s v="On Time"/>
    <n v="32486.38"/>
    <s v="Jul"/>
    <n v="2025"/>
    <n v="32486.38"/>
    <s v="On Time"/>
  </r>
  <r>
    <n v="2214"/>
    <d v="2025-03-16T00:00:00"/>
    <x v="0"/>
    <x v="8"/>
    <s v="KIX"/>
    <s v="Economy"/>
    <n v="78"/>
    <n v="163.56"/>
    <n v="29"/>
    <s v="On Time"/>
    <n v="12757.68"/>
    <s v="Mar"/>
    <n v="2025"/>
    <n v="12757.68"/>
    <s v="Minor Delay"/>
  </r>
  <r>
    <n v="2215"/>
    <d v="2025-10-03T00:00:00"/>
    <x v="5"/>
    <x v="8"/>
    <s v="NRT"/>
    <s v="Business"/>
    <n v="237"/>
    <n v="783.09"/>
    <n v="5"/>
    <s v="Delayed"/>
    <n v="185592.33"/>
    <s v="Oct"/>
    <n v="2025"/>
    <n v="185592.33000000002"/>
    <s v="Minor Delay"/>
  </r>
  <r>
    <n v="2216"/>
    <d v="2025-08-13T00:00:00"/>
    <x v="2"/>
    <x v="0"/>
    <s v="SIN"/>
    <s v="Economy"/>
    <n v="112"/>
    <n v="551.73"/>
    <n v="0"/>
    <s v="On Time"/>
    <n v="61793.760000000002"/>
    <s v="Aug"/>
    <n v="2025"/>
    <n v="61793.760000000002"/>
    <s v="On Time"/>
  </r>
  <r>
    <n v="2217"/>
    <d v="2025-03-28T00:00:00"/>
    <x v="1"/>
    <x v="7"/>
    <s v="SIN"/>
    <s v="Economy"/>
    <n v="272"/>
    <n v="676.13"/>
    <n v="0"/>
    <s v="Delayed"/>
    <n v="183907.36"/>
    <s v="Mar"/>
    <n v="2025"/>
    <n v="183907.36"/>
    <s v="On Time"/>
  </r>
  <r>
    <n v="2218"/>
    <d v="2025-01-07T00:00:00"/>
    <x v="3"/>
    <x v="8"/>
    <s v="KIX"/>
    <s v="Business"/>
    <n v="65"/>
    <n v="652.89"/>
    <n v="10"/>
    <s v="On Time"/>
    <n v="42437.85"/>
    <s v="Jan"/>
    <n v="2025"/>
    <n v="42437.85"/>
    <s v="Minor Delay"/>
  </r>
  <r>
    <n v="2219"/>
    <d v="2025-01-22T00:00:00"/>
    <x v="4"/>
    <x v="1"/>
    <s v="PUS"/>
    <s v="Premium Economy"/>
    <n v="232"/>
    <n v="530.15"/>
    <n v="53"/>
    <s v="On Time"/>
    <n v="122994.8"/>
    <s v="Jan"/>
    <n v="2025"/>
    <n v="122994.79999999999"/>
    <s v="Moderate Delay"/>
  </r>
  <r>
    <n v="2220"/>
    <d v="2025-10-07T00:00:00"/>
    <x v="5"/>
    <x v="2"/>
    <s v="BKK"/>
    <s v="Economy"/>
    <n v="118"/>
    <n v="521.86"/>
    <n v="27"/>
    <s v="On Time"/>
    <n v="61579.48"/>
    <s v="Oct"/>
    <n v="2025"/>
    <n v="61579.48"/>
    <s v="Minor Delay"/>
  </r>
  <r>
    <n v="2221"/>
    <d v="2025-01-07T00:00:00"/>
    <x v="1"/>
    <x v="2"/>
    <s v="KIX"/>
    <s v="Business"/>
    <n v="251"/>
    <n v="529.42999999999995"/>
    <n v="27"/>
    <s v="Delayed"/>
    <n v="132886.93"/>
    <s v="Jan"/>
    <n v="2025"/>
    <n v="132886.93"/>
    <s v="Minor Delay"/>
  </r>
  <r>
    <n v="2222"/>
    <d v="2025-09-16T00:00:00"/>
    <x v="4"/>
    <x v="8"/>
    <s v="SIN"/>
    <s v="Business"/>
    <n v="281"/>
    <n v="109.55"/>
    <n v="25"/>
    <s v="On Time"/>
    <n v="30783.55"/>
    <s v="Sep"/>
    <n v="2025"/>
    <n v="30783.55"/>
    <s v="Minor Delay"/>
  </r>
  <r>
    <n v="2223"/>
    <d v="2025-05-11T00:00:00"/>
    <x v="4"/>
    <x v="7"/>
    <s v="KIX"/>
    <s v="Business"/>
    <n v="294"/>
    <n v="326"/>
    <n v="19"/>
    <s v="On Time"/>
    <n v="95844"/>
    <s v="May"/>
    <n v="2025"/>
    <n v="95844"/>
    <s v="Minor Delay"/>
  </r>
  <r>
    <n v="2224"/>
    <d v="2025-12-19T00:00:00"/>
    <x v="1"/>
    <x v="6"/>
    <s v="KIX"/>
    <s v="Premium Economy"/>
    <n v="204"/>
    <n v="518.46"/>
    <n v="28"/>
    <s v="On Time"/>
    <n v="105765.84"/>
    <s v="Dec"/>
    <n v="2025"/>
    <n v="105765.84000000001"/>
    <s v="Minor Delay"/>
  </r>
  <r>
    <n v="2225"/>
    <d v="2025-01-08T00:00:00"/>
    <x v="3"/>
    <x v="6"/>
    <s v="GMP"/>
    <s v="Business"/>
    <n v="216"/>
    <n v="619.17999999999995"/>
    <n v="31"/>
    <s v="On Time"/>
    <n v="133742.88"/>
    <s v="Jan"/>
    <n v="2025"/>
    <n v="133742.87999999998"/>
    <s v="Moderate Delay"/>
  </r>
  <r>
    <n v="2226"/>
    <d v="2025-10-02T00:00:00"/>
    <x v="2"/>
    <x v="0"/>
    <s v="PUS"/>
    <s v="Business"/>
    <n v="181"/>
    <n v="549.19000000000005"/>
    <n v="0"/>
    <s v="Delayed"/>
    <n v="99403.39"/>
    <s v="Oct"/>
    <n v="2025"/>
    <n v="99403.390000000014"/>
    <s v="On Time"/>
  </r>
  <r>
    <n v="2227"/>
    <d v="2025-10-28T00:00:00"/>
    <x v="5"/>
    <x v="1"/>
    <s v="MNL"/>
    <s v="Business"/>
    <n v="248"/>
    <n v="174.7"/>
    <n v="48"/>
    <s v="On Time"/>
    <n v="43325.599999999999"/>
    <s v="Oct"/>
    <n v="2025"/>
    <n v="43325.599999999999"/>
    <s v="Moderate Delay"/>
  </r>
  <r>
    <n v="2228"/>
    <d v="2025-10-24T00:00:00"/>
    <x v="3"/>
    <x v="3"/>
    <s v="SIN"/>
    <s v="Economy"/>
    <n v="264"/>
    <n v="414.71"/>
    <n v="0"/>
    <s v="On Time"/>
    <n v="109483.44"/>
    <s v="Oct"/>
    <n v="2025"/>
    <n v="109483.43999999999"/>
    <s v="On Time"/>
  </r>
  <r>
    <n v="2229"/>
    <d v="2025-05-10T00:00:00"/>
    <x v="2"/>
    <x v="8"/>
    <s v="CJU"/>
    <s v="Economy"/>
    <n v="59"/>
    <n v="659.57"/>
    <n v="67"/>
    <s v="On Time"/>
    <n v="38914.629999999997"/>
    <s v="May"/>
    <n v="2025"/>
    <n v="38914.630000000005"/>
    <s v="Major Delay"/>
  </r>
  <r>
    <n v="2230"/>
    <d v="2025-03-31T00:00:00"/>
    <x v="4"/>
    <x v="1"/>
    <s v="NRT"/>
    <s v="Economy"/>
    <n v="281"/>
    <n v="210.76"/>
    <n v="0"/>
    <s v="On Time"/>
    <n v="59223.56"/>
    <s v="Mar"/>
    <n v="2025"/>
    <n v="59223.56"/>
    <s v="On Time"/>
  </r>
  <r>
    <n v="2231"/>
    <d v="2025-03-25T00:00:00"/>
    <x v="5"/>
    <x v="2"/>
    <s v="SIN"/>
    <s v="Economy"/>
    <n v="110"/>
    <n v="480.33"/>
    <n v="74"/>
    <s v="Cancelled"/>
    <n v="52836.3"/>
    <s v="Mar"/>
    <n v="2025"/>
    <n v="52836.299999999996"/>
    <s v="Major Delay"/>
  </r>
  <r>
    <n v="2232"/>
    <d v="2025-01-16T00:00:00"/>
    <x v="2"/>
    <x v="6"/>
    <s v="MNL"/>
    <s v="Economy"/>
    <n v="291"/>
    <n v="712.36"/>
    <n v="61"/>
    <s v="On Time"/>
    <n v="207296.76"/>
    <s v="Jan"/>
    <n v="2025"/>
    <n v="207296.76"/>
    <s v="Major Delay"/>
  </r>
  <r>
    <n v="2233"/>
    <d v="2025-12-31T00:00:00"/>
    <x v="5"/>
    <x v="7"/>
    <s v="ICN"/>
    <s v="Business"/>
    <n v="286"/>
    <n v="216.95"/>
    <n v="24"/>
    <s v="On Time"/>
    <n v="62047.7"/>
    <s v="Dec"/>
    <n v="2025"/>
    <n v="62047.7"/>
    <s v="Minor Delay"/>
  </r>
  <r>
    <n v="2234"/>
    <d v="2025-03-31T00:00:00"/>
    <x v="1"/>
    <x v="7"/>
    <s v="NRT"/>
    <s v="Economy"/>
    <n v="66"/>
    <n v="571.83000000000004"/>
    <n v="26"/>
    <s v="On Time"/>
    <n v="37740.78"/>
    <s v="Mar"/>
    <n v="2025"/>
    <n v="37740.780000000006"/>
    <s v="Minor Delay"/>
  </r>
  <r>
    <n v="2235"/>
    <d v="2025-02-28T00:00:00"/>
    <x v="1"/>
    <x v="1"/>
    <s v="MNL"/>
    <s v="Economy"/>
    <n v="180"/>
    <n v="682.54"/>
    <n v="0"/>
    <s v="Delayed"/>
    <n v="122857.2"/>
    <s v="Feb"/>
    <n v="2025"/>
    <n v="122857.2"/>
    <s v="On Time"/>
  </r>
  <r>
    <n v="2236"/>
    <d v="2025-03-04T00:00:00"/>
    <x v="1"/>
    <x v="8"/>
    <s v="BKK"/>
    <s v="Business"/>
    <n v="71"/>
    <n v="665.19"/>
    <n v="0"/>
    <s v="On Time"/>
    <n v="47228.49"/>
    <s v="Mar"/>
    <n v="2025"/>
    <n v="47228.490000000005"/>
    <s v="On Time"/>
  </r>
  <r>
    <n v="2237"/>
    <d v="2025-05-28T00:00:00"/>
    <x v="1"/>
    <x v="1"/>
    <s v="GMP"/>
    <s v="Business"/>
    <n v="110"/>
    <n v="724.33"/>
    <n v="14"/>
    <s v="On Time"/>
    <n v="79676.3"/>
    <s v="May"/>
    <n v="2025"/>
    <n v="79676.3"/>
    <s v="Minor Delay"/>
  </r>
  <r>
    <n v="2238"/>
    <d v="2025-09-05T00:00:00"/>
    <x v="4"/>
    <x v="0"/>
    <s v="ICN"/>
    <s v="Premium Economy"/>
    <n v="250"/>
    <n v="615.79999999999995"/>
    <n v="41"/>
    <s v="Delayed"/>
    <n v="153950"/>
    <s v="Sep"/>
    <n v="2025"/>
    <n v="153950"/>
    <s v="Moderate Delay"/>
  </r>
  <r>
    <n v="2239"/>
    <d v="2025-06-11T00:00:00"/>
    <x v="4"/>
    <x v="7"/>
    <s v="NRT"/>
    <s v="Premium Economy"/>
    <n v="271"/>
    <n v="787.01"/>
    <n v="4"/>
    <s v="On Time"/>
    <n v="213279.71"/>
    <s v="Jun"/>
    <n v="2025"/>
    <n v="213279.71"/>
    <s v="Minor Delay"/>
  </r>
  <r>
    <n v="2240"/>
    <d v="2025-01-09T00:00:00"/>
    <x v="2"/>
    <x v="5"/>
    <s v="NRT"/>
    <s v="Premium Economy"/>
    <n v="284"/>
    <n v="194.96"/>
    <n v="54"/>
    <s v="On Time"/>
    <n v="55368.639999999999"/>
    <s v="Jan"/>
    <n v="2025"/>
    <n v="55368.639999999999"/>
    <s v="Moderate Delay"/>
  </r>
  <r>
    <n v="2241"/>
    <d v="2025-10-29T00:00:00"/>
    <x v="2"/>
    <x v="4"/>
    <s v="BKK"/>
    <s v="Premium Economy"/>
    <n v="263"/>
    <n v="115.15"/>
    <n v="57"/>
    <s v="On Time"/>
    <n v="30284.45"/>
    <s v="Oct"/>
    <n v="2025"/>
    <n v="30284.45"/>
    <s v="Moderate Delay"/>
  </r>
  <r>
    <n v="2242"/>
    <d v="2025-05-18T00:00:00"/>
    <x v="1"/>
    <x v="1"/>
    <s v="MNL"/>
    <s v="Economy"/>
    <n v="53"/>
    <n v="729.69"/>
    <n v="24"/>
    <s v="On Time"/>
    <n v="38673.57"/>
    <s v="May"/>
    <n v="2025"/>
    <n v="38673.57"/>
    <s v="Minor Delay"/>
  </r>
  <r>
    <n v="2243"/>
    <d v="2025-02-14T00:00:00"/>
    <x v="3"/>
    <x v="3"/>
    <s v="NRT"/>
    <s v="Economy"/>
    <n v="230"/>
    <n v="682.14"/>
    <n v="37"/>
    <s v="On Time"/>
    <n v="156892.20000000001"/>
    <s v="Feb"/>
    <n v="2025"/>
    <n v="156892.19999999998"/>
    <s v="Moderate Delay"/>
  </r>
  <r>
    <n v="2244"/>
    <d v="2025-02-21T00:00:00"/>
    <x v="2"/>
    <x v="8"/>
    <s v="KIX"/>
    <s v="Business"/>
    <n v="259"/>
    <n v="742.57"/>
    <n v="19"/>
    <s v="On Time"/>
    <n v="192325.63"/>
    <s v="Feb"/>
    <n v="2025"/>
    <n v="192325.63"/>
    <s v="Minor Delay"/>
  </r>
  <r>
    <n v="2245"/>
    <d v="2025-09-25T00:00:00"/>
    <x v="5"/>
    <x v="8"/>
    <s v="ICN"/>
    <s v="Economy"/>
    <n v="144"/>
    <n v="632.02"/>
    <n v="21"/>
    <s v="On Time"/>
    <n v="91010.880000000005"/>
    <s v="Sep"/>
    <n v="2025"/>
    <n v="91010.880000000005"/>
    <s v="Minor Delay"/>
  </r>
  <r>
    <n v="2246"/>
    <d v="2025-07-13T00:00:00"/>
    <x v="5"/>
    <x v="4"/>
    <s v="CJU"/>
    <s v="Business"/>
    <n v="195"/>
    <n v="477.81"/>
    <n v="0"/>
    <s v="On Time"/>
    <n v="93172.95"/>
    <s v="Jul"/>
    <n v="2025"/>
    <n v="93172.95"/>
    <s v="On Time"/>
  </r>
  <r>
    <n v="2247"/>
    <d v="2025-01-08T00:00:00"/>
    <x v="5"/>
    <x v="1"/>
    <s v="SIN"/>
    <s v="Economy"/>
    <n v="188"/>
    <n v="380.75"/>
    <n v="0"/>
    <s v="On Time"/>
    <n v="71581"/>
    <s v="Jan"/>
    <n v="2025"/>
    <n v="71581"/>
    <s v="On Time"/>
  </r>
  <r>
    <n v="2248"/>
    <d v="2025-11-11T00:00:00"/>
    <x v="1"/>
    <x v="8"/>
    <s v="SIN"/>
    <s v="Premium Economy"/>
    <n v="57"/>
    <n v="334.54"/>
    <n v="1"/>
    <s v="On Time"/>
    <n v="19068.78"/>
    <s v="Nov"/>
    <n v="2025"/>
    <n v="19068.780000000002"/>
    <s v="Minor Delay"/>
  </r>
  <r>
    <n v="2249"/>
    <d v="2025-08-21T00:00:00"/>
    <x v="1"/>
    <x v="7"/>
    <s v="BKK"/>
    <s v="Business"/>
    <n v="166"/>
    <n v="723.63"/>
    <n v="53"/>
    <s v="On Time"/>
    <n v="120122.58"/>
    <s v="Aug"/>
    <n v="2025"/>
    <n v="120122.58"/>
    <s v="Moderate Delay"/>
  </r>
  <r>
    <n v="2250"/>
    <d v="2025-08-09T00:00:00"/>
    <x v="3"/>
    <x v="0"/>
    <s v="PUS"/>
    <s v="Premium Economy"/>
    <n v="166"/>
    <n v="688.46"/>
    <n v="24"/>
    <s v="On Time"/>
    <n v="114284.36"/>
    <s v="Aug"/>
    <n v="2025"/>
    <n v="114284.36"/>
    <s v="Minor Delay"/>
  </r>
  <r>
    <n v="2251"/>
    <d v="2025-07-14T00:00:00"/>
    <x v="1"/>
    <x v="6"/>
    <s v="CJU"/>
    <s v="Premium Economy"/>
    <n v="300"/>
    <n v="118.21"/>
    <n v="45"/>
    <s v="Cancelled"/>
    <n v="35463"/>
    <s v="Jul"/>
    <n v="2025"/>
    <n v="35463"/>
    <s v="Moderate Delay"/>
  </r>
  <r>
    <n v="2252"/>
    <d v="2025-02-07T00:00:00"/>
    <x v="2"/>
    <x v="3"/>
    <s v="CJU"/>
    <s v="Premium Economy"/>
    <n v="135"/>
    <n v="437.77"/>
    <n v="0"/>
    <s v="Delayed"/>
    <n v="59098.95"/>
    <s v="Feb"/>
    <n v="2025"/>
    <n v="59098.95"/>
    <s v="On Time"/>
  </r>
  <r>
    <n v="2253"/>
    <d v="2025-09-07T00:00:00"/>
    <x v="2"/>
    <x v="0"/>
    <s v="SIN"/>
    <s v="Premium Economy"/>
    <n v="230"/>
    <n v="126.76"/>
    <n v="19"/>
    <s v="On Time"/>
    <n v="29154.799999999999"/>
    <s v="Sep"/>
    <n v="2025"/>
    <n v="29154.800000000003"/>
    <s v="Minor Delay"/>
  </r>
  <r>
    <n v="2254"/>
    <d v="2025-02-19T00:00:00"/>
    <x v="5"/>
    <x v="7"/>
    <s v="GMP"/>
    <s v="Business"/>
    <n v="254"/>
    <n v="677.74"/>
    <n v="0"/>
    <s v="On Time"/>
    <n v="172145.96"/>
    <s v="Feb"/>
    <n v="2025"/>
    <n v="172145.96"/>
    <s v="On Time"/>
  </r>
  <r>
    <n v="2255"/>
    <d v="2025-11-08T00:00:00"/>
    <x v="3"/>
    <x v="4"/>
    <s v="GMP"/>
    <s v="Business"/>
    <n v="153"/>
    <n v="755.57"/>
    <n v="5"/>
    <s v="On Time"/>
    <n v="115602.21"/>
    <s v="Nov"/>
    <n v="2025"/>
    <n v="115602.21"/>
    <s v="Minor Delay"/>
  </r>
  <r>
    <n v="2256"/>
    <d v="2025-09-20T00:00:00"/>
    <x v="5"/>
    <x v="8"/>
    <s v="KIX"/>
    <s v="Economy"/>
    <n v="165"/>
    <n v="99.51"/>
    <n v="26"/>
    <s v="On Time"/>
    <n v="16419.150000000001"/>
    <s v="Sep"/>
    <n v="2025"/>
    <n v="16419.150000000001"/>
    <s v="Minor Delay"/>
  </r>
  <r>
    <n v="2257"/>
    <d v="2025-05-17T00:00:00"/>
    <x v="0"/>
    <x v="4"/>
    <s v="BKK"/>
    <s v="Economy"/>
    <n v="260"/>
    <n v="469.63"/>
    <n v="9"/>
    <s v="Delayed"/>
    <n v="122103.8"/>
    <s v="May"/>
    <n v="2025"/>
    <n v="122103.8"/>
    <s v="Minor Delay"/>
  </r>
  <r>
    <n v="2258"/>
    <d v="2025-08-11T00:00:00"/>
    <x v="5"/>
    <x v="5"/>
    <s v="BKK"/>
    <s v="Economy"/>
    <n v="50"/>
    <n v="685.24"/>
    <n v="0"/>
    <s v="On Time"/>
    <n v="34262"/>
    <s v="Aug"/>
    <n v="2025"/>
    <n v="34262"/>
    <s v="On Time"/>
  </r>
  <r>
    <n v="2259"/>
    <d v="2025-01-01T00:00:00"/>
    <x v="3"/>
    <x v="3"/>
    <s v="SIN"/>
    <s v="Business"/>
    <n v="54"/>
    <n v="754.19"/>
    <n v="53"/>
    <s v="On Time"/>
    <n v="40726.26"/>
    <s v="Jan"/>
    <n v="2025"/>
    <n v="40726.26"/>
    <s v="Moderate Delay"/>
  </r>
  <r>
    <n v="2260"/>
    <d v="2025-05-21T00:00:00"/>
    <x v="1"/>
    <x v="3"/>
    <s v="MNL"/>
    <s v="Premium Economy"/>
    <n v="93"/>
    <n v="216.34"/>
    <n v="30"/>
    <s v="On Time"/>
    <n v="20119.62"/>
    <s v="May"/>
    <n v="2025"/>
    <n v="20119.62"/>
    <s v="Minor Delay"/>
  </r>
  <r>
    <n v="2261"/>
    <d v="2025-09-15T00:00:00"/>
    <x v="0"/>
    <x v="8"/>
    <s v="CJU"/>
    <s v="Business"/>
    <n v="206"/>
    <n v="302.79000000000002"/>
    <n v="12"/>
    <s v="On Time"/>
    <n v="62374.74"/>
    <s v="Sep"/>
    <n v="2025"/>
    <n v="62374.740000000005"/>
    <s v="Minor Delay"/>
  </r>
  <r>
    <n v="2262"/>
    <d v="2025-09-24T00:00:00"/>
    <x v="3"/>
    <x v="0"/>
    <s v="SIN"/>
    <s v="Business"/>
    <n v="96"/>
    <n v="179.08"/>
    <n v="0"/>
    <s v="On Time"/>
    <n v="17191.68"/>
    <s v="Sep"/>
    <n v="2025"/>
    <n v="17191.68"/>
    <s v="On Time"/>
  </r>
  <r>
    <n v="2263"/>
    <d v="2025-02-16T00:00:00"/>
    <x v="0"/>
    <x v="8"/>
    <s v="PUS"/>
    <s v="Premium Economy"/>
    <n v="68"/>
    <n v="348.22"/>
    <n v="71"/>
    <s v="On Time"/>
    <n v="23678.959999999999"/>
    <s v="Feb"/>
    <n v="2025"/>
    <n v="23678.960000000003"/>
    <s v="Major Delay"/>
  </r>
  <r>
    <n v="2264"/>
    <d v="2025-09-04T00:00:00"/>
    <x v="1"/>
    <x v="3"/>
    <s v="ICN"/>
    <s v="Economy"/>
    <n v="251"/>
    <n v="320.06"/>
    <n v="0"/>
    <s v="On Time"/>
    <n v="80335.06"/>
    <s v="Sep"/>
    <n v="2025"/>
    <n v="80335.06"/>
    <s v="On Time"/>
  </r>
  <r>
    <n v="2265"/>
    <d v="2025-03-01T00:00:00"/>
    <x v="5"/>
    <x v="5"/>
    <s v="CJU"/>
    <s v="Premium Economy"/>
    <n v="299"/>
    <n v="60.76"/>
    <n v="32"/>
    <s v="Delayed"/>
    <n v="18167.240000000002"/>
    <s v="Mar"/>
    <n v="2025"/>
    <n v="18167.239999999998"/>
    <s v="Moderate Delay"/>
  </r>
  <r>
    <n v="2266"/>
    <d v="2025-04-06T00:00:00"/>
    <x v="2"/>
    <x v="0"/>
    <s v="BKK"/>
    <s v="Economy"/>
    <n v="241"/>
    <n v="711.28"/>
    <n v="45"/>
    <s v="On Time"/>
    <n v="171418.48"/>
    <s v="Apr"/>
    <n v="2025"/>
    <n v="171418.47999999998"/>
    <s v="Moderate Delay"/>
  </r>
  <r>
    <n v="2267"/>
    <d v="2025-01-28T00:00:00"/>
    <x v="5"/>
    <x v="2"/>
    <s v="SIN"/>
    <s v="Economy"/>
    <n v="101"/>
    <n v="92.45"/>
    <n v="0"/>
    <s v="On Time"/>
    <n v="9337.4500000000007"/>
    <s v="Jan"/>
    <n v="2025"/>
    <n v="9337.4500000000007"/>
    <s v="On Time"/>
  </r>
  <r>
    <n v="2268"/>
    <d v="2025-09-05T00:00:00"/>
    <x v="4"/>
    <x v="5"/>
    <s v="GMP"/>
    <s v="Business"/>
    <n v="262"/>
    <n v="791.1"/>
    <n v="30"/>
    <s v="On Time"/>
    <n v="207268.2"/>
    <s v="Sep"/>
    <n v="2025"/>
    <n v="207268.2"/>
    <s v="Minor Delay"/>
  </r>
  <r>
    <n v="2269"/>
    <d v="2025-10-15T00:00:00"/>
    <x v="3"/>
    <x v="6"/>
    <s v="NRT"/>
    <s v="Premium Economy"/>
    <n v="228"/>
    <n v="276.85000000000002"/>
    <n v="25"/>
    <s v="On Time"/>
    <n v="63121.8"/>
    <s v="Oct"/>
    <n v="2025"/>
    <n v="63121.8"/>
    <s v="Minor Delay"/>
  </r>
  <r>
    <n v="2270"/>
    <d v="2025-10-31T00:00:00"/>
    <x v="5"/>
    <x v="8"/>
    <s v="BKK"/>
    <s v="Business"/>
    <n v="104"/>
    <n v="700.25"/>
    <n v="7"/>
    <s v="On Time"/>
    <n v="72826"/>
    <s v="Oct"/>
    <n v="2025"/>
    <n v="72826"/>
    <s v="Minor Delay"/>
  </r>
  <r>
    <n v="2271"/>
    <d v="2025-05-23T00:00:00"/>
    <x v="2"/>
    <x v="7"/>
    <s v="KIX"/>
    <s v="Economy"/>
    <n v="155"/>
    <n v="678.89"/>
    <n v="49"/>
    <s v="On Time"/>
    <n v="105227.95"/>
    <s v="May"/>
    <n v="2025"/>
    <n v="105227.95"/>
    <s v="Moderate Delay"/>
  </r>
  <r>
    <n v="2272"/>
    <d v="2025-04-14T00:00:00"/>
    <x v="4"/>
    <x v="7"/>
    <s v="SIN"/>
    <s v="Business"/>
    <n v="71"/>
    <n v="217.78"/>
    <n v="38"/>
    <s v="On Time"/>
    <n v="15462.38"/>
    <s v="Apr"/>
    <n v="2025"/>
    <n v="15462.38"/>
    <s v="Moderate Delay"/>
  </r>
  <r>
    <n v="2273"/>
    <d v="2025-05-13T00:00:00"/>
    <x v="4"/>
    <x v="0"/>
    <s v="ICN"/>
    <s v="Economy"/>
    <n v="89"/>
    <n v="320.33"/>
    <n v="0"/>
    <s v="On Time"/>
    <n v="28509.37"/>
    <s v="May"/>
    <n v="2025"/>
    <n v="28509.37"/>
    <s v="On Time"/>
  </r>
  <r>
    <n v="2274"/>
    <d v="2025-08-28T00:00:00"/>
    <x v="4"/>
    <x v="7"/>
    <s v="GMP"/>
    <s v="Economy"/>
    <n v="298"/>
    <n v="712.42"/>
    <n v="7"/>
    <s v="On Time"/>
    <n v="212301.16"/>
    <s v="Aug"/>
    <n v="2025"/>
    <n v="212301.15999999997"/>
    <s v="Minor Delay"/>
  </r>
  <r>
    <n v="2275"/>
    <d v="2025-05-12T00:00:00"/>
    <x v="5"/>
    <x v="3"/>
    <s v="SIN"/>
    <s v="Economy"/>
    <n v="136"/>
    <n v="704.8"/>
    <n v="37"/>
    <s v="On Time"/>
    <n v="95852.800000000003"/>
    <s v="May"/>
    <n v="2025"/>
    <n v="95852.799999999988"/>
    <s v="Moderate Delay"/>
  </r>
  <r>
    <n v="2276"/>
    <d v="2025-01-20T00:00:00"/>
    <x v="3"/>
    <x v="4"/>
    <s v="MNL"/>
    <s v="Premium Economy"/>
    <n v="164"/>
    <n v="203.38"/>
    <n v="45"/>
    <s v="On Time"/>
    <n v="33354.32"/>
    <s v="Jan"/>
    <n v="2025"/>
    <n v="33354.32"/>
    <s v="Moderate Delay"/>
  </r>
  <r>
    <n v="2277"/>
    <d v="2025-10-05T00:00:00"/>
    <x v="5"/>
    <x v="4"/>
    <s v="KIX"/>
    <s v="Economy"/>
    <n v="190"/>
    <n v="284.69"/>
    <n v="39"/>
    <s v="On Time"/>
    <n v="54091.1"/>
    <s v="Oct"/>
    <n v="2025"/>
    <n v="54091.1"/>
    <s v="Moderate Delay"/>
  </r>
  <r>
    <n v="2278"/>
    <d v="2025-03-12T00:00:00"/>
    <x v="5"/>
    <x v="4"/>
    <s v="MNL"/>
    <s v="Economy"/>
    <n v="134"/>
    <n v="307.14999999999998"/>
    <n v="60"/>
    <s v="On Time"/>
    <n v="41158.1"/>
    <s v="Mar"/>
    <n v="2025"/>
    <n v="41158.1"/>
    <s v="Moderate Delay"/>
  </r>
  <r>
    <n v="2279"/>
    <d v="2025-12-27T00:00:00"/>
    <x v="1"/>
    <x v="8"/>
    <s v="NRT"/>
    <s v="Premium Economy"/>
    <n v="142"/>
    <n v="392.25"/>
    <n v="14"/>
    <s v="Delayed"/>
    <n v="55699.5"/>
    <s v="Dec"/>
    <n v="2025"/>
    <n v="55699.5"/>
    <s v="Minor Delay"/>
  </r>
  <r>
    <n v="2280"/>
    <d v="2025-10-17T00:00:00"/>
    <x v="0"/>
    <x v="7"/>
    <s v="NRT"/>
    <s v="Business"/>
    <n v="261"/>
    <n v="67.2"/>
    <n v="28"/>
    <s v="On Time"/>
    <n v="17539.2"/>
    <s v="Oct"/>
    <n v="2025"/>
    <n v="17539.2"/>
    <s v="Minor Delay"/>
  </r>
  <r>
    <n v="2281"/>
    <d v="2025-02-24T00:00:00"/>
    <x v="1"/>
    <x v="3"/>
    <s v="BKK"/>
    <s v="Premium Economy"/>
    <n v="211"/>
    <n v="577.88"/>
    <n v="15"/>
    <s v="On Time"/>
    <n v="121932.68"/>
    <s v="Feb"/>
    <n v="2025"/>
    <n v="121932.68"/>
    <s v="Minor Delay"/>
  </r>
  <r>
    <n v="2282"/>
    <d v="2025-02-12T00:00:00"/>
    <x v="1"/>
    <x v="2"/>
    <s v="GMP"/>
    <s v="Premium Economy"/>
    <n v="249"/>
    <n v="435.56"/>
    <n v="0"/>
    <s v="On Time"/>
    <n v="108454.44"/>
    <s v="Feb"/>
    <n v="2025"/>
    <n v="108454.44"/>
    <s v="On Time"/>
  </r>
  <r>
    <n v="2283"/>
    <d v="2025-06-18T00:00:00"/>
    <x v="4"/>
    <x v="5"/>
    <s v="PUS"/>
    <s v="Business"/>
    <n v="291"/>
    <n v="389.44"/>
    <n v="0"/>
    <s v="On Time"/>
    <n v="113327.03999999999"/>
    <s v="Jun"/>
    <n v="2025"/>
    <n v="113327.03999999999"/>
    <s v="On Time"/>
  </r>
  <r>
    <n v="2284"/>
    <d v="2025-11-14T00:00:00"/>
    <x v="4"/>
    <x v="5"/>
    <s v="MNL"/>
    <s v="Economy"/>
    <n v="130"/>
    <n v="665"/>
    <n v="44"/>
    <s v="Delayed"/>
    <n v="86450"/>
    <s v="Nov"/>
    <n v="2025"/>
    <n v="86450"/>
    <s v="Moderate Delay"/>
  </r>
  <r>
    <n v="2285"/>
    <d v="2025-01-01T00:00:00"/>
    <x v="1"/>
    <x v="0"/>
    <s v="PUS"/>
    <s v="Business"/>
    <n v="84"/>
    <n v="194.86"/>
    <n v="55"/>
    <s v="Delayed"/>
    <n v="16368.24"/>
    <s v="Jan"/>
    <n v="2025"/>
    <n v="16368.240000000002"/>
    <s v="Moderate Delay"/>
  </r>
  <r>
    <n v="2286"/>
    <d v="2025-01-06T00:00:00"/>
    <x v="0"/>
    <x v="3"/>
    <s v="ICN"/>
    <s v="Premium Economy"/>
    <n v="244"/>
    <n v="661.22"/>
    <n v="0"/>
    <s v="Delayed"/>
    <n v="161337.68"/>
    <s v="Jan"/>
    <n v="2025"/>
    <n v="161337.68"/>
    <s v="On Time"/>
  </r>
  <r>
    <n v="2287"/>
    <d v="2025-02-26T00:00:00"/>
    <x v="4"/>
    <x v="0"/>
    <s v="BKK"/>
    <s v="Economy"/>
    <n v="270"/>
    <n v="592.41"/>
    <n v="40"/>
    <s v="Delayed"/>
    <n v="159950.70000000001"/>
    <s v="Feb"/>
    <n v="2025"/>
    <n v="159950.69999999998"/>
    <s v="Moderate Delay"/>
  </r>
  <r>
    <n v="2288"/>
    <d v="2025-11-21T00:00:00"/>
    <x v="5"/>
    <x v="4"/>
    <s v="SIN"/>
    <s v="Premium Economy"/>
    <n v="58"/>
    <n v="384.17"/>
    <n v="66"/>
    <s v="On Time"/>
    <n v="22281.86"/>
    <s v="Nov"/>
    <n v="2025"/>
    <n v="22281.86"/>
    <s v="Major Delay"/>
  </r>
  <r>
    <n v="2289"/>
    <d v="2025-08-15T00:00:00"/>
    <x v="3"/>
    <x v="8"/>
    <s v="GMP"/>
    <s v="Economy"/>
    <n v="266"/>
    <n v="155.56"/>
    <n v="13"/>
    <s v="On Time"/>
    <n v="41378.959999999999"/>
    <s v="Aug"/>
    <n v="2025"/>
    <n v="41378.959999999999"/>
    <s v="Minor Delay"/>
  </r>
  <r>
    <n v="2290"/>
    <d v="2025-04-29T00:00:00"/>
    <x v="3"/>
    <x v="3"/>
    <s v="ICN"/>
    <s v="Economy"/>
    <n v="62"/>
    <n v="67.19"/>
    <n v="15"/>
    <s v="On Time"/>
    <n v="4165.78"/>
    <s v="Apr"/>
    <n v="2025"/>
    <n v="4165.78"/>
    <s v="Minor Delay"/>
  </r>
  <r>
    <n v="2291"/>
    <d v="2025-01-07T00:00:00"/>
    <x v="0"/>
    <x v="2"/>
    <s v="KIX"/>
    <s v="Business"/>
    <n v="279"/>
    <n v="488.44"/>
    <n v="43"/>
    <s v="Delayed"/>
    <n v="136274.76"/>
    <s v="Jan"/>
    <n v="2025"/>
    <n v="136274.76"/>
    <s v="Moderate Delay"/>
  </r>
  <r>
    <n v="2292"/>
    <d v="2025-01-24T00:00:00"/>
    <x v="5"/>
    <x v="2"/>
    <s v="MNL"/>
    <s v="Business"/>
    <n v="228"/>
    <n v="779.5"/>
    <n v="20"/>
    <s v="On Time"/>
    <n v="177726"/>
    <s v="Jan"/>
    <n v="2025"/>
    <n v="177726"/>
    <s v="Minor Delay"/>
  </r>
  <r>
    <n v="2293"/>
    <d v="2025-11-17T00:00:00"/>
    <x v="5"/>
    <x v="0"/>
    <s v="KIX"/>
    <s v="Economy"/>
    <n v="294"/>
    <n v="223.82"/>
    <n v="0"/>
    <s v="On Time"/>
    <n v="65803.08"/>
    <s v="Nov"/>
    <n v="2025"/>
    <n v="65803.08"/>
    <s v="On Time"/>
  </r>
  <r>
    <n v="2294"/>
    <d v="2025-06-27T00:00:00"/>
    <x v="0"/>
    <x v="7"/>
    <s v="BKK"/>
    <s v="Premium Economy"/>
    <n v="225"/>
    <n v="479.64"/>
    <n v="0"/>
    <s v="On Time"/>
    <n v="107919"/>
    <s v="Jun"/>
    <n v="2025"/>
    <n v="107919"/>
    <s v="On Time"/>
  </r>
  <r>
    <n v="2295"/>
    <d v="2025-02-06T00:00:00"/>
    <x v="1"/>
    <x v="3"/>
    <s v="MNL"/>
    <s v="Economy"/>
    <n v="154"/>
    <n v="773.18"/>
    <n v="0"/>
    <s v="On Time"/>
    <n v="119069.72"/>
    <s v="Feb"/>
    <n v="2025"/>
    <n v="119069.71999999999"/>
    <s v="On Time"/>
  </r>
  <r>
    <n v="2296"/>
    <d v="2025-10-08T00:00:00"/>
    <x v="1"/>
    <x v="1"/>
    <s v="MNL"/>
    <s v="Economy"/>
    <n v="189"/>
    <n v="346.27"/>
    <n v="6"/>
    <s v="On Time"/>
    <n v="65445.03"/>
    <s v="Oct"/>
    <n v="2025"/>
    <n v="65445.03"/>
    <s v="Minor Delay"/>
  </r>
  <r>
    <n v="2297"/>
    <d v="2025-12-23T00:00:00"/>
    <x v="0"/>
    <x v="4"/>
    <s v="ICN"/>
    <s v="Premium Economy"/>
    <n v="178"/>
    <n v="257.62"/>
    <n v="3"/>
    <s v="Delayed"/>
    <n v="45856.36"/>
    <s v="Dec"/>
    <n v="2025"/>
    <n v="45856.36"/>
    <s v="Minor Delay"/>
  </r>
  <r>
    <n v="2298"/>
    <d v="2025-06-07T00:00:00"/>
    <x v="5"/>
    <x v="2"/>
    <s v="KIX"/>
    <s v="Business"/>
    <n v="296"/>
    <n v="790.05"/>
    <n v="0"/>
    <s v="Delayed"/>
    <n v="233854.8"/>
    <s v="Jun"/>
    <n v="2025"/>
    <n v="233854.8"/>
    <s v="On Time"/>
  </r>
  <r>
    <n v="2299"/>
    <d v="2025-07-21T00:00:00"/>
    <x v="2"/>
    <x v="5"/>
    <s v="GMP"/>
    <s v="Premium Economy"/>
    <n v="146"/>
    <n v="621.48"/>
    <n v="32"/>
    <s v="On Time"/>
    <n v="90736.08"/>
    <s v="Jul"/>
    <n v="2025"/>
    <n v="90736.08"/>
    <s v="Moderate Delay"/>
  </r>
  <r>
    <n v="2300"/>
    <d v="2025-01-06T00:00:00"/>
    <x v="1"/>
    <x v="7"/>
    <s v="BKK"/>
    <s v="Premium Economy"/>
    <n v="104"/>
    <n v="789.17"/>
    <n v="1"/>
    <s v="On Time"/>
    <n v="82073.679999999993"/>
    <s v="Jan"/>
    <n v="2025"/>
    <n v="82073.679999999993"/>
    <s v="Minor Delay"/>
  </r>
  <r>
    <n v="2301"/>
    <d v="2025-04-05T00:00:00"/>
    <x v="4"/>
    <x v="7"/>
    <s v="MNL"/>
    <s v="Economy"/>
    <n v="167"/>
    <n v="457.56"/>
    <n v="23"/>
    <s v="On Time"/>
    <n v="76412.52"/>
    <s v="Apr"/>
    <n v="2025"/>
    <n v="76412.52"/>
    <s v="Minor Delay"/>
  </r>
  <r>
    <n v="2302"/>
    <d v="2025-04-24T00:00:00"/>
    <x v="4"/>
    <x v="7"/>
    <s v="NRT"/>
    <s v="Premium Economy"/>
    <n v="269"/>
    <n v="130.47999999999999"/>
    <n v="28"/>
    <s v="On Time"/>
    <n v="35099.120000000003"/>
    <s v="Apr"/>
    <n v="2025"/>
    <n v="35099.119999999995"/>
    <s v="Minor Delay"/>
  </r>
  <r>
    <n v="2303"/>
    <d v="2025-11-26T00:00:00"/>
    <x v="2"/>
    <x v="5"/>
    <s v="GMP"/>
    <s v="Business"/>
    <n v="61"/>
    <n v="323.57"/>
    <n v="62"/>
    <s v="On Time"/>
    <n v="19737.77"/>
    <s v="Nov"/>
    <n v="2025"/>
    <n v="19737.77"/>
    <s v="Major Delay"/>
  </r>
  <r>
    <n v="2304"/>
    <d v="2025-05-05T00:00:00"/>
    <x v="1"/>
    <x v="1"/>
    <s v="NRT"/>
    <s v="Economy"/>
    <n v="276"/>
    <n v="728.11"/>
    <n v="21"/>
    <s v="On Time"/>
    <n v="200958.36"/>
    <s v="May"/>
    <n v="2025"/>
    <n v="200958.36000000002"/>
    <s v="Minor Delay"/>
  </r>
  <r>
    <n v="2305"/>
    <d v="2025-04-23T00:00:00"/>
    <x v="0"/>
    <x v="1"/>
    <s v="SIN"/>
    <s v="Business"/>
    <n v="287"/>
    <n v="64.81"/>
    <n v="37"/>
    <s v="Delayed"/>
    <n v="18600.47"/>
    <s v="Apr"/>
    <n v="2025"/>
    <n v="18600.47"/>
    <s v="Moderate Delay"/>
  </r>
  <r>
    <n v="2306"/>
    <d v="2025-10-16T00:00:00"/>
    <x v="5"/>
    <x v="8"/>
    <s v="KIX"/>
    <s v="Business"/>
    <n v="165"/>
    <n v="299.23"/>
    <n v="6"/>
    <s v="On Time"/>
    <n v="49372.95"/>
    <s v="Oct"/>
    <n v="2025"/>
    <n v="49372.950000000004"/>
    <s v="Minor Delay"/>
  </r>
  <r>
    <n v="2307"/>
    <d v="2025-03-29T00:00:00"/>
    <x v="5"/>
    <x v="7"/>
    <s v="GMP"/>
    <s v="Business"/>
    <n v="201"/>
    <n v="630.59"/>
    <n v="10"/>
    <s v="On Time"/>
    <n v="126748.59"/>
    <s v="Mar"/>
    <n v="2025"/>
    <n v="126748.59000000001"/>
    <s v="Minor Delay"/>
  </r>
  <r>
    <n v="2308"/>
    <d v="2025-12-10T00:00:00"/>
    <x v="0"/>
    <x v="2"/>
    <s v="MNL"/>
    <s v="Economy"/>
    <n v="276"/>
    <n v="573.72"/>
    <n v="43"/>
    <s v="On Time"/>
    <n v="158346.72"/>
    <s v="Dec"/>
    <n v="2025"/>
    <n v="158346.72"/>
    <s v="Moderate Delay"/>
  </r>
  <r>
    <n v="2309"/>
    <d v="2025-02-09T00:00:00"/>
    <x v="4"/>
    <x v="3"/>
    <s v="CJU"/>
    <s v="Premium Economy"/>
    <n v="168"/>
    <n v="718.55"/>
    <n v="15"/>
    <s v="Delayed"/>
    <n v="120716.4"/>
    <s v="Feb"/>
    <n v="2025"/>
    <n v="120716.4"/>
    <s v="Minor Delay"/>
  </r>
  <r>
    <n v="2310"/>
    <d v="2025-06-26T00:00:00"/>
    <x v="0"/>
    <x v="0"/>
    <s v="CJU"/>
    <s v="Economy"/>
    <n v="232"/>
    <n v="616.42999999999995"/>
    <n v="7"/>
    <s v="On Time"/>
    <n v="143011.76"/>
    <s v="Jun"/>
    <n v="2025"/>
    <n v="143011.75999999998"/>
    <s v="Minor Delay"/>
  </r>
  <r>
    <n v="2311"/>
    <d v="2025-12-25T00:00:00"/>
    <x v="0"/>
    <x v="2"/>
    <s v="MNL"/>
    <s v="Economy"/>
    <n v="215"/>
    <n v="648.49"/>
    <n v="17"/>
    <s v="On Time"/>
    <n v="139425.35"/>
    <s v="Dec"/>
    <n v="2025"/>
    <n v="139425.35"/>
    <s v="Minor Delay"/>
  </r>
  <r>
    <n v="2312"/>
    <d v="2025-09-25T00:00:00"/>
    <x v="5"/>
    <x v="6"/>
    <s v="GMP"/>
    <s v="Premium Economy"/>
    <n v="235"/>
    <n v="63.16"/>
    <n v="4"/>
    <s v="On Time"/>
    <n v="14842.6"/>
    <s v="Sep"/>
    <n v="2025"/>
    <n v="14842.599999999999"/>
    <s v="Minor Delay"/>
  </r>
  <r>
    <n v="2313"/>
    <d v="2025-02-24T00:00:00"/>
    <x v="1"/>
    <x v="0"/>
    <s v="MNL"/>
    <s v="Business"/>
    <n v="161"/>
    <n v="216.46"/>
    <n v="0"/>
    <s v="On Time"/>
    <n v="34850.06"/>
    <s v="Feb"/>
    <n v="2025"/>
    <n v="34850.06"/>
    <s v="On Time"/>
  </r>
  <r>
    <n v="2314"/>
    <d v="2025-12-20T00:00:00"/>
    <x v="2"/>
    <x v="3"/>
    <s v="SIN"/>
    <s v="Economy"/>
    <n v="230"/>
    <n v="571.14"/>
    <n v="42"/>
    <s v="On Time"/>
    <n v="131362.20000000001"/>
    <s v="Dec"/>
    <n v="2025"/>
    <n v="131362.19999999998"/>
    <s v="Moderate Delay"/>
  </r>
  <r>
    <n v="2315"/>
    <d v="2025-12-29T00:00:00"/>
    <x v="1"/>
    <x v="6"/>
    <s v="ICN"/>
    <s v="Premium Economy"/>
    <n v="284"/>
    <n v="234.89"/>
    <n v="0"/>
    <s v="On Time"/>
    <n v="66708.759999999995"/>
    <s v="Dec"/>
    <n v="2025"/>
    <n v="66708.759999999995"/>
    <s v="On Time"/>
  </r>
  <r>
    <n v="2316"/>
    <d v="2025-10-08T00:00:00"/>
    <x v="2"/>
    <x v="2"/>
    <s v="GMP"/>
    <s v="Business"/>
    <n v="291"/>
    <n v="174.38"/>
    <n v="10"/>
    <s v="Delayed"/>
    <n v="50744.58"/>
    <s v="Oct"/>
    <n v="2025"/>
    <n v="50744.58"/>
    <s v="Minor Delay"/>
  </r>
  <r>
    <n v="2317"/>
    <d v="2025-09-18T00:00:00"/>
    <x v="4"/>
    <x v="8"/>
    <s v="CJU"/>
    <s v="Premium Economy"/>
    <n v="296"/>
    <n v="712.73"/>
    <n v="44"/>
    <s v="Cancelled"/>
    <n v="210968.08"/>
    <s v="Sep"/>
    <n v="2025"/>
    <n v="210968.08000000002"/>
    <s v="Moderate Delay"/>
  </r>
  <r>
    <n v="2318"/>
    <d v="2025-09-02T00:00:00"/>
    <x v="0"/>
    <x v="7"/>
    <s v="PUS"/>
    <s v="Economy"/>
    <n v="63"/>
    <n v="191.45"/>
    <n v="0"/>
    <s v="On Time"/>
    <n v="12061.35"/>
    <s v="Sep"/>
    <n v="2025"/>
    <n v="12061.349999999999"/>
    <s v="On Time"/>
  </r>
  <r>
    <n v="2319"/>
    <d v="2025-11-17T00:00:00"/>
    <x v="0"/>
    <x v="4"/>
    <s v="CJU"/>
    <s v="Economy"/>
    <n v="219"/>
    <n v="759.68"/>
    <n v="30"/>
    <s v="On Time"/>
    <n v="166369.92000000001"/>
    <s v="Nov"/>
    <n v="2025"/>
    <n v="166369.91999999998"/>
    <s v="Minor Delay"/>
  </r>
  <r>
    <n v="2320"/>
    <d v="2025-03-09T00:00:00"/>
    <x v="3"/>
    <x v="4"/>
    <s v="PUS"/>
    <s v="Business"/>
    <n v="241"/>
    <n v="141.18"/>
    <n v="23"/>
    <s v="On Time"/>
    <n v="34024.379999999997"/>
    <s v="Mar"/>
    <n v="2025"/>
    <n v="34024.380000000005"/>
    <s v="Minor Delay"/>
  </r>
  <r>
    <n v="2321"/>
    <d v="2025-12-25T00:00:00"/>
    <x v="1"/>
    <x v="3"/>
    <s v="PUS"/>
    <s v="Business"/>
    <n v="82"/>
    <n v="604.42999999999995"/>
    <n v="18"/>
    <s v="On Time"/>
    <n v="49563.26"/>
    <s v="Dec"/>
    <n v="2025"/>
    <n v="49563.259999999995"/>
    <s v="Minor Delay"/>
  </r>
  <r>
    <n v="2322"/>
    <d v="2025-12-23T00:00:00"/>
    <x v="0"/>
    <x v="5"/>
    <s v="KIX"/>
    <s v="Economy"/>
    <n v="268"/>
    <n v="157.09"/>
    <n v="6"/>
    <s v="On Time"/>
    <n v="42100.12"/>
    <s v="Dec"/>
    <n v="2025"/>
    <n v="42100.12"/>
    <s v="Minor Delay"/>
  </r>
  <r>
    <n v="2323"/>
    <d v="2025-03-07T00:00:00"/>
    <x v="3"/>
    <x v="8"/>
    <s v="KIX"/>
    <s v="Economy"/>
    <n v="112"/>
    <n v="335.97"/>
    <n v="38"/>
    <s v="On Time"/>
    <n v="37628.639999999999"/>
    <s v="Mar"/>
    <n v="2025"/>
    <n v="37628.639999999999"/>
    <s v="Moderate Delay"/>
  </r>
  <r>
    <n v="2324"/>
    <d v="2025-08-02T00:00:00"/>
    <x v="4"/>
    <x v="6"/>
    <s v="GMP"/>
    <s v="Economy"/>
    <n v="154"/>
    <n v="247.56"/>
    <n v="70"/>
    <s v="On Time"/>
    <n v="38124.239999999998"/>
    <s v="Aug"/>
    <n v="2025"/>
    <n v="38124.239999999998"/>
    <s v="Major Delay"/>
  </r>
  <r>
    <n v="2325"/>
    <d v="2025-11-01T00:00:00"/>
    <x v="0"/>
    <x v="5"/>
    <s v="BKK"/>
    <s v="Premium Economy"/>
    <n v="166"/>
    <n v="400.1"/>
    <n v="0"/>
    <s v="On Time"/>
    <n v="66416.600000000006"/>
    <s v="Nov"/>
    <n v="2025"/>
    <n v="66416.600000000006"/>
    <s v="On Time"/>
  </r>
  <r>
    <n v="2326"/>
    <d v="2025-02-06T00:00:00"/>
    <x v="3"/>
    <x v="2"/>
    <s v="CJU"/>
    <s v="Economy"/>
    <n v="216"/>
    <n v="179.81"/>
    <n v="39"/>
    <s v="On Time"/>
    <n v="38838.959999999999"/>
    <s v="Feb"/>
    <n v="2025"/>
    <n v="38838.959999999999"/>
    <s v="Moderate Delay"/>
  </r>
  <r>
    <n v="2327"/>
    <d v="2025-08-29T00:00:00"/>
    <x v="4"/>
    <x v="1"/>
    <s v="GMP"/>
    <s v="Premium Economy"/>
    <n v="271"/>
    <n v="510.01"/>
    <n v="29"/>
    <s v="On Time"/>
    <n v="138212.71"/>
    <s v="Aug"/>
    <n v="2025"/>
    <n v="138212.71"/>
    <s v="Minor Delay"/>
  </r>
  <r>
    <n v="2328"/>
    <d v="2025-03-03T00:00:00"/>
    <x v="1"/>
    <x v="6"/>
    <s v="PUS"/>
    <s v="Premium Economy"/>
    <n v="113"/>
    <n v="683.19"/>
    <n v="8"/>
    <s v="On Time"/>
    <n v="77200.47"/>
    <s v="Mar"/>
    <n v="2025"/>
    <n v="77200.47"/>
    <s v="Minor Delay"/>
  </r>
  <r>
    <n v="2329"/>
    <d v="2025-11-14T00:00:00"/>
    <x v="2"/>
    <x v="4"/>
    <s v="GMP"/>
    <s v="Premium Economy"/>
    <n v="91"/>
    <n v="171.62"/>
    <n v="63"/>
    <s v="Delayed"/>
    <n v="15617.42"/>
    <s v="Nov"/>
    <n v="2025"/>
    <n v="15617.42"/>
    <s v="Major Delay"/>
  </r>
  <r>
    <n v="2330"/>
    <d v="2025-01-08T00:00:00"/>
    <x v="5"/>
    <x v="1"/>
    <s v="SIN"/>
    <s v="Economy"/>
    <n v="143"/>
    <n v="360.34"/>
    <n v="44"/>
    <s v="Delayed"/>
    <n v="51528.62"/>
    <s v="Jan"/>
    <n v="2025"/>
    <n v="51528.619999999995"/>
    <s v="Moderate Delay"/>
  </r>
  <r>
    <n v="2331"/>
    <d v="2025-08-24T00:00:00"/>
    <x v="1"/>
    <x v="1"/>
    <s v="MNL"/>
    <s v="Premium Economy"/>
    <n v="109"/>
    <n v="578.32000000000005"/>
    <n v="29"/>
    <s v="On Time"/>
    <n v="63036.88"/>
    <s v="Aug"/>
    <n v="2025"/>
    <n v="63036.880000000005"/>
    <s v="Minor Delay"/>
  </r>
  <r>
    <n v="2332"/>
    <d v="2025-07-05T00:00:00"/>
    <x v="1"/>
    <x v="1"/>
    <s v="KIX"/>
    <s v="Premium Economy"/>
    <n v="198"/>
    <n v="272.33999999999997"/>
    <n v="15"/>
    <s v="On Time"/>
    <n v="53923.32"/>
    <s v="Jul"/>
    <n v="2025"/>
    <n v="53923.319999999992"/>
    <s v="Minor Delay"/>
  </r>
  <r>
    <n v="2333"/>
    <d v="2025-12-02T00:00:00"/>
    <x v="1"/>
    <x v="4"/>
    <s v="KIX"/>
    <s v="Premium Economy"/>
    <n v="297"/>
    <n v="379.3"/>
    <n v="57"/>
    <s v="On Time"/>
    <n v="112652.1"/>
    <s v="Dec"/>
    <n v="2025"/>
    <n v="112652.1"/>
    <s v="Moderate Delay"/>
  </r>
  <r>
    <n v="2334"/>
    <d v="2025-10-18T00:00:00"/>
    <x v="2"/>
    <x v="2"/>
    <s v="NRT"/>
    <s v="Premium Economy"/>
    <n v="52"/>
    <n v="283.7"/>
    <n v="15"/>
    <s v="On Time"/>
    <n v="14752.4"/>
    <s v="Oct"/>
    <n v="2025"/>
    <n v="14752.4"/>
    <s v="Minor Delay"/>
  </r>
  <r>
    <n v="2335"/>
    <d v="2025-04-08T00:00:00"/>
    <x v="0"/>
    <x v="7"/>
    <s v="SIN"/>
    <s v="Economy"/>
    <n v="148"/>
    <n v="159.66999999999999"/>
    <n v="29"/>
    <s v="On Time"/>
    <n v="23631.16"/>
    <s v="Apr"/>
    <n v="2025"/>
    <n v="23631.16"/>
    <s v="Minor Delay"/>
  </r>
  <r>
    <n v="2336"/>
    <d v="2025-04-21T00:00:00"/>
    <x v="2"/>
    <x v="7"/>
    <s v="KIX"/>
    <s v="Business"/>
    <n v="85"/>
    <n v="740.53"/>
    <n v="11"/>
    <s v="On Time"/>
    <n v="62945.05"/>
    <s v="Apr"/>
    <n v="2025"/>
    <n v="62945.049999999996"/>
    <s v="Minor Delay"/>
  </r>
  <r>
    <n v="2337"/>
    <d v="2025-05-17T00:00:00"/>
    <x v="3"/>
    <x v="6"/>
    <s v="KIX"/>
    <s v="Economy"/>
    <n v="75"/>
    <n v="562.59"/>
    <n v="40"/>
    <s v="Delayed"/>
    <n v="42194.25"/>
    <s v="May"/>
    <n v="2025"/>
    <n v="42194.25"/>
    <s v="Moderate Delay"/>
  </r>
  <r>
    <n v="2338"/>
    <d v="2025-11-01T00:00:00"/>
    <x v="3"/>
    <x v="6"/>
    <s v="MNL"/>
    <s v="Business"/>
    <n v="75"/>
    <n v="607.53"/>
    <n v="0"/>
    <s v="Delayed"/>
    <n v="45564.75"/>
    <s v="Nov"/>
    <n v="2025"/>
    <n v="45564.75"/>
    <s v="On Time"/>
  </r>
  <r>
    <n v="2339"/>
    <d v="2025-06-09T00:00:00"/>
    <x v="3"/>
    <x v="7"/>
    <s v="NRT"/>
    <s v="Economy"/>
    <n v="218"/>
    <n v="504.58"/>
    <n v="11"/>
    <s v="On Time"/>
    <n v="109998.44"/>
    <s v="Jun"/>
    <n v="2025"/>
    <n v="109998.44"/>
    <s v="Minor Delay"/>
  </r>
  <r>
    <n v="2340"/>
    <d v="2025-03-10T00:00:00"/>
    <x v="3"/>
    <x v="3"/>
    <s v="PUS"/>
    <s v="Premium Economy"/>
    <n v="292"/>
    <n v="401.09"/>
    <n v="2"/>
    <s v="Delayed"/>
    <n v="117118.28"/>
    <s v="Mar"/>
    <n v="2025"/>
    <n v="117118.28"/>
    <s v="Minor Delay"/>
  </r>
  <r>
    <n v="2341"/>
    <d v="2025-07-06T00:00:00"/>
    <x v="5"/>
    <x v="3"/>
    <s v="ICN"/>
    <s v="Economy"/>
    <n v="107"/>
    <n v="241.69"/>
    <n v="77"/>
    <s v="On Time"/>
    <n v="25860.83"/>
    <s v="Jul"/>
    <n v="2025"/>
    <n v="25860.829999999998"/>
    <s v="Major Delay"/>
  </r>
  <r>
    <n v="2342"/>
    <d v="2025-02-10T00:00:00"/>
    <x v="3"/>
    <x v="2"/>
    <s v="GMP"/>
    <s v="Premium Economy"/>
    <n v="267"/>
    <n v="554.66"/>
    <n v="0"/>
    <s v="On Time"/>
    <n v="148094.22"/>
    <s v="Feb"/>
    <n v="2025"/>
    <n v="148094.22"/>
    <s v="On Time"/>
  </r>
  <r>
    <n v="2343"/>
    <d v="2025-05-17T00:00:00"/>
    <x v="4"/>
    <x v="5"/>
    <s v="BKK"/>
    <s v="Premium Economy"/>
    <n v="249"/>
    <n v="598.54999999999995"/>
    <n v="47"/>
    <s v="On Time"/>
    <n v="149038.95000000001"/>
    <s v="May"/>
    <n v="2025"/>
    <n v="149038.94999999998"/>
    <s v="Moderate Delay"/>
  </r>
  <r>
    <n v="2344"/>
    <d v="2025-07-25T00:00:00"/>
    <x v="5"/>
    <x v="3"/>
    <s v="SIN"/>
    <s v="Business"/>
    <n v="279"/>
    <n v="593.21"/>
    <n v="3"/>
    <s v="Cancelled"/>
    <n v="165505.59"/>
    <s v="Jul"/>
    <n v="2025"/>
    <n v="165505.59"/>
    <s v="Minor Delay"/>
  </r>
  <r>
    <n v="2345"/>
    <d v="2025-07-04T00:00:00"/>
    <x v="0"/>
    <x v="3"/>
    <s v="PUS"/>
    <s v="Premium Economy"/>
    <n v="144"/>
    <n v="477.6"/>
    <n v="39"/>
    <s v="On Time"/>
    <n v="68774.399999999994"/>
    <s v="Jul"/>
    <n v="2025"/>
    <n v="68774.400000000009"/>
    <s v="Moderate Delay"/>
  </r>
  <r>
    <n v="2346"/>
    <d v="2025-02-02T00:00:00"/>
    <x v="2"/>
    <x v="6"/>
    <s v="BKK"/>
    <s v="Economy"/>
    <n v="281"/>
    <n v="267.45999999999998"/>
    <n v="18"/>
    <s v="On Time"/>
    <n v="75156.259999999995"/>
    <s v="Feb"/>
    <n v="2025"/>
    <n v="75156.259999999995"/>
    <s v="Minor Delay"/>
  </r>
  <r>
    <n v="2347"/>
    <d v="2025-07-09T00:00:00"/>
    <x v="1"/>
    <x v="3"/>
    <s v="NRT"/>
    <s v="Business"/>
    <n v="228"/>
    <n v="732.11"/>
    <n v="0"/>
    <s v="Delayed"/>
    <n v="166921.07999999999"/>
    <s v="Jul"/>
    <n v="2025"/>
    <n v="166921.08000000002"/>
    <s v="On Time"/>
  </r>
  <r>
    <n v="2348"/>
    <d v="2025-06-24T00:00:00"/>
    <x v="0"/>
    <x v="4"/>
    <s v="GMP"/>
    <s v="Premium Economy"/>
    <n v="202"/>
    <n v="165.52"/>
    <n v="0"/>
    <s v="On Time"/>
    <n v="33435.040000000001"/>
    <s v="Jun"/>
    <n v="2025"/>
    <n v="33435.040000000001"/>
    <s v="On Time"/>
  </r>
  <r>
    <n v="2349"/>
    <d v="2025-07-23T00:00:00"/>
    <x v="4"/>
    <x v="3"/>
    <s v="MNL"/>
    <s v="Premium Economy"/>
    <n v="96"/>
    <n v="143.5"/>
    <n v="23"/>
    <s v="Delayed"/>
    <n v="13776"/>
    <s v="Jul"/>
    <n v="2025"/>
    <n v="13776"/>
    <s v="Minor Delay"/>
  </r>
  <r>
    <n v="2350"/>
    <d v="2025-05-03T00:00:00"/>
    <x v="4"/>
    <x v="4"/>
    <s v="CJU"/>
    <s v="Business"/>
    <n v="200"/>
    <n v="790.6"/>
    <n v="18"/>
    <s v="On Time"/>
    <n v="158120"/>
    <s v="May"/>
    <n v="2025"/>
    <n v="158120"/>
    <s v="Minor Delay"/>
  </r>
  <r>
    <n v="2351"/>
    <d v="2025-05-27T00:00:00"/>
    <x v="1"/>
    <x v="1"/>
    <s v="GMP"/>
    <s v="Business"/>
    <n v="294"/>
    <n v="255.93"/>
    <n v="4"/>
    <s v="On Time"/>
    <n v="75243.42"/>
    <s v="May"/>
    <n v="2025"/>
    <n v="75243.42"/>
    <s v="Minor Delay"/>
  </r>
  <r>
    <n v="2352"/>
    <d v="2025-03-01T00:00:00"/>
    <x v="4"/>
    <x v="7"/>
    <s v="MNL"/>
    <s v="Premium Economy"/>
    <n v="276"/>
    <n v="288.62"/>
    <n v="15"/>
    <s v="On Time"/>
    <n v="79659.12"/>
    <s v="Mar"/>
    <n v="2025"/>
    <n v="79659.12"/>
    <s v="Minor Delay"/>
  </r>
  <r>
    <n v="2353"/>
    <d v="2025-10-18T00:00:00"/>
    <x v="2"/>
    <x v="5"/>
    <s v="SIN"/>
    <s v="Economy"/>
    <n v="218"/>
    <n v="630.04"/>
    <n v="29"/>
    <s v="On Time"/>
    <n v="137348.72"/>
    <s v="Oct"/>
    <n v="2025"/>
    <n v="137348.72"/>
    <s v="Minor Delay"/>
  </r>
  <r>
    <n v="2354"/>
    <d v="2025-10-01T00:00:00"/>
    <x v="3"/>
    <x v="5"/>
    <s v="GMP"/>
    <s v="Business"/>
    <n v="237"/>
    <n v="150.27000000000001"/>
    <n v="82"/>
    <s v="Delayed"/>
    <n v="35613.99"/>
    <s v="Oct"/>
    <n v="2025"/>
    <n v="35613.990000000005"/>
    <s v="Major Delay"/>
  </r>
  <r>
    <n v="2355"/>
    <d v="2025-03-14T00:00:00"/>
    <x v="1"/>
    <x v="3"/>
    <s v="CJU"/>
    <s v="Economy"/>
    <n v="144"/>
    <n v="600.12"/>
    <n v="0"/>
    <s v="On Time"/>
    <n v="86417.279999999999"/>
    <s v="Mar"/>
    <n v="2025"/>
    <n v="86417.279999999999"/>
    <s v="On Time"/>
  </r>
  <r>
    <n v="2356"/>
    <d v="2025-04-18T00:00:00"/>
    <x v="4"/>
    <x v="3"/>
    <s v="CJU"/>
    <s v="Business"/>
    <n v="121"/>
    <n v="606.95000000000005"/>
    <n v="38"/>
    <s v="On Time"/>
    <n v="73440.95"/>
    <s v="Apr"/>
    <n v="2025"/>
    <n v="73440.950000000012"/>
    <s v="Moderate Delay"/>
  </r>
  <r>
    <n v="2357"/>
    <d v="2025-05-13T00:00:00"/>
    <x v="4"/>
    <x v="6"/>
    <s v="MNL"/>
    <s v="Business"/>
    <n v="216"/>
    <n v="718.82"/>
    <n v="7"/>
    <s v="On Time"/>
    <n v="155265.12"/>
    <s v="May"/>
    <n v="2025"/>
    <n v="155265.12000000002"/>
    <s v="Minor Delay"/>
  </r>
  <r>
    <n v="2358"/>
    <d v="2025-12-21T00:00:00"/>
    <x v="5"/>
    <x v="7"/>
    <s v="ICN"/>
    <s v="Premium Economy"/>
    <n v="253"/>
    <n v="312.66000000000003"/>
    <n v="20"/>
    <s v="On Time"/>
    <n v="79102.98"/>
    <s v="Dec"/>
    <n v="2025"/>
    <n v="79102.98000000001"/>
    <s v="Minor Delay"/>
  </r>
  <r>
    <n v="2359"/>
    <d v="2025-08-16T00:00:00"/>
    <x v="2"/>
    <x v="7"/>
    <s v="NRT"/>
    <s v="Premium Economy"/>
    <n v="83"/>
    <n v="487.21"/>
    <n v="2"/>
    <s v="On Time"/>
    <n v="40438.43"/>
    <s v="Aug"/>
    <n v="2025"/>
    <n v="40438.43"/>
    <s v="Minor Delay"/>
  </r>
  <r>
    <n v="2360"/>
    <d v="2025-02-27T00:00:00"/>
    <x v="4"/>
    <x v="8"/>
    <s v="ICN"/>
    <s v="Economy"/>
    <n v="215"/>
    <n v="672.29"/>
    <n v="32"/>
    <s v="Delayed"/>
    <n v="144542.35"/>
    <s v="Feb"/>
    <n v="2025"/>
    <n v="144542.35"/>
    <s v="Moderate Delay"/>
  </r>
  <r>
    <n v="2361"/>
    <d v="2025-08-13T00:00:00"/>
    <x v="5"/>
    <x v="3"/>
    <s v="CJU"/>
    <s v="Economy"/>
    <n v="56"/>
    <n v="746.4"/>
    <n v="0"/>
    <s v="On Time"/>
    <n v="41798.400000000001"/>
    <s v="Aug"/>
    <n v="2025"/>
    <n v="41798.400000000001"/>
    <s v="On Time"/>
  </r>
  <r>
    <n v="2362"/>
    <d v="2025-01-13T00:00:00"/>
    <x v="0"/>
    <x v="5"/>
    <s v="GMP"/>
    <s v="Premium Economy"/>
    <n v="269"/>
    <n v="564.99"/>
    <n v="46"/>
    <s v="On Time"/>
    <n v="151982.31"/>
    <s v="Jan"/>
    <n v="2025"/>
    <n v="151982.31"/>
    <s v="Moderate Delay"/>
  </r>
  <r>
    <n v="2363"/>
    <d v="2025-04-06T00:00:00"/>
    <x v="4"/>
    <x v="0"/>
    <s v="KIX"/>
    <s v="Premium Economy"/>
    <n v="219"/>
    <n v="686.54"/>
    <n v="28"/>
    <s v="On Time"/>
    <n v="150352.26"/>
    <s v="Apr"/>
    <n v="2025"/>
    <n v="150352.25999999998"/>
    <s v="Minor Delay"/>
  </r>
  <r>
    <n v="2364"/>
    <d v="2025-04-22T00:00:00"/>
    <x v="2"/>
    <x v="2"/>
    <s v="GMP"/>
    <s v="Business"/>
    <n v="256"/>
    <n v="524.38"/>
    <n v="44"/>
    <s v="On Time"/>
    <n v="134241.28"/>
    <s v="Apr"/>
    <n v="2025"/>
    <n v="134241.28"/>
    <s v="Moderate Delay"/>
  </r>
  <r>
    <n v="2365"/>
    <d v="2025-04-12T00:00:00"/>
    <x v="1"/>
    <x v="7"/>
    <s v="ICN"/>
    <s v="Economy"/>
    <n v="146"/>
    <n v="520.6"/>
    <n v="11"/>
    <s v="On Time"/>
    <n v="76007.600000000006"/>
    <s v="Apr"/>
    <n v="2025"/>
    <n v="76007.600000000006"/>
    <s v="Minor Delay"/>
  </r>
  <r>
    <n v="2366"/>
    <d v="2025-11-04T00:00:00"/>
    <x v="3"/>
    <x v="7"/>
    <s v="ICN"/>
    <s v="Economy"/>
    <n v="197"/>
    <n v="597.42999999999995"/>
    <n v="31"/>
    <s v="Delayed"/>
    <n v="117693.71"/>
    <s v="Nov"/>
    <n v="2025"/>
    <n v="117693.70999999999"/>
    <s v="Moderate Delay"/>
  </r>
  <r>
    <n v="2367"/>
    <d v="2025-03-07T00:00:00"/>
    <x v="3"/>
    <x v="2"/>
    <s v="BKK"/>
    <s v="Premium Economy"/>
    <n v="297"/>
    <n v="515.37"/>
    <n v="43"/>
    <s v="On Time"/>
    <n v="153064.89000000001"/>
    <s v="Mar"/>
    <n v="2025"/>
    <n v="153064.89000000001"/>
    <s v="Moderate Delay"/>
  </r>
  <r>
    <n v="2368"/>
    <d v="2025-03-28T00:00:00"/>
    <x v="0"/>
    <x v="2"/>
    <s v="CJU"/>
    <s v="Business"/>
    <n v="227"/>
    <n v="630.42999999999995"/>
    <n v="0"/>
    <s v="On Time"/>
    <n v="143107.60999999999"/>
    <s v="Mar"/>
    <n v="2025"/>
    <n v="143107.60999999999"/>
    <s v="On Time"/>
  </r>
  <r>
    <n v="2369"/>
    <d v="2025-01-01T00:00:00"/>
    <x v="4"/>
    <x v="2"/>
    <s v="CJU"/>
    <s v="Premium Economy"/>
    <n v="268"/>
    <n v="410.52"/>
    <n v="1"/>
    <s v="Delayed"/>
    <n v="110019.36"/>
    <s v="Jan"/>
    <n v="2025"/>
    <n v="110019.36"/>
    <s v="Minor Delay"/>
  </r>
  <r>
    <n v="2370"/>
    <d v="2025-03-08T00:00:00"/>
    <x v="0"/>
    <x v="3"/>
    <s v="PUS"/>
    <s v="Premium Economy"/>
    <n v="159"/>
    <n v="124.46"/>
    <n v="0"/>
    <s v="On Time"/>
    <n v="19789.14"/>
    <s v="Mar"/>
    <n v="2025"/>
    <n v="19789.14"/>
    <s v="On Time"/>
  </r>
  <r>
    <n v="2371"/>
    <d v="2025-07-23T00:00:00"/>
    <x v="1"/>
    <x v="5"/>
    <s v="SIN"/>
    <s v="Economy"/>
    <n v="191"/>
    <n v="782.33"/>
    <n v="35"/>
    <s v="On Time"/>
    <n v="149425.03"/>
    <s v="Jul"/>
    <n v="2025"/>
    <n v="149425.03"/>
    <s v="Moderate Delay"/>
  </r>
  <r>
    <n v="2372"/>
    <d v="2025-04-13T00:00:00"/>
    <x v="2"/>
    <x v="0"/>
    <s v="PUS"/>
    <s v="Economy"/>
    <n v="75"/>
    <n v="70.48"/>
    <n v="24"/>
    <s v="On Time"/>
    <n v="5286"/>
    <s v="Apr"/>
    <n v="2025"/>
    <n v="5286"/>
    <s v="Minor Delay"/>
  </r>
  <r>
    <n v="2373"/>
    <d v="2025-07-01T00:00:00"/>
    <x v="3"/>
    <x v="1"/>
    <s v="GMP"/>
    <s v="Business"/>
    <n v="106"/>
    <n v="720.78"/>
    <n v="0"/>
    <s v="Delayed"/>
    <n v="76402.679999999993"/>
    <s v="Jul"/>
    <n v="2025"/>
    <n v="76402.679999999993"/>
    <s v="On Time"/>
  </r>
  <r>
    <n v="2374"/>
    <d v="2025-12-08T00:00:00"/>
    <x v="3"/>
    <x v="0"/>
    <s v="SIN"/>
    <s v="Premium Economy"/>
    <n v="286"/>
    <n v="583.51"/>
    <n v="8"/>
    <s v="On Time"/>
    <n v="166883.85999999999"/>
    <s v="Dec"/>
    <n v="2025"/>
    <n v="166883.85999999999"/>
    <s v="Minor Delay"/>
  </r>
  <r>
    <n v="2375"/>
    <d v="2025-09-02T00:00:00"/>
    <x v="0"/>
    <x v="4"/>
    <s v="MNL"/>
    <s v="Premium Economy"/>
    <n v="163"/>
    <n v="617.78"/>
    <n v="31"/>
    <s v="Delayed"/>
    <n v="100698.14"/>
    <s v="Sep"/>
    <n v="2025"/>
    <n v="100698.14"/>
    <s v="Moderate Delay"/>
  </r>
  <r>
    <n v="2376"/>
    <d v="2025-03-14T00:00:00"/>
    <x v="0"/>
    <x v="2"/>
    <s v="CJU"/>
    <s v="Business"/>
    <n v="180"/>
    <n v="72.5"/>
    <n v="32"/>
    <s v="On Time"/>
    <n v="13050"/>
    <s v="Mar"/>
    <n v="2025"/>
    <n v="13050"/>
    <s v="Moderate Delay"/>
  </r>
  <r>
    <n v="2377"/>
    <d v="2025-03-20T00:00:00"/>
    <x v="4"/>
    <x v="4"/>
    <s v="KIX"/>
    <s v="Business"/>
    <n v="221"/>
    <n v="694.97"/>
    <n v="0"/>
    <s v="On Time"/>
    <n v="153588.37"/>
    <s v="Mar"/>
    <n v="2025"/>
    <n v="153588.37"/>
    <s v="On Time"/>
  </r>
  <r>
    <n v="2378"/>
    <d v="2025-07-01T00:00:00"/>
    <x v="2"/>
    <x v="7"/>
    <s v="PUS"/>
    <s v="Economy"/>
    <n v="146"/>
    <n v="195.45"/>
    <n v="3"/>
    <s v="Delayed"/>
    <n v="28535.7"/>
    <s v="Jul"/>
    <n v="2025"/>
    <n v="28535.699999999997"/>
    <s v="Minor Delay"/>
  </r>
  <r>
    <n v="2379"/>
    <d v="2025-07-10T00:00:00"/>
    <x v="3"/>
    <x v="3"/>
    <s v="PUS"/>
    <s v="Economy"/>
    <n v="280"/>
    <n v="348.31"/>
    <n v="37"/>
    <s v="On Time"/>
    <n v="97526.8"/>
    <s v="Jul"/>
    <n v="2025"/>
    <n v="97526.8"/>
    <s v="Moderate Delay"/>
  </r>
  <r>
    <n v="2380"/>
    <d v="2025-11-28T00:00:00"/>
    <x v="1"/>
    <x v="2"/>
    <s v="GMP"/>
    <s v="Business"/>
    <n v="64"/>
    <n v="260.95"/>
    <n v="0"/>
    <s v="On Time"/>
    <n v="16700.8"/>
    <s v="Nov"/>
    <n v="2025"/>
    <n v="16700.8"/>
    <s v="On Time"/>
  </r>
  <r>
    <n v="2381"/>
    <d v="2025-02-23T00:00:00"/>
    <x v="0"/>
    <x v="8"/>
    <s v="NRT"/>
    <s v="Economy"/>
    <n v="174"/>
    <n v="555.05999999999995"/>
    <n v="24"/>
    <s v="On Time"/>
    <n v="96580.44"/>
    <s v="Feb"/>
    <n v="2025"/>
    <n v="96580.439999999988"/>
    <s v="Minor Delay"/>
  </r>
  <r>
    <n v="2382"/>
    <d v="2025-03-18T00:00:00"/>
    <x v="1"/>
    <x v="0"/>
    <s v="BKK"/>
    <s v="Business"/>
    <n v="68"/>
    <n v="222.62"/>
    <n v="51"/>
    <s v="On Time"/>
    <n v="15138.16"/>
    <s v="Mar"/>
    <n v="2025"/>
    <n v="15138.16"/>
    <s v="Moderate Delay"/>
  </r>
  <r>
    <n v="2383"/>
    <d v="2025-09-18T00:00:00"/>
    <x v="4"/>
    <x v="1"/>
    <s v="ICN"/>
    <s v="Business"/>
    <n v="152"/>
    <n v="229.64"/>
    <n v="33"/>
    <s v="On Time"/>
    <n v="34905.279999999999"/>
    <s v="Sep"/>
    <n v="2025"/>
    <n v="34905.279999999999"/>
    <s v="Moderate Delay"/>
  </r>
  <r>
    <n v="2384"/>
    <d v="2025-05-22T00:00:00"/>
    <x v="2"/>
    <x v="0"/>
    <s v="BKK"/>
    <s v="Economy"/>
    <n v="142"/>
    <n v="295.63"/>
    <n v="0"/>
    <s v="On Time"/>
    <n v="41979.46"/>
    <s v="May"/>
    <n v="2025"/>
    <n v="41979.46"/>
    <s v="On Time"/>
  </r>
  <r>
    <n v="2385"/>
    <d v="2025-07-08T00:00:00"/>
    <x v="1"/>
    <x v="7"/>
    <s v="GMP"/>
    <s v="Premium Economy"/>
    <n v="300"/>
    <n v="593.08000000000004"/>
    <n v="49"/>
    <s v="Delayed"/>
    <n v="177924"/>
    <s v="Jul"/>
    <n v="2025"/>
    <n v="177924"/>
    <s v="Moderate Delay"/>
  </r>
  <r>
    <n v="2386"/>
    <d v="2025-08-08T00:00:00"/>
    <x v="4"/>
    <x v="3"/>
    <s v="BKK"/>
    <s v="Economy"/>
    <n v="195"/>
    <n v="750.68"/>
    <n v="34"/>
    <s v="On Time"/>
    <n v="146382.6"/>
    <s v="Aug"/>
    <n v="2025"/>
    <n v="146382.59999999998"/>
    <s v="Moderate Delay"/>
  </r>
  <r>
    <n v="2387"/>
    <d v="2025-10-30T00:00:00"/>
    <x v="4"/>
    <x v="1"/>
    <s v="PUS"/>
    <s v="Premium Economy"/>
    <n v="190"/>
    <n v="427.52"/>
    <n v="22"/>
    <s v="Delayed"/>
    <n v="81228.800000000003"/>
    <s v="Oct"/>
    <n v="2025"/>
    <n v="81228.800000000003"/>
    <s v="Minor Delay"/>
  </r>
  <r>
    <n v="2388"/>
    <d v="2025-05-10T00:00:00"/>
    <x v="0"/>
    <x v="7"/>
    <s v="ICN"/>
    <s v="Premium Economy"/>
    <n v="299"/>
    <n v="177.14"/>
    <n v="11"/>
    <s v="On Time"/>
    <n v="52964.86"/>
    <s v="May"/>
    <n v="2025"/>
    <n v="52964.859999999993"/>
    <s v="Minor Delay"/>
  </r>
  <r>
    <n v="2389"/>
    <d v="2025-03-11T00:00:00"/>
    <x v="3"/>
    <x v="8"/>
    <s v="GMP"/>
    <s v="Business"/>
    <n v="72"/>
    <n v="170.76"/>
    <n v="35"/>
    <s v="On Time"/>
    <n v="12294.72"/>
    <s v="Mar"/>
    <n v="2025"/>
    <n v="12294.72"/>
    <s v="Moderate Delay"/>
  </r>
  <r>
    <n v="2390"/>
    <d v="2025-08-25T00:00:00"/>
    <x v="5"/>
    <x v="1"/>
    <s v="MNL"/>
    <s v="Business"/>
    <n v="215"/>
    <n v="395.89"/>
    <n v="27"/>
    <s v="On Time"/>
    <n v="85116.35"/>
    <s v="Aug"/>
    <n v="2025"/>
    <n v="85116.349999999991"/>
    <s v="Minor Delay"/>
  </r>
  <r>
    <n v="2391"/>
    <d v="2025-04-21T00:00:00"/>
    <x v="1"/>
    <x v="6"/>
    <s v="MNL"/>
    <s v="Economy"/>
    <n v="159"/>
    <n v="423.01"/>
    <n v="9"/>
    <s v="On Time"/>
    <n v="67258.59"/>
    <s v="Apr"/>
    <n v="2025"/>
    <n v="67258.59"/>
    <s v="Minor Delay"/>
  </r>
  <r>
    <n v="2392"/>
    <d v="2025-08-13T00:00:00"/>
    <x v="3"/>
    <x v="7"/>
    <s v="PUS"/>
    <s v="Premium Economy"/>
    <n v="222"/>
    <n v="625.83000000000004"/>
    <n v="21"/>
    <s v="On Time"/>
    <n v="138934.26"/>
    <s v="Aug"/>
    <n v="2025"/>
    <n v="138934.26"/>
    <s v="Minor Delay"/>
  </r>
  <r>
    <n v="2393"/>
    <d v="2025-11-29T00:00:00"/>
    <x v="5"/>
    <x v="3"/>
    <s v="SIN"/>
    <s v="Premium Economy"/>
    <n v="140"/>
    <n v="235.55"/>
    <n v="8"/>
    <s v="On Time"/>
    <n v="32977"/>
    <s v="Nov"/>
    <n v="2025"/>
    <n v="32977"/>
    <s v="Minor Delay"/>
  </r>
  <r>
    <n v="2394"/>
    <d v="2025-03-01T00:00:00"/>
    <x v="5"/>
    <x v="4"/>
    <s v="PUS"/>
    <s v="Economy"/>
    <n v="211"/>
    <n v="629.77"/>
    <n v="7"/>
    <s v="On Time"/>
    <n v="132881.47"/>
    <s v="Mar"/>
    <n v="2025"/>
    <n v="132881.47"/>
    <s v="Minor Delay"/>
  </r>
  <r>
    <n v="2395"/>
    <d v="2025-09-20T00:00:00"/>
    <x v="3"/>
    <x v="2"/>
    <s v="ICN"/>
    <s v="Business"/>
    <n v="251"/>
    <n v="487.88"/>
    <n v="10"/>
    <s v="On Time"/>
    <n v="122457.88"/>
    <s v="Sep"/>
    <n v="2025"/>
    <n v="122457.88"/>
    <s v="Minor Delay"/>
  </r>
  <r>
    <n v="2396"/>
    <d v="2025-10-28T00:00:00"/>
    <x v="1"/>
    <x v="7"/>
    <s v="GMP"/>
    <s v="Premium Economy"/>
    <n v="265"/>
    <n v="77.400000000000006"/>
    <n v="35"/>
    <s v="On Time"/>
    <n v="20511"/>
    <s v="Oct"/>
    <n v="2025"/>
    <n v="20511"/>
    <s v="Moderate Delay"/>
  </r>
  <r>
    <n v="2397"/>
    <d v="2025-05-25T00:00:00"/>
    <x v="5"/>
    <x v="1"/>
    <s v="NRT"/>
    <s v="Business"/>
    <n v="166"/>
    <n v="651.66"/>
    <n v="19"/>
    <s v="On Time"/>
    <n v="108175.56"/>
    <s v="May"/>
    <n v="2025"/>
    <n v="108175.56"/>
    <s v="Minor Delay"/>
  </r>
  <r>
    <n v="2398"/>
    <d v="2025-10-15T00:00:00"/>
    <x v="2"/>
    <x v="7"/>
    <s v="MNL"/>
    <s v="Premium Economy"/>
    <n v="128"/>
    <n v="288.8"/>
    <n v="22"/>
    <s v="On Time"/>
    <n v="36966.400000000001"/>
    <s v="Oct"/>
    <n v="2025"/>
    <n v="36966.400000000001"/>
    <s v="Minor Delay"/>
  </r>
  <r>
    <n v="2399"/>
    <d v="2025-07-25T00:00:00"/>
    <x v="4"/>
    <x v="1"/>
    <s v="SIN"/>
    <s v="Business"/>
    <n v="164"/>
    <n v="498.88"/>
    <n v="66"/>
    <s v="On Time"/>
    <n v="81816.320000000007"/>
    <s v="Jul"/>
    <n v="2025"/>
    <n v="81816.319999999992"/>
    <s v="Major Delay"/>
  </r>
  <r>
    <n v="2400"/>
    <d v="2025-06-27T00:00:00"/>
    <x v="2"/>
    <x v="2"/>
    <s v="MNL"/>
    <s v="Business"/>
    <n v="58"/>
    <n v="250.13"/>
    <n v="0"/>
    <s v="On Time"/>
    <n v="14507.54"/>
    <s v="Jun"/>
    <n v="2025"/>
    <n v="14507.539999999999"/>
    <s v="On Time"/>
  </r>
  <r>
    <n v="2401"/>
    <d v="2025-05-06T00:00:00"/>
    <x v="4"/>
    <x v="5"/>
    <s v="MNL"/>
    <s v="Premium Economy"/>
    <n v="228"/>
    <n v="223.24"/>
    <n v="30"/>
    <s v="On Time"/>
    <n v="50898.720000000001"/>
    <s v="May"/>
    <n v="2025"/>
    <n v="50898.720000000001"/>
    <s v="Minor Delay"/>
  </r>
  <r>
    <n v="2402"/>
    <d v="2025-11-12T00:00:00"/>
    <x v="0"/>
    <x v="4"/>
    <s v="MNL"/>
    <s v="Premium Economy"/>
    <n v="162"/>
    <n v="118.52"/>
    <n v="51"/>
    <s v="Delayed"/>
    <n v="19200.240000000002"/>
    <s v="Nov"/>
    <n v="2025"/>
    <n v="19200.239999999998"/>
    <s v="Moderate Delay"/>
  </r>
  <r>
    <n v="2403"/>
    <d v="2025-10-19T00:00:00"/>
    <x v="3"/>
    <x v="3"/>
    <s v="CJU"/>
    <s v="Premium Economy"/>
    <n v="107"/>
    <n v="297.61"/>
    <n v="42"/>
    <s v="On Time"/>
    <n v="31844.27"/>
    <s v="Oct"/>
    <n v="2025"/>
    <n v="31844.27"/>
    <s v="Moderate Delay"/>
  </r>
  <r>
    <n v="2404"/>
    <d v="2025-07-08T00:00:00"/>
    <x v="4"/>
    <x v="5"/>
    <s v="PUS"/>
    <s v="Economy"/>
    <n v="91"/>
    <n v="451.47"/>
    <n v="27"/>
    <s v="On Time"/>
    <n v="41083.769999999997"/>
    <s v="Jul"/>
    <n v="2025"/>
    <n v="41083.770000000004"/>
    <s v="Minor Delay"/>
  </r>
  <r>
    <n v="2405"/>
    <d v="2025-06-03T00:00:00"/>
    <x v="0"/>
    <x v="2"/>
    <s v="MNL"/>
    <s v="Economy"/>
    <n v="268"/>
    <n v="292.37"/>
    <n v="12"/>
    <s v="Delayed"/>
    <n v="78355.16"/>
    <s v="Jun"/>
    <n v="2025"/>
    <n v="78355.16"/>
    <s v="Minor Delay"/>
  </r>
  <r>
    <n v="2406"/>
    <d v="2025-06-28T00:00:00"/>
    <x v="4"/>
    <x v="3"/>
    <s v="MNL"/>
    <s v="Premium Economy"/>
    <n v="218"/>
    <n v="381.62"/>
    <n v="49"/>
    <s v="On Time"/>
    <n v="83193.16"/>
    <s v="Jun"/>
    <n v="2025"/>
    <n v="83193.16"/>
    <s v="Moderate Delay"/>
  </r>
  <r>
    <n v="2407"/>
    <d v="2025-05-30T00:00:00"/>
    <x v="3"/>
    <x v="3"/>
    <s v="NRT"/>
    <s v="Economy"/>
    <n v="128"/>
    <n v="584.69000000000005"/>
    <n v="29"/>
    <s v="On Time"/>
    <n v="74840.320000000007"/>
    <s v="May"/>
    <n v="2025"/>
    <n v="74840.320000000007"/>
    <s v="Minor Delay"/>
  </r>
  <r>
    <n v="2408"/>
    <d v="2025-10-19T00:00:00"/>
    <x v="5"/>
    <x v="0"/>
    <s v="MNL"/>
    <s v="Business"/>
    <n v="112"/>
    <n v="617.21"/>
    <n v="0"/>
    <s v="On Time"/>
    <n v="69127.520000000004"/>
    <s v="Oct"/>
    <n v="2025"/>
    <n v="69127.520000000004"/>
    <s v="On Time"/>
  </r>
  <r>
    <n v="2409"/>
    <d v="2025-10-24T00:00:00"/>
    <x v="2"/>
    <x v="4"/>
    <s v="KIX"/>
    <s v="Premium Economy"/>
    <n v="107"/>
    <n v="485.44"/>
    <n v="16"/>
    <s v="On Time"/>
    <n v="51942.080000000002"/>
    <s v="Oct"/>
    <n v="2025"/>
    <n v="51942.080000000002"/>
    <s v="Minor Delay"/>
  </r>
  <r>
    <n v="2410"/>
    <d v="2025-03-16T00:00:00"/>
    <x v="0"/>
    <x v="6"/>
    <s v="CJU"/>
    <s v="Economy"/>
    <n v="201"/>
    <n v="302.86"/>
    <n v="45"/>
    <s v="On Time"/>
    <n v="60874.86"/>
    <s v="Mar"/>
    <n v="2025"/>
    <n v="60874.86"/>
    <s v="Moderate Delay"/>
  </r>
  <r>
    <n v="2411"/>
    <d v="2025-10-22T00:00:00"/>
    <x v="3"/>
    <x v="8"/>
    <s v="PUS"/>
    <s v="Business"/>
    <n v="214"/>
    <n v="630.20000000000005"/>
    <n v="0"/>
    <s v="On Time"/>
    <n v="134862.79999999999"/>
    <s v="Oct"/>
    <n v="2025"/>
    <n v="134862.80000000002"/>
    <s v="On Time"/>
  </r>
  <r>
    <n v="2412"/>
    <d v="2025-02-23T00:00:00"/>
    <x v="1"/>
    <x v="2"/>
    <s v="CJU"/>
    <s v="Business"/>
    <n v="164"/>
    <n v="155.53"/>
    <n v="13"/>
    <s v="On Time"/>
    <n v="25506.92"/>
    <s v="Feb"/>
    <n v="2025"/>
    <n v="25506.920000000002"/>
    <s v="Minor Delay"/>
  </r>
  <r>
    <n v="2413"/>
    <d v="2025-01-23T00:00:00"/>
    <x v="2"/>
    <x v="0"/>
    <s v="SIN"/>
    <s v="Premium Economy"/>
    <n v="127"/>
    <n v="725.44"/>
    <n v="3"/>
    <s v="On Time"/>
    <n v="92130.880000000005"/>
    <s v="Jan"/>
    <n v="2025"/>
    <n v="92130.880000000005"/>
    <s v="Minor Delay"/>
  </r>
  <r>
    <n v="2414"/>
    <d v="2025-06-22T00:00:00"/>
    <x v="2"/>
    <x v="1"/>
    <s v="KIX"/>
    <s v="Business"/>
    <n v="83"/>
    <n v="695.77"/>
    <n v="18"/>
    <s v="On Time"/>
    <n v="57748.91"/>
    <s v="Jun"/>
    <n v="2025"/>
    <n v="57748.909999999996"/>
    <s v="Minor Delay"/>
  </r>
  <r>
    <n v="2415"/>
    <d v="2025-01-22T00:00:00"/>
    <x v="4"/>
    <x v="2"/>
    <s v="ICN"/>
    <s v="Premium Economy"/>
    <n v="195"/>
    <n v="380.3"/>
    <n v="0"/>
    <s v="On Time"/>
    <n v="74158.5"/>
    <s v="Jan"/>
    <n v="2025"/>
    <n v="74158.5"/>
    <s v="On Time"/>
  </r>
  <r>
    <n v="2416"/>
    <d v="2025-01-15T00:00:00"/>
    <x v="0"/>
    <x v="2"/>
    <s v="ICN"/>
    <s v="Business"/>
    <n v="273"/>
    <n v="323.27"/>
    <n v="74"/>
    <s v="On Time"/>
    <n v="88252.71"/>
    <s v="Jan"/>
    <n v="2025"/>
    <n v="88252.709999999992"/>
    <s v="Major Delay"/>
  </r>
  <r>
    <n v="2417"/>
    <d v="2025-08-25T00:00:00"/>
    <x v="4"/>
    <x v="0"/>
    <s v="NRT"/>
    <s v="Premium Economy"/>
    <n v="271"/>
    <n v="323.62"/>
    <n v="13"/>
    <s v="On Time"/>
    <n v="87701.02"/>
    <s v="Aug"/>
    <n v="2025"/>
    <n v="87701.02"/>
    <s v="Minor Delay"/>
  </r>
  <r>
    <n v="2418"/>
    <d v="2025-01-02T00:00:00"/>
    <x v="5"/>
    <x v="3"/>
    <s v="SIN"/>
    <s v="Premium Economy"/>
    <n v="298"/>
    <n v="656.56"/>
    <n v="0"/>
    <s v="Delayed"/>
    <n v="195654.88"/>
    <s v="Jan"/>
    <n v="2025"/>
    <n v="195654.87999999998"/>
    <s v="On Time"/>
  </r>
  <r>
    <n v="2419"/>
    <d v="2025-05-14T00:00:00"/>
    <x v="3"/>
    <x v="2"/>
    <s v="GMP"/>
    <s v="Premium Economy"/>
    <n v="191"/>
    <n v="280.77999999999997"/>
    <n v="18"/>
    <s v="On Time"/>
    <n v="53628.98"/>
    <s v="May"/>
    <n v="2025"/>
    <n v="53628.979999999996"/>
    <s v="Minor Delay"/>
  </r>
  <r>
    <n v="2420"/>
    <d v="2025-04-25T00:00:00"/>
    <x v="5"/>
    <x v="0"/>
    <s v="CJU"/>
    <s v="Business"/>
    <n v="144"/>
    <n v="95.56"/>
    <n v="42"/>
    <s v="On Time"/>
    <n v="13760.64"/>
    <s v="Apr"/>
    <n v="2025"/>
    <n v="13760.64"/>
    <s v="Moderate Delay"/>
  </r>
  <r>
    <n v="2421"/>
    <d v="2025-07-28T00:00:00"/>
    <x v="0"/>
    <x v="7"/>
    <s v="NRT"/>
    <s v="Business"/>
    <n v="239"/>
    <n v="160.44"/>
    <n v="30"/>
    <s v="On Time"/>
    <n v="38345.160000000003"/>
    <s v="Jul"/>
    <n v="2025"/>
    <n v="38345.159999999996"/>
    <s v="Minor Delay"/>
  </r>
  <r>
    <n v="2422"/>
    <d v="2025-07-28T00:00:00"/>
    <x v="0"/>
    <x v="7"/>
    <s v="KIX"/>
    <s v="Business"/>
    <n v="77"/>
    <n v="73.849999999999994"/>
    <n v="7"/>
    <s v="On Time"/>
    <n v="5686.45"/>
    <s v="Jul"/>
    <n v="2025"/>
    <n v="5686.45"/>
    <s v="Minor Delay"/>
  </r>
  <r>
    <n v="2423"/>
    <d v="2025-09-16T00:00:00"/>
    <x v="3"/>
    <x v="8"/>
    <s v="BKK"/>
    <s v="Business"/>
    <n v="222"/>
    <n v="652.74"/>
    <n v="0"/>
    <s v="Delayed"/>
    <n v="144908.28"/>
    <s v="Sep"/>
    <n v="2025"/>
    <n v="144908.28"/>
    <s v="On Time"/>
  </r>
  <r>
    <n v="2424"/>
    <d v="2025-12-30T00:00:00"/>
    <x v="3"/>
    <x v="5"/>
    <s v="BKK"/>
    <s v="Economy"/>
    <n v="195"/>
    <n v="696.66"/>
    <n v="48"/>
    <s v="On Time"/>
    <n v="135848.70000000001"/>
    <s v="Dec"/>
    <n v="2025"/>
    <n v="135848.69999999998"/>
    <s v="Moderate Delay"/>
  </r>
  <r>
    <n v="2425"/>
    <d v="2025-12-01T00:00:00"/>
    <x v="1"/>
    <x v="5"/>
    <s v="PUS"/>
    <s v="Business"/>
    <n v="219"/>
    <n v="779.49"/>
    <n v="1"/>
    <s v="On Time"/>
    <n v="170708.31"/>
    <s v="Dec"/>
    <n v="2025"/>
    <n v="170708.31"/>
    <s v="Minor Delay"/>
  </r>
  <r>
    <n v="2426"/>
    <d v="2025-06-04T00:00:00"/>
    <x v="0"/>
    <x v="2"/>
    <s v="ICN"/>
    <s v="Premium Economy"/>
    <n v="64"/>
    <n v="174.82"/>
    <n v="27"/>
    <s v="On Time"/>
    <n v="11188.48"/>
    <s v="Jun"/>
    <n v="2025"/>
    <n v="11188.48"/>
    <s v="Minor Delay"/>
  </r>
  <r>
    <n v="2427"/>
    <d v="2025-03-25T00:00:00"/>
    <x v="0"/>
    <x v="3"/>
    <s v="ICN"/>
    <s v="Business"/>
    <n v="206"/>
    <n v="758.8"/>
    <n v="0"/>
    <s v="On Time"/>
    <n v="156312.79999999999"/>
    <s v="Mar"/>
    <n v="2025"/>
    <n v="156312.79999999999"/>
    <s v="On Time"/>
  </r>
  <r>
    <n v="2428"/>
    <d v="2025-04-12T00:00:00"/>
    <x v="0"/>
    <x v="3"/>
    <s v="CJU"/>
    <s v="Economy"/>
    <n v="183"/>
    <n v="795.57"/>
    <n v="30"/>
    <s v="On Time"/>
    <n v="145589.31"/>
    <s v="Apr"/>
    <n v="2025"/>
    <n v="145589.31"/>
    <s v="Minor Delay"/>
  </r>
  <r>
    <n v="2429"/>
    <d v="2025-03-11T00:00:00"/>
    <x v="1"/>
    <x v="2"/>
    <s v="ICN"/>
    <s v="Economy"/>
    <n v="134"/>
    <n v="356.94"/>
    <n v="37"/>
    <s v="Delayed"/>
    <n v="47829.96"/>
    <s v="Mar"/>
    <n v="2025"/>
    <n v="47829.96"/>
    <s v="Moderate Delay"/>
  </r>
  <r>
    <n v="2430"/>
    <d v="2025-04-23T00:00:00"/>
    <x v="0"/>
    <x v="2"/>
    <s v="ICN"/>
    <s v="Premium Economy"/>
    <n v="154"/>
    <n v="406.65"/>
    <n v="19"/>
    <s v="On Time"/>
    <n v="62624.1"/>
    <s v="Apr"/>
    <n v="2025"/>
    <n v="62624.1"/>
    <s v="Minor Delay"/>
  </r>
  <r>
    <n v="2431"/>
    <d v="2025-08-22T00:00:00"/>
    <x v="4"/>
    <x v="0"/>
    <s v="MNL"/>
    <s v="Economy"/>
    <n v="162"/>
    <n v="693.37"/>
    <n v="37"/>
    <s v="On Time"/>
    <n v="112325.94"/>
    <s v="Aug"/>
    <n v="2025"/>
    <n v="112325.94"/>
    <s v="Moderate Delay"/>
  </r>
  <r>
    <n v="2432"/>
    <d v="2025-01-30T00:00:00"/>
    <x v="0"/>
    <x v="3"/>
    <s v="PUS"/>
    <s v="Premium Economy"/>
    <n v="214"/>
    <n v="333.94"/>
    <n v="42"/>
    <s v="On Time"/>
    <n v="71463.16"/>
    <s v="Jan"/>
    <n v="2025"/>
    <n v="71463.16"/>
    <s v="Moderate Delay"/>
  </r>
  <r>
    <n v="2433"/>
    <d v="2025-10-25T00:00:00"/>
    <x v="5"/>
    <x v="7"/>
    <s v="NRT"/>
    <s v="Premium Economy"/>
    <n v="258"/>
    <n v="420.85"/>
    <n v="21"/>
    <s v="On Time"/>
    <n v="108579.3"/>
    <s v="Oct"/>
    <n v="2025"/>
    <n v="108579.3"/>
    <s v="Minor Delay"/>
  </r>
  <r>
    <n v="2434"/>
    <d v="2025-03-07T00:00:00"/>
    <x v="5"/>
    <x v="7"/>
    <s v="ICN"/>
    <s v="Premium Economy"/>
    <n v="167"/>
    <n v="110.4"/>
    <n v="37"/>
    <s v="Delayed"/>
    <n v="18436.8"/>
    <s v="Mar"/>
    <n v="2025"/>
    <n v="18436.8"/>
    <s v="Moderate Delay"/>
  </r>
  <r>
    <n v="2435"/>
    <d v="2025-08-21T00:00:00"/>
    <x v="3"/>
    <x v="5"/>
    <s v="CJU"/>
    <s v="Economy"/>
    <n v="295"/>
    <n v="180.92"/>
    <n v="26"/>
    <s v="Delayed"/>
    <n v="53371.4"/>
    <s v="Aug"/>
    <n v="2025"/>
    <n v="53371.399999999994"/>
    <s v="Minor Delay"/>
  </r>
  <r>
    <n v="2436"/>
    <d v="2025-07-31T00:00:00"/>
    <x v="4"/>
    <x v="5"/>
    <s v="SIN"/>
    <s v="Business"/>
    <n v="276"/>
    <n v="464.38"/>
    <n v="0"/>
    <s v="On Time"/>
    <n v="128168.88"/>
    <s v="Jul"/>
    <n v="2025"/>
    <n v="128168.88"/>
    <s v="On Time"/>
  </r>
  <r>
    <n v="2437"/>
    <d v="2025-11-25T00:00:00"/>
    <x v="3"/>
    <x v="0"/>
    <s v="SIN"/>
    <s v="Business"/>
    <n v="176"/>
    <n v="297.63"/>
    <n v="19"/>
    <s v="On Time"/>
    <n v="52382.879999999997"/>
    <s v="Nov"/>
    <n v="2025"/>
    <n v="52382.879999999997"/>
    <s v="Minor Delay"/>
  </r>
  <r>
    <n v="2438"/>
    <d v="2025-01-26T00:00:00"/>
    <x v="2"/>
    <x v="7"/>
    <s v="KIX"/>
    <s v="Premium Economy"/>
    <n v="213"/>
    <n v="460.8"/>
    <n v="31"/>
    <s v="On Time"/>
    <n v="98150.399999999994"/>
    <s v="Jan"/>
    <n v="2025"/>
    <n v="98150.400000000009"/>
    <s v="Moderate Delay"/>
  </r>
  <r>
    <n v="2439"/>
    <d v="2025-12-13T00:00:00"/>
    <x v="2"/>
    <x v="8"/>
    <s v="CJU"/>
    <s v="Business"/>
    <n v="87"/>
    <n v="311.20999999999998"/>
    <n v="26"/>
    <s v="On Time"/>
    <n v="27075.27"/>
    <s v="Dec"/>
    <n v="2025"/>
    <n v="27075.269999999997"/>
    <s v="Minor Delay"/>
  </r>
  <r>
    <n v="2440"/>
    <d v="2025-07-17T00:00:00"/>
    <x v="2"/>
    <x v="5"/>
    <s v="BKK"/>
    <s v="Business"/>
    <n v="122"/>
    <n v="587.33000000000004"/>
    <n v="13"/>
    <s v="Delayed"/>
    <n v="71654.259999999995"/>
    <s v="Jul"/>
    <n v="2025"/>
    <n v="71654.260000000009"/>
    <s v="Minor Delay"/>
  </r>
  <r>
    <n v="2441"/>
    <d v="2025-09-06T00:00:00"/>
    <x v="0"/>
    <x v="7"/>
    <s v="NRT"/>
    <s v="Business"/>
    <n v="98"/>
    <n v="394.01"/>
    <n v="21"/>
    <s v="On Time"/>
    <n v="38612.980000000003"/>
    <s v="Sep"/>
    <n v="2025"/>
    <n v="38612.979999999996"/>
    <s v="Minor Delay"/>
  </r>
  <r>
    <n v="2442"/>
    <d v="2025-02-14T00:00:00"/>
    <x v="1"/>
    <x v="7"/>
    <s v="GMP"/>
    <s v="Economy"/>
    <n v="185"/>
    <n v="398.84"/>
    <n v="10"/>
    <s v="On Time"/>
    <n v="73785.399999999994"/>
    <s v="Feb"/>
    <n v="2025"/>
    <n v="73785.399999999994"/>
    <s v="Minor Delay"/>
  </r>
  <r>
    <n v="2443"/>
    <d v="2025-12-19T00:00:00"/>
    <x v="5"/>
    <x v="2"/>
    <s v="BKK"/>
    <s v="Premium Economy"/>
    <n v="256"/>
    <n v="739.48"/>
    <n v="0"/>
    <s v="Delayed"/>
    <n v="189306.88"/>
    <s v="Dec"/>
    <n v="2025"/>
    <n v="189306.88"/>
    <s v="On Time"/>
  </r>
  <r>
    <n v="2444"/>
    <d v="2025-01-26T00:00:00"/>
    <x v="2"/>
    <x v="0"/>
    <s v="SIN"/>
    <s v="Premium Economy"/>
    <n v="227"/>
    <n v="86.68"/>
    <n v="0"/>
    <s v="On Time"/>
    <n v="19676.36"/>
    <s v="Jan"/>
    <n v="2025"/>
    <n v="19676.36"/>
    <s v="On Time"/>
  </r>
  <r>
    <n v="2445"/>
    <d v="2025-06-30T00:00:00"/>
    <x v="1"/>
    <x v="2"/>
    <s v="CJU"/>
    <s v="Business"/>
    <n v="298"/>
    <n v="518.38"/>
    <n v="19"/>
    <s v="On Time"/>
    <n v="154477.24"/>
    <s v="Jun"/>
    <n v="2025"/>
    <n v="154477.24"/>
    <s v="Minor Delay"/>
  </r>
  <r>
    <n v="2446"/>
    <d v="2025-02-22T00:00:00"/>
    <x v="0"/>
    <x v="0"/>
    <s v="SIN"/>
    <s v="Economy"/>
    <n v="86"/>
    <n v="729.93"/>
    <n v="43"/>
    <s v="Delayed"/>
    <n v="62773.98"/>
    <s v="Feb"/>
    <n v="2025"/>
    <n v="62773.979999999996"/>
    <s v="Moderate Delay"/>
  </r>
  <r>
    <n v="2447"/>
    <d v="2025-04-23T00:00:00"/>
    <x v="5"/>
    <x v="4"/>
    <s v="PUS"/>
    <s v="Premium Economy"/>
    <n v="96"/>
    <n v="181.03"/>
    <n v="6"/>
    <s v="On Time"/>
    <n v="17378.88"/>
    <s v="Apr"/>
    <n v="2025"/>
    <n v="17378.88"/>
    <s v="Minor Delay"/>
  </r>
  <r>
    <n v="2448"/>
    <d v="2025-07-12T00:00:00"/>
    <x v="3"/>
    <x v="1"/>
    <s v="CJU"/>
    <s v="Premium Economy"/>
    <n v="225"/>
    <n v="660.07"/>
    <n v="35"/>
    <s v="On Time"/>
    <n v="148515.75"/>
    <s v="Jul"/>
    <n v="2025"/>
    <n v="148515.75"/>
    <s v="Moderate Delay"/>
  </r>
  <r>
    <n v="2449"/>
    <d v="2025-04-10T00:00:00"/>
    <x v="3"/>
    <x v="1"/>
    <s v="PUS"/>
    <s v="Business"/>
    <n v="50"/>
    <n v="572.34"/>
    <n v="26"/>
    <s v="On Time"/>
    <n v="28617"/>
    <s v="Apr"/>
    <n v="2025"/>
    <n v="28617"/>
    <s v="Minor Delay"/>
  </r>
  <r>
    <n v="2450"/>
    <d v="2025-01-10T00:00:00"/>
    <x v="4"/>
    <x v="4"/>
    <s v="SIN"/>
    <s v="Business"/>
    <n v="265"/>
    <n v="443.74"/>
    <n v="4"/>
    <s v="On Time"/>
    <n v="117591.1"/>
    <s v="Jan"/>
    <n v="2025"/>
    <n v="117591.1"/>
    <s v="Minor Delay"/>
  </r>
  <r>
    <n v="2451"/>
    <d v="2025-05-19T00:00:00"/>
    <x v="2"/>
    <x v="3"/>
    <s v="ICN"/>
    <s v="Economy"/>
    <n v="255"/>
    <n v="183"/>
    <n v="42"/>
    <s v="On Time"/>
    <n v="46665"/>
    <s v="May"/>
    <n v="2025"/>
    <n v="46665"/>
    <s v="Moderate Delay"/>
  </r>
  <r>
    <n v="2452"/>
    <d v="2025-02-06T00:00:00"/>
    <x v="5"/>
    <x v="6"/>
    <s v="KIX"/>
    <s v="Premium Economy"/>
    <n v="98"/>
    <n v="643.14"/>
    <n v="0"/>
    <s v="On Time"/>
    <n v="63027.72"/>
    <s v="Feb"/>
    <n v="2025"/>
    <n v="63027.72"/>
    <s v="On Time"/>
  </r>
  <r>
    <n v="2453"/>
    <d v="2025-07-23T00:00:00"/>
    <x v="2"/>
    <x v="4"/>
    <s v="CJU"/>
    <s v="Business"/>
    <n v="218"/>
    <n v="214.81"/>
    <n v="51"/>
    <s v="On Time"/>
    <n v="46828.58"/>
    <s v="Jul"/>
    <n v="2025"/>
    <n v="46828.58"/>
    <s v="Moderate Delay"/>
  </r>
  <r>
    <n v="2454"/>
    <d v="2025-04-05T00:00:00"/>
    <x v="2"/>
    <x v="2"/>
    <s v="KIX"/>
    <s v="Premium Economy"/>
    <n v="171"/>
    <n v="295.99"/>
    <n v="9"/>
    <s v="On Time"/>
    <n v="50614.29"/>
    <s v="Apr"/>
    <n v="2025"/>
    <n v="50614.29"/>
    <s v="Minor Delay"/>
  </r>
  <r>
    <n v="2455"/>
    <d v="2025-01-09T00:00:00"/>
    <x v="2"/>
    <x v="3"/>
    <s v="CJU"/>
    <s v="Economy"/>
    <n v="276"/>
    <n v="355.53"/>
    <n v="6"/>
    <s v="On Time"/>
    <n v="98126.28"/>
    <s v="Jan"/>
    <n v="2025"/>
    <n v="98126.28"/>
    <s v="Minor Delay"/>
  </r>
  <r>
    <n v="2456"/>
    <d v="2025-10-21T00:00:00"/>
    <x v="3"/>
    <x v="5"/>
    <s v="BKK"/>
    <s v="Economy"/>
    <n v="88"/>
    <n v="498.47"/>
    <n v="16"/>
    <s v="On Time"/>
    <n v="43865.36"/>
    <s v="Oct"/>
    <n v="2025"/>
    <n v="43865.36"/>
    <s v="Minor Delay"/>
  </r>
  <r>
    <n v="2457"/>
    <d v="2025-04-22T00:00:00"/>
    <x v="1"/>
    <x v="3"/>
    <s v="MNL"/>
    <s v="Economy"/>
    <n v="201"/>
    <n v="295.13"/>
    <n v="21"/>
    <s v="On Time"/>
    <n v="59321.13"/>
    <s v="Apr"/>
    <n v="2025"/>
    <n v="59321.13"/>
    <s v="Minor Delay"/>
  </r>
  <r>
    <n v="2458"/>
    <d v="2025-08-26T00:00:00"/>
    <x v="3"/>
    <x v="1"/>
    <s v="PUS"/>
    <s v="Business"/>
    <n v="257"/>
    <n v="174.09"/>
    <n v="0"/>
    <s v="On Time"/>
    <n v="44741.13"/>
    <s v="Aug"/>
    <n v="2025"/>
    <n v="44741.13"/>
    <s v="On Time"/>
  </r>
  <r>
    <n v="2459"/>
    <d v="2025-01-22T00:00:00"/>
    <x v="2"/>
    <x v="4"/>
    <s v="CJU"/>
    <s v="Premium Economy"/>
    <n v="69"/>
    <n v="308.07"/>
    <n v="18"/>
    <s v="On Time"/>
    <n v="21256.83"/>
    <s v="Jan"/>
    <n v="2025"/>
    <n v="21256.829999999998"/>
    <s v="Minor Delay"/>
  </r>
  <r>
    <n v="2460"/>
    <d v="2025-02-19T00:00:00"/>
    <x v="0"/>
    <x v="6"/>
    <s v="KIX"/>
    <s v="Economy"/>
    <n v="235"/>
    <n v="139.16"/>
    <n v="49"/>
    <s v="On Time"/>
    <n v="32702.6"/>
    <s v="Feb"/>
    <n v="2025"/>
    <n v="32702.6"/>
    <s v="Moderate Delay"/>
  </r>
  <r>
    <n v="2461"/>
    <d v="2025-05-20T00:00:00"/>
    <x v="5"/>
    <x v="5"/>
    <s v="GMP"/>
    <s v="Business"/>
    <n v="268"/>
    <n v="689.73"/>
    <n v="15"/>
    <s v="Delayed"/>
    <n v="184847.64"/>
    <s v="May"/>
    <n v="2025"/>
    <n v="184847.64"/>
    <s v="Minor Delay"/>
  </r>
  <r>
    <n v="2462"/>
    <d v="2025-03-19T00:00:00"/>
    <x v="1"/>
    <x v="0"/>
    <s v="PUS"/>
    <s v="Economy"/>
    <n v="250"/>
    <n v="116.44"/>
    <n v="5"/>
    <s v="On Time"/>
    <n v="29110"/>
    <s v="Mar"/>
    <n v="2025"/>
    <n v="29110"/>
    <s v="Minor Delay"/>
  </r>
  <r>
    <n v="2463"/>
    <d v="2025-12-31T00:00:00"/>
    <x v="4"/>
    <x v="6"/>
    <s v="GMP"/>
    <s v="Business"/>
    <n v="89"/>
    <n v="703.6"/>
    <n v="0"/>
    <s v="Cancelled"/>
    <n v="62620.4"/>
    <s v="Dec"/>
    <n v="2025"/>
    <n v="62620.4"/>
    <s v="On Time"/>
  </r>
  <r>
    <n v="2464"/>
    <d v="2025-02-23T00:00:00"/>
    <x v="5"/>
    <x v="4"/>
    <s v="ICN"/>
    <s v="Economy"/>
    <n v="185"/>
    <n v="301.77"/>
    <n v="11"/>
    <s v="On Time"/>
    <n v="55827.45"/>
    <s v="Feb"/>
    <n v="2025"/>
    <n v="55827.45"/>
    <s v="Minor Delay"/>
  </r>
  <r>
    <n v="2465"/>
    <d v="2025-06-08T00:00:00"/>
    <x v="4"/>
    <x v="5"/>
    <s v="MNL"/>
    <s v="Economy"/>
    <n v="264"/>
    <n v="679.25"/>
    <n v="64"/>
    <s v="On Time"/>
    <n v="179322"/>
    <s v="Jun"/>
    <n v="2025"/>
    <n v="179322"/>
    <s v="Major Delay"/>
  </r>
  <r>
    <n v="2466"/>
    <d v="2025-08-15T00:00:00"/>
    <x v="3"/>
    <x v="6"/>
    <s v="MNL"/>
    <s v="Business"/>
    <n v="172"/>
    <n v="240.97"/>
    <n v="20"/>
    <s v="On Time"/>
    <n v="41446.839999999997"/>
    <s v="Aug"/>
    <n v="2025"/>
    <n v="41446.839999999997"/>
    <s v="Minor Delay"/>
  </r>
  <r>
    <n v="2467"/>
    <d v="2025-11-23T00:00:00"/>
    <x v="2"/>
    <x v="3"/>
    <s v="MNL"/>
    <s v="Premium Economy"/>
    <n v="292"/>
    <n v="703.96"/>
    <n v="19"/>
    <s v="On Time"/>
    <n v="205556.32"/>
    <s v="Nov"/>
    <n v="2025"/>
    <n v="205556.32"/>
    <s v="Minor Delay"/>
  </r>
  <r>
    <n v="2468"/>
    <d v="2025-04-22T00:00:00"/>
    <x v="4"/>
    <x v="1"/>
    <s v="CJU"/>
    <s v="Business"/>
    <n v="96"/>
    <n v="142.72999999999999"/>
    <n v="0"/>
    <s v="On Time"/>
    <n v="13702.08"/>
    <s v="Apr"/>
    <n v="2025"/>
    <n v="13702.079999999998"/>
    <s v="On Time"/>
  </r>
  <r>
    <n v="2469"/>
    <d v="2025-04-02T00:00:00"/>
    <x v="1"/>
    <x v="1"/>
    <s v="CJU"/>
    <s v="Economy"/>
    <n v="96"/>
    <n v="72.66"/>
    <n v="17"/>
    <s v="On Time"/>
    <n v="6975.36"/>
    <s v="Apr"/>
    <n v="2025"/>
    <n v="6975.36"/>
    <s v="Minor Delay"/>
  </r>
  <r>
    <n v="2470"/>
    <d v="2025-02-27T00:00:00"/>
    <x v="4"/>
    <x v="4"/>
    <s v="PUS"/>
    <s v="Business"/>
    <n v="174"/>
    <n v="753.87"/>
    <n v="12"/>
    <s v="Delayed"/>
    <n v="131173.38"/>
    <s v="Feb"/>
    <n v="2025"/>
    <n v="131173.38"/>
    <s v="Minor Delay"/>
  </r>
  <r>
    <n v="2471"/>
    <d v="2025-08-30T00:00:00"/>
    <x v="5"/>
    <x v="0"/>
    <s v="CJU"/>
    <s v="Premium Economy"/>
    <n v="89"/>
    <n v="670.78"/>
    <n v="0"/>
    <s v="Delayed"/>
    <n v="59699.42"/>
    <s v="Aug"/>
    <n v="2025"/>
    <n v="59699.42"/>
    <s v="On Time"/>
  </r>
  <r>
    <n v="2472"/>
    <d v="2025-11-30T00:00:00"/>
    <x v="0"/>
    <x v="4"/>
    <s v="GMP"/>
    <s v="Business"/>
    <n v="228"/>
    <n v="207.38"/>
    <n v="39"/>
    <s v="On Time"/>
    <n v="47282.64"/>
    <s v="Nov"/>
    <n v="2025"/>
    <n v="47282.64"/>
    <s v="Moderate Delay"/>
  </r>
  <r>
    <n v="2473"/>
    <d v="2025-04-23T00:00:00"/>
    <x v="2"/>
    <x v="5"/>
    <s v="GMP"/>
    <s v="Premium Economy"/>
    <n v="154"/>
    <n v="75.489999999999995"/>
    <n v="14"/>
    <s v="On Time"/>
    <n v="11625.46"/>
    <s v="Apr"/>
    <n v="2025"/>
    <n v="11625.46"/>
    <s v="Minor Delay"/>
  </r>
  <r>
    <n v="2474"/>
    <d v="2025-04-11T00:00:00"/>
    <x v="3"/>
    <x v="5"/>
    <s v="BKK"/>
    <s v="Economy"/>
    <n v="188"/>
    <n v="309.13"/>
    <n v="5"/>
    <s v="On Time"/>
    <n v="58116.44"/>
    <s v="Apr"/>
    <n v="2025"/>
    <n v="58116.44"/>
    <s v="Minor Delay"/>
  </r>
  <r>
    <n v="2475"/>
    <d v="2025-01-02T00:00:00"/>
    <x v="4"/>
    <x v="2"/>
    <s v="GMP"/>
    <s v="Business"/>
    <n v="61"/>
    <n v="301.70999999999998"/>
    <n v="28"/>
    <s v="On Time"/>
    <n v="18404.310000000001"/>
    <s v="Jan"/>
    <n v="2025"/>
    <n v="18404.309999999998"/>
    <s v="Minor Delay"/>
  </r>
  <r>
    <n v="2476"/>
    <d v="2025-07-01T00:00:00"/>
    <x v="5"/>
    <x v="2"/>
    <s v="ICN"/>
    <s v="Business"/>
    <n v="91"/>
    <n v="744.43"/>
    <n v="36"/>
    <s v="Delayed"/>
    <n v="67743.13"/>
    <s v="Jul"/>
    <n v="2025"/>
    <n v="67743.12999999999"/>
    <s v="Moderate Delay"/>
  </r>
  <r>
    <n v="2477"/>
    <d v="2025-01-31T00:00:00"/>
    <x v="2"/>
    <x v="7"/>
    <s v="ICN"/>
    <s v="Premium Economy"/>
    <n v="186"/>
    <n v="576.15"/>
    <n v="34"/>
    <s v="On Time"/>
    <n v="107163.9"/>
    <s v="Jan"/>
    <n v="2025"/>
    <n v="107163.9"/>
    <s v="Moderate Delay"/>
  </r>
  <r>
    <n v="2478"/>
    <d v="2025-04-01T00:00:00"/>
    <x v="5"/>
    <x v="2"/>
    <s v="NRT"/>
    <s v="Economy"/>
    <n v="275"/>
    <n v="705.34"/>
    <n v="43"/>
    <s v="On Time"/>
    <n v="193968.5"/>
    <s v="Apr"/>
    <n v="2025"/>
    <n v="193968.5"/>
    <s v="Moderate Delay"/>
  </r>
  <r>
    <n v="2479"/>
    <d v="2025-04-20T00:00:00"/>
    <x v="2"/>
    <x v="1"/>
    <s v="PUS"/>
    <s v="Premium Economy"/>
    <n v="280"/>
    <n v="612.77"/>
    <n v="0"/>
    <s v="Delayed"/>
    <n v="171575.6"/>
    <s v="Apr"/>
    <n v="2025"/>
    <n v="171575.6"/>
    <s v="On Time"/>
  </r>
  <r>
    <n v="2480"/>
    <d v="2025-04-01T00:00:00"/>
    <x v="2"/>
    <x v="6"/>
    <s v="BKK"/>
    <s v="Premium Economy"/>
    <n v="76"/>
    <n v="243.4"/>
    <n v="18"/>
    <s v="On Time"/>
    <n v="18498.400000000001"/>
    <s v="Apr"/>
    <n v="2025"/>
    <n v="18498.400000000001"/>
    <s v="Minor Delay"/>
  </r>
  <r>
    <n v="2481"/>
    <d v="2025-02-08T00:00:00"/>
    <x v="0"/>
    <x v="0"/>
    <s v="ICN"/>
    <s v="Economy"/>
    <n v="219"/>
    <n v="434.32"/>
    <n v="49"/>
    <s v="On Time"/>
    <n v="95116.08"/>
    <s v="Feb"/>
    <n v="2025"/>
    <n v="95116.08"/>
    <s v="Moderate Delay"/>
  </r>
  <r>
    <n v="2482"/>
    <d v="2025-12-11T00:00:00"/>
    <x v="5"/>
    <x v="7"/>
    <s v="GMP"/>
    <s v="Business"/>
    <n v="237"/>
    <n v="778.4"/>
    <n v="64"/>
    <s v="On Time"/>
    <n v="184480.8"/>
    <s v="Dec"/>
    <n v="2025"/>
    <n v="184480.8"/>
    <s v="Major Delay"/>
  </r>
  <r>
    <n v="2483"/>
    <d v="2025-11-04T00:00:00"/>
    <x v="3"/>
    <x v="7"/>
    <s v="SIN"/>
    <s v="Economy"/>
    <n v="185"/>
    <n v="412.88"/>
    <n v="8"/>
    <s v="Delayed"/>
    <n v="76382.8"/>
    <s v="Nov"/>
    <n v="2025"/>
    <n v="76382.8"/>
    <s v="Minor Delay"/>
  </r>
  <r>
    <n v="2484"/>
    <d v="2025-09-04T00:00:00"/>
    <x v="2"/>
    <x v="5"/>
    <s v="MNL"/>
    <s v="Premium Economy"/>
    <n v="74"/>
    <n v="541.48"/>
    <n v="0"/>
    <s v="On Time"/>
    <n v="40069.519999999997"/>
    <s v="Sep"/>
    <n v="2025"/>
    <n v="40069.520000000004"/>
    <s v="On Time"/>
  </r>
  <r>
    <n v="2485"/>
    <d v="2025-01-04T00:00:00"/>
    <x v="3"/>
    <x v="3"/>
    <s v="CJU"/>
    <s v="Business"/>
    <n v="183"/>
    <n v="134.33000000000001"/>
    <n v="8"/>
    <s v="On Time"/>
    <n v="24582.39"/>
    <s v="Jan"/>
    <n v="2025"/>
    <n v="24582.390000000003"/>
    <s v="Minor Delay"/>
  </r>
  <r>
    <n v="2486"/>
    <d v="2025-11-07T00:00:00"/>
    <x v="2"/>
    <x v="7"/>
    <s v="SIN"/>
    <s v="Premium Economy"/>
    <n v="79"/>
    <n v="400.88"/>
    <n v="3"/>
    <s v="On Time"/>
    <n v="31669.52"/>
    <s v="Nov"/>
    <n v="2025"/>
    <n v="31669.52"/>
    <s v="Minor Delay"/>
  </r>
  <r>
    <n v="2487"/>
    <d v="2025-10-31T00:00:00"/>
    <x v="2"/>
    <x v="0"/>
    <s v="BKK"/>
    <s v="Business"/>
    <n v="268"/>
    <n v="454.6"/>
    <n v="20"/>
    <s v="On Time"/>
    <n v="121832.8"/>
    <s v="Oct"/>
    <n v="2025"/>
    <n v="121832.8"/>
    <s v="Minor Delay"/>
  </r>
  <r>
    <n v="2488"/>
    <d v="2025-12-12T00:00:00"/>
    <x v="1"/>
    <x v="8"/>
    <s v="CJU"/>
    <s v="Business"/>
    <n v="260"/>
    <n v="601.59"/>
    <n v="58"/>
    <s v="On Time"/>
    <n v="156413.4"/>
    <s v="Dec"/>
    <n v="2025"/>
    <n v="156413.4"/>
    <s v="Moderate Delay"/>
  </r>
  <r>
    <n v="2489"/>
    <d v="2025-12-23T00:00:00"/>
    <x v="2"/>
    <x v="1"/>
    <s v="KIX"/>
    <s v="Business"/>
    <n v="148"/>
    <n v="625.15"/>
    <n v="2"/>
    <s v="Delayed"/>
    <n v="92522.2"/>
    <s v="Dec"/>
    <n v="2025"/>
    <n v="92522.2"/>
    <s v="Minor Delay"/>
  </r>
  <r>
    <n v="2490"/>
    <d v="2025-08-18T00:00:00"/>
    <x v="0"/>
    <x v="7"/>
    <s v="BKK"/>
    <s v="Premium Economy"/>
    <n v="207"/>
    <n v="435.35"/>
    <n v="4"/>
    <s v="On Time"/>
    <n v="90117.45"/>
    <s v="Aug"/>
    <n v="2025"/>
    <n v="90117.450000000012"/>
    <s v="Minor Delay"/>
  </r>
  <r>
    <n v="2491"/>
    <d v="2025-06-16T00:00:00"/>
    <x v="0"/>
    <x v="7"/>
    <s v="BKK"/>
    <s v="Business"/>
    <n v="119"/>
    <n v="556.66"/>
    <n v="17"/>
    <s v="On Time"/>
    <n v="66242.539999999994"/>
    <s v="Jun"/>
    <n v="2025"/>
    <n v="66242.539999999994"/>
    <s v="Minor Delay"/>
  </r>
  <r>
    <n v="2492"/>
    <d v="2025-10-24T00:00:00"/>
    <x v="5"/>
    <x v="4"/>
    <s v="CJU"/>
    <s v="Economy"/>
    <n v="163"/>
    <n v="258.41000000000003"/>
    <n v="17"/>
    <s v="On Time"/>
    <n v="42120.83"/>
    <s v="Oct"/>
    <n v="2025"/>
    <n v="42120.83"/>
    <s v="Minor Delay"/>
  </r>
  <r>
    <n v="2493"/>
    <d v="2025-10-30T00:00:00"/>
    <x v="4"/>
    <x v="1"/>
    <s v="MNL"/>
    <s v="Economy"/>
    <n v="245"/>
    <n v="384.03"/>
    <n v="0"/>
    <s v="On Time"/>
    <n v="94087.35"/>
    <s v="Oct"/>
    <n v="2025"/>
    <n v="94087.349999999991"/>
    <s v="On Time"/>
  </r>
  <r>
    <n v="2494"/>
    <d v="2025-06-07T00:00:00"/>
    <x v="3"/>
    <x v="6"/>
    <s v="MNL"/>
    <s v="Business"/>
    <n v="177"/>
    <n v="248.63"/>
    <n v="0"/>
    <s v="On Time"/>
    <n v="44007.51"/>
    <s v="Jun"/>
    <n v="2025"/>
    <n v="44007.51"/>
    <s v="On Time"/>
  </r>
  <r>
    <n v="2495"/>
    <d v="2025-05-22T00:00:00"/>
    <x v="1"/>
    <x v="4"/>
    <s v="MNL"/>
    <s v="Business"/>
    <n v="99"/>
    <n v="654.02"/>
    <n v="35"/>
    <s v="On Time"/>
    <n v="64747.98"/>
    <s v="May"/>
    <n v="2025"/>
    <n v="64747.979999999996"/>
    <s v="Moderate Delay"/>
  </r>
  <r>
    <n v="2496"/>
    <d v="2025-05-28T00:00:00"/>
    <x v="2"/>
    <x v="8"/>
    <s v="PUS"/>
    <s v="Business"/>
    <n v="291"/>
    <n v="526.14"/>
    <n v="0"/>
    <s v="On Time"/>
    <n v="153106.74"/>
    <s v="May"/>
    <n v="2025"/>
    <n v="153106.74"/>
    <s v="On Time"/>
  </r>
  <r>
    <n v="2497"/>
    <d v="2025-07-14T00:00:00"/>
    <x v="4"/>
    <x v="6"/>
    <s v="GMP"/>
    <s v="Business"/>
    <n v="186"/>
    <n v="80.69"/>
    <n v="19"/>
    <s v="On Time"/>
    <n v="15008.34"/>
    <s v="Jul"/>
    <n v="2025"/>
    <n v="15008.34"/>
    <s v="Minor Delay"/>
  </r>
  <r>
    <n v="2498"/>
    <d v="2025-01-06T00:00:00"/>
    <x v="4"/>
    <x v="6"/>
    <s v="BKK"/>
    <s v="Economy"/>
    <n v="80"/>
    <n v="678.41"/>
    <n v="23"/>
    <s v="Cancelled"/>
    <n v="54272.800000000003"/>
    <s v="Jan"/>
    <n v="2025"/>
    <n v="54272.799999999996"/>
    <s v="Minor Delay"/>
  </r>
  <r>
    <n v="2499"/>
    <d v="2025-03-13T00:00:00"/>
    <x v="2"/>
    <x v="7"/>
    <s v="MNL"/>
    <s v="Economy"/>
    <n v="151"/>
    <n v="356.16"/>
    <n v="0"/>
    <s v="On Time"/>
    <n v="53780.160000000003"/>
    <s v="Mar"/>
    <n v="2025"/>
    <n v="53780.160000000003"/>
    <s v="On Time"/>
  </r>
  <r>
    <n v="2500"/>
    <d v="2025-05-19T00:00:00"/>
    <x v="5"/>
    <x v="6"/>
    <s v="CJU"/>
    <s v="Premium Economy"/>
    <n v="141"/>
    <n v="444.86"/>
    <n v="2"/>
    <s v="On Time"/>
    <n v="62725.26"/>
    <s v="May"/>
    <n v="2025"/>
    <n v="62725.26"/>
    <s v="Minor Delay"/>
  </r>
  <r>
    <n v="2501"/>
    <d v="2025-12-07T00:00:00"/>
    <x v="1"/>
    <x v="5"/>
    <s v="NRT"/>
    <s v="Premium Economy"/>
    <n v="173"/>
    <n v="285.79000000000002"/>
    <n v="32"/>
    <s v="On Time"/>
    <n v="49441.67"/>
    <s v="Dec"/>
    <n v="2025"/>
    <n v="49441.670000000006"/>
    <s v="Moderate Delay"/>
  </r>
  <r>
    <n v="2502"/>
    <d v="2025-02-24T00:00:00"/>
    <x v="5"/>
    <x v="8"/>
    <s v="NRT"/>
    <s v="Premium Economy"/>
    <n v="156"/>
    <n v="788.34"/>
    <n v="0"/>
    <s v="On Time"/>
    <n v="122981.04"/>
    <s v="Feb"/>
    <n v="2025"/>
    <n v="122981.04000000001"/>
    <s v="On Time"/>
  </r>
  <r>
    <n v="2503"/>
    <d v="2025-07-09T00:00:00"/>
    <x v="1"/>
    <x v="7"/>
    <s v="SIN"/>
    <s v="Economy"/>
    <n v="50"/>
    <n v="217.51"/>
    <n v="2"/>
    <s v="On Time"/>
    <n v="10875.5"/>
    <s v="Jul"/>
    <n v="2025"/>
    <n v="10875.5"/>
    <s v="Minor Delay"/>
  </r>
  <r>
    <n v="2504"/>
    <d v="2025-10-31T00:00:00"/>
    <x v="5"/>
    <x v="1"/>
    <s v="GMP"/>
    <s v="Premium Economy"/>
    <n v="215"/>
    <n v="210.45"/>
    <n v="0"/>
    <s v="Delayed"/>
    <n v="45246.75"/>
    <s v="Oct"/>
    <n v="2025"/>
    <n v="45246.75"/>
    <s v="On Time"/>
  </r>
  <r>
    <n v="2505"/>
    <d v="2025-05-30T00:00:00"/>
    <x v="1"/>
    <x v="3"/>
    <s v="MNL"/>
    <s v="Business"/>
    <n v="116"/>
    <n v="627.77"/>
    <n v="29"/>
    <s v="On Time"/>
    <n v="72821.320000000007"/>
    <s v="May"/>
    <n v="2025"/>
    <n v="72821.319999999992"/>
    <s v="Minor Delay"/>
  </r>
  <r>
    <n v="2506"/>
    <d v="2025-08-18T00:00:00"/>
    <x v="5"/>
    <x v="4"/>
    <s v="MNL"/>
    <s v="Economy"/>
    <n v="178"/>
    <n v="623.27"/>
    <n v="45"/>
    <s v="Delayed"/>
    <n v="110942.06"/>
    <s v="Aug"/>
    <n v="2025"/>
    <n v="110942.06"/>
    <s v="Moderate Delay"/>
  </r>
  <r>
    <n v="2507"/>
    <d v="2025-09-29T00:00:00"/>
    <x v="2"/>
    <x v="5"/>
    <s v="CJU"/>
    <s v="Economy"/>
    <n v="156"/>
    <n v="709.86"/>
    <n v="22"/>
    <s v="On Time"/>
    <n v="110738.16"/>
    <s v="Sep"/>
    <n v="2025"/>
    <n v="110738.16"/>
    <s v="Minor Delay"/>
  </r>
  <r>
    <n v="2508"/>
    <d v="2025-07-10T00:00:00"/>
    <x v="3"/>
    <x v="2"/>
    <s v="MNL"/>
    <s v="Economy"/>
    <n v="62"/>
    <n v="230.89"/>
    <n v="14"/>
    <s v="Delayed"/>
    <n v="14315.18"/>
    <s v="Jul"/>
    <n v="2025"/>
    <n v="14315.179999999998"/>
    <s v="Minor Delay"/>
  </r>
  <r>
    <n v="2509"/>
    <d v="2025-03-09T00:00:00"/>
    <x v="5"/>
    <x v="4"/>
    <s v="KIX"/>
    <s v="Business"/>
    <n v="290"/>
    <n v="92.02"/>
    <n v="0"/>
    <s v="Delayed"/>
    <n v="26685.8"/>
    <s v="Mar"/>
    <n v="2025"/>
    <n v="26685.8"/>
    <s v="On Time"/>
  </r>
  <r>
    <n v="2510"/>
    <d v="2025-07-11T00:00:00"/>
    <x v="0"/>
    <x v="6"/>
    <s v="BKK"/>
    <s v="Premium Economy"/>
    <n v="290"/>
    <n v="88.58"/>
    <n v="23"/>
    <s v="On Time"/>
    <n v="25688.2"/>
    <s v="Jul"/>
    <n v="2025"/>
    <n v="25688.2"/>
    <s v="Minor Delay"/>
  </r>
  <r>
    <n v="2511"/>
    <d v="2025-06-15T00:00:00"/>
    <x v="4"/>
    <x v="7"/>
    <s v="GMP"/>
    <s v="Business"/>
    <n v="202"/>
    <n v="382.78"/>
    <n v="0"/>
    <s v="On Time"/>
    <n v="77321.56"/>
    <s v="Jun"/>
    <n v="2025"/>
    <n v="77321.56"/>
    <s v="On Time"/>
  </r>
  <r>
    <n v="2512"/>
    <d v="2025-04-03T00:00:00"/>
    <x v="1"/>
    <x v="7"/>
    <s v="PUS"/>
    <s v="Business"/>
    <n v="52"/>
    <n v="305.52"/>
    <n v="23"/>
    <s v="On Time"/>
    <n v="15887.04"/>
    <s v="Apr"/>
    <n v="2025"/>
    <n v="15887.039999999999"/>
    <s v="Minor Delay"/>
  </r>
  <r>
    <n v="2513"/>
    <d v="2025-01-16T00:00:00"/>
    <x v="4"/>
    <x v="4"/>
    <s v="SIN"/>
    <s v="Premium Economy"/>
    <n v="128"/>
    <n v="415.5"/>
    <n v="0"/>
    <s v="On Time"/>
    <n v="53184"/>
    <s v="Jan"/>
    <n v="2025"/>
    <n v="53184"/>
    <s v="On Time"/>
  </r>
  <r>
    <n v="2514"/>
    <d v="2025-11-02T00:00:00"/>
    <x v="0"/>
    <x v="3"/>
    <s v="BKK"/>
    <s v="Business"/>
    <n v="161"/>
    <n v="301.43"/>
    <n v="40"/>
    <s v="On Time"/>
    <n v="48530.23"/>
    <s v="Nov"/>
    <n v="2025"/>
    <n v="48530.23"/>
    <s v="Moderate Delay"/>
  </r>
  <r>
    <n v="2515"/>
    <d v="2025-06-10T00:00:00"/>
    <x v="1"/>
    <x v="2"/>
    <s v="NRT"/>
    <s v="Premium Economy"/>
    <n v="262"/>
    <n v="120.56"/>
    <n v="34"/>
    <s v="On Time"/>
    <n v="31586.720000000001"/>
    <s v="Jun"/>
    <n v="2025"/>
    <n v="31586.720000000001"/>
    <s v="Moderate Delay"/>
  </r>
  <r>
    <n v="2516"/>
    <d v="2025-12-26T00:00:00"/>
    <x v="5"/>
    <x v="0"/>
    <s v="PUS"/>
    <s v="Economy"/>
    <n v="50"/>
    <n v="608.36"/>
    <n v="37"/>
    <s v="On Time"/>
    <n v="30418"/>
    <s v="Dec"/>
    <n v="2025"/>
    <n v="30418"/>
    <s v="Moderate Delay"/>
  </r>
  <r>
    <n v="2517"/>
    <d v="2025-02-04T00:00:00"/>
    <x v="3"/>
    <x v="7"/>
    <s v="GMP"/>
    <s v="Premium Economy"/>
    <n v="110"/>
    <n v="743.12"/>
    <n v="0"/>
    <s v="On Time"/>
    <n v="81743.199999999997"/>
    <s v="Feb"/>
    <n v="2025"/>
    <n v="81743.199999999997"/>
    <s v="On Time"/>
  </r>
  <r>
    <n v="2518"/>
    <d v="2025-05-19T00:00:00"/>
    <x v="5"/>
    <x v="7"/>
    <s v="MNL"/>
    <s v="Business"/>
    <n v="189"/>
    <n v="601.30999999999995"/>
    <n v="0"/>
    <s v="On Time"/>
    <n v="113647.59"/>
    <s v="May"/>
    <n v="2025"/>
    <n v="113647.59"/>
    <s v="On Time"/>
  </r>
  <r>
    <n v="2519"/>
    <d v="2025-12-31T00:00:00"/>
    <x v="3"/>
    <x v="6"/>
    <s v="KIX"/>
    <s v="Premium Economy"/>
    <n v="191"/>
    <n v="300.3"/>
    <n v="35"/>
    <s v="On Time"/>
    <n v="57357.3"/>
    <s v="Dec"/>
    <n v="2025"/>
    <n v="57357.3"/>
    <s v="Moderate Delay"/>
  </r>
  <r>
    <n v="2520"/>
    <d v="2025-12-31T00:00:00"/>
    <x v="4"/>
    <x v="3"/>
    <s v="CJU"/>
    <s v="Economy"/>
    <n v="153"/>
    <n v="145.59"/>
    <n v="53"/>
    <s v="On Time"/>
    <n v="22275.27"/>
    <s v="Dec"/>
    <n v="2025"/>
    <n v="22275.27"/>
    <s v="Moderate Delay"/>
  </r>
  <r>
    <n v="2521"/>
    <d v="2025-11-11T00:00:00"/>
    <x v="1"/>
    <x v="8"/>
    <s v="KIX"/>
    <s v="Premium Economy"/>
    <n v="67"/>
    <n v="100.51"/>
    <n v="46"/>
    <s v="On Time"/>
    <n v="6734.17"/>
    <s v="Nov"/>
    <n v="2025"/>
    <n v="6734.17"/>
    <s v="Moderate Delay"/>
  </r>
  <r>
    <n v="2522"/>
    <d v="2025-11-03T00:00:00"/>
    <x v="1"/>
    <x v="3"/>
    <s v="NRT"/>
    <s v="Premium Economy"/>
    <n v="164"/>
    <n v="396.04"/>
    <n v="4"/>
    <s v="On Time"/>
    <n v="64950.559999999998"/>
    <s v="Nov"/>
    <n v="2025"/>
    <n v="64950.560000000005"/>
    <s v="Minor Delay"/>
  </r>
  <r>
    <n v="2523"/>
    <d v="2025-11-23T00:00:00"/>
    <x v="0"/>
    <x v="2"/>
    <s v="BKK"/>
    <s v="Premium Economy"/>
    <n v="247"/>
    <n v="164.45"/>
    <n v="0"/>
    <s v="On Time"/>
    <n v="40619.15"/>
    <s v="Nov"/>
    <n v="2025"/>
    <n v="40619.149999999994"/>
    <s v="On Time"/>
  </r>
  <r>
    <n v="2524"/>
    <d v="2025-08-25T00:00:00"/>
    <x v="1"/>
    <x v="4"/>
    <s v="GMP"/>
    <s v="Premium Economy"/>
    <n v="198"/>
    <n v="282.20999999999998"/>
    <n v="31"/>
    <s v="Delayed"/>
    <n v="55877.58"/>
    <s v="Aug"/>
    <n v="2025"/>
    <n v="55877.579999999994"/>
    <s v="Moderate Delay"/>
  </r>
  <r>
    <n v="2525"/>
    <d v="2025-05-14T00:00:00"/>
    <x v="4"/>
    <x v="8"/>
    <s v="PUS"/>
    <s v="Business"/>
    <n v="102"/>
    <n v="87.12"/>
    <n v="23"/>
    <s v="On Time"/>
    <n v="8886.24"/>
    <s v="May"/>
    <n v="2025"/>
    <n v="8886.24"/>
    <s v="Minor Delay"/>
  </r>
  <r>
    <n v="2526"/>
    <d v="2025-09-29T00:00:00"/>
    <x v="0"/>
    <x v="2"/>
    <s v="GMP"/>
    <s v="Premium Economy"/>
    <n v="71"/>
    <n v="706.65"/>
    <n v="49"/>
    <s v="On Time"/>
    <n v="50172.15"/>
    <s v="Sep"/>
    <n v="2025"/>
    <n v="50172.15"/>
    <s v="Moderate Delay"/>
  </r>
  <r>
    <n v="2527"/>
    <d v="2025-11-26T00:00:00"/>
    <x v="5"/>
    <x v="2"/>
    <s v="NRT"/>
    <s v="Business"/>
    <n v="300"/>
    <n v="194.84"/>
    <n v="47"/>
    <s v="On Time"/>
    <n v="58452"/>
    <s v="Nov"/>
    <n v="2025"/>
    <n v="58452"/>
    <s v="Moderate Delay"/>
  </r>
  <r>
    <n v="2528"/>
    <d v="2025-06-30T00:00:00"/>
    <x v="0"/>
    <x v="7"/>
    <s v="GMP"/>
    <s v="Premium Economy"/>
    <n v="189"/>
    <n v="411.66"/>
    <n v="8"/>
    <s v="On Time"/>
    <n v="77803.740000000005"/>
    <s v="Jun"/>
    <n v="2025"/>
    <n v="77803.740000000005"/>
    <s v="Minor Delay"/>
  </r>
  <r>
    <n v="2529"/>
    <d v="2025-04-05T00:00:00"/>
    <x v="4"/>
    <x v="6"/>
    <s v="BKK"/>
    <s v="Business"/>
    <n v="66"/>
    <n v="291.95999999999998"/>
    <n v="47"/>
    <s v="On Time"/>
    <n v="19269.36"/>
    <s v="Apr"/>
    <n v="2025"/>
    <n v="19269.359999999997"/>
    <s v="Moderate Delay"/>
  </r>
  <r>
    <n v="2530"/>
    <d v="2025-04-26T00:00:00"/>
    <x v="2"/>
    <x v="2"/>
    <s v="BKK"/>
    <s v="Business"/>
    <n v="62"/>
    <n v="135.13"/>
    <n v="46"/>
    <s v="On Time"/>
    <n v="8378.06"/>
    <s v="Apr"/>
    <n v="2025"/>
    <n v="8378.06"/>
    <s v="Moderate Delay"/>
  </r>
  <r>
    <n v="2531"/>
    <d v="2025-08-06T00:00:00"/>
    <x v="3"/>
    <x v="0"/>
    <s v="BKK"/>
    <s v="Premium Economy"/>
    <n v="98"/>
    <n v="276.48"/>
    <n v="39"/>
    <s v="On Time"/>
    <n v="27095.040000000001"/>
    <s v="Aug"/>
    <n v="2025"/>
    <n v="27095.040000000001"/>
    <s v="Moderate Delay"/>
  </r>
  <r>
    <n v="2532"/>
    <d v="2025-03-25T00:00:00"/>
    <x v="5"/>
    <x v="8"/>
    <s v="BKK"/>
    <s v="Premium Economy"/>
    <n v="200"/>
    <n v="749.79"/>
    <n v="0"/>
    <s v="Cancelled"/>
    <n v="149958"/>
    <s v="Mar"/>
    <n v="2025"/>
    <n v="149958"/>
    <s v="On Time"/>
  </r>
  <r>
    <n v="2533"/>
    <d v="2025-07-22T00:00:00"/>
    <x v="0"/>
    <x v="2"/>
    <s v="NRT"/>
    <s v="Business"/>
    <n v="204"/>
    <n v="485.94"/>
    <n v="46"/>
    <s v="On Time"/>
    <n v="99131.76"/>
    <s v="Jul"/>
    <n v="2025"/>
    <n v="99131.76"/>
    <s v="Moderate Delay"/>
  </r>
  <r>
    <n v="2534"/>
    <d v="2025-11-09T00:00:00"/>
    <x v="5"/>
    <x v="3"/>
    <s v="ICN"/>
    <s v="Business"/>
    <n v="199"/>
    <n v="644.82000000000005"/>
    <n v="0"/>
    <s v="On Time"/>
    <n v="128319.18"/>
    <s v="Nov"/>
    <n v="2025"/>
    <n v="128319.18000000001"/>
    <s v="On Time"/>
  </r>
  <r>
    <n v="2535"/>
    <d v="2025-09-30T00:00:00"/>
    <x v="5"/>
    <x v="0"/>
    <s v="ICN"/>
    <s v="Business"/>
    <n v="137"/>
    <n v="414.97"/>
    <n v="0"/>
    <s v="On Time"/>
    <n v="56850.89"/>
    <s v="Sep"/>
    <n v="2025"/>
    <n v="56850.890000000007"/>
    <s v="On Time"/>
  </r>
  <r>
    <n v="2536"/>
    <d v="2025-02-18T00:00:00"/>
    <x v="3"/>
    <x v="3"/>
    <s v="CJU"/>
    <s v="Economy"/>
    <n v="188"/>
    <n v="499.89"/>
    <n v="5"/>
    <s v="On Time"/>
    <n v="93979.32"/>
    <s v="Feb"/>
    <n v="2025"/>
    <n v="93979.319999999992"/>
    <s v="Minor Delay"/>
  </r>
  <r>
    <n v="2537"/>
    <d v="2025-03-29T00:00:00"/>
    <x v="3"/>
    <x v="4"/>
    <s v="KIX"/>
    <s v="Premium Economy"/>
    <n v="149"/>
    <n v="264.93"/>
    <n v="60"/>
    <s v="On Time"/>
    <n v="39474.57"/>
    <s v="Mar"/>
    <n v="2025"/>
    <n v="39474.57"/>
    <s v="Moderate Delay"/>
  </r>
  <r>
    <n v="2538"/>
    <d v="2025-08-13T00:00:00"/>
    <x v="0"/>
    <x v="8"/>
    <s v="KIX"/>
    <s v="Business"/>
    <n v="283"/>
    <n v="708.86"/>
    <n v="3"/>
    <s v="Delayed"/>
    <n v="200607.38"/>
    <s v="Aug"/>
    <n v="2025"/>
    <n v="200607.38"/>
    <s v="Minor Delay"/>
  </r>
  <r>
    <n v="2539"/>
    <d v="2025-11-22T00:00:00"/>
    <x v="3"/>
    <x v="8"/>
    <s v="KIX"/>
    <s v="Business"/>
    <n v="139"/>
    <n v="618.13"/>
    <n v="41"/>
    <s v="On Time"/>
    <n v="85920.07"/>
    <s v="Nov"/>
    <n v="2025"/>
    <n v="85920.069999999992"/>
    <s v="Moderate Delay"/>
  </r>
  <r>
    <n v="2540"/>
    <d v="2025-03-15T00:00:00"/>
    <x v="1"/>
    <x v="5"/>
    <s v="PUS"/>
    <s v="Premium Economy"/>
    <n v="240"/>
    <n v="492.02"/>
    <n v="41"/>
    <s v="On Time"/>
    <n v="118084.8"/>
    <s v="Mar"/>
    <n v="2025"/>
    <n v="118084.79999999999"/>
    <s v="Moderate Delay"/>
  </r>
  <r>
    <n v="2541"/>
    <d v="2025-06-03T00:00:00"/>
    <x v="5"/>
    <x v="0"/>
    <s v="PUS"/>
    <s v="Business"/>
    <n v="98"/>
    <n v="533.08000000000004"/>
    <n v="42"/>
    <s v="On Time"/>
    <n v="52241.84"/>
    <s v="Jun"/>
    <n v="2025"/>
    <n v="52241.840000000004"/>
    <s v="Moderate Delay"/>
  </r>
  <r>
    <n v="2542"/>
    <d v="2025-10-25T00:00:00"/>
    <x v="5"/>
    <x v="5"/>
    <s v="BKK"/>
    <s v="Premium Economy"/>
    <n v="284"/>
    <n v="774.46"/>
    <n v="4"/>
    <s v="Delayed"/>
    <n v="219946.64"/>
    <s v="Oct"/>
    <n v="2025"/>
    <n v="219946.64"/>
    <s v="Minor Delay"/>
  </r>
  <r>
    <n v="2543"/>
    <d v="2025-04-16T00:00:00"/>
    <x v="2"/>
    <x v="0"/>
    <s v="KIX"/>
    <s v="Premium Economy"/>
    <n v="244"/>
    <n v="706.65"/>
    <n v="0"/>
    <s v="On Time"/>
    <n v="172422.6"/>
    <s v="Apr"/>
    <n v="2025"/>
    <n v="172422.6"/>
    <s v="On Time"/>
  </r>
  <r>
    <n v="2544"/>
    <d v="2025-04-22T00:00:00"/>
    <x v="3"/>
    <x v="0"/>
    <s v="PUS"/>
    <s v="Economy"/>
    <n v="103"/>
    <n v="450.84"/>
    <n v="16"/>
    <s v="On Time"/>
    <n v="46436.52"/>
    <s v="Apr"/>
    <n v="2025"/>
    <n v="46436.52"/>
    <s v="Minor Delay"/>
  </r>
  <r>
    <n v="2545"/>
    <d v="2025-02-11T00:00:00"/>
    <x v="5"/>
    <x v="1"/>
    <s v="GMP"/>
    <s v="Economy"/>
    <n v="206"/>
    <n v="789.69"/>
    <n v="0"/>
    <s v="On Time"/>
    <n v="162676.14000000001"/>
    <s v="Feb"/>
    <n v="2025"/>
    <n v="162676.14000000001"/>
    <s v="On Time"/>
  </r>
  <r>
    <n v="2546"/>
    <d v="2025-01-12T00:00:00"/>
    <x v="3"/>
    <x v="3"/>
    <s v="ICN"/>
    <s v="Business"/>
    <n v="218"/>
    <n v="738.52"/>
    <n v="21"/>
    <s v="Delayed"/>
    <n v="160997.35999999999"/>
    <s v="Jan"/>
    <n v="2025"/>
    <n v="160997.35999999999"/>
    <s v="Minor Delay"/>
  </r>
  <r>
    <n v="2547"/>
    <d v="2025-08-16T00:00:00"/>
    <x v="2"/>
    <x v="7"/>
    <s v="GMP"/>
    <s v="Business"/>
    <n v="62"/>
    <n v="334.1"/>
    <n v="49"/>
    <s v="Delayed"/>
    <n v="20714.2"/>
    <s v="Aug"/>
    <n v="2025"/>
    <n v="20714.2"/>
    <s v="Moderate Delay"/>
  </r>
  <r>
    <n v="2548"/>
    <d v="2025-07-11T00:00:00"/>
    <x v="1"/>
    <x v="2"/>
    <s v="NRT"/>
    <s v="Business"/>
    <n v="262"/>
    <n v="546.16999999999996"/>
    <n v="59"/>
    <s v="On Time"/>
    <n v="143096.54"/>
    <s v="Jul"/>
    <n v="2025"/>
    <n v="143096.53999999998"/>
    <s v="Moderate Delay"/>
  </r>
  <r>
    <n v="2549"/>
    <d v="2025-08-26T00:00:00"/>
    <x v="3"/>
    <x v="6"/>
    <s v="ICN"/>
    <s v="Economy"/>
    <n v="246"/>
    <n v="678.74"/>
    <n v="14"/>
    <s v="On Time"/>
    <n v="166970.04"/>
    <s v="Aug"/>
    <n v="2025"/>
    <n v="166970.04"/>
    <s v="Minor Delay"/>
  </r>
  <r>
    <n v="2550"/>
    <d v="2025-10-22T00:00:00"/>
    <x v="0"/>
    <x v="0"/>
    <s v="CJU"/>
    <s v="Business"/>
    <n v="70"/>
    <n v="67.72"/>
    <n v="31"/>
    <s v="Delayed"/>
    <n v="4740.3999999999996"/>
    <s v="Oct"/>
    <n v="2025"/>
    <n v="4740.3999999999996"/>
    <s v="Moderate Delay"/>
  </r>
  <r>
    <n v="2551"/>
    <d v="2025-10-21T00:00:00"/>
    <x v="2"/>
    <x v="6"/>
    <s v="CJU"/>
    <s v="Premium Economy"/>
    <n v="84"/>
    <n v="538.28"/>
    <n v="14"/>
    <s v="On Time"/>
    <n v="45215.519999999997"/>
    <s v="Oct"/>
    <n v="2025"/>
    <n v="45215.519999999997"/>
    <s v="Minor Delay"/>
  </r>
  <r>
    <n v="2552"/>
    <d v="2025-12-20T00:00:00"/>
    <x v="5"/>
    <x v="5"/>
    <s v="GMP"/>
    <s v="Premium Economy"/>
    <n v="261"/>
    <n v="455.91"/>
    <n v="31"/>
    <s v="On Time"/>
    <n v="118992.51"/>
    <s v="Dec"/>
    <n v="2025"/>
    <n v="118992.51000000001"/>
    <s v="Moderate Delay"/>
  </r>
  <r>
    <n v="2553"/>
    <d v="2025-01-22T00:00:00"/>
    <x v="4"/>
    <x v="6"/>
    <s v="GMP"/>
    <s v="Premium Economy"/>
    <n v="65"/>
    <n v="710.7"/>
    <n v="7"/>
    <s v="On Time"/>
    <n v="46195.5"/>
    <s v="Jan"/>
    <n v="2025"/>
    <n v="46195.5"/>
    <s v="Minor Delay"/>
  </r>
  <r>
    <n v="2554"/>
    <d v="2025-12-23T00:00:00"/>
    <x v="5"/>
    <x v="0"/>
    <s v="BKK"/>
    <s v="Premium Economy"/>
    <n v="102"/>
    <n v="340.54"/>
    <n v="57"/>
    <s v="On Time"/>
    <n v="34735.08"/>
    <s v="Dec"/>
    <n v="2025"/>
    <n v="34735.08"/>
    <s v="Moderate Delay"/>
  </r>
  <r>
    <n v="2555"/>
    <d v="2025-04-22T00:00:00"/>
    <x v="3"/>
    <x v="8"/>
    <s v="GMP"/>
    <s v="Premium Economy"/>
    <n v="180"/>
    <n v="593.26"/>
    <n v="4"/>
    <s v="On Time"/>
    <n v="106786.8"/>
    <s v="Apr"/>
    <n v="2025"/>
    <n v="106786.8"/>
    <s v="Minor Delay"/>
  </r>
  <r>
    <n v="2556"/>
    <d v="2025-11-17T00:00:00"/>
    <x v="4"/>
    <x v="5"/>
    <s v="GMP"/>
    <s v="Business"/>
    <n v="132"/>
    <n v="781.82"/>
    <n v="30"/>
    <s v="Delayed"/>
    <n v="103200.24"/>
    <s v="Nov"/>
    <n v="2025"/>
    <n v="103200.24"/>
    <s v="Minor Delay"/>
  </r>
  <r>
    <n v="2557"/>
    <d v="2025-07-07T00:00:00"/>
    <x v="3"/>
    <x v="1"/>
    <s v="GMP"/>
    <s v="Premium Economy"/>
    <n v="165"/>
    <n v="552.59"/>
    <n v="39"/>
    <s v="On Time"/>
    <n v="91177.35"/>
    <s v="Jul"/>
    <n v="2025"/>
    <n v="91177.35"/>
    <s v="Moderate Delay"/>
  </r>
  <r>
    <n v="2558"/>
    <d v="2025-10-27T00:00:00"/>
    <x v="2"/>
    <x v="1"/>
    <s v="PUS"/>
    <s v="Business"/>
    <n v="97"/>
    <n v="324.23"/>
    <n v="31"/>
    <s v="On Time"/>
    <n v="31450.31"/>
    <s v="Oct"/>
    <n v="2025"/>
    <n v="31450.31"/>
    <s v="Moderate Delay"/>
  </r>
  <r>
    <n v="2559"/>
    <d v="2025-07-14T00:00:00"/>
    <x v="4"/>
    <x v="0"/>
    <s v="CJU"/>
    <s v="Economy"/>
    <n v="150"/>
    <n v="767.82"/>
    <n v="0"/>
    <s v="Delayed"/>
    <n v="115173"/>
    <s v="Jul"/>
    <n v="2025"/>
    <n v="115173.00000000001"/>
    <s v="On Time"/>
  </r>
  <r>
    <n v="2560"/>
    <d v="2025-09-06T00:00:00"/>
    <x v="0"/>
    <x v="2"/>
    <s v="SIN"/>
    <s v="Premium Economy"/>
    <n v="57"/>
    <n v="692.89"/>
    <n v="0"/>
    <s v="On Time"/>
    <n v="39494.730000000003"/>
    <s v="Sep"/>
    <n v="2025"/>
    <n v="39494.729999999996"/>
    <s v="On Time"/>
  </r>
  <r>
    <n v="2561"/>
    <d v="2025-07-29T00:00:00"/>
    <x v="1"/>
    <x v="1"/>
    <s v="MNL"/>
    <s v="Premium Economy"/>
    <n v="284"/>
    <n v="244.54"/>
    <n v="24"/>
    <s v="Delayed"/>
    <n v="69449.36"/>
    <s v="Jul"/>
    <n v="2025"/>
    <n v="69449.36"/>
    <s v="Minor Delay"/>
  </r>
  <r>
    <n v="2562"/>
    <d v="2025-12-27T00:00:00"/>
    <x v="3"/>
    <x v="4"/>
    <s v="GMP"/>
    <s v="Premium Economy"/>
    <n v="69"/>
    <n v="85.87"/>
    <n v="29"/>
    <s v="On Time"/>
    <n v="5925.03"/>
    <s v="Dec"/>
    <n v="2025"/>
    <n v="5925.0300000000007"/>
    <s v="Minor Delay"/>
  </r>
  <r>
    <n v="2563"/>
    <d v="2025-11-21T00:00:00"/>
    <x v="0"/>
    <x v="8"/>
    <s v="KIX"/>
    <s v="Premium Economy"/>
    <n v="187"/>
    <n v="705.42"/>
    <n v="6"/>
    <s v="Delayed"/>
    <n v="131913.54"/>
    <s v="Nov"/>
    <n v="2025"/>
    <n v="131913.53999999998"/>
    <s v="Minor Delay"/>
  </r>
  <r>
    <n v="2564"/>
    <d v="2025-03-05T00:00:00"/>
    <x v="1"/>
    <x v="5"/>
    <s v="BKK"/>
    <s v="Economy"/>
    <n v="221"/>
    <n v="474.56"/>
    <n v="4"/>
    <s v="On Time"/>
    <n v="104877.75999999999"/>
    <s v="Mar"/>
    <n v="2025"/>
    <n v="104877.75999999999"/>
    <s v="Minor Delay"/>
  </r>
  <r>
    <n v="2565"/>
    <d v="2025-01-05T00:00:00"/>
    <x v="4"/>
    <x v="8"/>
    <s v="PUS"/>
    <s v="Economy"/>
    <n v="174"/>
    <n v="370.58"/>
    <n v="0"/>
    <s v="On Time"/>
    <n v="64480.92"/>
    <s v="Jan"/>
    <n v="2025"/>
    <n v="64480.92"/>
    <s v="On Time"/>
  </r>
  <r>
    <n v="2566"/>
    <d v="2025-11-21T00:00:00"/>
    <x v="4"/>
    <x v="0"/>
    <s v="KIX"/>
    <s v="Business"/>
    <n v="119"/>
    <n v="395.43"/>
    <n v="47"/>
    <s v="On Time"/>
    <n v="47056.17"/>
    <s v="Nov"/>
    <n v="2025"/>
    <n v="47056.17"/>
    <s v="Moderate Delay"/>
  </r>
  <r>
    <n v="2567"/>
    <d v="2025-04-19T00:00:00"/>
    <x v="1"/>
    <x v="2"/>
    <s v="BKK"/>
    <s v="Business"/>
    <n v="155"/>
    <n v="485.6"/>
    <n v="48"/>
    <s v="On Time"/>
    <n v="75268"/>
    <s v="Apr"/>
    <n v="2025"/>
    <n v="75268"/>
    <s v="Moderate Delay"/>
  </r>
  <r>
    <n v="2568"/>
    <d v="2025-03-30T00:00:00"/>
    <x v="5"/>
    <x v="5"/>
    <s v="PUS"/>
    <s v="Business"/>
    <n v="245"/>
    <n v="695.07"/>
    <n v="28"/>
    <s v="Delayed"/>
    <n v="170292.15"/>
    <s v="Mar"/>
    <n v="2025"/>
    <n v="170292.15000000002"/>
    <s v="Minor Delay"/>
  </r>
  <r>
    <n v="2569"/>
    <d v="2025-05-19T00:00:00"/>
    <x v="4"/>
    <x v="6"/>
    <s v="MNL"/>
    <s v="Premium Economy"/>
    <n v="78"/>
    <n v="693.2"/>
    <n v="23"/>
    <s v="On Time"/>
    <n v="54069.599999999999"/>
    <s v="May"/>
    <n v="2025"/>
    <n v="54069.600000000006"/>
    <s v="Minor Delay"/>
  </r>
  <r>
    <n v="2570"/>
    <d v="2025-09-09T00:00:00"/>
    <x v="1"/>
    <x v="8"/>
    <s v="CJU"/>
    <s v="Premium Economy"/>
    <n v="118"/>
    <n v="717.32"/>
    <n v="67"/>
    <s v="On Time"/>
    <n v="84643.76"/>
    <s v="Sep"/>
    <n v="2025"/>
    <n v="84643.760000000009"/>
    <s v="Major Delay"/>
  </r>
  <r>
    <n v="2571"/>
    <d v="2025-02-24T00:00:00"/>
    <x v="2"/>
    <x v="1"/>
    <s v="GMP"/>
    <s v="Premium Economy"/>
    <n v="248"/>
    <n v="593.41999999999996"/>
    <n v="28"/>
    <s v="Delayed"/>
    <n v="147168.16"/>
    <s v="Feb"/>
    <n v="2025"/>
    <n v="147168.16"/>
    <s v="Minor Delay"/>
  </r>
  <r>
    <n v="2572"/>
    <d v="2025-09-17T00:00:00"/>
    <x v="2"/>
    <x v="6"/>
    <s v="GMP"/>
    <s v="Economy"/>
    <n v="190"/>
    <n v="407.72"/>
    <n v="5"/>
    <s v="On Time"/>
    <n v="77466.8"/>
    <s v="Sep"/>
    <n v="2025"/>
    <n v="77466.8"/>
    <s v="Minor Delay"/>
  </r>
  <r>
    <n v="2573"/>
    <d v="2025-04-30T00:00:00"/>
    <x v="0"/>
    <x v="3"/>
    <s v="PUS"/>
    <s v="Premium Economy"/>
    <n v="122"/>
    <n v="623.13"/>
    <n v="0"/>
    <s v="On Time"/>
    <n v="76021.86"/>
    <s v="Apr"/>
    <n v="2025"/>
    <n v="76021.86"/>
    <s v="On Time"/>
  </r>
  <r>
    <n v="2574"/>
    <d v="2025-11-15T00:00:00"/>
    <x v="1"/>
    <x v="5"/>
    <s v="GMP"/>
    <s v="Premium Economy"/>
    <n v="99"/>
    <n v="439.36"/>
    <n v="34"/>
    <s v="On Time"/>
    <n v="43496.639999999999"/>
    <s v="Nov"/>
    <n v="2025"/>
    <n v="43496.639999999999"/>
    <s v="Moderate Delay"/>
  </r>
  <r>
    <n v="2575"/>
    <d v="2025-04-06T00:00:00"/>
    <x v="5"/>
    <x v="1"/>
    <s v="ICN"/>
    <s v="Economy"/>
    <n v="151"/>
    <n v="158.6"/>
    <n v="18"/>
    <s v="On Time"/>
    <n v="23948.6"/>
    <s v="Apr"/>
    <n v="2025"/>
    <n v="23948.6"/>
    <s v="Minor Delay"/>
  </r>
  <r>
    <n v="2576"/>
    <d v="2025-12-02T00:00:00"/>
    <x v="0"/>
    <x v="4"/>
    <s v="GMP"/>
    <s v="Economy"/>
    <n v="278"/>
    <n v="122.89"/>
    <n v="35"/>
    <s v="On Time"/>
    <n v="34163.42"/>
    <s v="Dec"/>
    <n v="2025"/>
    <n v="34163.42"/>
    <s v="Moderate Delay"/>
  </r>
  <r>
    <n v="2577"/>
    <d v="2025-08-25T00:00:00"/>
    <x v="0"/>
    <x v="3"/>
    <s v="SIN"/>
    <s v="Economy"/>
    <n v="118"/>
    <n v="620.89"/>
    <n v="27"/>
    <s v="On Time"/>
    <n v="73265.02"/>
    <s v="Aug"/>
    <n v="2025"/>
    <n v="73265.02"/>
    <s v="Minor Delay"/>
  </r>
  <r>
    <n v="2578"/>
    <d v="2025-10-17T00:00:00"/>
    <x v="0"/>
    <x v="4"/>
    <s v="GMP"/>
    <s v="Economy"/>
    <n v="119"/>
    <n v="334.71"/>
    <n v="23"/>
    <s v="On Time"/>
    <n v="39830.49"/>
    <s v="Oct"/>
    <n v="2025"/>
    <n v="39830.49"/>
    <s v="Minor Delay"/>
  </r>
  <r>
    <n v="2579"/>
    <d v="2025-01-31T00:00:00"/>
    <x v="5"/>
    <x v="6"/>
    <s v="GMP"/>
    <s v="Premium Economy"/>
    <n v="232"/>
    <n v="515.92999999999995"/>
    <n v="48"/>
    <s v="On Time"/>
    <n v="119695.76"/>
    <s v="Jan"/>
    <n v="2025"/>
    <n v="119695.76"/>
    <s v="Moderate Delay"/>
  </r>
  <r>
    <n v="2580"/>
    <d v="2025-01-15T00:00:00"/>
    <x v="5"/>
    <x v="4"/>
    <s v="SIN"/>
    <s v="Business"/>
    <n v="238"/>
    <n v="472.94"/>
    <n v="40"/>
    <s v="On Time"/>
    <n v="112559.72"/>
    <s v="Jan"/>
    <n v="2025"/>
    <n v="112559.72"/>
    <s v="Moderate Delay"/>
  </r>
  <r>
    <n v="2581"/>
    <d v="2025-10-22T00:00:00"/>
    <x v="2"/>
    <x v="1"/>
    <s v="NRT"/>
    <s v="Economy"/>
    <n v="96"/>
    <n v="191.32"/>
    <n v="45"/>
    <s v="On Time"/>
    <n v="18366.72"/>
    <s v="Oct"/>
    <n v="2025"/>
    <n v="18366.72"/>
    <s v="Moderate Delay"/>
  </r>
  <r>
    <n v="2582"/>
    <d v="2025-05-29T00:00:00"/>
    <x v="1"/>
    <x v="7"/>
    <s v="PUS"/>
    <s v="Premium Economy"/>
    <n v="263"/>
    <n v="718.65"/>
    <n v="33"/>
    <s v="On Time"/>
    <n v="189004.95"/>
    <s v="May"/>
    <n v="2025"/>
    <n v="189004.94999999998"/>
    <s v="Moderate Delay"/>
  </r>
  <r>
    <n v="2583"/>
    <d v="2025-08-03T00:00:00"/>
    <x v="1"/>
    <x v="2"/>
    <s v="CJU"/>
    <s v="Economy"/>
    <n v="186"/>
    <n v="673.04"/>
    <n v="35"/>
    <s v="On Time"/>
    <n v="125185.44"/>
    <s v="Aug"/>
    <n v="2025"/>
    <n v="125185.43999999999"/>
    <s v="Moderate Delay"/>
  </r>
  <r>
    <n v="2584"/>
    <d v="2025-12-19T00:00:00"/>
    <x v="2"/>
    <x v="1"/>
    <s v="GMP"/>
    <s v="Economy"/>
    <n v="62"/>
    <n v="411.42"/>
    <n v="25"/>
    <s v="On Time"/>
    <n v="25508.04"/>
    <s v="Dec"/>
    <n v="2025"/>
    <n v="25508.04"/>
    <s v="Minor Delay"/>
  </r>
  <r>
    <n v="2585"/>
    <d v="2025-12-22T00:00:00"/>
    <x v="3"/>
    <x v="1"/>
    <s v="SIN"/>
    <s v="Economy"/>
    <n v="64"/>
    <n v="751.35"/>
    <n v="23"/>
    <s v="On Time"/>
    <n v="48086.400000000001"/>
    <s v="Dec"/>
    <n v="2025"/>
    <n v="48086.400000000001"/>
    <s v="Minor Delay"/>
  </r>
  <r>
    <n v="2586"/>
    <d v="2025-08-01T00:00:00"/>
    <x v="3"/>
    <x v="2"/>
    <s v="MNL"/>
    <s v="Economy"/>
    <n v="67"/>
    <n v="482.72"/>
    <n v="25"/>
    <s v="On Time"/>
    <n v="32342.240000000002"/>
    <s v="Aug"/>
    <n v="2025"/>
    <n v="32342.240000000002"/>
    <s v="Minor Delay"/>
  </r>
  <r>
    <n v="2587"/>
    <d v="2025-01-06T00:00:00"/>
    <x v="4"/>
    <x v="6"/>
    <s v="ICN"/>
    <s v="Premium Economy"/>
    <n v="171"/>
    <n v="507.64"/>
    <n v="31"/>
    <s v="On Time"/>
    <n v="86806.44"/>
    <s v="Jan"/>
    <n v="2025"/>
    <n v="86806.44"/>
    <s v="Moderate Delay"/>
  </r>
  <r>
    <n v="2588"/>
    <d v="2025-01-14T00:00:00"/>
    <x v="2"/>
    <x v="3"/>
    <s v="ICN"/>
    <s v="Economy"/>
    <n v="207"/>
    <n v="401.49"/>
    <n v="22"/>
    <s v="On Time"/>
    <n v="83108.429999999993"/>
    <s v="Jan"/>
    <n v="2025"/>
    <n v="83108.430000000008"/>
    <s v="Minor Delay"/>
  </r>
  <r>
    <n v="2589"/>
    <d v="2025-03-29T00:00:00"/>
    <x v="0"/>
    <x v="5"/>
    <s v="SIN"/>
    <s v="Economy"/>
    <n v="77"/>
    <n v="211.1"/>
    <n v="32"/>
    <s v="On Time"/>
    <n v="16254.7"/>
    <s v="Mar"/>
    <n v="2025"/>
    <n v="16254.699999999999"/>
    <s v="Moderate Delay"/>
  </r>
  <r>
    <n v="2590"/>
    <d v="2025-12-02T00:00:00"/>
    <x v="2"/>
    <x v="8"/>
    <s v="GMP"/>
    <s v="Premium Economy"/>
    <n v="86"/>
    <n v="197.37"/>
    <n v="0"/>
    <s v="On Time"/>
    <n v="16973.82"/>
    <s v="Dec"/>
    <n v="2025"/>
    <n v="16973.82"/>
    <s v="On Time"/>
  </r>
  <r>
    <n v="2591"/>
    <d v="2025-12-30T00:00:00"/>
    <x v="4"/>
    <x v="4"/>
    <s v="BKK"/>
    <s v="Business"/>
    <n v="154"/>
    <n v="646.34"/>
    <n v="32"/>
    <s v="On Time"/>
    <n v="99536.36"/>
    <s v="Dec"/>
    <n v="2025"/>
    <n v="99536.36"/>
    <s v="Moderate Delay"/>
  </r>
  <r>
    <n v="2592"/>
    <d v="2025-01-04T00:00:00"/>
    <x v="2"/>
    <x v="0"/>
    <s v="SIN"/>
    <s v="Premium Economy"/>
    <n v="128"/>
    <n v="241.21"/>
    <n v="19"/>
    <s v="On Time"/>
    <n v="30874.880000000001"/>
    <s v="Jan"/>
    <n v="2025"/>
    <n v="30874.880000000001"/>
    <s v="Minor Delay"/>
  </r>
  <r>
    <n v="2593"/>
    <d v="2025-06-04T00:00:00"/>
    <x v="4"/>
    <x v="7"/>
    <s v="NRT"/>
    <s v="Economy"/>
    <n v="97"/>
    <n v="326.8"/>
    <n v="40"/>
    <s v="On Time"/>
    <n v="31699.599999999999"/>
    <s v="Jun"/>
    <n v="2025"/>
    <n v="31699.600000000002"/>
    <s v="Moderate Delay"/>
  </r>
  <r>
    <n v="2594"/>
    <d v="2025-10-28T00:00:00"/>
    <x v="4"/>
    <x v="7"/>
    <s v="NRT"/>
    <s v="Economy"/>
    <n v="86"/>
    <n v="766.22"/>
    <n v="33"/>
    <s v="Delayed"/>
    <n v="65894.92"/>
    <s v="Oct"/>
    <n v="2025"/>
    <n v="65894.92"/>
    <s v="Moderate Delay"/>
  </r>
  <r>
    <n v="2595"/>
    <d v="2025-06-06T00:00:00"/>
    <x v="3"/>
    <x v="5"/>
    <s v="KIX"/>
    <s v="Premium Economy"/>
    <n v="254"/>
    <n v="683.5"/>
    <n v="38"/>
    <s v="On Time"/>
    <n v="173609"/>
    <s v="Jun"/>
    <n v="2025"/>
    <n v="173609"/>
    <s v="Moderate Delay"/>
  </r>
  <r>
    <n v="2596"/>
    <d v="2025-11-25T00:00:00"/>
    <x v="3"/>
    <x v="7"/>
    <s v="MNL"/>
    <s v="Premium Economy"/>
    <n v="130"/>
    <n v="129.84"/>
    <n v="3"/>
    <s v="Delayed"/>
    <n v="16879.2"/>
    <s v="Nov"/>
    <n v="2025"/>
    <n v="16879.2"/>
    <s v="Minor Delay"/>
  </r>
  <r>
    <n v="2597"/>
    <d v="2025-02-10T00:00:00"/>
    <x v="3"/>
    <x v="8"/>
    <s v="BKK"/>
    <s v="Premium Economy"/>
    <n v="204"/>
    <n v="665.57"/>
    <n v="18"/>
    <s v="Delayed"/>
    <n v="135776.28"/>
    <s v="Feb"/>
    <n v="2025"/>
    <n v="135776.28"/>
    <s v="Minor Delay"/>
  </r>
  <r>
    <n v="2598"/>
    <d v="2025-06-26T00:00:00"/>
    <x v="3"/>
    <x v="7"/>
    <s v="KIX"/>
    <s v="Premium Economy"/>
    <n v="199"/>
    <n v="459.64"/>
    <n v="14"/>
    <s v="On Time"/>
    <n v="91468.36"/>
    <s v="Jun"/>
    <n v="2025"/>
    <n v="91468.36"/>
    <s v="Minor Delay"/>
  </r>
  <r>
    <n v="2599"/>
    <d v="2025-02-24T00:00:00"/>
    <x v="1"/>
    <x v="5"/>
    <s v="PUS"/>
    <s v="Business"/>
    <n v="220"/>
    <n v="141.72999999999999"/>
    <n v="49"/>
    <s v="Delayed"/>
    <n v="31180.6"/>
    <s v="Feb"/>
    <n v="2025"/>
    <n v="31180.6"/>
    <s v="Moderate Delay"/>
  </r>
  <r>
    <n v="2600"/>
    <d v="2025-08-09T00:00:00"/>
    <x v="5"/>
    <x v="0"/>
    <s v="PUS"/>
    <s v="Premium Economy"/>
    <n v="243"/>
    <n v="580.30999999999995"/>
    <n v="11"/>
    <s v="On Time"/>
    <n v="141015.32999999999"/>
    <s v="Aug"/>
    <n v="2025"/>
    <n v="141015.32999999999"/>
    <s v="Minor Delay"/>
  </r>
  <r>
    <n v="2601"/>
    <d v="2025-05-11T00:00:00"/>
    <x v="2"/>
    <x v="6"/>
    <s v="BKK"/>
    <s v="Business"/>
    <n v="159"/>
    <n v="645.46"/>
    <n v="45"/>
    <s v="On Time"/>
    <n v="102628.14"/>
    <s v="May"/>
    <n v="2025"/>
    <n v="102628.14"/>
    <s v="Moderate Delay"/>
  </r>
  <r>
    <n v="2602"/>
    <d v="2025-07-14T00:00:00"/>
    <x v="1"/>
    <x v="2"/>
    <s v="SIN"/>
    <s v="Economy"/>
    <n v="178"/>
    <n v="448.88"/>
    <n v="3"/>
    <s v="On Time"/>
    <n v="79900.639999999999"/>
    <s v="Jul"/>
    <n v="2025"/>
    <n v="79900.639999999999"/>
    <s v="Minor Delay"/>
  </r>
  <r>
    <n v="2603"/>
    <d v="2025-09-19T00:00:00"/>
    <x v="3"/>
    <x v="4"/>
    <s v="ICN"/>
    <s v="Economy"/>
    <n v="162"/>
    <n v="667.44"/>
    <n v="9"/>
    <s v="On Time"/>
    <n v="108125.28"/>
    <s v="Sep"/>
    <n v="2025"/>
    <n v="108125.28000000001"/>
    <s v="Minor Delay"/>
  </r>
  <r>
    <n v="2604"/>
    <d v="2025-05-30T00:00:00"/>
    <x v="5"/>
    <x v="5"/>
    <s v="SIN"/>
    <s v="Business"/>
    <n v="83"/>
    <n v="123.46"/>
    <n v="16"/>
    <s v="On Time"/>
    <n v="10247.18"/>
    <s v="May"/>
    <n v="2025"/>
    <n v="10247.18"/>
    <s v="Minor Delay"/>
  </r>
  <r>
    <n v="2605"/>
    <d v="2025-10-20T00:00:00"/>
    <x v="3"/>
    <x v="5"/>
    <s v="MNL"/>
    <s v="Business"/>
    <n v="245"/>
    <n v="451.52"/>
    <n v="43"/>
    <s v="Delayed"/>
    <n v="110622.39999999999"/>
    <s v="Oct"/>
    <n v="2025"/>
    <n v="110622.39999999999"/>
    <s v="Moderate Delay"/>
  </r>
  <r>
    <n v="2606"/>
    <d v="2025-04-12T00:00:00"/>
    <x v="4"/>
    <x v="1"/>
    <s v="CJU"/>
    <s v="Economy"/>
    <n v="121"/>
    <n v="459.85"/>
    <n v="0"/>
    <s v="On Time"/>
    <n v="55641.85"/>
    <s v="Apr"/>
    <n v="2025"/>
    <n v="55641.850000000006"/>
    <s v="On Time"/>
  </r>
  <r>
    <n v="2607"/>
    <d v="2025-01-21T00:00:00"/>
    <x v="5"/>
    <x v="4"/>
    <s v="SIN"/>
    <s v="Economy"/>
    <n v="80"/>
    <n v="225.76"/>
    <n v="45"/>
    <s v="On Time"/>
    <n v="18060.8"/>
    <s v="Jan"/>
    <n v="2025"/>
    <n v="18060.8"/>
    <s v="Moderate Delay"/>
  </r>
  <r>
    <n v="2608"/>
    <d v="2025-01-05T00:00:00"/>
    <x v="0"/>
    <x v="7"/>
    <s v="PUS"/>
    <s v="Economy"/>
    <n v="92"/>
    <n v="207.48"/>
    <n v="14"/>
    <s v="On Time"/>
    <n v="19088.16"/>
    <s v="Jan"/>
    <n v="2025"/>
    <n v="19088.16"/>
    <s v="Minor Delay"/>
  </r>
  <r>
    <n v="2609"/>
    <d v="2025-07-03T00:00:00"/>
    <x v="4"/>
    <x v="7"/>
    <s v="ICN"/>
    <s v="Economy"/>
    <n v="274"/>
    <n v="214.02"/>
    <n v="21"/>
    <s v="On Time"/>
    <n v="58641.48"/>
    <s v="Jul"/>
    <n v="2025"/>
    <n v="58641.48"/>
    <s v="Minor Delay"/>
  </r>
  <r>
    <n v="2610"/>
    <d v="2025-05-08T00:00:00"/>
    <x v="4"/>
    <x v="6"/>
    <s v="BKK"/>
    <s v="Business"/>
    <n v="232"/>
    <n v="795.61"/>
    <n v="28"/>
    <s v="On Time"/>
    <n v="184581.52"/>
    <s v="May"/>
    <n v="2025"/>
    <n v="184581.52"/>
    <s v="Minor Delay"/>
  </r>
  <r>
    <n v="2611"/>
    <d v="2025-01-02T00:00:00"/>
    <x v="5"/>
    <x v="0"/>
    <s v="ICN"/>
    <s v="Business"/>
    <n v="196"/>
    <n v="628.41"/>
    <n v="10"/>
    <s v="On Time"/>
    <n v="123168.36"/>
    <s v="Jan"/>
    <n v="2025"/>
    <n v="123168.36"/>
    <s v="Minor Delay"/>
  </r>
  <r>
    <n v="2612"/>
    <d v="2025-01-12T00:00:00"/>
    <x v="5"/>
    <x v="1"/>
    <s v="ICN"/>
    <s v="Economy"/>
    <n v="148"/>
    <n v="480.11"/>
    <n v="15"/>
    <s v="On Time"/>
    <n v="71056.28"/>
    <s v="Jan"/>
    <n v="2025"/>
    <n v="71056.28"/>
    <s v="Minor Delay"/>
  </r>
  <r>
    <n v="2613"/>
    <d v="2025-03-13T00:00:00"/>
    <x v="3"/>
    <x v="7"/>
    <s v="NRT"/>
    <s v="Premium Economy"/>
    <n v="101"/>
    <n v="751.03"/>
    <n v="18"/>
    <s v="On Time"/>
    <n v="75854.03"/>
    <s v="Mar"/>
    <n v="2025"/>
    <n v="75854.03"/>
    <s v="Minor Delay"/>
  </r>
  <r>
    <n v="2614"/>
    <d v="2025-07-18T00:00:00"/>
    <x v="1"/>
    <x v="8"/>
    <s v="ICN"/>
    <s v="Business"/>
    <n v="253"/>
    <n v="602.46"/>
    <n v="0"/>
    <s v="On Time"/>
    <n v="152422.38"/>
    <s v="Jul"/>
    <n v="2025"/>
    <n v="152422.38"/>
    <s v="On Time"/>
  </r>
  <r>
    <n v="2615"/>
    <d v="2025-09-03T00:00:00"/>
    <x v="4"/>
    <x v="0"/>
    <s v="MNL"/>
    <s v="Premium Economy"/>
    <n v="112"/>
    <n v="90.07"/>
    <n v="53"/>
    <s v="Delayed"/>
    <n v="10087.84"/>
    <s v="Sep"/>
    <n v="2025"/>
    <n v="10087.84"/>
    <s v="Moderate Delay"/>
  </r>
  <r>
    <n v="2616"/>
    <d v="2025-12-17T00:00:00"/>
    <x v="0"/>
    <x v="6"/>
    <s v="NRT"/>
    <s v="Economy"/>
    <n v="161"/>
    <n v="147.87"/>
    <n v="24"/>
    <s v="On Time"/>
    <n v="23807.07"/>
    <s v="Dec"/>
    <n v="2025"/>
    <n v="23807.07"/>
    <s v="Minor Delay"/>
  </r>
  <r>
    <n v="2617"/>
    <d v="2025-02-12T00:00:00"/>
    <x v="1"/>
    <x v="2"/>
    <s v="SIN"/>
    <s v="Business"/>
    <n v="275"/>
    <n v="123.02"/>
    <n v="48"/>
    <s v="On Time"/>
    <n v="33830.5"/>
    <s v="Feb"/>
    <n v="2025"/>
    <n v="33830.5"/>
    <s v="Moderate Delay"/>
  </r>
  <r>
    <n v="2618"/>
    <d v="2025-09-14T00:00:00"/>
    <x v="0"/>
    <x v="4"/>
    <s v="BKK"/>
    <s v="Business"/>
    <n v="296"/>
    <n v="655.59"/>
    <n v="38"/>
    <s v="On Time"/>
    <n v="194054.64"/>
    <s v="Sep"/>
    <n v="2025"/>
    <n v="194054.64"/>
    <s v="Moderate Delay"/>
  </r>
  <r>
    <n v="2619"/>
    <d v="2025-11-22T00:00:00"/>
    <x v="4"/>
    <x v="5"/>
    <s v="NRT"/>
    <s v="Business"/>
    <n v="53"/>
    <n v="110.63"/>
    <n v="32"/>
    <s v="On Time"/>
    <n v="5863.39"/>
    <s v="Nov"/>
    <n v="2025"/>
    <n v="5863.3899999999994"/>
    <s v="Moderate Delay"/>
  </r>
  <r>
    <n v="2620"/>
    <d v="2025-08-17T00:00:00"/>
    <x v="4"/>
    <x v="1"/>
    <s v="ICN"/>
    <s v="Premium Economy"/>
    <n v="291"/>
    <n v="485.32"/>
    <n v="60"/>
    <s v="On Time"/>
    <n v="141228.12"/>
    <s v="Aug"/>
    <n v="2025"/>
    <n v="141228.12"/>
    <s v="Moderate Delay"/>
  </r>
  <r>
    <n v="2621"/>
    <d v="2025-07-27T00:00:00"/>
    <x v="2"/>
    <x v="4"/>
    <s v="KIX"/>
    <s v="Premium Economy"/>
    <n v="87"/>
    <n v="589.91999999999996"/>
    <n v="46"/>
    <s v="On Time"/>
    <n v="51323.040000000001"/>
    <s v="Jul"/>
    <n v="2025"/>
    <n v="51323.039999999994"/>
    <s v="Moderate Delay"/>
  </r>
  <r>
    <n v="2622"/>
    <d v="2025-12-28T00:00:00"/>
    <x v="5"/>
    <x v="5"/>
    <s v="PUS"/>
    <s v="Economy"/>
    <n v="226"/>
    <n v="435.18"/>
    <n v="37"/>
    <s v="Delayed"/>
    <n v="98350.68"/>
    <s v="Dec"/>
    <n v="2025"/>
    <n v="98350.680000000008"/>
    <s v="Moderate Delay"/>
  </r>
  <r>
    <n v="2623"/>
    <d v="2025-11-02T00:00:00"/>
    <x v="4"/>
    <x v="2"/>
    <s v="SIN"/>
    <s v="Economy"/>
    <n v="88"/>
    <n v="771.12"/>
    <n v="14"/>
    <s v="On Time"/>
    <n v="67858.559999999998"/>
    <s v="Nov"/>
    <n v="2025"/>
    <n v="67858.559999999998"/>
    <s v="Minor Delay"/>
  </r>
  <r>
    <n v="2624"/>
    <d v="2025-05-15T00:00:00"/>
    <x v="3"/>
    <x v="0"/>
    <s v="SIN"/>
    <s v="Premium Economy"/>
    <n v="281"/>
    <n v="160.6"/>
    <n v="24"/>
    <s v="On Time"/>
    <n v="45128.6"/>
    <s v="May"/>
    <n v="2025"/>
    <n v="45128.6"/>
    <s v="Minor Delay"/>
  </r>
  <r>
    <n v="2625"/>
    <d v="2025-07-30T00:00:00"/>
    <x v="4"/>
    <x v="3"/>
    <s v="PUS"/>
    <s v="Economy"/>
    <n v="293"/>
    <n v="748.61"/>
    <n v="4"/>
    <s v="On Time"/>
    <n v="219342.73"/>
    <s v="Jul"/>
    <n v="2025"/>
    <n v="219342.73"/>
    <s v="Minor Delay"/>
  </r>
  <r>
    <n v="2626"/>
    <d v="2025-11-14T00:00:00"/>
    <x v="1"/>
    <x v="0"/>
    <s v="PUS"/>
    <s v="Business"/>
    <n v="293"/>
    <n v="163.22"/>
    <n v="42"/>
    <s v="On Time"/>
    <n v="47823.46"/>
    <s v="Nov"/>
    <n v="2025"/>
    <n v="47823.46"/>
    <s v="Moderate Delay"/>
  </r>
  <r>
    <n v="2627"/>
    <d v="2025-12-18T00:00:00"/>
    <x v="2"/>
    <x v="0"/>
    <s v="CJU"/>
    <s v="Economy"/>
    <n v="210"/>
    <n v="190.75"/>
    <n v="4"/>
    <s v="On Time"/>
    <n v="40057.5"/>
    <s v="Dec"/>
    <n v="2025"/>
    <n v="40057.5"/>
    <s v="Minor Delay"/>
  </r>
  <r>
    <n v="2628"/>
    <d v="2025-02-28T00:00:00"/>
    <x v="1"/>
    <x v="4"/>
    <s v="MNL"/>
    <s v="Economy"/>
    <n v="168"/>
    <n v="505.2"/>
    <n v="3"/>
    <s v="On Time"/>
    <n v="84873.600000000006"/>
    <s v="Feb"/>
    <n v="2025"/>
    <n v="84873.599999999991"/>
    <s v="Minor Delay"/>
  </r>
  <r>
    <n v="2629"/>
    <d v="2025-07-29T00:00:00"/>
    <x v="1"/>
    <x v="4"/>
    <s v="MNL"/>
    <s v="Economy"/>
    <n v="71"/>
    <n v="154.56"/>
    <n v="20"/>
    <s v="On Time"/>
    <n v="10973.76"/>
    <s v="Jul"/>
    <n v="2025"/>
    <n v="10973.76"/>
    <s v="Minor Delay"/>
  </r>
  <r>
    <n v="2630"/>
    <d v="2025-04-13T00:00:00"/>
    <x v="0"/>
    <x v="0"/>
    <s v="PUS"/>
    <s v="Business"/>
    <n v="238"/>
    <n v="792.75"/>
    <n v="33"/>
    <s v="On Time"/>
    <n v="188674.5"/>
    <s v="Apr"/>
    <n v="2025"/>
    <n v="188674.5"/>
    <s v="Moderate Delay"/>
  </r>
  <r>
    <n v="2631"/>
    <d v="2025-02-15T00:00:00"/>
    <x v="0"/>
    <x v="0"/>
    <s v="BKK"/>
    <s v="Economy"/>
    <n v="217"/>
    <n v="729.29"/>
    <n v="57"/>
    <s v="On Time"/>
    <n v="158255.93"/>
    <s v="Feb"/>
    <n v="2025"/>
    <n v="158255.93"/>
    <s v="Moderate Delay"/>
  </r>
  <r>
    <n v="2632"/>
    <d v="2025-06-16T00:00:00"/>
    <x v="0"/>
    <x v="1"/>
    <s v="MNL"/>
    <s v="Business"/>
    <n v="283"/>
    <n v="780.43"/>
    <n v="6"/>
    <s v="On Time"/>
    <n v="220861.69"/>
    <s v="Jun"/>
    <n v="2025"/>
    <n v="220861.68999999997"/>
    <s v="Minor Delay"/>
  </r>
  <r>
    <n v="2633"/>
    <d v="2025-06-06T00:00:00"/>
    <x v="3"/>
    <x v="1"/>
    <s v="ICN"/>
    <s v="Economy"/>
    <n v="278"/>
    <n v="166.8"/>
    <n v="0"/>
    <s v="Delayed"/>
    <n v="46370.400000000001"/>
    <s v="Jun"/>
    <n v="2025"/>
    <n v="46370.400000000001"/>
    <s v="On Time"/>
  </r>
  <r>
    <n v="2634"/>
    <d v="2025-01-13T00:00:00"/>
    <x v="1"/>
    <x v="4"/>
    <s v="MNL"/>
    <s v="Business"/>
    <n v="72"/>
    <n v="306.33999999999997"/>
    <n v="47"/>
    <s v="On Time"/>
    <n v="22056.48"/>
    <s v="Jan"/>
    <n v="2025"/>
    <n v="22056.48"/>
    <s v="Moderate Delay"/>
  </r>
  <r>
    <n v="2635"/>
    <d v="2025-06-08T00:00:00"/>
    <x v="2"/>
    <x v="8"/>
    <s v="PUS"/>
    <s v="Economy"/>
    <n v="116"/>
    <n v="233.81"/>
    <n v="0"/>
    <s v="On Time"/>
    <n v="27121.96"/>
    <s v="Jun"/>
    <n v="2025"/>
    <n v="27121.96"/>
    <s v="On Time"/>
  </r>
  <r>
    <n v="2636"/>
    <d v="2025-03-25T00:00:00"/>
    <x v="4"/>
    <x v="1"/>
    <s v="CJU"/>
    <s v="Economy"/>
    <n v="241"/>
    <n v="562.75"/>
    <n v="10"/>
    <s v="Delayed"/>
    <n v="135622.75"/>
    <s v="Mar"/>
    <n v="2025"/>
    <n v="135622.75"/>
    <s v="Minor Delay"/>
  </r>
  <r>
    <n v="2637"/>
    <d v="2025-08-20T00:00:00"/>
    <x v="1"/>
    <x v="7"/>
    <s v="MNL"/>
    <s v="Business"/>
    <n v="150"/>
    <n v="687"/>
    <n v="12"/>
    <s v="On Time"/>
    <n v="103050"/>
    <s v="Aug"/>
    <n v="2025"/>
    <n v="103050"/>
    <s v="Minor Delay"/>
  </r>
  <r>
    <n v="2638"/>
    <d v="2025-03-08T00:00:00"/>
    <x v="4"/>
    <x v="1"/>
    <s v="CJU"/>
    <s v="Economy"/>
    <n v="294"/>
    <n v="745.68"/>
    <n v="0"/>
    <s v="Delayed"/>
    <n v="219229.92"/>
    <s v="Mar"/>
    <n v="2025"/>
    <n v="219229.91999999998"/>
    <s v="On Time"/>
  </r>
  <r>
    <n v="2639"/>
    <d v="2025-09-19T00:00:00"/>
    <x v="4"/>
    <x v="1"/>
    <s v="SIN"/>
    <s v="Business"/>
    <n v="125"/>
    <n v="410.25"/>
    <n v="37"/>
    <s v="On Time"/>
    <n v="51281.25"/>
    <s v="Sep"/>
    <n v="2025"/>
    <n v="51281.25"/>
    <s v="Moderate Delay"/>
  </r>
  <r>
    <n v="2640"/>
    <d v="2025-01-08T00:00:00"/>
    <x v="1"/>
    <x v="2"/>
    <s v="BKK"/>
    <s v="Premium Economy"/>
    <n v="299"/>
    <n v="750.16"/>
    <n v="0"/>
    <s v="Delayed"/>
    <n v="224297.84"/>
    <s v="Jan"/>
    <n v="2025"/>
    <n v="224297.84"/>
    <s v="On Time"/>
  </r>
  <r>
    <n v="2641"/>
    <d v="2025-06-04T00:00:00"/>
    <x v="0"/>
    <x v="4"/>
    <s v="SIN"/>
    <s v="Economy"/>
    <n v="110"/>
    <n v="291.77"/>
    <n v="17"/>
    <s v="On Time"/>
    <n v="32094.7"/>
    <s v="Jun"/>
    <n v="2025"/>
    <n v="32094.699999999997"/>
    <s v="Minor Delay"/>
  </r>
  <r>
    <n v="2642"/>
    <d v="2025-10-08T00:00:00"/>
    <x v="0"/>
    <x v="1"/>
    <s v="MNL"/>
    <s v="Economy"/>
    <n v="88"/>
    <n v="124.29"/>
    <n v="36"/>
    <s v="On Time"/>
    <n v="10937.52"/>
    <s v="Oct"/>
    <n v="2025"/>
    <n v="10937.52"/>
    <s v="Moderate Delay"/>
  </r>
  <r>
    <n v="2643"/>
    <d v="2025-11-06T00:00:00"/>
    <x v="3"/>
    <x v="1"/>
    <s v="NRT"/>
    <s v="Premium Economy"/>
    <n v="91"/>
    <n v="324.12"/>
    <n v="6"/>
    <s v="Delayed"/>
    <n v="29494.92"/>
    <s v="Nov"/>
    <n v="2025"/>
    <n v="29494.920000000002"/>
    <s v="Minor Delay"/>
  </r>
  <r>
    <n v="2644"/>
    <d v="2025-11-26T00:00:00"/>
    <x v="1"/>
    <x v="4"/>
    <s v="KIX"/>
    <s v="Economy"/>
    <n v="75"/>
    <n v="556.23"/>
    <n v="13"/>
    <s v="On Time"/>
    <n v="41717.25"/>
    <s v="Nov"/>
    <n v="2025"/>
    <n v="41717.25"/>
    <s v="Minor Delay"/>
  </r>
  <r>
    <n v="2645"/>
    <d v="2025-09-29T00:00:00"/>
    <x v="0"/>
    <x v="2"/>
    <s v="GMP"/>
    <s v="Premium Economy"/>
    <n v="113"/>
    <n v="61.87"/>
    <n v="11"/>
    <s v="On Time"/>
    <n v="6991.31"/>
    <s v="Sep"/>
    <n v="2025"/>
    <n v="6991.3099999999995"/>
    <s v="Minor Delay"/>
  </r>
  <r>
    <n v="2646"/>
    <d v="2025-02-03T00:00:00"/>
    <x v="5"/>
    <x v="4"/>
    <s v="CJU"/>
    <s v="Business"/>
    <n v="120"/>
    <n v="494.15"/>
    <n v="4"/>
    <s v="On Time"/>
    <n v="59298"/>
    <s v="Feb"/>
    <n v="2025"/>
    <n v="59298"/>
    <s v="Minor Delay"/>
  </r>
  <r>
    <n v="2647"/>
    <d v="2025-07-27T00:00:00"/>
    <x v="4"/>
    <x v="5"/>
    <s v="MNL"/>
    <s v="Economy"/>
    <n v="138"/>
    <n v="686.59"/>
    <n v="51"/>
    <s v="On Time"/>
    <n v="94749.42"/>
    <s v="Jul"/>
    <n v="2025"/>
    <n v="94749.42"/>
    <s v="Moderate Delay"/>
  </r>
  <r>
    <n v="2648"/>
    <d v="2025-06-09T00:00:00"/>
    <x v="0"/>
    <x v="7"/>
    <s v="BKK"/>
    <s v="Business"/>
    <n v="241"/>
    <n v="266.43"/>
    <n v="0"/>
    <s v="Delayed"/>
    <n v="64209.63"/>
    <s v="Jun"/>
    <n v="2025"/>
    <n v="64209.630000000005"/>
    <s v="On Time"/>
  </r>
  <r>
    <n v="2649"/>
    <d v="2025-01-16T00:00:00"/>
    <x v="1"/>
    <x v="7"/>
    <s v="NRT"/>
    <s v="Business"/>
    <n v="152"/>
    <n v="97.71"/>
    <n v="0"/>
    <s v="On Time"/>
    <n v="14851.92"/>
    <s v="Jan"/>
    <n v="2025"/>
    <n v="14851.919999999998"/>
    <s v="On Time"/>
  </r>
  <r>
    <n v="2650"/>
    <d v="2025-03-14T00:00:00"/>
    <x v="1"/>
    <x v="2"/>
    <s v="SIN"/>
    <s v="Business"/>
    <n v="236"/>
    <n v="534.98"/>
    <n v="0"/>
    <s v="On Time"/>
    <n v="126255.28"/>
    <s v="Mar"/>
    <n v="2025"/>
    <n v="126255.28"/>
    <s v="On Time"/>
  </r>
  <r>
    <n v="2651"/>
    <d v="2025-04-14T00:00:00"/>
    <x v="0"/>
    <x v="5"/>
    <s v="GMP"/>
    <s v="Economy"/>
    <n v="228"/>
    <n v="209.22"/>
    <n v="0"/>
    <s v="On Time"/>
    <n v="47702.16"/>
    <s v="Apr"/>
    <n v="2025"/>
    <n v="47702.159999999996"/>
    <s v="On Time"/>
  </r>
  <r>
    <n v="2652"/>
    <d v="2025-02-15T00:00:00"/>
    <x v="4"/>
    <x v="5"/>
    <s v="CJU"/>
    <s v="Economy"/>
    <n v="290"/>
    <n v="69.77"/>
    <n v="2"/>
    <s v="On Time"/>
    <n v="20233.3"/>
    <s v="Feb"/>
    <n v="2025"/>
    <n v="20233.3"/>
    <s v="Minor Delay"/>
  </r>
  <r>
    <n v="2653"/>
    <d v="2025-05-04T00:00:00"/>
    <x v="1"/>
    <x v="8"/>
    <s v="GMP"/>
    <s v="Business"/>
    <n v="177"/>
    <n v="613.17999999999995"/>
    <n v="0"/>
    <s v="On Time"/>
    <n v="108532.86"/>
    <s v="May"/>
    <n v="2025"/>
    <n v="108532.85999999999"/>
    <s v="On Time"/>
  </r>
  <r>
    <n v="2654"/>
    <d v="2025-02-23T00:00:00"/>
    <x v="3"/>
    <x v="1"/>
    <s v="ICN"/>
    <s v="Premium Economy"/>
    <n v="276"/>
    <n v="746.21"/>
    <n v="5"/>
    <s v="On Time"/>
    <n v="205953.96"/>
    <s v="Feb"/>
    <n v="2025"/>
    <n v="205953.96000000002"/>
    <s v="Minor Delay"/>
  </r>
  <r>
    <n v="2655"/>
    <d v="2025-09-17T00:00:00"/>
    <x v="4"/>
    <x v="3"/>
    <s v="ICN"/>
    <s v="Economy"/>
    <n v="198"/>
    <n v="539.53"/>
    <n v="40"/>
    <s v="Delayed"/>
    <n v="106826.94"/>
    <s v="Sep"/>
    <n v="2025"/>
    <n v="106826.93999999999"/>
    <s v="Moderate Delay"/>
  </r>
  <r>
    <n v="2656"/>
    <d v="2025-01-05T00:00:00"/>
    <x v="3"/>
    <x v="3"/>
    <s v="BKK"/>
    <s v="Economy"/>
    <n v="69"/>
    <n v="212.46"/>
    <n v="0"/>
    <s v="On Time"/>
    <n v="14659.74"/>
    <s v="Jan"/>
    <n v="2025"/>
    <n v="14659.74"/>
    <s v="On Time"/>
  </r>
  <r>
    <n v="2657"/>
    <d v="2025-09-29T00:00:00"/>
    <x v="0"/>
    <x v="2"/>
    <s v="BKK"/>
    <s v="Business"/>
    <n v="80"/>
    <n v="76.75"/>
    <n v="48"/>
    <s v="On Time"/>
    <n v="6140"/>
    <s v="Sep"/>
    <n v="2025"/>
    <n v="6140"/>
    <s v="Moderate Delay"/>
  </r>
  <r>
    <n v="2658"/>
    <d v="2025-08-30T00:00:00"/>
    <x v="0"/>
    <x v="8"/>
    <s v="ICN"/>
    <s v="Premium Economy"/>
    <n v="203"/>
    <n v="622.74"/>
    <n v="5"/>
    <s v="On Time"/>
    <n v="126416.22"/>
    <s v="Aug"/>
    <n v="2025"/>
    <n v="126416.22"/>
    <s v="Minor Delay"/>
  </r>
  <r>
    <n v="2659"/>
    <d v="2025-08-01T00:00:00"/>
    <x v="1"/>
    <x v="8"/>
    <s v="GMP"/>
    <s v="Premium Economy"/>
    <n v="57"/>
    <n v="468.87"/>
    <n v="0"/>
    <s v="On Time"/>
    <n v="26725.59"/>
    <s v="Aug"/>
    <n v="2025"/>
    <n v="26725.59"/>
    <s v="On Time"/>
  </r>
  <r>
    <n v="2660"/>
    <d v="2025-04-14T00:00:00"/>
    <x v="3"/>
    <x v="7"/>
    <s v="PUS"/>
    <s v="Business"/>
    <n v="275"/>
    <n v="621.04"/>
    <n v="16"/>
    <s v="On Time"/>
    <n v="170786"/>
    <s v="Apr"/>
    <n v="2025"/>
    <n v="170786"/>
    <s v="Minor Delay"/>
  </r>
  <r>
    <n v="2661"/>
    <d v="2025-09-04T00:00:00"/>
    <x v="2"/>
    <x v="1"/>
    <s v="NRT"/>
    <s v="Economy"/>
    <n v="187"/>
    <n v="206.49"/>
    <n v="10"/>
    <s v="On Time"/>
    <n v="38613.629999999997"/>
    <s v="Sep"/>
    <n v="2025"/>
    <n v="38613.630000000005"/>
    <s v="Minor Delay"/>
  </r>
  <r>
    <n v="2662"/>
    <d v="2025-01-04T00:00:00"/>
    <x v="0"/>
    <x v="1"/>
    <s v="GMP"/>
    <s v="Premium Economy"/>
    <n v="190"/>
    <n v="71.040000000000006"/>
    <n v="35"/>
    <s v="On Time"/>
    <n v="13497.6"/>
    <s v="Jan"/>
    <n v="2025"/>
    <n v="13497.6"/>
    <s v="Moderate Delay"/>
  </r>
  <r>
    <n v="2663"/>
    <d v="2025-06-30T00:00:00"/>
    <x v="2"/>
    <x v="6"/>
    <s v="KIX"/>
    <s v="Business"/>
    <n v="58"/>
    <n v="70.900000000000006"/>
    <n v="0"/>
    <s v="On Time"/>
    <n v="4112.2"/>
    <s v="Jun"/>
    <n v="2025"/>
    <n v="4112.2000000000007"/>
    <s v="On Time"/>
  </r>
  <r>
    <n v="2664"/>
    <d v="2025-07-22T00:00:00"/>
    <x v="0"/>
    <x v="7"/>
    <s v="NRT"/>
    <s v="Economy"/>
    <n v="298"/>
    <n v="669.94"/>
    <n v="0"/>
    <s v="On Time"/>
    <n v="199642.12"/>
    <s v="Jul"/>
    <n v="2025"/>
    <n v="199642.12000000002"/>
    <s v="On Time"/>
  </r>
  <r>
    <n v="2665"/>
    <d v="2025-11-05T00:00:00"/>
    <x v="3"/>
    <x v="5"/>
    <s v="MNL"/>
    <s v="Premium Economy"/>
    <n v="191"/>
    <n v="320.77999999999997"/>
    <n v="0"/>
    <s v="On Time"/>
    <n v="61268.98"/>
    <s v="Nov"/>
    <n v="2025"/>
    <n v="61268.979999999996"/>
    <s v="On Time"/>
  </r>
  <r>
    <n v="2666"/>
    <d v="2025-12-16T00:00:00"/>
    <x v="3"/>
    <x v="1"/>
    <s v="SIN"/>
    <s v="Premium Economy"/>
    <n v="66"/>
    <n v="383.33"/>
    <n v="26"/>
    <s v="On Time"/>
    <n v="25299.78"/>
    <s v="Dec"/>
    <n v="2025"/>
    <n v="25299.78"/>
    <s v="Minor Delay"/>
  </r>
  <r>
    <n v="2667"/>
    <d v="2025-12-23T00:00:00"/>
    <x v="3"/>
    <x v="2"/>
    <s v="BKK"/>
    <s v="Economy"/>
    <n v="72"/>
    <n v="298.17"/>
    <n v="15"/>
    <s v="Delayed"/>
    <n v="21468.240000000002"/>
    <s v="Dec"/>
    <n v="2025"/>
    <n v="21468.240000000002"/>
    <s v="Minor Delay"/>
  </r>
  <r>
    <n v="2668"/>
    <d v="2025-02-07T00:00:00"/>
    <x v="1"/>
    <x v="7"/>
    <s v="MNL"/>
    <s v="Premium Economy"/>
    <n v="287"/>
    <n v="67.14"/>
    <n v="0"/>
    <s v="On Time"/>
    <n v="19269.18"/>
    <s v="Feb"/>
    <n v="2025"/>
    <n v="19269.18"/>
    <s v="On Time"/>
  </r>
  <r>
    <n v="2669"/>
    <d v="2025-03-22T00:00:00"/>
    <x v="4"/>
    <x v="5"/>
    <s v="KIX"/>
    <s v="Economy"/>
    <n v="229"/>
    <n v="613.55999999999995"/>
    <n v="43"/>
    <s v="On Time"/>
    <n v="140505.24"/>
    <s v="Mar"/>
    <n v="2025"/>
    <n v="140505.24"/>
    <s v="Moderate Delay"/>
  </r>
  <r>
    <n v="2670"/>
    <d v="2025-10-05T00:00:00"/>
    <x v="4"/>
    <x v="7"/>
    <s v="KIX"/>
    <s v="Business"/>
    <n v="66"/>
    <n v="223.09"/>
    <n v="40"/>
    <s v="On Time"/>
    <n v="14723.94"/>
    <s v="Oct"/>
    <n v="2025"/>
    <n v="14723.94"/>
    <s v="Moderate Delay"/>
  </r>
  <r>
    <n v="2671"/>
    <d v="2025-11-04T00:00:00"/>
    <x v="1"/>
    <x v="0"/>
    <s v="MNL"/>
    <s v="Economy"/>
    <n v="130"/>
    <n v="695.03"/>
    <n v="31"/>
    <s v="Delayed"/>
    <n v="90353.9"/>
    <s v="Nov"/>
    <n v="2025"/>
    <n v="90353.9"/>
    <s v="Moderate Delay"/>
  </r>
  <r>
    <n v="2672"/>
    <d v="2025-07-06T00:00:00"/>
    <x v="3"/>
    <x v="1"/>
    <s v="SIN"/>
    <s v="Business"/>
    <n v="149"/>
    <n v="576.73"/>
    <n v="23"/>
    <s v="On Time"/>
    <n v="85932.77"/>
    <s v="Jul"/>
    <n v="2025"/>
    <n v="85932.77"/>
    <s v="Minor Delay"/>
  </r>
  <r>
    <n v="2673"/>
    <d v="2025-12-08T00:00:00"/>
    <x v="5"/>
    <x v="2"/>
    <s v="NRT"/>
    <s v="Premium Economy"/>
    <n v="109"/>
    <n v="289.3"/>
    <n v="21"/>
    <s v="On Time"/>
    <n v="31533.7"/>
    <s v="Dec"/>
    <n v="2025"/>
    <n v="31533.7"/>
    <s v="Minor Delay"/>
  </r>
  <r>
    <n v="2674"/>
    <d v="2025-09-13T00:00:00"/>
    <x v="2"/>
    <x v="0"/>
    <s v="KIX"/>
    <s v="Premium Economy"/>
    <n v="246"/>
    <n v="795.28"/>
    <n v="21"/>
    <s v="On Time"/>
    <n v="195638.88"/>
    <s v="Sep"/>
    <n v="2025"/>
    <n v="195638.88"/>
    <s v="Minor Delay"/>
  </r>
  <r>
    <n v="2675"/>
    <d v="2025-06-13T00:00:00"/>
    <x v="2"/>
    <x v="1"/>
    <s v="GMP"/>
    <s v="Economy"/>
    <n v="191"/>
    <n v="309.35000000000002"/>
    <n v="18"/>
    <s v="On Time"/>
    <n v="59085.85"/>
    <s v="Jun"/>
    <n v="2025"/>
    <n v="59085.850000000006"/>
    <s v="Minor Delay"/>
  </r>
  <r>
    <n v="2676"/>
    <d v="2025-08-18T00:00:00"/>
    <x v="2"/>
    <x v="6"/>
    <s v="GMP"/>
    <s v="Premium Economy"/>
    <n v="256"/>
    <n v="132.88"/>
    <n v="0"/>
    <s v="On Time"/>
    <n v="34017.279999999999"/>
    <s v="Aug"/>
    <n v="2025"/>
    <n v="34017.279999999999"/>
    <s v="On Time"/>
  </r>
  <r>
    <n v="2677"/>
    <d v="2025-09-17T00:00:00"/>
    <x v="1"/>
    <x v="3"/>
    <s v="SIN"/>
    <s v="Premium Economy"/>
    <n v="142"/>
    <n v="252.1"/>
    <n v="0"/>
    <s v="On Time"/>
    <n v="35798.199999999997"/>
    <s v="Sep"/>
    <n v="2025"/>
    <n v="35798.199999999997"/>
    <s v="On Time"/>
  </r>
  <r>
    <n v="2678"/>
    <d v="2025-04-27T00:00:00"/>
    <x v="3"/>
    <x v="8"/>
    <s v="CJU"/>
    <s v="Premium Economy"/>
    <n v="54"/>
    <n v="173.6"/>
    <n v="61"/>
    <s v="On Time"/>
    <n v="9374.4"/>
    <s v="Apr"/>
    <n v="2025"/>
    <n v="9374.4"/>
    <s v="Major Delay"/>
  </r>
  <r>
    <n v="2679"/>
    <d v="2025-05-24T00:00:00"/>
    <x v="2"/>
    <x v="1"/>
    <s v="KIX"/>
    <s v="Premium Economy"/>
    <n v="169"/>
    <n v="164.6"/>
    <n v="3"/>
    <s v="On Time"/>
    <n v="27817.4"/>
    <s v="May"/>
    <n v="2025"/>
    <n v="27817.399999999998"/>
    <s v="Minor Delay"/>
  </r>
  <r>
    <n v="2680"/>
    <d v="2025-09-14T00:00:00"/>
    <x v="2"/>
    <x v="2"/>
    <s v="ICN"/>
    <s v="Economy"/>
    <n v="142"/>
    <n v="344.36"/>
    <n v="40"/>
    <s v="On Time"/>
    <n v="48899.12"/>
    <s v="Sep"/>
    <n v="2025"/>
    <n v="48899.12"/>
    <s v="Moderate Delay"/>
  </r>
  <r>
    <n v="2681"/>
    <d v="2025-09-04T00:00:00"/>
    <x v="3"/>
    <x v="8"/>
    <s v="PUS"/>
    <s v="Business"/>
    <n v="65"/>
    <n v="220.22"/>
    <n v="0"/>
    <s v="On Time"/>
    <n v="14314.3"/>
    <s v="Sep"/>
    <n v="2025"/>
    <n v="14314.3"/>
    <s v="On Time"/>
  </r>
  <r>
    <n v="2682"/>
    <d v="2025-08-15T00:00:00"/>
    <x v="4"/>
    <x v="5"/>
    <s v="PUS"/>
    <s v="Economy"/>
    <n v="265"/>
    <n v="283.27"/>
    <n v="21"/>
    <s v="Delayed"/>
    <n v="75066.55"/>
    <s v="Aug"/>
    <n v="2025"/>
    <n v="75066.549999999988"/>
    <s v="Minor Delay"/>
  </r>
  <r>
    <n v="2683"/>
    <d v="2025-07-16T00:00:00"/>
    <x v="1"/>
    <x v="8"/>
    <s v="CJU"/>
    <s v="Economy"/>
    <n v="194"/>
    <n v="187.84"/>
    <n v="17"/>
    <s v="On Time"/>
    <n v="36440.959999999999"/>
    <s v="Jul"/>
    <n v="2025"/>
    <n v="36440.959999999999"/>
    <s v="Minor Delay"/>
  </r>
  <r>
    <n v="2684"/>
    <d v="2025-08-19T00:00:00"/>
    <x v="0"/>
    <x v="1"/>
    <s v="CJU"/>
    <s v="Business"/>
    <n v="182"/>
    <n v="677.09"/>
    <n v="61"/>
    <s v="Cancelled"/>
    <n v="123230.38"/>
    <s v="Aug"/>
    <n v="2025"/>
    <n v="123230.38"/>
    <s v="Major Delay"/>
  </r>
  <r>
    <n v="2685"/>
    <d v="2025-08-08T00:00:00"/>
    <x v="4"/>
    <x v="8"/>
    <s v="BKK"/>
    <s v="Economy"/>
    <n v="52"/>
    <n v="389.54"/>
    <n v="49"/>
    <s v="On Time"/>
    <n v="20256.080000000002"/>
    <s v="Aug"/>
    <n v="2025"/>
    <n v="20256.080000000002"/>
    <s v="Moderate Delay"/>
  </r>
  <r>
    <n v="2686"/>
    <d v="2025-06-23T00:00:00"/>
    <x v="0"/>
    <x v="0"/>
    <s v="NRT"/>
    <s v="Business"/>
    <n v="190"/>
    <n v="775.5"/>
    <n v="0"/>
    <s v="On Time"/>
    <n v="147345"/>
    <s v="Jun"/>
    <n v="2025"/>
    <n v="147345"/>
    <s v="On Time"/>
  </r>
  <r>
    <n v="2687"/>
    <d v="2025-07-03T00:00:00"/>
    <x v="5"/>
    <x v="1"/>
    <s v="CJU"/>
    <s v="Economy"/>
    <n v="105"/>
    <n v="720.91"/>
    <n v="0"/>
    <s v="On Time"/>
    <n v="75695.55"/>
    <s v="Jul"/>
    <n v="2025"/>
    <n v="75695.55"/>
    <s v="On Time"/>
  </r>
  <r>
    <n v="2688"/>
    <d v="2025-12-10T00:00:00"/>
    <x v="3"/>
    <x v="5"/>
    <s v="MNL"/>
    <s v="Economy"/>
    <n v="254"/>
    <n v="254.8"/>
    <n v="32"/>
    <s v="Delayed"/>
    <n v="64719.199999999997"/>
    <s v="Dec"/>
    <n v="2025"/>
    <n v="64719.200000000004"/>
    <s v="Moderate Delay"/>
  </r>
  <r>
    <n v="2689"/>
    <d v="2025-10-30T00:00:00"/>
    <x v="3"/>
    <x v="6"/>
    <s v="BKK"/>
    <s v="Economy"/>
    <n v="95"/>
    <n v="102.58"/>
    <n v="7"/>
    <s v="On Time"/>
    <n v="9745.1"/>
    <s v="Oct"/>
    <n v="2025"/>
    <n v="9745.1"/>
    <s v="Minor Delay"/>
  </r>
  <r>
    <n v="2690"/>
    <d v="2025-01-14T00:00:00"/>
    <x v="3"/>
    <x v="5"/>
    <s v="BKK"/>
    <s v="Business"/>
    <n v="291"/>
    <n v="677.34"/>
    <n v="40"/>
    <s v="On Time"/>
    <n v="197105.94"/>
    <s v="Jan"/>
    <n v="2025"/>
    <n v="197105.94"/>
    <s v="Moderate Delay"/>
  </r>
  <r>
    <n v="2691"/>
    <d v="2025-10-23T00:00:00"/>
    <x v="2"/>
    <x v="8"/>
    <s v="PUS"/>
    <s v="Business"/>
    <n v="71"/>
    <n v="768.17"/>
    <n v="0"/>
    <s v="On Time"/>
    <n v="54540.07"/>
    <s v="Oct"/>
    <n v="2025"/>
    <n v="54540.07"/>
    <s v="On Time"/>
  </r>
  <r>
    <n v="2692"/>
    <d v="2025-06-10T00:00:00"/>
    <x v="0"/>
    <x v="4"/>
    <s v="ICN"/>
    <s v="Business"/>
    <n v="217"/>
    <n v="606.02"/>
    <n v="63"/>
    <s v="On Time"/>
    <n v="131506.34"/>
    <s v="Jun"/>
    <n v="2025"/>
    <n v="131506.34"/>
    <s v="Major Delay"/>
  </r>
  <r>
    <n v="2693"/>
    <d v="2025-09-14T00:00:00"/>
    <x v="5"/>
    <x v="5"/>
    <s v="SIN"/>
    <s v="Premium Economy"/>
    <n v="177"/>
    <n v="585.9"/>
    <n v="11"/>
    <s v="Delayed"/>
    <n v="103704.3"/>
    <s v="Sep"/>
    <n v="2025"/>
    <n v="103704.3"/>
    <s v="Minor Delay"/>
  </r>
  <r>
    <n v="2694"/>
    <d v="2025-09-27T00:00:00"/>
    <x v="4"/>
    <x v="5"/>
    <s v="NRT"/>
    <s v="Economy"/>
    <n v="266"/>
    <n v="193.89"/>
    <n v="32"/>
    <s v="On Time"/>
    <n v="51574.74"/>
    <s v="Sep"/>
    <n v="2025"/>
    <n v="51574.74"/>
    <s v="Moderate Delay"/>
  </r>
  <r>
    <n v="2695"/>
    <d v="2025-08-22T00:00:00"/>
    <x v="3"/>
    <x v="1"/>
    <s v="CJU"/>
    <s v="Economy"/>
    <n v="96"/>
    <n v="104.13"/>
    <n v="46"/>
    <s v="On Time"/>
    <n v="9996.48"/>
    <s v="Aug"/>
    <n v="2025"/>
    <n v="9996.48"/>
    <s v="Moderate Delay"/>
  </r>
  <r>
    <n v="2696"/>
    <d v="2025-02-08T00:00:00"/>
    <x v="2"/>
    <x v="0"/>
    <s v="CJU"/>
    <s v="Premium Economy"/>
    <n v="216"/>
    <n v="716.39"/>
    <n v="73"/>
    <s v="On Time"/>
    <n v="154740.24"/>
    <s v="Feb"/>
    <n v="2025"/>
    <n v="154740.24"/>
    <s v="Major Delay"/>
  </r>
  <r>
    <n v="2697"/>
    <d v="2025-02-24T00:00:00"/>
    <x v="2"/>
    <x v="0"/>
    <s v="SIN"/>
    <s v="Economy"/>
    <n v="64"/>
    <n v="636.78"/>
    <n v="48"/>
    <s v="On Time"/>
    <n v="40753.919999999998"/>
    <s v="Feb"/>
    <n v="2025"/>
    <n v="40753.919999999998"/>
    <s v="Moderate Delay"/>
  </r>
  <r>
    <n v="2698"/>
    <d v="2025-10-10T00:00:00"/>
    <x v="2"/>
    <x v="4"/>
    <s v="KIX"/>
    <s v="Business"/>
    <n v="191"/>
    <n v="232.19"/>
    <n v="63"/>
    <s v="On Time"/>
    <n v="44348.29"/>
    <s v="Oct"/>
    <n v="2025"/>
    <n v="44348.29"/>
    <s v="Major Delay"/>
  </r>
  <r>
    <n v="2699"/>
    <d v="2025-10-24T00:00:00"/>
    <x v="1"/>
    <x v="0"/>
    <s v="MNL"/>
    <s v="Economy"/>
    <n v="199"/>
    <n v="693.79"/>
    <n v="22"/>
    <s v="On Time"/>
    <n v="138064.21"/>
    <s v="Oct"/>
    <n v="2025"/>
    <n v="138064.21"/>
    <s v="Minor Delay"/>
  </r>
  <r>
    <n v="2700"/>
    <d v="2025-02-18T00:00:00"/>
    <x v="4"/>
    <x v="1"/>
    <s v="ICN"/>
    <s v="Economy"/>
    <n v="223"/>
    <n v="354.17"/>
    <n v="25"/>
    <s v="On Time"/>
    <n v="78979.91"/>
    <s v="Feb"/>
    <n v="2025"/>
    <n v="78979.91"/>
    <s v="Minor Delay"/>
  </r>
  <r>
    <n v="2701"/>
    <d v="2025-08-05T00:00:00"/>
    <x v="5"/>
    <x v="0"/>
    <s v="ICN"/>
    <s v="Economy"/>
    <n v="272"/>
    <n v="112.88"/>
    <n v="0"/>
    <s v="On Time"/>
    <n v="30703.360000000001"/>
    <s v="Aug"/>
    <n v="2025"/>
    <n v="30703.360000000001"/>
    <s v="On Time"/>
  </r>
  <r>
    <n v="2702"/>
    <d v="2025-07-24T00:00:00"/>
    <x v="0"/>
    <x v="2"/>
    <s v="GMP"/>
    <s v="Premium Economy"/>
    <n v="277"/>
    <n v="636.11"/>
    <n v="31"/>
    <s v="Delayed"/>
    <n v="176202.47"/>
    <s v="Jul"/>
    <n v="2025"/>
    <n v="176202.47"/>
    <s v="Moderate Delay"/>
  </r>
  <r>
    <n v="2703"/>
    <d v="2025-05-30T00:00:00"/>
    <x v="5"/>
    <x v="5"/>
    <s v="GMP"/>
    <s v="Economy"/>
    <n v="103"/>
    <n v="196.71"/>
    <n v="28"/>
    <s v="Delayed"/>
    <n v="20261.13"/>
    <s v="May"/>
    <n v="2025"/>
    <n v="20261.13"/>
    <s v="Minor Delay"/>
  </r>
  <r>
    <n v="2704"/>
    <d v="2025-02-27T00:00:00"/>
    <x v="2"/>
    <x v="1"/>
    <s v="PUS"/>
    <s v="Economy"/>
    <n v="194"/>
    <n v="266.19"/>
    <n v="6"/>
    <s v="On Time"/>
    <n v="51640.86"/>
    <s v="Feb"/>
    <n v="2025"/>
    <n v="51640.86"/>
    <s v="Minor Delay"/>
  </r>
  <r>
    <n v="2705"/>
    <d v="2025-10-04T00:00:00"/>
    <x v="0"/>
    <x v="2"/>
    <s v="ICN"/>
    <s v="Business"/>
    <n v="58"/>
    <n v="608.66"/>
    <n v="20"/>
    <s v="On Time"/>
    <n v="35302.28"/>
    <s v="Oct"/>
    <n v="2025"/>
    <n v="35302.28"/>
    <s v="Minor Delay"/>
  </r>
  <r>
    <n v="2706"/>
    <d v="2025-02-25T00:00:00"/>
    <x v="3"/>
    <x v="3"/>
    <s v="BKK"/>
    <s v="Business"/>
    <n v="106"/>
    <n v="606.24"/>
    <n v="0"/>
    <s v="On Time"/>
    <n v="64261.440000000002"/>
    <s v="Feb"/>
    <n v="2025"/>
    <n v="64261.440000000002"/>
    <s v="On Time"/>
  </r>
  <r>
    <n v="2707"/>
    <d v="2025-09-10T00:00:00"/>
    <x v="0"/>
    <x v="8"/>
    <s v="CJU"/>
    <s v="Business"/>
    <n v="270"/>
    <n v="124.38"/>
    <n v="29"/>
    <s v="On Time"/>
    <n v="33582.6"/>
    <s v="Sep"/>
    <n v="2025"/>
    <n v="33582.6"/>
    <s v="Minor Delay"/>
  </r>
  <r>
    <n v="2708"/>
    <d v="2025-06-02T00:00:00"/>
    <x v="5"/>
    <x v="3"/>
    <s v="ICN"/>
    <s v="Premium Economy"/>
    <n v="65"/>
    <n v="152.82"/>
    <n v="12"/>
    <s v="On Time"/>
    <n v="9933.2999999999993"/>
    <s v="Jun"/>
    <n v="2025"/>
    <n v="9933.2999999999993"/>
    <s v="Minor Delay"/>
  </r>
  <r>
    <n v="2709"/>
    <d v="2025-07-22T00:00:00"/>
    <x v="3"/>
    <x v="1"/>
    <s v="SIN"/>
    <s v="Premium Economy"/>
    <n v="260"/>
    <n v="187.02"/>
    <n v="40"/>
    <s v="On Time"/>
    <n v="48625.2"/>
    <s v="Jul"/>
    <n v="2025"/>
    <n v="48625.200000000004"/>
    <s v="Moderate Delay"/>
  </r>
  <r>
    <n v="2710"/>
    <d v="2025-05-16T00:00:00"/>
    <x v="5"/>
    <x v="2"/>
    <s v="SIN"/>
    <s v="Business"/>
    <n v="210"/>
    <n v="493.92"/>
    <n v="0"/>
    <s v="On Time"/>
    <n v="103723.2"/>
    <s v="May"/>
    <n v="2025"/>
    <n v="103723.2"/>
    <s v="On Time"/>
  </r>
  <r>
    <n v="2711"/>
    <d v="2025-06-04T00:00:00"/>
    <x v="1"/>
    <x v="5"/>
    <s v="MNL"/>
    <s v="Premium Economy"/>
    <n v="241"/>
    <n v="426.42"/>
    <n v="3"/>
    <s v="Delayed"/>
    <n v="102767.22"/>
    <s v="Jun"/>
    <n v="2025"/>
    <n v="102767.22"/>
    <s v="Minor Delay"/>
  </r>
  <r>
    <n v="2712"/>
    <d v="2025-10-07T00:00:00"/>
    <x v="1"/>
    <x v="7"/>
    <s v="ICN"/>
    <s v="Business"/>
    <n v="233"/>
    <n v="742.55"/>
    <n v="39"/>
    <s v="On Time"/>
    <n v="173014.15"/>
    <s v="Oct"/>
    <n v="2025"/>
    <n v="173014.15"/>
    <s v="Moderate Delay"/>
  </r>
  <r>
    <n v="2713"/>
    <d v="2025-03-26T00:00:00"/>
    <x v="0"/>
    <x v="7"/>
    <s v="ICN"/>
    <s v="Economy"/>
    <n v="281"/>
    <n v="334.84"/>
    <n v="29"/>
    <s v="Delayed"/>
    <n v="94090.04"/>
    <s v="Mar"/>
    <n v="2025"/>
    <n v="94090.04"/>
    <s v="Minor Delay"/>
  </r>
  <r>
    <n v="2714"/>
    <d v="2025-05-13T00:00:00"/>
    <x v="5"/>
    <x v="5"/>
    <s v="KIX"/>
    <s v="Business"/>
    <n v="283"/>
    <n v="85.6"/>
    <n v="1"/>
    <s v="On Time"/>
    <n v="24224.799999999999"/>
    <s v="May"/>
    <n v="2025"/>
    <n v="24224.799999999999"/>
    <s v="Minor Delay"/>
  </r>
  <r>
    <n v="2715"/>
    <d v="2025-04-09T00:00:00"/>
    <x v="0"/>
    <x v="7"/>
    <s v="BKK"/>
    <s v="Economy"/>
    <n v="94"/>
    <n v="64.849999999999994"/>
    <n v="31"/>
    <s v="On Time"/>
    <n v="6095.9"/>
    <s v="Apr"/>
    <n v="2025"/>
    <n v="6095.9"/>
    <s v="Moderate Delay"/>
  </r>
  <r>
    <n v="2716"/>
    <d v="2025-06-26T00:00:00"/>
    <x v="1"/>
    <x v="3"/>
    <s v="BKK"/>
    <s v="Economy"/>
    <n v="208"/>
    <n v="714.7"/>
    <n v="40"/>
    <s v="On Time"/>
    <n v="148657.60000000001"/>
    <s v="Jun"/>
    <n v="2025"/>
    <n v="148657.60000000001"/>
    <s v="Moderate Delay"/>
  </r>
  <r>
    <n v="2717"/>
    <d v="2025-06-18T00:00:00"/>
    <x v="3"/>
    <x v="3"/>
    <s v="NRT"/>
    <s v="Business"/>
    <n v="279"/>
    <n v="84.71"/>
    <n v="40"/>
    <s v="Delayed"/>
    <n v="23634.09"/>
    <s v="Jun"/>
    <n v="2025"/>
    <n v="23634.089999999997"/>
    <s v="Moderate Delay"/>
  </r>
  <r>
    <n v="2718"/>
    <d v="2025-12-22T00:00:00"/>
    <x v="0"/>
    <x v="6"/>
    <s v="NRT"/>
    <s v="Business"/>
    <n v="99"/>
    <n v="618.74"/>
    <n v="0"/>
    <s v="On Time"/>
    <n v="61255.26"/>
    <s v="Dec"/>
    <n v="2025"/>
    <n v="61255.26"/>
    <s v="On Time"/>
  </r>
  <r>
    <n v="2719"/>
    <d v="2025-05-07T00:00:00"/>
    <x v="2"/>
    <x v="7"/>
    <s v="KIX"/>
    <s v="Economy"/>
    <n v="201"/>
    <n v="375.8"/>
    <n v="51"/>
    <s v="On Time"/>
    <n v="75535.8"/>
    <s v="May"/>
    <n v="2025"/>
    <n v="75535.8"/>
    <s v="Moderate Delay"/>
  </r>
  <r>
    <n v="2720"/>
    <d v="2025-03-04T00:00:00"/>
    <x v="0"/>
    <x v="6"/>
    <s v="PUS"/>
    <s v="Premium Economy"/>
    <n v="242"/>
    <n v="259.95999999999998"/>
    <n v="21"/>
    <s v="On Time"/>
    <n v="62910.32"/>
    <s v="Mar"/>
    <n v="2025"/>
    <n v="62910.319999999992"/>
    <s v="Minor Delay"/>
  </r>
  <r>
    <n v="2721"/>
    <d v="2025-06-20T00:00:00"/>
    <x v="5"/>
    <x v="5"/>
    <s v="SIN"/>
    <s v="Premium Economy"/>
    <n v="130"/>
    <n v="731.68"/>
    <n v="0"/>
    <s v="Delayed"/>
    <n v="95118.399999999994"/>
    <s v="Jun"/>
    <n v="2025"/>
    <n v="95118.399999999994"/>
    <s v="On Time"/>
  </r>
  <r>
    <n v="2722"/>
    <d v="2025-05-05T00:00:00"/>
    <x v="2"/>
    <x v="0"/>
    <s v="PUS"/>
    <s v="Premium Economy"/>
    <n v="100"/>
    <n v="115.69"/>
    <n v="0"/>
    <s v="On Time"/>
    <n v="11569"/>
    <s v="May"/>
    <n v="2025"/>
    <n v="11569"/>
    <s v="On Time"/>
  </r>
  <r>
    <n v="2723"/>
    <d v="2025-03-23T00:00:00"/>
    <x v="1"/>
    <x v="3"/>
    <s v="NRT"/>
    <s v="Economy"/>
    <n v="148"/>
    <n v="194.87"/>
    <n v="23"/>
    <s v="On Time"/>
    <n v="28840.76"/>
    <s v="Mar"/>
    <n v="2025"/>
    <n v="28840.760000000002"/>
    <s v="Minor Delay"/>
  </r>
  <r>
    <n v="2724"/>
    <d v="2025-06-25T00:00:00"/>
    <x v="5"/>
    <x v="2"/>
    <s v="SIN"/>
    <s v="Economy"/>
    <n v="200"/>
    <n v="158"/>
    <n v="0"/>
    <s v="On Time"/>
    <n v="31600"/>
    <s v="Jun"/>
    <n v="2025"/>
    <n v="31600"/>
    <s v="On Time"/>
  </r>
  <r>
    <n v="2725"/>
    <d v="2025-02-21T00:00:00"/>
    <x v="2"/>
    <x v="0"/>
    <s v="NRT"/>
    <s v="Premium Economy"/>
    <n v="109"/>
    <n v="594.67999999999995"/>
    <n v="38"/>
    <s v="Delayed"/>
    <n v="64820.12"/>
    <s v="Feb"/>
    <n v="2025"/>
    <n v="64820.119999999995"/>
    <s v="Moderate Delay"/>
  </r>
  <r>
    <n v="2726"/>
    <d v="2025-03-19T00:00:00"/>
    <x v="3"/>
    <x v="8"/>
    <s v="KIX"/>
    <s v="Business"/>
    <n v="211"/>
    <n v="739.18"/>
    <n v="38"/>
    <s v="On Time"/>
    <n v="155966.98000000001"/>
    <s v="Mar"/>
    <n v="2025"/>
    <n v="155966.97999999998"/>
    <s v="Moderate Delay"/>
  </r>
  <r>
    <n v="2727"/>
    <d v="2025-12-26T00:00:00"/>
    <x v="1"/>
    <x v="0"/>
    <s v="PUS"/>
    <s v="Business"/>
    <n v="158"/>
    <n v="149.13999999999999"/>
    <n v="26"/>
    <s v="On Time"/>
    <n v="23564.12"/>
    <s v="Dec"/>
    <n v="2025"/>
    <n v="23564.12"/>
    <s v="Minor Delay"/>
  </r>
  <r>
    <n v="2728"/>
    <d v="2025-06-11T00:00:00"/>
    <x v="0"/>
    <x v="7"/>
    <s v="KIX"/>
    <s v="Premium Economy"/>
    <n v="65"/>
    <n v="201.38"/>
    <n v="3"/>
    <s v="On Time"/>
    <n v="13089.7"/>
    <s v="Jun"/>
    <n v="2025"/>
    <n v="13089.699999999999"/>
    <s v="Minor Delay"/>
  </r>
  <r>
    <n v="2729"/>
    <d v="2025-12-20T00:00:00"/>
    <x v="0"/>
    <x v="0"/>
    <s v="BKK"/>
    <s v="Premium Economy"/>
    <n v="140"/>
    <n v="67.349999999999994"/>
    <n v="34"/>
    <s v="On Time"/>
    <n v="9429"/>
    <s v="Dec"/>
    <n v="2025"/>
    <n v="9429"/>
    <s v="Moderate Delay"/>
  </r>
  <r>
    <n v="2730"/>
    <d v="2025-06-03T00:00:00"/>
    <x v="0"/>
    <x v="0"/>
    <s v="CJU"/>
    <s v="Business"/>
    <n v="265"/>
    <n v="96.53"/>
    <n v="29"/>
    <s v="Delayed"/>
    <n v="25580.45"/>
    <s v="Jun"/>
    <n v="2025"/>
    <n v="25580.45"/>
    <s v="Minor Delay"/>
  </r>
  <r>
    <n v="2731"/>
    <d v="2025-11-23T00:00:00"/>
    <x v="0"/>
    <x v="8"/>
    <s v="SIN"/>
    <s v="Premium Economy"/>
    <n v="169"/>
    <n v="508.04"/>
    <n v="46"/>
    <s v="On Time"/>
    <n v="85858.76"/>
    <s v="Nov"/>
    <n v="2025"/>
    <n v="85858.760000000009"/>
    <s v="Moderate Delay"/>
  </r>
  <r>
    <n v="2732"/>
    <d v="2025-02-17T00:00:00"/>
    <x v="5"/>
    <x v="7"/>
    <s v="PUS"/>
    <s v="Business"/>
    <n v="110"/>
    <n v="584.07000000000005"/>
    <n v="47"/>
    <s v="On Time"/>
    <n v="64247.7"/>
    <s v="Feb"/>
    <n v="2025"/>
    <n v="64247.700000000004"/>
    <s v="Moderate Delay"/>
  </r>
  <r>
    <n v="2733"/>
    <d v="2025-10-30T00:00:00"/>
    <x v="0"/>
    <x v="3"/>
    <s v="GMP"/>
    <s v="Business"/>
    <n v="287"/>
    <n v="777.15"/>
    <n v="9"/>
    <s v="On Time"/>
    <n v="223042.05"/>
    <s v="Oct"/>
    <n v="2025"/>
    <n v="223042.05"/>
    <s v="Minor Delay"/>
  </r>
  <r>
    <n v="2734"/>
    <d v="2025-11-21T00:00:00"/>
    <x v="2"/>
    <x v="1"/>
    <s v="SIN"/>
    <s v="Business"/>
    <n v="100"/>
    <n v="771.62"/>
    <n v="49"/>
    <s v="Delayed"/>
    <n v="77162"/>
    <s v="Nov"/>
    <n v="2025"/>
    <n v="77162"/>
    <s v="Moderate Delay"/>
  </r>
  <r>
    <n v="2735"/>
    <d v="2025-07-01T00:00:00"/>
    <x v="1"/>
    <x v="7"/>
    <s v="MNL"/>
    <s v="Premium Economy"/>
    <n v="273"/>
    <n v="516.96"/>
    <n v="41"/>
    <s v="On Time"/>
    <n v="141130.07999999999"/>
    <s v="Jul"/>
    <n v="2025"/>
    <n v="141130.08000000002"/>
    <s v="Moderate Delay"/>
  </r>
  <r>
    <n v="2736"/>
    <d v="2025-05-21T00:00:00"/>
    <x v="1"/>
    <x v="4"/>
    <s v="MNL"/>
    <s v="Business"/>
    <n v="135"/>
    <n v="531.04"/>
    <n v="28"/>
    <s v="On Time"/>
    <n v="71690.399999999994"/>
    <s v="May"/>
    <n v="2025"/>
    <n v="71690.399999999994"/>
    <s v="Minor Delay"/>
  </r>
  <r>
    <n v="2737"/>
    <d v="2025-10-05T00:00:00"/>
    <x v="0"/>
    <x v="3"/>
    <s v="PUS"/>
    <s v="Premium Economy"/>
    <n v="229"/>
    <n v="383.56"/>
    <n v="23"/>
    <s v="On Time"/>
    <n v="87835.24"/>
    <s v="Oct"/>
    <n v="2025"/>
    <n v="87835.24"/>
    <s v="Minor Delay"/>
  </r>
  <r>
    <n v="2738"/>
    <d v="2025-07-23T00:00:00"/>
    <x v="2"/>
    <x v="5"/>
    <s v="KIX"/>
    <s v="Economy"/>
    <n v="218"/>
    <n v="492.53"/>
    <n v="7"/>
    <s v="On Time"/>
    <n v="107371.54"/>
    <s v="Jul"/>
    <n v="2025"/>
    <n v="107371.54"/>
    <s v="Minor Delay"/>
  </r>
  <r>
    <n v="2739"/>
    <d v="2025-11-23T00:00:00"/>
    <x v="4"/>
    <x v="4"/>
    <s v="PUS"/>
    <s v="Business"/>
    <n v="145"/>
    <n v="119.31"/>
    <n v="6"/>
    <s v="On Time"/>
    <n v="17299.95"/>
    <s v="Nov"/>
    <n v="2025"/>
    <n v="17299.95"/>
    <s v="Minor Delay"/>
  </r>
  <r>
    <n v="2740"/>
    <d v="2025-01-05T00:00:00"/>
    <x v="1"/>
    <x v="7"/>
    <s v="BKK"/>
    <s v="Business"/>
    <n v="96"/>
    <n v="320.97000000000003"/>
    <n v="12"/>
    <s v="On Time"/>
    <n v="30813.119999999999"/>
    <s v="Jan"/>
    <n v="2025"/>
    <n v="30813.120000000003"/>
    <s v="Minor Delay"/>
  </r>
  <r>
    <n v="2741"/>
    <d v="2025-06-03T00:00:00"/>
    <x v="2"/>
    <x v="1"/>
    <s v="CJU"/>
    <s v="Economy"/>
    <n v="191"/>
    <n v="364.28"/>
    <n v="3"/>
    <s v="On Time"/>
    <n v="69577.48"/>
    <s v="Jun"/>
    <n v="2025"/>
    <n v="69577.48"/>
    <s v="Minor Delay"/>
  </r>
  <r>
    <n v="2742"/>
    <d v="2025-03-28T00:00:00"/>
    <x v="0"/>
    <x v="5"/>
    <s v="CJU"/>
    <s v="Economy"/>
    <n v="286"/>
    <n v="262.41000000000003"/>
    <n v="9"/>
    <s v="On Time"/>
    <n v="75049.259999999995"/>
    <s v="Mar"/>
    <n v="2025"/>
    <n v="75049.260000000009"/>
    <s v="Minor Delay"/>
  </r>
  <r>
    <n v="2743"/>
    <d v="2025-01-07T00:00:00"/>
    <x v="5"/>
    <x v="7"/>
    <s v="ICN"/>
    <s v="Business"/>
    <n v="217"/>
    <n v="368.95"/>
    <n v="38"/>
    <s v="On Time"/>
    <n v="80062.149999999994"/>
    <s v="Jan"/>
    <n v="2025"/>
    <n v="80062.149999999994"/>
    <s v="Moderate Delay"/>
  </r>
  <r>
    <n v="2744"/>
    <d v="2025-01-01T00:00:00"/>
    <x v="4"/>
    <x v="1"/>
    <s v="MNL"/>
    <s v="Premium Economy"/>
    <n v="261"/>
    <n v="680.97"/>
    <n v="53"/>
    <s v="Delayed"/>
    <n v="177733.17"/>
    <s v="Jan"/>
    <n v="2025"/>
    <n v="177733.17"/>
    <s v="Moderate Delay"/>
  </r>
  <r>
    <n v="2745"/>
    <d v="2025-04-10T00:00:00"/>
    <x v="0"/>
    <x v="3"/>
    <s v="MNL"/>
    <s v="Economy"/>
    <n v="172"/>
    <n v="678.61"/>
    <n v="17"/>
    <s v="On Time"/>
    <n v="116720.92"/>
    <s v="Apr"/>
    <n v="2025"/>
    <n v="116720.92"/>
    <s v="Minor Delay"/>
  </r>
  <r>
    <n v="2746"/>
    <d v="2025-02-13T00:00:00"/>
    <x v="5"/>
    <x v="0"/>
    <s v="ICN"/>
    <s v="Economy"/>
    <n v="112"/>
    <n v="334.34"/>
    <n v="16"/>
    <s v="On Time"/>
    <n v="37446.080000000002"/>
    <s v="Feb"/>
    <n v="2025"/>
    <n v="37446.079999999994"/>
    <s v="Minor Delay"/>
  </r>
  <r>
    <n v="2747"/>
    <d v="2025-03-24T00:00:00"/>
    <x v="4"/>
    <x v="7"/>
    <s v="PUS"/>
    <s v="Premium Economy"/>
    <n v="73"/>
    <n v="124.26"/>
    <n v="0"/>
    <s v="On Time"/>
    <n v="9070.98"/>
    <s v="Mar"/>
    <n v="2025"/>
    <n v="9070.98"/>
    <s v="On Time"/>
  </r>
  <r>
    <n v="2748"/>
    <d v="2025-01-11T00:00:00"/>
    <x v="5"/>
    <x v="5"/>
    <s v="MNL"/>
    <s v="Economy"/>
    <n v="168"/>
    <n v="419.53"/>
    <n v="6"/>
    <s v="On Time"/>
    <n v="70481.039999999994"/>
    <s v="Jan"/>
    <n v="2025"/>
    <n v="70481.039999999994"/>
    <s v="Minor Delay"/>
  </r>
  <r>
    <n v="2749"/>
    <d v="2025-07-24T00:00:00"/>
    <x v="1"/>
    <x v="1"/>
    <s v="NRT"/>
    <s v="Business"/>
    <n v="241"/>
    <n v="369.31"/>
    <n v="35"/>
    <s v="On Time"/>
    <n v="89003.71"/>
    <s v="Jul"/>
    <n v="2025"/>
    <n v="89003.71"/>
    <s v="Moderate Delay"/>
  </r>
  <r>
    <n v="2750"/>
    <d v="2025-05-25T00:00:00"/>
    <x v="0"/>
    <x v="7"/>
    <s v="MNL"/>
    <s v="Business"/>
    <n v="184"/>
    <n v="587.79"/>
    <n v="0"/>
    <s v="On Time"/>
    <n v="108153.36"/>
    <s v="May"/>
    <n v="2025"/>
    <n v="108153.35999999999"/>
    <s v="On Time"/>
  </r>
  <r>
    <n v="2751"/>
    <d v="2025-04-27T00:00:00"/>
    <x v="2"/>
    <x v="5"/>
    <s v="BKK"/>
    <s v="Economy"/>
    <n v="101"/>
    <n v="260.82"/>
    <n v="59"/>
    <s v="On Time"/>
    <n v="26342.82"/>
    <s v="Apr"/>
    <n v="2025"/>
    <n v="26342.82"/>
    <s v="Moderate Delay"/>
  </r>
  <r>
    <n v="2752"/>
    <d v="2025-04-16T00:00:00"/>
    <x v="0"/>
    <x v="2"/>
    <s v="GMP"/>
    <s v="Premium Economy"/>
    <n v="79"/>
    <n v="69.2"/>
    <n v="45"/>
    <s v="Delayed"/>
    <n v="5466.8"/>
    <s v="Apr"/>
    <n v="2025"/>
    <n v="5466.8"/>
    <s v="Moderate Delay"/>
  </r>
  <r>
    <n v="2753"/>
    <d v="2025-12-31T00:00:00"/>
    <x v="1"/>
    <x v="4"/>
    <s v="KIX"/>
    <s v="Premium Economy"/>
    <n v="126"/>
    <n v="161.54"/>
    <n v="23"/>
    <s v="On Time"/>
    <n v="20354.04"/>
    <s v="Dec"/>
    <n v="2025"/>
    <n v="20354.039999999997"/>
    <s v="Minor Delay"/>
  </r>
  <r>
    <n v="2754"/>
    <d v="2025-04-11T00:00:00"/>
    <x v="2"/>
    <x v="4"/>
    <s v="GMP"/>
    <s v="Economy"/>
    <n v="168"/>
    <n v="407.7"/>
    <n v="30"/>
    <s v="Delayed"/>
    <n v="68493.600000000006"/>
    <s v="Apr"/>
    <n v="2025"/>
    <n v="68493.599999999991"/>
    <s v="Minor Delay"/>
  </r>
  <r>
    <n v="2755"/>
    <d v="2025-09-02T00:00:00"/>
    <x v="2"/>
    <x v="6"/>
    <s v="KIX"/>
    <s v="Economy"/>
    <n v="158"/>
    <n v="695.4"/>
    <n v="24"/>
    <s v="On Time"/>
    <n v="109873.2"/>
    <s v="Sep"/>
    <n v="2025"/>
    <n v="109873.2"/>
    <s v="Minor Delay"/>
  </r>
  <r>
    <n v="2756"/>
    <d v="2025-08-08T00:00:00"/>
    <x v="1"/>
    <x v="5"/>
    <s v="KIX"/>
    <s v="Premium Economy"/>
    <n v="133"/>
    <n v="695.18"/>
    <n v="38"/>
    <s v="On Time"/>
    <n v="92458.94"/>
    <s v="Aug"/>
    <n v="2025"/>
    <n v="92458.939999999988"/>
    <s v="Moderate Delay"/>
  </r>
  <r>
    <n v="2757"/>
    <d v="2025-01-11T00:00:00"/>
    <x v="1"/>
    <x v="6"/>
    <s v="MNL"/>
    <s v="Premium Economy"/>
    <n v="208"/>
    <n v="515.47"/>
    <n v="27"/>
    <s v="On Time"/>
    <n v="107217.76"/>
    <s v="Jan"/>
    <n v="2025"/>
    <n v="107217.76000000001"/>
    <s v="Minor Delay"/>
  </r>
  <r>
    <n v="2758"/>
    <d v="2025-10-14T00:00:00"/>
    <x v="0"/>
    <x v="7"/>
    <s v="KIX"/>
    <s v="Premium Economy"/>
    <n v="128"/>
    <n v="257.29000000000002"/>
    <n v="39"/>
    <s v="On Time"/>
    <n v="32933.120000000003"/>
    <s v="Oct"/>
    <n v="2025"/>
    <n v="32933.120000000003"/>
    <s v="Moderate Delay"/>
  </r>
  <r>
    <n v="2759"/>
    <d v="2025-04-23T00:00:00"/>
    <x v="4"/>
    <x v="8"/>
    <s v="CJU"/>
    <s v="Premium Economy"/>
    <n v="159"/>
    <n v="637.87"/>
    <n v="28"/>
    <s v="On Time"/>
    <n v="101421.33"/>
    <s v="Apr"/>
    <n v="2025"/>
    <n v="101421.33"/>
    <s v="Minor Delay"/>
  </r>
  <r>
    <n v="2760"/>
    <d v="2025-10-19T00:00:00"/>
    <x v="1"/>
    <x v="4"/>
    <s v="SIN"/>
    <s v="Economy"/>
    <n v="141"/>
    <n v="706.87"/>
    <n v="0"/>
    <s v="On Time"/>
    <n v="99668.67"/>
    <s v="Oct"/>
    <n v="2025"/>
    <n v="99668.67"/>
    <s v="On Time"/>
  </r>
  <r>
    <n v="2761"/>
    <d v="2025-07-13T00:00:00"/>
    <x v="0"/>
    <x v="3"/>
    <s v="PUS"/>
    <s v="Premium Economy"/>
    <n v="193"/>
    <n v="480.19"/>
    <n v="14"/>
    <s v="On Time"/>
    <n v="92676.67"/>
    <s v="Jul"/>
    <n v="2025"/>
    <n v="92676.67"/>
    <s v="Minor Delay"/>
  </r>
  <r>
    <n v="2762"/>
    <d v="2025-02-02T00:00:00"/>
    <x v="3"/>
    <x v="1"/>
    <s v="NRT"/>
    <s v="Economy"/>
    <n v="300"/>
    <n v="768.39"/>
    <n v="47"/>
    <s v="On Time"/>
    <n v="230517"/>
    <s v="Feb"/>
    <n v="2025"/>
    <n v="230517"/>
    <s v="Moderate Delay"/>
  </r>
  <r>
    <n v="2763"/>
    <d v="2025-11-17T00:00:00"/>
    <x v="4"/>
    <x v="2"/>
    <s v="BKK"/>
    <s v="Premium Economy"/>
    <n v="239"/>
    <n v="758.27"/>
    <n v="31"/>
    <s v="On Time"/>
    <n v="181226.53"/>
    <s v="Nov"/>
    <n v="2025"/>
    <n v="181226.53"/>
    <s v="Moderate Delay"/>
  </r>
  <r>
    <n v="2764"/>
    <d v="2025-01-17T00:00:00"/>
    <x v="5"/>
    <x v="3"/>
    <s v="ICN"/>
    <s v="Economy"/>
    <n v="172"/>
    <n v="454.89"/>
    <n v="42"/>
    <s v="On Time"/>
    <n v="78241.08"/>
    <s v="Jan"/>
    <n v="2025"/>
    <n v="78241.08"/>
    <s v="Moderate Delay"/>
  </r>
  <r>
    <n v="2765"/>
    <d v="2025-06-06T00:00:00"/>
    <x v="2"/>
    <x v="1"/>
    <s v="ICN"/>
    <s v="Business"/>
    <n v="212"/>
    <n v="363.82"/>
    <n v="34"/>
    <s v="On Time"/>
    <n v="77129.84"/>
    <s v="Jun"/>
    <n v="2025"/>
    <n v="77129.84"/>
    <s v="Moderate Delay"/>
  </r>
  <r>
    <n v="2766"/>
    <d v="2025-05-22T00:00:00"/>
    <x v="0"/>
    <x v="6"/>
    <s v="NRT"/>
    <s v="Premium Economy"/>
    <n v="63"/>
    <n v="353.17"/>
    <n v="29"/>
    <s v="On Time"/>
    <n v="22249.71"/>
    <s v="May"/>
    <n v="2025"/>
    <n v="22249.710000000003"/>
    <s v="Minor Delay"/>
  </r>
  <r>
    <n v="2767"/>
    <d v="2025-11-30T00:00:00"/>
    <x v="4"/>
    <x v="6"/>
    <s v="MNL"/>
    <s v="Premium Economy"/>
    <n v="115"/>
    <n v="723.11"/>
    <n v="27"/>
    <s v="Delayed"/>
    <n v="83157.649999999994"/>
    <s v="Nov"/>
    <n v="2025"/>
    <n v="83157.650000000009"/>
    <s v="Minor Delay"/>
  </r>
  <r>
    <n v="2768"/>
    <d v="2025-10-11T00:00:00"/>
    <x v="1"/>
    <x v="2"/>
    <s v="MNL"/>
    <s v="Premium Economy"/>
    <n v="218"/>
    <n v="279.73"/>
    <n v="9"/>
    <s v="On Time"/>
    <n v="60981.14"/>
    <s v="Oct"/>
    <n v="2025"/>
    <n v="60981.140000000007"/>
    <s v="Minor Delay"/>
  </r>
  <r>
    <n v="2769"/>
    <d v="2025-09-22T00:00:00"/>
    <x v="3"/>
    <x v="6"/>
    <s v="KIX"/>
    <s v="Business"/>
    <n v="196"/>
    <n v="84.83"/>
    <n v="45"/>
    <s v="Delayed"/>
    <n v="16626.68"/>
    <s v="Sep"/>
    <n v="2025"/>
    <n v="16626.68"/>
    <s v="Moderate Delay"/>
  </r>
  <r>
    <n v="2770"/>
    <d v="2025-01-06T00:00:00"/>
    <x v="5"/>
    <x v="7"/>
    <s v="GMP"/>
    <s v="Premium Economy"/>
    <n v="135"/>
    <n v="90.35"/>
    <n v="30"/>
    <s v="On Time"/>
    <n v="12197.25"/>
    <s v="Jan"/>
    <n v="2025"/>
    <n v="12197.25"/>
    <s v="Minor Delay"/>
  </r>
  <r>
    <n v="2771"/>
    <d v="2025-01-11T00:00:00"/>
    <x v="4"/>
    <x v="6"/>
    <s v="BKK"/>
    <s v="Economy"/>
    <n v="143"/>
    <n v="364.8"/>
    <n v="24"/>
    <s v="Delayed"/>
    <n v="52166.400000000001"/>
    <s v="Jan"/>
    <n v="2025"/>
    <n v="52166.400000000001"/>
    <s v="Minor Delay"/>
  </r>
  <r>
    <n v="2772"/>
    <d v="2025-08-16T00:00:00"/>
    <x v="4"/>
    <x v="2"/>
    <s v="NRT"/>
    <s v="Premium Economy"/>
    <n v="201"/>
    <n v="436.81"/>
    <n v="15"/>
    <s v="On Time"/>
    <n v="87798.81"/>
    <s v="Aug"/>
    <n v="2025"/>
    <n v="87798.81"/>
    <s v="Minor Delay"/>
  </r>
  <r>
    <n v="2773"/>
    <d v="2025-11-27T00:00:00"/>
    <x v="2"/>
    <x v="1"/>
    <s v="SIN"/>
    <s v="Business"/>
    <n v="104"/>
    <n v="76.47"/>
    <n v="0"/>
    <s v="Delayed"/>
    <n v="7952.88"/>
    <s v="Nov"/>
    <n v="2025"/>
    <n v="7952.88"/>
    <s v="On Time"/>
  </r>
  <r>
    <n v="2774"/>
    <d v="2025-04-04T00:00:00"/>
    <x v="3"/>
    <x v="0"/>
    <s v="PUS"/>
    <s v="Economy"/>
    <n v="157"/>
    <n v="363.63"/>
    <n v="41"/>
    <s v="Delayed"/>
    <n v="57089.91"/>
    <s v="Apr"/>
    <n v="2025"/>
    <n v="57089.909999999996"/>
    <s v="Moderate Delay"/>
  </r>
  <r>
    <n v="2775"/>
    <d v="2025-11-11T00:00:00"/>
    <x v="1"/>
    <x v="4"/>
    <s v="GMP"/>
    <s v="Business"/>
    <n v="165"/>
    <n v="435.98"/>
    <n v="0"/>
    <s v="On Time"/>
    <n v="71936.7"/>
    <s v="Nov"/>
    <n v="2025"/>
    <n v="71936.7"/>
    <s v="On Time"/>
  </r>
  <r>
    <n v="2776"/>
    <d v="2025-07-18T00:00:00"/>
    <x v="2"/>
    <x v="3"/>
    <s v="ICN"/>
    <s v="Economy"/>
    <n v="196"/>
    <n v="366.89"/>
    <n v="19"/>
    <s v="On Time"/>
    <n v="71910.44"/>
    <s v="Jul"/>
    <n v="2025"/>
    <n v="71910.44"/>
    <s v="Minor Delay"/>
  </r>
  <r>
    <n v="2777"/>
    <d v="2025-07-24T00:00:00"/>
    <x v="1"/>
    <x v="7"/>
    <s v="SIN"/>
    <s v="Business"/>
    <n v="266"/>
    <n v="293.04000000000002"/>
    <n v="42"/>
    <s v="On Time"/>
    <n v="77948.639999999999"/>
    <s v="Jul"/>
    <n v="2025"/>
    <n v="77948.639999999999"/>
    <s v="Moderate Delay"/>
  </r>
  <r>
    <n v="2778"/>
    <d v="2025-03-13T00:00:00"/>
    <x v="1"/>
    <x v="4"/>
    <s v="CJU"/>
    <s v="Business"/>
    <n v="166"/>
    <n v="103.43"/>
    <n v="19"/>
    <s v="On Time"/>
    <n v="17169.38"/>
    <s v="Mar"/>
    <n v="2025"/>
    <n v="17169.38"/>
    <s v="Minor Delay"/>
  </r>
  <r>
    <n v="2779"/>
    <d v="2025-12-25T00:00:00"/>
    <x v="1"/>
    <x v="6"/>
    <s v="BKK"/>
    <s v="Business"/>
    <n v="271"/>
    <n v="357.09"/>
    <n v="18"/>
    <s v="On Time"/>
    <n v="96771.39"/>
    <s v="Dec"/>
    <n v="2025"/>
    <n v="96771.39"/>
    <s v="Minor Delay"/>
  </r>
  <r>
    <n v="2780"/>
    <d v="2025-02-05T00:00:00"/>
    <x v="2"/>
    <x v="7"/>
    <s v="ICN"/>
    <s v="Economy"/>
    <n v="197"/>
    <n v="748.89"/>
    <n v="13"/>
    <s v="On Time"/>
    <n v="147531.32999999999"/>
    <s v="Feb"/>
    <n v="2025"/>
    <n v="147531.32999999999"/>
    <s v="Minor Delay"/>
  </r>
  <r>
    <n v="2781"/>
    <d v="2025-04-09T00:00:00"/>
    <x v="5"/>
    <x v="5"/>
    <s v="SIN"/>
    <s v="Business"/>
    <n v="95"/>
    <n v="627.39"/>
    <n v="0"/>
    <s v="On Time"/>
    <n v="59602.05"/>
    <s v="Apr"/>
    <n v="2025"/>
    <n v="59602.049999999996"/>
    <s v="On Time"/>
  </r>
  <r>
    <n v="2782"/>
    <d v="2025-09-09T00:00:00"/>
    <x v="1"/>
    <x v="6"/>
    <s v="CJU"/>
    <s v="Business"/>
    <n v="89"/>
    <n v="369.82"/>
    <n v="18"/>
    <s v="On Time"/>
    <n v="32913.980000000003"/>
    <s v="Sep"/>
    <n v="2025"/>
    <n v="32913.979999999996"/>
    <s v="Minor Delay"/>
  </r>
  <r>
    <n v="2783"/>
    <d v="2025-08-26T00:00:00"/>
    <x v="1"/>
    <x v="2"/>
    <s v="NRT"/>
    <s v="Premium Economy"/>
    <n v="238"/>
    <n v="736.67"/>
    <n v="46"/>
    <s v="Delayed"/>
    <n v="175327.46"/>
    <s v="Aug"/>
    <n v="2025"/>
    <n v="175327.46"/>
    <s v="Moderate Delay"/>
  </r>
  <r>
    <n v="2784"/>
    <d v="2025-07-27T00:00:00"/>
    <x v="5"/>
    <x v="4"/>
    <s v="CJU"/>
    <s v="Premium Economy"/>
    <n v="90"/>
    <n v="82.35"/>
    <n v="21"/>
    <s v="On Time"/>
    <n v="7411.5"/>
    <s v="Jul"/>
    <n v="2025"/>
    <n v="7411.4999999999991"/>
    <s v="Minor Delay"/>
  </r>
  <r>
    <n v="2785"/>
    <d v="2025-02-14T00:00:00"/>
    <x v="3"/>
    <x v="6"/>
    <s v="PUS"/>
    <s v="Economy"/>
    <n v="295"/>
    <n v="301.86"/>
    <n v="6"/>
    <s v="On Time"/>
    <n v="89048.7"/>
    <s v="Feb"/>
    <n v="2025"/>
    <n v="89048.7"/>
    <s v="Minor Delay"/>
  </r>
  <r>
    <n v="2786"/>
    <d v="2025-07-03T00:00:00"/>
    <x v="5"/>
    <x v="0"/>
    <s v="KIX"/>
    <s v="Business"/>
    <n v="300"/>
    <n v="369.72"/>
    <n v="0"/>
    <s v="On Time"/>
    <n v="110916"/>
    <s v="Jul"/>
    <n v="2025"/>
    <n v="110916.00000000001"/>
    <s v="On Time"/>
  </r>
  <r>
    <n v="2787"/>
    <d v="2025-02-02T00:00:00"/>
    <x v="5"/>
    <x v="1"/>
    <s v="CJU"/>
    <s v="Premium Economy"/>
    <n v="259"/>
    <n v="458.57"/>
    <n v="28"/>
    <s v="Cancelled"/>
    <n v="118769.63"/>
    <s v="Feb"/>
    <n v="2025"/>
    <n v="118769.63"/>
    <s v="Minor Delay"/>
  </r>
  <r>
    <n v="2788"/>
    <d v="2025-05-20T00:00:00"/>
    <x v="0"/>
    <x v="6"/>
    <s v="CJU"/>
    <s v="Business"/>
    <n v="283"/>
    <n v="439.35"/>
    <n v="42"/>
    <s v="On Time"/>
    <n v="124336.05"/>
    <s v="May"/>
    <n v="2025"/>
    <n v="124336.05"/>
    <s v="Moderate Delay"/>
  </r>
  <r>
    <n v="2789"/>
    <d v="2025-12-24T00:00:00"/>
    <x v="0"/>
    <x v="2"/>
    <s v="ICN"/>
    <s v="Business"/>
    <n v="223"/>
    <n v="668.3"/>
    <n v="55"/>
    <s v="On Time"/>
    <n v="149030.9"/>
    <s v="Dec"/>
    <n v="2025"/>
    <n v="149030.9"/>
    <s v="Moderate Delay"/>
  </r>
  <r>
    <n v="2790"/>
    <d v="2025-07-17T00:00:00"/>
    <x v="3"/>
    <x v="8"/>
    <s v="ICN"/>
    <s v="Premium Economy"/>
    <n v="294"/>
    <n v="534.26"/>
    <n v="38"/>
    <s v="On Time"/>
    <n v="157072.44"/>
    <s v="Jul"/>
    <n v="2025"/>
    <n v="157072.44"/>
    <s v="Moderate Delay"/>
  </r>
  <r>
    <n v="2791"/>
    <d v="2025-11-27T00:00:00"/>
    <x v="5"/>
    <x v="0"/>
    <s v="BKK"/>
    <s v="Business"/>
    <n v="271"/>
    <n v="619.15"/>
    <n v="26"/>
    <s v="On Time"/>
    <n v="167789.65"/>
    <s v="Nov"/>
    <n v="2025"/>
    <n v="167789.65"/>
    <s v="Minor Delay"/>
  </r>
  <r>
    <n v="2792"/>
    <d v="2025-12-01T00:00:00"/>
    <x v="5"/>
    <x v="4"/>
    <s v="CJU"/>
    <s v="Economy"/>
    <n v="134"/>
    <n v="61.09"/>
    <n v="15"/>
    <s v="Delayed"/>
    <n v="8186.06"/>
    <s v="Dec"/>
    <n v="2025"/>
    <n v="8186.06"/>
    <s v="Minor Delay"/>
  </r>
  <r>
    <n v="2793"/>
    <d v="2025-09-01T00:00:00"/>
    <x v="1"/>
    <x v="5"/>
    <s v="CJU"/>
    <s v="Business"/>
    <n v="300"/>
    <n v="175.5"/>
    <n v="14"/>
    <s v="Delayed"/>
    <n v="52650"/>
    <s v="Sep"/>
    <n v="2025"/>
    <n v="52650"/>
    <s v="Minor Delay"/>
  </r>
  <r>
    <n v="2794"/>
    <d v="2025-09-20T00:00:00"/>
    <x v="3"/>
    <x v="2"/>
    <s v="ICN"/>
    <s v="Business"/>
    <n v="58"/>
    <n v="443.01"/>
    <n v="14"/>
    <s v="Delayed"/>
    <n v="25694.58"/>
    <s v="Sep"/>
    <n v="2025"/>
    <n v="25694.579999999998"/>
    <s v="Minor Delay"/>
  </r>
  <r>
    <n v="2795"/>
    <d v="2025-03-23T00:00:00"/>
    <x v="2"/>
    <x v="0"/>
    <s v="SIN"/>
    <s v="Economy"/>
    <n v="185"/>
    <n v="182.55"/>
    <n v="49"/>
    <s v="On Time"/>
    <n v="33771.75"/>
    <s v="Mar"/>
    <n v="2025"/>
    <n v="33771.75"/>
    <s v="Moderate Delay"/>
  </r>
  <r>
    <n v="2796"/>
    <d v="2025-09-27T00:00:00"/>
    <x v="4"/>
    <x v="4"/>
    <s v="KIX"/>
    <s v="Economy"/>
    <n v="219"/>
    <n v="689.49"/>
    <n v="9"/>
    <s v="On Time"/>
    <n v="150998.31"/>
    <s v="Sep"/>
    <n v="2025"/>
    <n v="150998.31"/>
    <s v="Minor Delay"/>
  </r>
  <r>
    <n v="2797"/>
    <d v="2025-10-17T00:00:00"/>
    <x v="0"/>
    <x v="6"/>
    <s v="KIX"/>
    <s v="Business"/>
    <n v="215"/>
    <n v="405.53"/>
    <n v="18"/>
    <s v="On Time"/>
    <n v="87188.95"/>
    <s v="Oct"/>
    <n v="2025"/>
    <n v="87188.95"/>
    <s v="Minor Delay"/>
  </r>
  <r>
    <n v="2798"/>
    <d v="2025-11-04T00:00:00"/>
    <x v="2"/>
    <x v="1"/>
    <s v="GMP"/>
    <s v="Economy"/>
    <n v="93"/>
    <n v="651.86"/>
    <n v="29"/>
    <s v="On Time"/>
    <n v="60622.98"/>
    <s v="Nov"/>
    <n v="2025"/>
    <n v="60622.98"/>
    <s v="Minor Delay"/>
  </r>
  <r>
    <n v="2799"/>
    <d v="2025-10-13T00:00:00"/>
    <x v="1"/>
    <x v="7"/>
    <s v="ICN"/>
    <s v="Business"/>
    <n v="84"/>
    <n v="682.1"/>
    <n v="20"/>
    <s v="On Time"/>
    <n v="57296.4"/>
    <s v="Oct"/>
    <n v="2025"/>
    <n v="57296.4"/>
    <s v="Minor Delay"/>
  </r>
  <r>
    <n v="2800"/>
    <d v="2025-04-10T00:00:00"/>
    <x v="3"/>
    <x v="7"/>
    <s v="MNL"/>
    <s v="Premium Economy"/>
    <n v="121"/>
    <n v="259.3"/>
    <n v="32"/>
    <s v="On Time"/>
    <n v="31375.3"/>
    <s v="Apr"/>
    <n v="2025"/>
    <n v="31375.300000000003"/>
    <s v="Moderate Delay"/>
  </r>
  <r>
    <n v="2801"/>
    <d v="2025-11-25T00:00:00"/>
    <x v="4"/>
    <x v="1"/>
    <s v="CJU"/>
    <s v="Premium Economy"/>
    <n v="183"/>
    <n v="563.54999999999995"/>
    <n v="57"/>
    <s v="On Time"/>
    <n v="103129.65"/>
    <s v="Nov"/>
    <n v="2025"/>
    <n v="103129.65"/>
    <s v="Moderate Delay"/>
  </r>
  <r>
    <n v="2802"/>
    <d v="2025-12-05T00:00:00"/>
    <x v="3"/>
    <x v="5"/>
    <s v="KIX"/>
    <s v="Economy"/>
    <n v="126"/>
    <n v="180.11"/>
    <n v="0"/>
    <s v="Delayed"/>
    <n v="22693.86"/>
    <s v="Dec"/>
    <n v="2025"/>
    <n v="22693.86"/>
    <s v="On Time"/>
  </r>
  <r>
    <n v="2803"/>
    <d v="2025-11-02T00:00:00"/>
    <x v="1"/>
    <x v="2"/>
    <s v="MNL"/>
    <s v="Business"/>
    <n v="73"/>
    <n v="754.7"/>
    <n v="29"/>
    <s v="On Time"/>
    <n v="55093.1"/>
    <s v="Nov"/>
    <n v="2025"/>
    <n v="55093.100000000006"/>
    <s v="Minor Delay"/>
  </r>
  <r>
    <n v="2804"/>
    <d v="2025-10-10T00:00:00"/>
    <x v="4"/>
    <x v="5"/>
    <s v="PUS"/>
    <s v="Business"/>
    <n v="165"/>
    <n v="359.75"/>
    <n v="34"/>
    <s v="Delayed"/>
    <n v="59358.75"/>
    <s v="Oct"/>
    <n v="2025"/>
    <n v="59358.75"/>
    <s v="Moderate Delay"/>
  </r>
  <r>
    <n v="2805"/>
    <d v="2025-11-09T00:00:00"/>
    <x v="2"/>
    <x v="5"/>
    <s v="NRT"/>
    <s v="Business"/>
    <n v="244"/>
    <n v="392.16"/>
    <n v="48"/>
    <s v="On Time"/>
    <n v="95687.039999999994"/>
    <s v="Nov"/>
    <n v="2025"/>
    <n v="95687.040000000008"/>
    <s v="Moderate Delay"/>
  </r>
  <r>
    <n v="2806"/>
    <d v="2025-12-20T00:00:00"/>
    <x v="4"/>
    <x v="3"/>
    <s v="CJU"/>
    <s v="Economy"/>
    <n v="140"/>
    <n v="322.60000000000002"/>
    <n v="50"/>
    <s v="On Time"/>
    <n v="45164"/>
    <s v="Dec"/>
    <n v="2025"/>
    <n v="45164"/>
    <s v="Moderate Delay"/>
  </r>
  <r>
    <n v="2807"/>
    <d v="2025-09-14T00:00:00"/>
    <x v="1"/>
    <x v="1"/>
    <s v="NRT"/>
    <s v="Business"/>
    <n v="186"/>
    <n v="663.21"/>
    <n v="30"/>
    <s v="On Time"/>
    <n v="123357.06"/>
    <s v="Sep"/>
    <n v="2025"/>
    <n v="123357.06000000001"/>
    <s v="Minor Delay"/>
  </r>
  <r>
    <n v="2808"/>
    <d v="2025-07-24T00:00:00"/>
    <x v="3"/>
    <x v="5"/>
    <s v="NRT"/>
    <s v="Premium Economy"/>
    <n v="265"/>
    <n v="709.11"/>
    <n v="0"/>
    <s v="On Time"/>
    <n v="187914.15"/>
    <s v="Jul"/>
    <n v="2025"/>
    <n v="187914.15"/>
    <s v="On Time"/>
  </r>
  <r>
    <n v="2809"/>
    <d v="2025-06-30T00:00:00"/>
    <x v="3"/>
    <x v="7"/>
    <s v="GMP"/>
    <s v="Business"/>
    <n v="165"/>
    <n v="798.58"/>
    <n v="20"/>
    <s v="Delayed"/>
    <n v="131765.70000000001"/>
    <s v="Jun"/>
    <n v="2025"/>
    <n v="131765.70000000001"/>
    <s v="Minor Delay"/>
  </r>
  <r>
    <n v="2810"/>
    <d v="2025-03-19T00:00:00"/>
    <x v="0"/>
    <x v="1"/>
    <s v="MNL"/>
    <s v="Economy"/>
    <n v="109"/>
    <n v="376.64"/>
    <n v="44"/>
    <s v="On Time"/>
    <n v="41053.760000000002"/>
    <s v="Mar"/>
    <n v="2025"/>
    <n v="41053.760000000002"/>
    <s v="Moderate Delay"/>
  </r>
  <r>
    <n v="2811"/>
    <d v="2025-05-26T00:00:00"/>
    <x v="5"/>
    <x v="8"/>
    <s v="BKK"/>
    <s v="Economy"/>
    <n v="83"/>
    <n v="335.9"/>
    <n v="2"/>
    <s v="Delayed"/>
    <n v="27879.7"/>
    <s v="May"/>
    <n v="2025"/>
    <n v="27879.699999999997"/>
    <s v="Minor Delay"/>
  </r>
  <r>
    <n v="2812"/>
    <d v="2025-01-26T00:00:00"/>
    <x v="4"/>
    <x v="7"/>
    <s v="PUS"/>
    <s v="Economy"/>
    <n v="204"/>
    <n v="448.08"/>
    <n v="62"/>
    <s v="On Time"/>
    <n v="91408.320000000007"/>
    <s v="Jan"/>
    <n v="2025"/>
    <n v="91408.319999999992"/>
    <s v="Major Delay"/>
  </r>
  <r>
    <n v="2813"/>
    <d v="2025-01-06T00:00:00"/>
    <x v="2"/>
    <x v="1"/>
    <s v="CJU"/>
    <s v="Premium Economy"/>
    <n v="151"/>
    <n v="113.78"/>
    <n v="0"/>
    <s v="On Time"/>
    <n v="17180.78"/>
    <s v="Jan"/>
    <n v="2025"/>
    <n v="17180.78"/>
    <s v="On Time"/>
  </r>
  <r>
    <n v="2814"/>
    <d v="2025-06-26T00:00:00"/>
    <x v="2"/>
    <x v="7"/>
    <s v="NRT"/>
    <s v="Business"/>
    <n v="201"/>
    <n v="732.42"/>
    <n v="36"/>
    <s v="Delayed"/>
    <n v="147216.42000000001"/>
    <s v="Jun"/>
    <n v="2025"/>
    <n v="147216.41999999998"/>
    <s v="Moderate Delay"/>
  </r>
  <r>
    <n v="2815"/>
    <d v="2025-04-21T00:00:00"/>
    <x v="4"/>
    <x v="7"/>
    <s v="NRT"/>
    <s v="Business"/>
    <n v="238"/>
    <n v="413.32"/>
    <n v="51"/>
    <s v="On Time"/>
    <n v="98370.16"/>
    <s v="Apr"/>
    <n v="2025"/>
    <n v="98370.16"/>
    <s v="Moderate Delay"/>
  </r>
  <r>
    <n v="2816"/>
    <d v="2025-11-09T00:00:00"/>
    <x v="0"/>
    <x v="8"/>
    <s v="SIN"/>
    <s v="Premium Economy"/>
    <n v="284"/>
    <n v="637.92999999999995"/>
    <n v="14"/>
    <s v="On Time"/>
    <n v="181172.12"/>
    <s v="Nov"/>
    <n v="2025"/>
    <n v="181172.12"/>
    <s v="Minor Delay"/>
  </r>
  <r>
    <n v="2817"/>
    <d v="2025-05-11T00:00:00"/>
    <x v="5"/>
    <x v="0"/>
    <s v="NRT"/>
    <s v="Economy"/>
    <n v="62"/>
    <n v="447.21"/>
    <n v="32"/>
    <s v="On Time"/>
    <n v="27727.02"/>
    <s v="May"/>
    <n v="2025"/>
    <n v="27727.02"/>
    <s v="Moderate Delay"/>
  </r>
  <r>
    <n v="2818"/>
    <d v="2025-06-17T00:00:00"/>
    <x v="0"/>
    <x v="2"/>
    <s v="GMP"/>
    <s v="Business"/>
    <n v="185"/>
    <n v="612.07000000000005"/>
    <n v="5"/>
    <s v="Delayed"/>
    <n v="113232.95"/>
    <s v="Jun"/>
    <n v="2025"/>
    <n v="113232.95000000001"/>
    <s v="Minor Delay"/>
  </r>
  <r>
    <n v="2819"/>
    <d v="2025-03-06T00:00:00"/>
    <x v="2"/>
    <x v="0"/>
    <s v="PUS"/>
    <s v="Economy"/>
    <n v="57"/>
    <n v="63.27"/>
    <n v="39"/>
    <s v="On Time"/>
    <n v="3606.39"/>
    <s v="Mar"/>
    <n v="2025"/>
    <n v="3606.3900000000003"/>
    <s v="Moderate Delay"/>
  </r>
  <r>
    <n v="2820"/>
    <d v="2025-03-17T00:00:00"/>
    <x v="5"/>
    <x v="8"/>
    <s v="BKK"/>
    <s v="Business"/>
    <n v="241"/>
    <n v="758.48"/>
    <n v="28"/>
    <s v="Delayed"/>
    <n v="182793.68"/>
    <s v="Mar"/>
    <n v="2025"/>
    <n v="182793.68"/>
    <s v="Minor Delay"/>
  </r>
  <r>
    <n v="2821"/>
    <d v="2025-01-18T00:00:00"/>
    <x v="4"/>
    <x v="4"/>
    <s v="PUS"/>
    <s v="Business"/>
    <n v="289"/>
    <n v="477.38"/>
    <n v="22"/>
    <s v="On Time"/>
    <n v="137962.82"/>
    <s v="Jan"/>
    <n v="2025"/>
    <n v="137962.82"/>
    <s v="Minor Delay"/>
  </r>
  <r>
    <n v="2822"/>
    <d v="2025-03-19T00:00:00"/>
    <x v="3"/>
    <x v="8"/>
    <s v="KIX"/>
    <s v="Business"/>
    <n v="170"/>
    <n v="157.97"/>
    <n v="32"/>
    <s v="On Time"/>
    <n v="26854.9"/>
    <s v="Mar"/>
    <n v="2025"/>
    <n v="26854.9"/>
    <s v="Moderate Delay"/>
  </r>
  <r>
    <n v="2823"/>
    <d v="2025-11-26T00:00:00"/>
    <x v="4"/>
    <x v="6"/>
    <s v="BKK"/>
    <s v="Business"/>
    <n v="148"/>
    <n v="279.87"/>
    <n v="18"/>
    <s v="On Time"/>
    <n v="41420.76"/>
    <s v="Nov"/>
    <n v="2025"/>
    <n v="41420.76"/>
    <s v="Minor Delay"/>
  </r>
  <r>
    <n v="2824"/>
    <d v="2025-06-18T00:00:00"/>
    <x v="5"/>
    <x v="4"/>
    <s v="ICN"/>
    <s v="Business"/>
    <n v="216"/>
    <n v="171.99"/>
    <n v="0"/>
    <s v="On Time"/>
    <n v="37149.839999999997"/>
    <s v="Jun"/>
    <n v="2025"/>
    <n v="37149.840000000004"/>
    <s v="On Time"/>
  </r>
  <r>
    <n v="2825"/>
    <d v="2025-04-29T00:00:00"/>
    <x v="1"/>
    <x v="2"/>
    <s v="BKK"/>
    <s v="Business"/>
    <n v="288"/>
    <n v="418.51"/>
    <n v="0"/>
    <s v="Delayed"/>
    <n v="120530.88"/>
    <s v="Apr"/>
    <n v="2025"/>
    <n v="120530.88"/>
    <s v="On Time"/>
  </r>
  <r>
    <n v="2826"/>
    <d v="2025-03-06T00:00:00"/>
    <x v="5"/>
    <x v="4"/>
    <s v="MNL"/>
    <s v="Business"/>
    <n v="285"/>
    <n v="779.86"/>
    <n v="35"/>
    <s v="Delayed"/>
    <n v="222260.1"/>
    <s v="Mar"/>
    <n v="2025"/>
    <n v="222260.1"/>
    <s v="Moderate Delay"/>
  </r>
  <r>
    <n v="2827"/>
    <d v="2025-10-01T00:00:00"/>
    <x v="0"/>
    <x v="3"/>
    <s v="MNL"/>
    <s v="Economy"/>
    <n v="71"/>
    <n v="410.65"/>
    <n v="0"/>
    <s v="On Time"/>
    <n v="29156.15"/>
    <s v="Oct"/>
    <n v="2025"/>
    <n v="29156.149999999998"/>
    <s v="On Time"/>
  </r>
  <r>
    <n v="2828"/>
    <d v="2025-02-21T00:00:00"/>
    <x v="5"/>
    <x v="1"/>
    <s v="MNL"/>
    <s v="Premium Economy"/>
    <n v="196"/>
    <n v="306.57"/>
    <n v="46"/>
    <s v="On Time"/>
    <n v="60087.72"/>
    <s v="Feb"/>
    <n v="2025"/>
    <n v="60087.72"/>
    <s v="Moderate Delay"/>
  </r>
  <r>
    <n v="2829"/>
    <d v="2025-06-08T00:00:00"/>
    <x v="0"/>
    <x v="4"/>
    <s v="ICN"/>
    <s v="Premium Economy"/>
    <n v="175"/>
    <n v="250.64"/>
    <n v="14"/>
    <s v="Delayed"/>
    <n v="43862"/>
    <s v="Jun"/>
    <n v="2025"/>
    <n v="43862"/>
    <s v="Minor Delay"/>
  </r>
  <r>
    <n v="2830"/>
    <d v="2025-12-05T00:00:00"/>
    <x v="5"/>
    <x v="2"/>
    <s v="SIN"/>
    <s v="Premium Economy"/>
    <n v="267"/>
    <n v="359.48"/>
    <n v="0"/>
    <s v="On Time"/>
    <n v="95981.16"/>
    <s v="Dec"/>
    <n v="2025"/>
    <n v="95981.16"/>
    <s v="On Time"/>
  </r>
  <r>
    <n v="2831"/>
    <d v="2025-09-11T00:00:00"/>
    <x v="0"/>
    <x v="8"/>
    <s v="SIN"/>
    <s v="Business"/>
    <n v="93"/>
    <n v="114.22"/>
    <n v="43"/>
    <s v="On Time"/>
    <n v="10622.46"/>
    <s v="Sep"/>
    <n v="2025"/>
    <n v="10622.46"/>
    <s v="Moderate Delay"/>
  </r>
  <r>
    <n v="2832"/>
    <d v="2025-01-24T00:00:00"/>
    <x v="0"/>
    <x v="0"/>
    <s v="PUS"/>
    <s v="Business"/>
    <n v="135"/>
    <n v="676.66"/>
    <n v="18"/>
    <s v="On Time"/>
    <n v="91349.1"/>
    <s v="Jan"/>
    <n v="2025"/>
    <n v="91349.099999999991"/>
    <s v="Minor Delay"/>
  </r>
  <r>
    <n v="2833"/>
    <d v="2025-09-22T00:00:00"/>
    <x v="2"/>
    <x v="0"/>
    <s v="NRT"/>
    <s v="Economy"/>
    <n v="103"/>
    <n v="400.12"/>
    <n v="34"/>
    <s v="Delayed"/>
    <n v="41212.36"/>
    <s v="Sep"/>
    <n v="2025"/>
    <n v="41212.36"/>
    <s v="Moderate Delay"/>
  </r>
  <r>
    <n v="2834"/>
    <d v="2025-08-18T00:00:00"/>
    <x v="4"/>
    <x v="4"/>
    <s v="KIX"/>
    <s v="Business"/>
    <n v="205"/>
    <n v="60.06"/>
    <n v="57"/>
    <s v="On Time"/>
    <n v="12312.3"/>
    <s v="Aug"/>
    <n v="2025"/>
    <n v="12312.300000000001"/>
    <s v="Moderate Delay"/>
  </r>
  <r>
    <n v="2835"/>
    <d v="2025-08-16T00:00:00"/>
    <x v="3"/>
    <x v="1"/>
    <s v="ICN"/>
    <s v="Business"/>
    <n v="156"/>
    <n v="700.84"/>
    <n v="23"/>
    <s v="On Time"/>
    <n v="109331.04"/>
    <s v="Aug"/>
    <n v="2025"/>
    <n v="109331.04000000001"/>
    <s v="Minor Delay"/>
  </r>
  <r>
    <n v="2836"/>
    <d v="2025-07-31T00:00:00"/>
    <x v="4"/>
    <x v="5"/>
    <s v="SIN"/>
    <s v="Economy"/>
    <n v="249"/>
    <n v="620.22"/>
    <n v="0"/>
    <s v="On Time"/>
    <n v="154434.78"/>
    <s v="Jul"/>
    <n v="2025"/>
    <n v="154434.78"/>
    <s v="On Time"/>
  </r>
  <r>
    <n v="2837"/>
    <d v="2025-12-19T00:00:00"/>
    <x v="5"/>
    <x v="8"/>
    <s v="ICN"/>
    <s v="Premium Economy"/>
    <n v="72"/>
    <n v="417.66"/>
    <n v="22"/>
    <s v="Delayed"/>
    <n v="30071.52"/>
    <s v="Dec"/>
    <n v="2025"/>
    <n v="30071.52"/>
    <s v="Minor Delay"/>
  </r>
  <r>
    <n v="2838"/>
    <d v="2025-05-18T00:00:00"/>
    <x v="4"/>
    <x v="3"/>
    <s v="GMP"/>
    <s v="Premium Economy"/>
    <n v="99"/>
    <n v="778.98"/>
    <n v="56"/>
    <s v="On Time"/>
    <n v="77119.02"/>
    <s v="May"/>
    <n v="2025"/>
    <n v="77119.02"/>
    <s v="Moderate Delay"/>
  </r>
  <r>
    <n v="2839"/>
    <d v="2025-09-18T00:00:00"/>
    <x v="1"/>
    <x v="0"/>
    <s v="BKK"/>
    <s v="Premium Economy"/>
    <n v="138"/>
    <n v="463.01"/>
    <n v="55"/>
    <s v="On Time"/>
    <n v="63895.38"/>
    <s v="Sep"/>
    <n v="2025"/>
    <n v="63895.38"/>
    <s v="Moderate Delay"/>
  </r>
  <r>
    <n v="2840"/>
    <d v="2025-05-19T00:00:00"/>
    <x v="3"/>
    <x v="8"/>
    <s v="NRT"/>
    <s v="Business"/>
    <n v="150"/>
    <n v="555.12"/>
    <n v="39"/>
    <s v="On Time"/>
    <n v="83268"/>
    <s v="May"/>
    <n v="2025"/>
    <n v="83268"/>
    <s v="Moderate Delay"/>
  </r>
  <r>
    <n v="2841"/>
    <d v="2025-01-25T00:00:00"/>
    <x v="3"/>
    <x v="0"/>
    <s v="MNL"/>
    <s v="Premium Economy"/>
    <n v="260"/>
    <n v="409.87"/>
    <n v="23"/>
    <s v="On Time"/>
    <n v="106566.2"/>
    <s v="Jan"/>
    <n v="2025"/>
    <n v="106566.2"/>
    <s v="Minor Delay"/>
  </r>
  <r>
    <n v="2842"/>
    <d v="2025-06-13T00:00:00"/>
    <x v="4"/>
    <x v="5"/>
    <s v="KIX"/>
    <s v="Economy"/>
    <n v="188"/>
    <n v="264.45999999999998"/>
    <n v="21"/>
    <s v="On Time"/>
    <n v="49718.48"/>
    <s v="Jun"/>
    <n v="2025"/>
    <n v="49718.479999999996"/>
    <s v="Minor Delay"/>
  </r>
  <r>
    <n v="2843"/>
    <d v="2025-04-02T00:00:00"/>
    <x v="1"/>
    <x v="2"/>
    <s v="CJU"/>
    <s v="Business"/>
    <n v="56"/>
    <n v="563.91999999999996"/>
    <n v="0"/>
    <s v="On Time"/>
    <n v="31579.52"/>
    <s v="Apr"/>
    <n v="2025"/>
    <n v="31579.519999999997"/>
    <s v="On Time"/>
  </r>
  <r>
    <n v="2844"/>
    <d v="2025-09-21T00:00:00"/>
    <x v="4"/>
    <x v="5"/>
    <s v="NRT"/>
    <s v="Business"/>
    <n v="191"/>
    <n v="355.51"/>
    <n v="6"/>
    <s v="Delayed"/>
    <n v="67902.41"/>
    <s v="Sep"/>
    <n v="2025"/>
    <n v="67902.41"/>
    <s v="Minor Delay"/>
  </r>
  <r>
    <n v="2845"/>
    <d v="2025-10-01T00:00:00"/>
    <x v="5"/>
    <x v="5"/>
    <s v="SIN"/>
    <s v="Economy"/>
    <n v="88"/>
    <n v="349.89"/>
    <n v="41"/>
    <s v="On Time"/>
    <n v="30790.32"/>
    <s v="Oct"/>
    <n v="2025"/>
    <n v="30790.32"/>
    <s v="Moderate Delay"/>
  </r>
  <r>
    <n v="2846"/>
    <d v="2025-12-21T00:00:00"/>
    <x v="2"/>
    <x v="1"/>
    <s v="NRT"/>
    <s v="Business"/>
    <n v="203"/>
    <n v="212.92"/>
    <n v="52"/>
    <s v="On Time"/>
    <n v="43222.76"/>
    <s v="Dec"/>
    <n v="2025"/>
    <n v="43222.759999999995"/>
    <s v="Moderate Delay"/>
  </r>
  <r>
    <n v="2847"/>
    <d v="2025-08-02T00:00:00"/>
    <x v="0"/>
    <x v="2"/>
    <s v="BKK"/>
    <s v="Economy"/>
    <n v="64"/>
    <n v="750.08"/>
    <n v="0"/>
    <s v="On Time"/>
    <n v="48005.120000000003"/>
    <s v="Aug"/>
    <n v="2025"/>
    <n v="48005.120000000003"/>
    <s v="On Time"/>
  </r>
  <r>
    <n v="2848"/>
    <d v="2025-08-10T00:00:00"/>
    <x v="2"/>
    <x v="5"/>
    <s v="GMP"/>
    <s v="Economy"/>
    <n v="179"/>
    <n v="592.67999999999995"/>
    <n v="2"/>
    <s v="On Time"/>
    <n v="106089.72"/>
    <s v="Aug"/>
    <n v="2025"/>
    <n v="106089.71999999999"/>
    <s v="Minor Delay"/>
  </r>
  <r>
    <n v="2849"/>
    <d v="2025-11-02T00:00:00"/>
    <x v="0"/>
    <x v="8"/>
    <s v="ICN"/>
    <s v="Economy"/>
    <n v="300"/>
    <n v="562.83000000000004"/>
    <n v="48"/>
    <s v="On Time"/>
    <n v="168849"/>
    <s v="Nov"/>
    <n v="2025"/>
    <n v="168849"/>
    <s v="Moderate Delay"/>
  </r>
  <r>
    <n v="2850"/>
    <d v="2025-02-10T00:00:00"/>
    <x v="1"/>
    <x v="4"/>
    <s v="PUS"/>
    <s v="Economy"/>
    <n v="224"/>
    <n v="693.56"/>
    <n v="46"/>
    <s v="On Time"/>
    <n v="155357.44"/>
    <s v="Feb"/>
    <n v="2025"/>
    <n v="155357.44"/>
    <s v="Moderate Delay"/>
  </r>
  <r>
    <n v="2851"/>
    <d v="2025-02-21T00:00:00"/>
    <x v="1"/>
    <x v="1"/>
    <s v="MNL"/>
    <s v="Premium Economy"/>
    <n v="187"/>
    <n v="264"/>
    <n v="15"/>
    <s v="On Time"/>
    <n v="49368"/>
    <s v="Feb"/>
    <n v="2025"/>
    <n v="49368"/>
    <s v="Minor Delay"/>
  </r>
  <r>
    <n v="2852"/>
    <d v="2025-04-06T00:00:00"/>
    <x v="3"/>
    <x v="1"/>
    <s v="PUS"/>
    <s v="Economy"/>
    <n v="78"/>
    <n v="499.56"/>
    <n v="26"/>
    <s v="On Time"/>
    <n v="38965.68"/>
    <s v="Apr"/>
    <n v="2025"/>
    <n v="38965.68"/>
    <s v="Minor Delay"/>
  </r>
  <r>
    <n v="2853"/>
    <d v="2025-12-17T00:00:00"/>
    <x v="3"/>
    <x v="4"/>
    <s v="SIN"/>
    <s v="Economy"/>
    <n v="87"/>
    <n v="73.39"/>
    <n v="28"/>
    <s v="On Time"/>
    <n v="6384.93"/>
    <s v="Dec"/>
    <n v="2025"/>
    <n v="6384.93"/>
    <s v="Minor Delay"/>
  </r>
  <r>
    <n v="2854"/>
    <d v="2025-05-20T00:00:00"/>
    <x v="4"/>
    <x v="8"/>
    <s v="SIN"/>
    <s v="Business"/>
    <n v="121"/>
    <n v="279.24"/>
    <n v="73"/>
    <s v="On Time"/>
    <n v="33788.04"/>
    <s v="May"/>
    <n v="2025"/>
    <n v="33788.04"/>
    <s v="Major Delay"/>
  </r>
  <r>
    <n v="2855"/>
    <d v="2025-11-24T00:00:00"/>
    <x v="0"/>
    <x v="5"/>
    <s v="PUS"/>
    <s v="Economy"/>
    <n v="163"/>
    <n v="615.53"/>
    <n v="9"/>
    <s v="Delayed"/>
    <n v="100331.39"/>
    <s v="Nov"/>
    <n v="2025"/>
    <n v="100331.39"/>
    <s v="Minor Delay"/>
  </r>
  <r>
    <n v="2856"/>
    <d v="2025-10-23T00:00:00"/>
    <x v="4"/>
    <x v="3"/>
    <s v="PUS"/>
    <s v="Premium Economy"/>
    <n v="274"/>
    <n v="646.58000000000004"/>
    <n v="60"/>
    <s v="Delayed"/>
    <n v="177162.92"/>
    <s v="Oct"/>
    <n v="2025"/>
    <n v="177162.92"/>
    <s v="Moderate Delay"/>
  </r>
  <r>
    <n v="2857"/>
    <d v="2025-07-28T00:00:00"/>
    <x v="0"/>
    <x v="1"/>
    <s v="CJU"/>
    <s v="Economy"/>
    <n v="133"/>
    <n v="580.30999999999995"/>
    <n v="0"/>
    <s v="On Time"/>
    <n v="77181.23"/>
    <s v="Jul"/>
    <n v="2025"/>
    <n v="77181.23"/>
    <s v="On Time"/>
  </r>
  <r>
    <n v="2858"/>
    <d v="2025-07-16T00:00:00"/>
    <x v="1"/>
    <x v="5"/>
    <s v="PUS"/>
    <s v="Business"/>
    <n v="186"/>
    <n v="282.89"/>
    <n v="0"/>
    <s v="On Time"/>
    <n v="52617.54"/>
    <s v="Jul"/>
    <n v="2025"/>
    <n v="52617.54"/>
    <s v="On Time"/>
  </r>
  <r>
    <n v="2859"/>
    <d v="2025-01-04T00:00:00"/>
    <x v="0"/>
    <x v="8"/>
    <s v="SIN"/>
    <s v="Premium Economy"/>
    <n v="182"/>
    <n v="356.95"/>
    <n v="0"/>
    <s v="On Time"/>
    <n v="64964.9"/>
    <s v="Jan"/>
    <n v="2025"/>
    <n v="64964.9"/>
    <s v="On Time"/>
  </r>
  <r>
    <n v="2860"/>
    <d v="2025-07-22T00:00:00"/>
    <x v="0"/>
    <x v="5"/>
    <s v="MNL"/>
    <s v="Premium Economy"/>
    <n v="262"/>
    <n v="66.19"/>
    <n v="60"/>
    <s v="On Time"/>
    <n v="17341.78"/>
    <s v="Jul"/>
    <n v="2025"/>
    <n v="17341.78"/>
    <s v="Moderate Delay"/>
  </r>
  <r>
    <n v="2861"/>
    <d v="2025-11-28T00:00:00"/>
    <x v="3"/>
    <x v="6"/>
    <s v="GMP"/>
    <s v="Premium Economy"/>
    <n v="118"/>
    <n v="679.69"/>
    <n v="0"/>
    <s v="On Time"/>
    <n v="80203.42"/>
    <s v="Nov"/>
    <n v="2025"/>
    <n v="80203.420000000013"/>
    <s v="On Time"/>
  </r>
  <r>
    <n v="2862"/>
    <d v="2025-10-31T00:00:00"/>
    <x v="1"/>
    <x v="2"/>
    <s v="ICN"/>
    <s v="Economy"/>
    <n v="65"/>
    <n v="656.07"/>
    <n v="0"/>
    <s v="On Time"/>
    <n v="42644.55"/>
    <s v="Oct"/>
    <n v="2025"/>
    <n v="42644.55"/>
    <s v="On Time"/>
  </r>
  <r>
    <n v="2863"/>
    <d v="2025-07-06T00:00:00"/>
    <x v="0"/>
    <x v="5"/>
    <s v="PUS"/>
    <s v="Economy"/>
    <n v="205"/>
    <n v="254.1"/>
    <n v="29"/>
    <s v="Delayed"/>
    <n v="52090.5"/>
    <s v="Jul"/>
    <n v="2025"/>
    <n v="52090.5"/>
    <s v="Minor Delay"/>
  </r>
  <r>
    <n v="2864"/>
    <d v="2025-12-23T00:00:00"/>
    <x v="5"/>
    <x v="3"/>
    <s v="SIN"/>
    <s v="Premium Economy"/>
    <n v="109"/>
    <n v="694.53"/>
    <n v="33"/>
    <s v="On Time"/>
    <n v="75703.77"/>
    <s v="Dec"/>
    <n v="2025"/>
    <n v="75703.77"/>
    <s v="Moderate Delay"/>
  </r>
  <r>
    <n v="2865"/>
    <d v="2025-01-22T00:00:00"/>
    <x v="1"/>
    <x v="7"/>
    <s v="MNL"/>
    <s v="Business"/>
    <n v="233"/>
    <n v="454.75"/>
    <n v="68"/>
    <s v="On Time"/>
    <n v="105956.75"/>
    <s v="Jan"/>
    <n v="2025"/>
    <n v="105956.75"/>
    <s v="Major Delay"/>
  </r>
  <r>
    <n v="2866"/>
    <d v="2025-12-05T00:00:00"/>
    <x v="4"/>
    <x v="8"/>
    <s v="NRT"/>
    <s v="Premium Economy"/>
    <n v="257"/>
    <n v="262.27999999999997"/>
    <n v="33"/>
    <s v="On Time"/>
    <n v="67405.960000000006"/>
    <s v="Dec"/>
    <n v="2025"/>
    <n v="67405.959999999992"/>
    <s v="Moderate Delay"/>
  </r>
  <r>
    <n v="2867"/>
    <d v="2025-06-13T00:00:00"/>
    <x v="4"/>
    <x v="7"/>
    <s v="ICN"/>
    <s v="Business"/>
    <n v="192"/>
    <n v="772.36"/>
    <n v="15"/>
    <s v="On Time"/>
    <n v="148293.12"/>
    <s v="Jun"/>
    <n v="2025"/>
    <n v="148293.12"/>
    <s v="Minor Delay"/>
  </r>
  <r>
    <n v="2868"/>
    <d v="2025-03-05T00:00:00"/>
    <x v="5"/>
    <x v="6"/>
    <s v="GMP"/>
    <s v="Economy"/>
    <n v="211"/>
    <n v="475.18"/>
    <n v="40"/>
    <s v="On Time"/>
    <n v="100262.98"/>
    <s v="Mar"/>
    <n v="2025"/>
    <n v="100262.98"/>
    <s v="Moderate Delay"/>
  </r>
  <r>
    <n v="2869"/>
    <d v="2025-11-19T00:00:00"/>
    <x v="4"/>
    <x v="1"/>
    <s v="KIX"/>
    <s v="Business"/>
    <n v="104"/>
    <n v="269.70999999999998"/>
    <n v="30"/>
    <s v="On Time"/>
    <n v="28049.84"/>
    <s v="Nov"/>
    <n v="2025"/>
    <n v="28049.839999999997"/>
    <s v="Minor Delay"/>
  </r>
  <r>
    <n v="2870"/>
    <d v="2025-03-27T00:00:00"/>
    <x v="5"/>
    <x v="1"/>
    <s v="CJU"/>
    <s v="Business"/>
    <n v="144"/>
    <n v="170.56"/>
    <n v="2"/>
    <s v="On Time"/>
    <n v="24560.639999999999"/>
    <s v="Mar"/>
    <n v="2025"/>
    <n v="24560.639999999999"/>
    <s v="Minor Delay"/>
  </r>
  <r>
    <n v="2871"/>
    <d v="2025-06-11T00:00:00"/>
    <x v="3"/>
    <x v="8"/>
    <s v="ICN"/>
    <s v="Premium Economy"/>
    <n v="147"/>
    <n v="68.930000000000007"/>
    <n v="45"/>
    <s v="Delayed"/>
    <n v="10132.709999999999"/>
    <s v="Jun"/>
    <n v="2025"/>
    <n v="10132.710000000001"/>
    <s v="Moderate Delay"/>
  </r>
  <r>
    <n v="2872"/>
    <d v="2025-10-05T00:00:00"/>
    <x v="2"/>
    <x v="7"/>
    <s v="KIX"/>
    <s v="Economy"/>
    <n v="164"/>
    <n v="67.760000000000005"/>
    <n v="15"/>
    <s v="On Time"/>
    <n v="11112.64"/>
    <s v="Oct"/>
    <n v="2025"/>
    <n v="11112.640000000001"/>
    <s v="Minor Delay"/>
  </r>
  <r>
    <n v="2873"/>
    <d v="2025-07-27T00:00:00"/>
    <x v="1"/>
    <x v="7"/>
    <s v="MNL"/>
    <s v="Economy"/>
    <n v="100"/>
    <n v="321.45999999999998"/>
    <n v="43"/>
    <s v="On Time"/>
    <n v="32146"/>
    <s v="Jul"/>
    <n v="2025"/>
    <n v="32145.999999999996"/>
    <s v="Moderate Delay"/>
  </r>
  <r>
    <n v="2874"/>
    <d v="2025-04-12T00:00:00"/>
    <x v="3"/>
    <x v="0"/>
    <s v="BKK"/>
    <s v="Economy"/>
    <n v="67"/>
    <n v="386.5"/>
    <n v="19"/>
    <s v="On Time"/>
    <n v="25895.5"/>
    <s v="Apr"/>
    <n v="2025"/>
    <n v="25895.5"/>
    <s v="Minor Delay"/>
  </r>
  <r>
    <n v="2875"/>
    <d v="2025-09-12T00:00:00"/>
    <x v="1"/>
    <x v="0"/>
    <s v="MNL"/>
    <s v="Premium Economy"/>
    <n v="158"/>
    <n v="99.94"/>
    <n v="0"/>
    <s v="On Time"/>
    <n v="15790.52"/>
    <s v="Sep"/>
    <n v="2025"/>
    <n v="15790.52"/>
    <s v="On Time"/>
  </r>
  <r>
    <n v="2876"/>
    <d v="2025-06-04T00:00:00"/>
    <x v="1"/>
    <x v="7"/>
    <s v="KIX"/>
    <s v="Economy"/>
    <n v="112"/>
    <n v="497.14"/>
    <n v="14"/>
    <s v="On Time"/>
    <n v="55679.68"/>
    <s v="Jun"/>
    <n v="2025"/>
    <n v="55679.68"/>
    <s v="Minor Delay"/>
  </r>
  <r>
    <n v="2877"/>
    <d v="2025-12-30T00:00:00"/>
    <x v="2"/>
    <x v="4"/>
    <s v="ICN"/>
    <s v="Premium Economy"/>
    <n v="237"/>
    <n v="611.54999999999995"/>
    <n v="28"/>
    <s v="On Time"/>
    <n v="144937.35"/>
    <s v="Dec"/>
    <n v="2025"/>
    <n v="144937.34999999998"/>
    <s v="Minor Delay"/>
  </r>
  <r>
    <n v="2878"/>
    <d v="2025-06-13T00:00:00"/>
    <x v="3"/>
    <x v="8"/>
    <s v="ICN"/>
    <s v="Premium Economy"/>
    <n v="81"/>
    <n v="483.78"/>
    <n v="56"/>
    <s v="On Time"/>
    <n v="39186.18"/>
    <s v="Jun"/>
    <n v="2025"/>
    <n v="39186.18"/>
    <s v="Moderate Delay"/>
  </r>
  <r>
    <n v="2879"/>
    <d v="2025-08-11T00:00:00"/>
    <x v="3"/>
    <x v="6"/>
    <s v="BKK"/>
    <s v="Premium Economy"/>
    <n v="266"/>
    <n v="591.69000000000005"/>
    <n v="0"/>
    <s v="On Time"/>
    <n v="157389.54"/>
    <s v="Aug"/>
    <n v="2025"/>
    <n v="157389.54"/>
    <s v="On Time"/>
  </r>
  <r>
    <n v="2880"/>
    <d v="2025-04-10T00:00:00"/>
    <x v="4"/>
    <x v="0"/>
    <s v="NRT"/>
    <s v="Business"/>
    <n v="205"/>
    <n v="426.22"/>
    <n v="7"/>
    <s v="On Time"/>
    <n v="87375.1"/>
    <s v="Apr"/>
    <n v="2025"/>
    <n v="87375.1"/>
    <s v="Minor Delay"/>
  </r>
  <r>
    <n v="2881"/>
    <d v="2025-07-22T00:00:00"/>
    <x v="5"/>
    <x v="6"/>
    <s v="MNL"/>
    <s v="Economy"/>
    <n v="145"/>
    <n v="568.13"/>
    <n v="35"/>
    <s v="On Time"/>
    <n v="82378.850000000006"/>
    <s v="Jul"/>
    <n v="2025"/>
    <n v="82378.850000000006"/>
    <s v="Moderate Delay"/>
  </r>
  <r>
    <n v="2882"/>
    <d v="2025-02-15T00:00:00"/>
    <x v="5"/>
    <x v="8"/>
    <s v="SIN"/>
    <s v="Premium Economy"/>
    <n v="112"/>
    <n v="693.1"/>
    <n v="24"/>
    <s v="Delayed"/>
    <n v="77627.199999999997"/>
    <s v="Feb"/>
    <n v="2025"/>
    <n v="77627.199999999997"/>
    <s v="Minor Delay"/>
  </r>
  <r>
    <n v="2883"/>
    <d v="2025-03-25T00:00:00"/>
    <x v="1"/>
    <x v="0"/>
    <s v="PUS"/>
    <s v="Business"/>
    <n v="142"/>
    <n v="380.04"/>
    <n v="20"/>
    <s v="Delayed"/>
    <n v="53965.68"/>
    <s v="Mar"/>
    <n v="2025"/>
    <n v="53965.68"/>
    <s v="Minor Delay"/>
  </r>
  <r>
    <n v="2884"/>
    <d v="2025-12-16T00:00:00"/>
    <x v="0"/>
    <x v="8"/>
    <s v="PUS"/>
    <s v="Economy"/>
    <n v="194"/>
    <n v="798.74"/>
    <n v="36"/>
    <s v="On Time"/>
    <n v="154955.56"/>
    <s v="Dec"/>
    <n v="2025"/>
    <n v="154955.56"/>
    <s v="Moderate Delay"/>
  </r>
  <r>
    <n v="2885"/>
    <d v="2025-04-06T00:00:00"/>
    <x v="5"/>
    <x v="4"/>
    <s v="ICN"/>
    <s v="Economy"/>
    <n v="132"/>
    <n v="237.65"/>
    <n v="32"/>
    <s v="Delayed"/>
    <n v="31369.8"/>
    <s v="Apr"/>
    <n v="2025"/>
    <n v="31369.8"/>
    <s v="Moderate Delay"/>
  </r>
  <r>
    <n v="2886"/>
    <d v="2025-11-13T00:00:00"/>
    <x v="5"/>
    <x v="8"/>
    <s v="BKK"/>
    <s v="Business"/>
    <n v="97"/>
    <n v="251.13"/>
    <n v="41"/>
    <s v="On Time"/>
    <n v="24359.61"/>
    <s v="Nov"/>
    <n v="2025"/>
    <n v="24359.61"/>
    <s v="Moderate Delay"/>
  </r>
  <r>
    <n v="2887"/>
    <d v="2025-04-25T00:00:00"/>
    <x v="3"/>
    <x v="2"/>
    <s v="CJU"/>
    <s v="Business"/>
    <n v="272"/>
    <n v="310.23"/>
    <n v="28"/>
    <s v="On Time"/>
    <n v="84382.56"/>
    <s v="Apr"/>
    <n v="2025"/>
    <n v="84382.56"/>
    <s v="Minor Delay"/>
  </r>
  <r>
    <n v="2888"/>
    <d v="2025-05-09T00:00:00"/>
    <x v="3"/>
    <x v="5"/>
    <s v="CJU"/>
    <s v="Economy"/>
    <n v="66"/>
    <n v="373.23"/>
    <n v="30"/>
    <s v="On Time"/>
    <n v="24633.18"/>
    <s v="May"/>
    <n v="2025"/>
    <n v="24633.18"/>
    <s v="Minor Delay"/>
  </r>
  <r>
    <n v="2889"/>
    <d v="2025-05-31T00:00:00"/>
    <x v="0"/>
    <x v="7"/>
    <s v="KIX"/>
    <s v="Economy"/>
    <n v="296"/>
    <n v="279.72000000000003"/>
    <n v="1"/>
    <s v="On Time"/>
    <n v="82797.119999999995"/>
    <s v="May"/>
    <n v="2025"/>
    <n v="82797.12000000001"/>
    <s v="Minor Delay"/>
  </r>
  <r>
    <n v="2890"/>
    <d v="2025-06-19T00:00:00"/>
    <x v="4"/>
    <x v="5"/>
    <s v="SIN"/>
    <s v="Economy"/>
    <n v="134"/>
    <n v="683.63"/>
    <n v="0"/>
    <s v="On Time"/>
    <n v="91606.42"/>
    <s v="Jun"/>
    <n v="2025"/>
    <n v="91606.42"/>
    <s v="On Time"/>
  </r>
  <r>
    <n v="2891"/>
    <d v="2025-01-30T00:00:00"/>
    <x v="2"/>
    <x v="7"/>
    <s v="MNL"/>
    <s v="Premium Economy"/>
    <n v="161"/>
    <n v="480.61"/>
    <n v="12"/>
    <s v="On Time"/>
    <n v="77378.210000000006"/>
    <s v="Jan"/>
    <n v="2025"/>
    <n v="77378.210000000006"/>
    <s v="Minor Delay"/>
  </r>
  <r>
    <n v="2892"/>
    <d v="2025-01-16T00:00:00"/>
    <x v="1"/>
    <x v="2"/>
    <s v="GMP"/>
    <s v="Business"/>
    <n v="263"/>
    <n v="351.08"/>
    <n v="13"/>
    <s v="On Time"/>
    <n v="92334.04"/>
    <s v="Jan"/>
    <n v="2025"/>
    <n v="92334.04"/>
    <s v="Minor Delay"/>
  </r>
  <r>
    <n v="2893"/>
    <d v="2025-12-11T00:00:00"/>
    <x v="0"/>
    <x v="2"/>
    <s v="NRT"/>
    <s v="Economy"/>
    <n v="248"/>
    <n v="621.19000000000005"/>
    <n v="60"/>
    <s v="On Time"/>
    <n v="154055.12"/>
    <s v="Dec"/>
    <n v="2025"/>
    <n v="154055.12000000002"/>
    <s v="Moderate Delay"/>
  </r>
  <r>
    <n v="2894"/>
    <d v="2025-08-19T00:00:00"/>
    <x v="2"/>
    <x v="7"/>
    <s v="SIN"/>
    <s v="Premium Economy"/>
    <n v="105"/>
    <n v="210.78"/>
    <n v="18"/>
    <s v="On Time"/>
    <n v="22131.9"/>
    <s v="Aug"/>
    <n v="2025"/>
    <n v="22131.9"/>
    <s v="Minor Delay"/>
  </r>
  <r>
    <n v="2895"/>
    <d v="2025-07-23T00:00:00"/>
    <x v="2"/>
    <x v="6"/>
    <s v="ICN"/>
    <s v="Premium Economy"/>
    <n v="236"/>
    <n v="413.83"/>
    <n v="44"/>
    <s v="On Time"/>
    <n v="97663.88"/>
    <s v="Jul"/>
    <n v="2025"/>
    <n v="97663.87999999999"/>
    <s v="Moderate Delay"/>
  </r>
  <r>
    <n v="2896"/>
    <d v="2025-05-02T00:00:00"/>
    <x v="2"/>
    <x v="3"/>
    <s v="ICN"/>
    <s v="Economy"/>
    <n v="135"/>
    <n v="514.63"/>
    <n v="7"/>
    <s v="On Time"/>
    <n v="69475.05"/>
    <s v="May"/>
    <n v="2025"/>
    <n v="69475.05"/>
    <s v="Minor Delay"/>
  </r>
  <r>
    <n v="2897"/>
    <d v="2025-03-11T00:00:00"/>
    <x v="3"/>
    <x v="6"/>
    <s v="NRT"/>
    <s v="Premium Economy"/>
    <n v="71"/>
    <n v="598.66999999999996"/>
    <n v="47"/>
    <s v="On Time"/>
    <n v="42505.57"/>
    <s v="Mar"/>
    <n v="2025"/>
    <n v="42505.57"/>
    <s v="Moderate Delay"/>
  </r>
  <r>
    <n v="2898"/>
    <d v="2025-09-11T00:00:00"/>
    <x v="4"/>
    <x v="5"/>
    <s v="PUS"/>
    <s v="Economy"/>
    <n v="222"/>
    <n v="539.52"/>
    <n v="26"/>
    <s v="On Time"/>
    <n v="119773.44"/>
    <s v="Sep"/>
    <n v="2025"/>
    <n v="119773.44"/>
    <s v="Minor Delay"/>
  </r>
  <r>
    <n v="2899"/>
    <d v="2025-08-08T00:00:00"/>
    <x v="2"/>
    <x v="3"/>
    <s v="CJU"/>
    <s v="Premium Economy"/>
    <n v="85"/>
    <n v="334.73"/>
    <n v="62"/>
    <s v="On Time"/>
    <n v="28452.05"/>
    <s v="Aug"/>
    <n v="2025"/>
    <n v="28452.050000000003"/>
    <s v="Major Delay"/>
  </r>
  <r>
    <n v="2900"/>
    <d v="2025-01-21T00:00:00"/>
    <x v="0"/>
    <x v="7"/>
    <s v="ICN"/>
    <s v="Business"/>
    <n v="153"/>
    <n v="201.27"/>
    <n v="0"/>
    <s v="On Time"/>
    <n v="30794.31"/>
    <s v="Jan"/>
    <n v="2025"/>
    <n v="30794.31"/>
    <s v="On Time"/>
  </r>
  <r>
    <n v="2901"/>
    <d v="2025-05-15T00:00:00"/>
    <x v="2"/>
    <x v="3"/>
    <s v="MNL"/>
    <s v="Business"/>
    <n v="68"/>
    <n v="269.22000000000003"/>
    <n v="0"/>
    <s v="On Time"/>
    <n v="18306.96"/>
    <s v="May"/>
    <n v="2025"/>
    <n v="18306.960000000003"/>
    <s v="On Time"/>
  </r>
  <r>
    <n v="2902"/>
    <d v="2025-09-25T00:00:00"/>
    <x v="0"/>
    <x v="2"/>
    <s v="GMP"/>
    <s v="Business"/>
    <n v="228"/>
    <n v="629.86"/>
    <n v="27"/>
    <s v="On Time"/>
    <n v="143608.07999999999"/>
    <s v="Sep"/>
    <n v="2025"/>
    <n v="143608.08000000002"/>
    <s v="Minor Delay"/>
  </r>
  <r>
    <n v="2903"/>
    <d v="2025-11-03T00:00:00"/>
    <x v="1"/>
    <x v="6"/>
    <s v="NRT"/>
    <s v="Premium Economy"/>
    <n v="203"/>
    <n v="736.28"/>
    <n v="13"/>
    <s v="On Time"/>
    <n v="149464.84"/>
    <s v="Nov"/>
    <n v="2025"/>
    <n v="149464.84"/>
    <s v="Minor Delay"/>
  </r>
  <r>
    <n v="2904"/>
    <d v="2025-01-08T00:00:00"/>
    <x v="4"/>
    <x v="3"/>
    <s v="BKK"/>
    <s v="Business"/>
    <n v="229"/>
    <n v="652.32000000000005"/>
    <n v="19"/>
    <s v="On Time"/>
    <n v="149381.28"/>
    <s v="Jan"/>
    <n v="2025"/>
    <n v="149381.28"/>
    <s v="Minor Delay"/>
  </r>
  <r>
    <n v="2905"/>
    <d v="2025-06-01T00:00:00"/>
    <x v="0"/>
    <x v="1"/>
    <s v="MNL"/>
    <s v="Economy"/>
    <n v="83"/>
    <n v="611.52"/>
    <n v="39"/>
    <s v="On Time"/>
    <n v="50756.160000000003"/>
    <s v="Jun"/>
    <n v="2025"/>
    <n v="50756.159999999996"/>
    <s v="Moderate Delay"/>
  </r>
  <r>
    <n v="2906"/>
    <d v="2025-03-22T00:00:00"/>
    <x v="3"/>
    <x v="7"/>
    <s v="GMP"/>
    <s v="Business"/>
    <n v="199"/>
    <n v="580.88"/>
    <n v="17"/>
    <s v="Delayed"/>
    <n v="115595.12"/>
    <s v="Mar"/>
    <n v="2025"/>
    <n v="115595.12"/>
    <s v="Minor Delay"/>
  </r>
  <r>
    <n v="2907"/>
    <d v="2025-06-18T00:00:00"/>
    <x v="5"/>
    <x v="0"/>
    <s v="CJU"/>
    <s v="Premium Economy"/>
    <n v="193"/>
    <n v="750.26"/>
    <n v="20"/>
    <s v="On Time"/>
    <n v="144800.18"/>
    <s v="Jun"/>
    <n v="2025"/>
    <n v="144800.18"/>
    <s v="Minor Delay"/>
  </r>
  <r>
    <n v="2908"/>
    <d v="2025-08-12T00:00:00"/>
    <x v="3"/>
    <x v="7"/>
    <s v="SIN"/>
    <s v="Business"/>
    <n v="285"/>
    <n v="708"/>
    <n v="24"/>
    <s v="On Time"/>
    <n v="201780"/>
    <s v="Aug"/>
    <n v="2025"/>
    <n v="201780"/>
    <s v="Minor Delay"/>
  </r>
  <r>
    <n v="2909"/>
    <d v="2025-09-12T00:00:00"/>
    <x v="4"/>
    <x v="2"/>
    <s v="KIX"/>
    <s v="Economy"/>
    <n v="261"/>
    <n v="718.23"/>
    <n v="5"/>
    <s v="On Time"/>
    <n v="187458.03"/>
    <s v="Sep"/>
    <n v="2025"/>
    <n v="187458.03"/>
    <s v="Minor Delay"/>
  </r>
  <r>
    <n v="2910"/>
    <d v="2025-02-02T00:00:00"/>
    <x v="5"/>
    <x v="6"/>
    <s v="MNL"/>
    <s v="Business"/>
    <n v="184"/>
    <n v="164.59"/>
    <n v="2"/>
    <s v="Delayed"/>
    <n v="30284.560000000001"/>
    <s v="Feb"/>
    <n v="2025"/>
    <n v="30284.560000000001"/>
    <s v="Minor Delay"/>
  </r>
  <r>
    <n v="2911"/>
    <d v="2025-09-27T00:00:00"/>
    <x v="3"/>
    <x v="2"/>
    <s v="SIN"/>
    <s v="Business"/>
    <n v="216"/>
    <n v="417.48"/>
    <n v="4"/>
    <s v="Delayed"/>
    <n v="90175.679999999993"/>
    <s v="Sep"/>
    <n v="2025"/>
    <n v="90175.680000000008"/>
    <s v="Minor Delay"/>
  </r>
  <r>
    <n v="2912"/>
    <d v="2025-09-25T00:00:00"/>
    <x v="1"/>
    <x v="0"/>
    <s v="MNL"/>
    <s v="Premium Economy"/>
    <n v="228"/>
    <n v="117.01"/>
    <n v="47"/>
    <s v="On Time"/>
    <n v="26678.28"/>
    <s v="Sep"/>
    <n v="2025"/>
    <n v="26678.280000000002"/>
    <s v="Moderate Delay"/>
  </r>
  <r>
    <n v="2913"/>
    <d v="2025-07-25T00:00:00"/>
    <x v="4"/>
    <x v="4"/>
    <s v="BKK"/>
    <s v="Premium Economy"/>
    <n v="241"/>
    <n v="784.86"/>
    <n v="0"/>
    <s v="Delayed"/>
    <n v="189151.26"/>
    <s v="Jul"/>
    <n v="2025"/>
    <n v="189151.26"/>
    <s v="On Time"/>
  </r>
  <r>
    <n v="2914"/>
    <d v="2025-12-14T00:00:00"/>
    <x v="4"/>
    <x v="1"/>
    <s v="ICN"/>
    <s v="Business"/>
    <n v="159"/>
    <n v="568.16"/>
    <n v="0"/>
    <s v="On Time"/>
    <n v="90337.44"/>
    <s v="Dec"/>
    <n v="2025"/>
    <n v="90337.439999999988"/>
    <s v="On Time"/>
  </r>
  <r>
    <n v="2915"/>
    <d v="2025-12-14T00:00:00"/>
    <x v="5"/>
    <x v="1"/>
    <s v="PUS"/>
    <s v="Economy"/>
    <n v="298"/>
    <n v="62.74"/>
    <n v="0"/>
    <s v="On Time"/>
    <n v="18696.52"/>
    <s v="Dec"/>
    <n v="2025"/>
    <n v="18696.52"/>
    <s v="On Time"/>
  </r>
  <r>
    <n v="2916"/>
    <d v="2025-01-26T00:00:00"/>
    <x v="5"/>
    <x v="1"/>
    <s v="GMP"/>
    <s v="Economy"/>
    <n v="196"/>
    <n v="711.24"/>
    <n v="0"/>
    <s v="On Time"/>
    <n v="139403.04"/>
    <s v="Jan"/>
    <n v="2025"/>
    <n v="139403.04"/>
    <s v="On Time"/>
  </r>
  <r>
    <n v="2917"/>
    <d v="2025-03-09T00:00:00"/>
    <x v="1"/>
    <x v="1"/>
    <s v="MNL"/>
    <s v="Economy"/>
    <n v="157"/>
    <n v="298.76"/>
    <n v="52"/>
    <s v="On Time"/>
    <n v="46905.32"/>
    <s v="Mar"/>
    <n v="2025"/>
    <n v="46905.32"/>
    <s v="Moderate Delay"/>
  </r>
  <r>
    <n v="2918"/>
    <d v="2025-06-19T00:00:00"/>
    <x v="2"/>
    <x v="1"/>
    <s v="NRT"/>
    <s v="Business"/>
    <n v="287"/>
    <n v="446.83"/>
    <n v="0"/>
    <s v="On Time"/>
    <n v="128240.21"/>
    <s v="Jun"/>
    <n v="2025"/>
    <n v="128240.20999999999"/>
    <s v="On Time"/>
  </r>
  <r>
    <n v="2919"/>
    <d v="2025-09-10T00:00:00"/>
    <x v="4"/>
    <x v="3"/>
    <s v="BKK"/>
    <s v="Economy"/>
    <n v="297"/>
    <n v="187.39"/>
    <n v="0"/>
    <s v="On Time"/>
    <n v="55654.83"/>
    <s v="Sep"/>
    <n v="2025"/>
    <n v="55654.829999999994"/>
    <s v="On Time"/>
  </r>
  <r>
    <n v="2920"/>
    <d v="2025-06-22T00:00:00"/>
    <x v="5"/>
    <x v="1"/>
    <s v="SIN"/>
    <s v="Premium Economy"/>
    <n v="256"/>
    <n v="452.91"/>
    <n v="23"/>
    <s v="On Time"/>
    <n v="115944.96000000001"/>
    <s v="Jun"/>
    <n v="2025"/>
    <n v="115944.96000000001"/>
    <s v="Minor Delay"/>
  </r>
  <r>
    <n v="2921"/>
    <d v="2025-02-06T00:00:00"/>
    <x v="2"/>
    <x v="5"/>
    <s v="BKK"/>
    <s v="Premium Economy"/>
    <n v="140"/>
    <n v="248.96"/>
    <n v="32"/>
    <s v="On Time"/>
    <n v="34854.400000000001"/>
    <s v="Feb"/>
    <n v="2025"/>
    <n v="34854.400000000001"/>
    <s v="Moderate Delay"/>
  </r>
  <r>
    <n v="2922"/>
    <d v="2025-02-05T00:00:00"/>
    <x v="5"/>
    <x v="4"/>
    <s v="KIX"/>
    <s v="Business"/>
    <n v="206"/>
    <n v="409.51"/>
    <n v="29"/>
    <s v="On Time"/>
    <n v="84359.06"/>
    <s v="Feb"/>
    <n v="2025"/>
    <n v="84359.06"/>
    <s v="Minor Delay"/>
  </r>
  <r>
    <n v="2923"/>
    <d v="2025-04-14T00:00:00"/>
    <x v="5"/>
    <x v="7"/>
    <s v="NRT"/>
    <s v="Premium Economy"/>
    <n v="283"/>
    <n v="455.46"/>
    <n v="0"/>
    <s v="On Time"/>
    <n v="128895.18"/>
    <s v="Apr"/>
    <n v="2025"/>
    <n v="128895.18"/>
    <s v="On Time"/>
  </r>
  <r>
    <n v="2924"/>
    <d v="2025-01-22T00:00:00"/>
    <x v="3"/>
    <x v="3"/>
    <s v="SIN"/>
    <s v="Economy"/>
    <n v="165"/>
    <n v="74.709999999999994"/>
    <n v="33"/>
    <s v="On Time"/>
    <n v="12327.15"/>
    <s v="Jan"/>
    <n v="2025"/>
    <n v="12327.15"/>
    <s v="Moderate Delay"/>
  </r>
  <r>
    <n v="2925"/>
    <d v="2025-11-15T00:00:00"/>
    <x v="4"/>
    <x v="2"/>
    <s v="ICN"/>
    <s v="Premium Economy"/>
    <n v="89"/>
    <n v="738.07"/>
    <n v="0"/>
    <s v="On Time"/>
    <n v="65688.23"/>
    <s v="Nov"/>
    <n v="2025"/>
    <n v="65688.23000000001"/>
    <s v="On Time"/>
  </r>
  <r>
    <n v="2926"/>
    <d v="2025-10-04T00:00:00"/>
    <x v="5"/>
    <x v="3"/>
    <s v="ICN"/>
    <s v="Business"/>
    <n v="186"/>
    <n v="225.27"/>
    <n v="17"/>
    <s v="Cancelled"/>
    <n v="41900.22"/>
    <s v="Oct"/>
    <n v="2025"/>
    <n v="41900.22"/>
    <s v="Minor Delay"/>
  </r>
  <r>
    <n v="2927"/>
    <d v="2025-04-19T00:00:00"/>
    <x v="4"/>
    <x v="4"/>
    <s v="GMP"/>
    <s v="Business"/>
    <n v="198"/>
    <n v="68.97"/>
    <n v="24"/>
    <s v="Delayed"/>
    <n v="13656.06"/>
    <s v="Apr"/>
    <n v="2025"/>
    <n v="13656.06"/>
    <s v="Minor Delay"/>
  </r>
  <r>
    <n v="2928"/>
    <d v="2025-10-22T00:00:00"/>
    <x v="2"/>
    <x v="8"/>
    <s v="SIN"/>
    <s v="Economy"/>
    <n v="265"/>
    <n v="261.82"/>
    <n v="0"/>
    <s v="Cancelled"/>
    <n v="69382.3"/>
    <s v="Oct"/>
    <n v="2025"/>
    <n v="69382.3"/>
    <s v="On Time"/>
  </r>
  <r>
    <n v="2929"/>
    <d v="2025-02-26T00:00:00"/>
    <x v="0"/>
    <x v="6"/>
    <s v="NRT"/>
    <s v="Premium Economy"/>
    <n v="149"/>
    <n v="510.95"/>
    <n v="0"/>
    <s v="Delayed"/>
    <n v="76131.55"/>
    <s v="Feb"/>
    <n v="2025"/>
    <n v="76131.55"/>
    <s v="On Time"/>
  </r>
  <r>
    <n v="2930"/>
    <d v="2025-07-01T00:00:00"/>
    <x v="2"/>
    <x v="8"/>
    <s v="PUS"/>
    <s v="Business"/>
    <n v="175"/>
    <n v="281.37"/>
    <n v="16"/>
    <s v="On Time"/>
    <n v="49239.75"/>
    <s v="Jul"/>
    <n v="2025"/>
    <n v="49239.75"/>
    <s v="Minor Delay"/>
  </r>
  <r>
    <n v="2931"/>
    <d v="2025-09-13T00:00:00"/>
    <x v="3"/>
    <x v="5"/>
    <s v="BKK"/>
    <s v="Business"/>
    <n v="294"/>
    <n v="224.85"/>
    <n v="19"/>
    <s v="On Time"/>
    <n v="66105.899999999994"/>
    <s v="Sep"/>
    <n v="2025"/>
    <n v="66105.899999999994"/>
    <s v="Minor Delay"/>
  </r>
  <r>
    <n v="2932"/>
    <d v="2025-03-13T00:00:00"/>
    <x v="3"/>
    <x v="6"/>
    <s v="ICN"/>
    <s v="Premium Economy"/>
    <n v="50"/>
    <n v="184.75"/>
    <n v="24"/>
    <s v="On Time"/>
    <n v="9237.5"/>
    <s v="Mar"/>
    <n v="2025"/>
    <n v="9237.5"/>
    <s v="Minor Delay"/>
  </r>
  <r>
    <n v="2933"/>
    <d v="2025-11-30T00:00:00"/>
    <x v="1"/>
    <x v="4"/>
    <s v="CJU"/>
    <s v="Economy"/>
    <n v="298"/>
    <n v="126.62"/>
    <n v="48"/>
    <s v="On Time"/>
    <n v="37732.76"/>
    <s v="Nov"/>
    <n v="2025"/>
    <n v="37732.76"/>
    <s v="Moderate Delay"/>
  </r>
  <r>
    <n v="2934"/>
    <d v="2025-11-09T00:00:00"/>
    <x v="1"/>
    <x v="3"/>
    <s v="NRT"/>
    <s v="Premium Economy"/>
    <n v="98"/>
    <n v="684.84"/>
    <n v="2"/>
    <s v="On Time"/>
    <n v="67114.320000000007"/>
    <s v="Nov"/>
    <n v="2025"/>
    <n v="67114.320000000007"/>
    <s v="Minor Delay"/>
  </r>
  <r>
    <n v="2935"/>
    <d v="2025-10-16T00:00:00"/>
    <x v="3"/>
    <x v="2"/>
    <s v="GMP"/>
    <s v="Premium Economy"/>
    <n v="220"/>
    <n v="400.28"/>
    <n v="14"/>
    <s v="On Time"/>
    <n v="88061.6"/>
    <s v="Oct"/>
    <n v="2025"/>
    <n v="88061.599999999991"/>
    <s v="Minor Delay"/>
  </r>
  <r>
    <n v="2936"/>
    <d v="2025-12-03T00:00:00"/>
    <x v="4"/>
    <x v="3"/>
    <s v="GMP"/>
    <s v="Economy"/>
    <n v="181"/>
    <n v="725.52"/>
    <n v="46"/>
    <s v="On Time"/>
    <n v="131319.12"/>
    <s v="Dec"/>
    <n v="2025"/>
    <n v="131319.12"/>
    <s v="Moderate Delay"/>
  </r>
  <r>
    <n v="2937"/>
    <d v="2025-04-14T00:00:00"/>
    <x v="1"/>
    <x v="6"/>
    <s v="CJU"/>
    <s v="Business"/>
    <n v="183"/>
    <n v="618.41"/>
    <n v="43"/>
    <s v="On Time"/>
    <n v="113169.03"/>
    <s v="Apr"/>
    <n v="2025"/>
    <n v="113169.03"/>
    <s v="Moderate Delay"/>
  </r>
  <r>
    <n v="2938"/>
    <d v="2025-12-23T00:00:00"/>
    <x v="5"/>
    <x v="6"/>
    <s v="BKK"/>
    <s v="Premium Economy"/>
    <n v="77"/>
    <n v="482.21"/>
    <n v="44"/>
    <s v="On Time"/>
    <n v="37130.17"/>
    <s v="Dec"/>
    <n v="2025"/>
    <n v="37130.17"/>
    <s v="Moderate Delay"/>
  </r>
  <r>
    <n v="2939"/>
    <d v="2025-08-08T00:00:00"/>
    <x v="1"/>
    <x v="2"/>
    <s v="CJU"/>
    <s v="Business"/>
    <n v="214"/>
    <n v="326.83999999999997"/>
    <n v="0"/>
    <s v="On Time"/>
    <n v="69943.759999999995"/>
    <s v="Aug"/>
    <n v="2025"/>
    <n v="69943.759999999995"/>
    <s v="On Time"/>
  </r>
  <r>
    <n v="2940"/>
    <d v="2025-08-04T00:00:00"/>
    <x v="2"/>
    <x v="7"/>
    <s v="SIN"/>
    <s v="Premium Economy"/>
    <n v="287"/>
    <n v="442.1"/>
    <n v="8"/>
    <s v="On Time"/>
    <n v="126882.7"/>
    <s v="Aug"/>
    <n v="2025"/>
    <n v="126882.70000000001"/>
    <s v="Minor Delay"/>
  </r>
  <r>
    <n v="2941"/>
    <d v="2025-12-25T00:00:00"/>
    <x v="1"/>
    <x v="8"/>
    <s v="PUS"/>
    <s v="Premium Economy"/>
    <n v="153"/>
    <n v="194.53"/>
    <n v="0"/>
    <s v="On Time"/>
    <n v="29763.09"/>
    <s v="Dec"/>
    <n v="2025"/>
    <n v="29763.09"/>
    <s v="On Time"/>
  </r>
  <r>
    <n v="2942"/>
    <d v="2025-02-17T00:00:00"/>
    <x v="5"/>
    <x v="0"/>
    <s v="BKK"/>
    <s v="Economy"/>
    <n v="169"/>
    <n v="460.25"/>
    <n v="0"/>
    <s v="On Time"/>
    <n v="77782.25"/>
    <s v="Feb"/>
    <n v="2025"/>
    <n v="77782.25"/>
    <s v="On Time"/>
  </r>
  <r>
    <n v="2943"/>
    <d v="2025-07-05T00:00:00"/>
    <x v="4"/>
    <x v="7"/>
    <s v="MNL"/>
    <s v="Business"/>
    <n v="129"/>
    <n v="366.6"/>
    <n v="0"/>
    <s v="Delayed"/>
    <n v="47291.4"/>
    <s v="Jul"/>
    <n v="2025"/>
    <n v="47291.4"/>
    <s v="On Time"/>
  </r>
  <r>
    <n v="2944"/>
    <d v="2025-03-10T00:00:00"/>
    <x v="2"/>
    <x v="7"/>
    <s v="NRT"/>
    <s v="Business"/>
    <n v="86"/>
    <n v="222.85"/>
    <n v="5"/>
    <s v="On Time"/>
    <n v="19165.099999999999"/>
    <s v="Mar"/>
    <n v="2025"/>
    <n v="19165.099999999999"/>
    <s v="Minor Delay"/>
  </r>
  <r>
    <n v="2945"/>
    <d v="2025-03-19T00:00:00"/>
    <x v="0"/>
    <x v="8"/>
    <s v="ICN"/>
    <s v="Economy"/>
    <n v="170"/>
    <n v="562.69000000000005"/>
    <n v="13"/>
    <s v="Delayed"/>
    <n v="95657.3"/>
    <s v="Mar"/>
    <n v="2025"/>
    <n v="95657.3"/>
    <s v="Minor Delay"/>
  </r>
  <r>
    <n v="2946"/>
    <d v="2025-05-20T00:00:00"/>
    <x v="3"/>
    <x v="1"/>
    <s v="KIX"/>
    <s v="Business"/>
    <n v="210"/>
    <n v="531.94000000000005"/>
    <n v="16"/>
    <s v="On Time"/>
    <n v="111707.4"/>
    <s v="May"/>
    <n v="2025"/>
    <n v="111707.40000000001"/>
    <s v="Minor Delay"/>
  </r>
  <r>
    <n v="2947"/>
    <d v="2025-08-27T00:00:00"/>
    <x v="2"/>
    <x v="6"/>
    <s v="NRT"/>
    <s v="Business"/>
    <n v="132"/>
    <n v="580.41999999999996"/>
    <n v="59"/>
    <s v="On Time"/>
    <n v="76615.44"/>
    <s v="Aug"/>
    <n v="2025"/>
    <n v="76615.439999999988"/>
    <s v="Moderate Delay"/>
  </r>
  <r>
    <n v="2948"/>
    <d v="2025-04-14T00:00:00"/>
    <x v="5"/>
    <x v="3"/>
    <s v="BKK"/>
    <s v="Business"/>
    <n v="69"/>
    <n v="791.74"/>
    <n v="38"/>
    <s v="Delayed"/>
    <n v="54630.06"/>
    <s v="Apr"/>
    <n v="2025"/>
    <n v="54630.06"/>
    <s v="Moderate Delay"/>
  </r>
  <r>
    <n v="2949"/>
    <d v="2025-08-20T00:00:00"/>
    <x v="3"/>
    <x v="6"/>
    <s v="ICN"/>
    <s v="Economy"/>
    <n v="168"/>
    <n v="440.5"/>
    <n v="14"/>
    <s v="On Time"/>
    <n v="74004"/>
    <s v="Aug"/>
    <n v="2025"/>
    <n v="74004"/>
    <s v="Minor Delay"/>
  </r>
  <r>
    <n v="2950"/>
    <d v="2025-07-09T00:00:00"/>
    <x v="5"/>
    <x v="5"/>
    <s v="KIX"/>
    <s v="Business"/>
    <n v="245"/>
    <n v="587.03"/>
    <n v="27"/>
    <s v="On Time"/>
    <n v="143822.35"/>
    <s v="Jul"/>
    <n v="2025"/>
    <n v="143822.35"/>
    <s v="Minor Delay"/>
  </r>
  <r>
    <n v="2951"/>
    <d v="2025-09-16T00:00:00"/>
    <x v="4"/>
    <x v="1"/>
    <s v="PUS"/>
    <s v="Business"/>
    <n v="181"/>
    <n v="388.04"/>
    <n v="21"/>
    <s v="On Time"/>
    <n v="70235.240000000005"/>
    <s v="Sep"/>
    <n v="2025"/>
    <n v="70235.240000000005"/>
    <s v="Minor Delay"/>
  </r>
  <r>
    <n v="2952"/>
    <d v="2025-07-24T00:00:00"/>
    <x v="1"/>
    <x v="5"/>
    <s v="SIN"/>
    <s v="Economy"/>
    <n v="110"/>
    <n v="499.32"/>
    <n v="25"/>
    <s v="On Time"/>
    <n v="54925.2"/>
    <s v="Jul"/>
    <n v="2025"/>
    <n v="54925.2"/>
    <s v="Minor Delay"/>
  </r>
  <r>
    <n v="2953"/>
    <d v="2025-11-20T00:00:00"/>
    <x v="3"/>
    <x v="7"/>
    <s v="GMP"/>
    <s v="Business"/>
    <n v="57"/>
    <n v="527.71"/>
    <n v="14"/>
    <s v="Delayed"/>
    <n v="30079.47"/>
    <s v="Nov"/>
    <n v="2025"/>
    <n v="30079.47"/>
    <s v="Minor Delay"/>
  </r>
  <r>
    <n v="2954"/>
    <d v="2025-03-21T00:00:00"/>
    <x v="5"/>
    <x v="6"/>
    <s v="GMP"/>
    <s v="Business"/>
    <n v="252"/>
    <n v="459.62"/>
    <n v="29"/>
    <s v="On Time"/>
    <n v="115824.24"/>
    <s v="Mar"/>
    <n v="2025"/>
    <n v="115824.24"/>
    <s v="Minor Delay"/>
  </r>
  <r>
    <n v="2955"/>
    <d v="2025-01-14T00:00:00"/>
    <x v="3"/>
    <x v="0"/>
    <s v="PUS"/>
    <s v="Premium Economy"/>
    <n v="51"/>
    <n v="737.4"/>
    <n v="0"/>
    <s v="Delayed"/>
    <n v="37607.4"/>
    <s v="Jan"/>
    <n v="2025"/>
    <n v="37607.4"/>
    <s v="On Time"/>
  </r>
  <r>
    <n v="2956"/>
    <d v="2025-01-25T00:00:00"/>
    <x v="2"/>
    <x v="5"/>
    <s v="CJU"/>
    <s v="Business"/>
    <n v="83"/>
    <n v="222.39"/>
    <n v="47"/>
    <s v="On Time"/>
    <n v="18458.37"/>
    <s v="Jan"/>
    <n v="2025"/>
    <n v="18458.37"/>
    <s v="Moderate Delay"/>
  </r>
  <r>
    <n v="2957"/>
    <d v="2025-07-18T00:00:00"/>
    <x v="5"/>
    <x v="6"/>
    <s v="CJU"/>
    <s v="Business"/>
    <n v="278"/>
    <n v="230.92"/>
    <n v="13"/>
    <s v="On Time"/>
    <n v="64195.76"/>
    <s v="Jul"/>
    <n v="2025"/>
    <n v="64195.759999999995"/>
    <s v="Minor Delay"/>
  </r>
  <r>
    <n v="2958"/>
    <d v="2025-11-08T00:00:00"/>
    <x v="2"/>
    <x v="1"/>
    <s v="NRT"/>
    <s v="Economy"/>
    <n v="112"/>
    <n v="588.25"/>
    <n v="58"/>
    <s v="On Time"/>
    <n v="65884"/>
    <s v="Nov"/>
    <n v="2025"/>
    <n v="65884"/>
    <s v="Moderate Delay"/>
  </r>
  <r>
    <n v="2959"/>
    <d v="2025-08-24T00:00:00"/>
    <x v="5"/>
    <x v="8"/>
    <s v="KIX"/>
    <s v="Business"/>
    <n v="155"/>
    <n v="698.07"/>
    <n v="30"/>
    <s v="Cancelled"/>
    <n v="108200.85"/>
    <s v="Aug"/>
    <n v="2025"/>
    <n v="108200.85"/>
    <s v="Minor Delay"/>
  </r>
  <r>
    <n v="2960"/>
    <d v="2025-07-01T00:00:00"/>
    <x v="3"/>
    <x v="2"/>
    <s v="BKK"/>
    <s v="Premium Economy"/>
    <n v="53"/>
    <n v="652.27"/>
    <n v="0"/>
    <s v="On Time"/>
    <n v="34570.31"/>
    <s v="Jul"/>
    <n v="2025"/>
    <n v="34570.31"/>
    <s v="On Time"/>
  </r>
  <r>
    <n v="2961"/>
    <d v="2025-12-03T00:00:00"/>
    <x v="0"/>
    <x v="0"/>
    <s v="PUS"/>
    <s v="Economy"/>
    <n v="132"/>
    <n v="303.66000000000003"/>
    <n v="0"/>
    <s v="On Time"/>
    <n v="40083.120000000003"/>
    <s v="Dec"/>
    <n v="2025"/>
    <n v="40083.120000000003"/>
    <s v="On Time"/>
  </r>
  <r>
    <n v="2962"/>
    <d v="2025-07-03T00:00:00"/>
    <x v="0"/>
    <x v="8"/>
    <s v="ICN"/>
    <s v="Business"/>
    <n v="73"/>
    <n v="448.35"/>
    <n v="0"/>
    <s v="On Time"/>
    <n v="32729.55"/>
    <s v="Jul"/>
    <n v="2025"/>
    <n v="32729.550000000003"/>
    <s v="On Time"/>
  </r>
  <r>
    <n v="2963"/>
    <d v="2025-12-30T00:00:00"/>
    <x v="4"/>
    <x v="2"/>
    <s v="KIX"/>
    <s v="Premium Economy"/>
    <n v="61"/>
    <n v="290.27"/>
    <n v="50"/>
    <s v="On Time"/>
    <n v="17706.47"/>
    <s v="Dec"/>
    <n v="2025"/>
    <n v="17706.469999999998"/>
    <s v="Moderate Delay"/>
  </r>
  <r>
    <n v="2964"/>
    <d v="2025-02-02T00:00:00"/>
    <x v="4"/>
    <x v="0"/>
    <s v="KIX"/>
    <s v="Premium Economy"/>
    <n v="293"/>
    <n v="98.04"/>
    <n v="16"/>
    <s v="Delayed"/>
    <n v="28725.72"/>
    <s v="Feb"/>
    <n v="2025"/>
    <n v="28725.72"/>
    <s v="Minor Delay"/>
  </r>
  <r>
    <n v="2965"/>
    <d v="2025-04-27T00:00:00"/>
    <x v="3"/>
    <x v="0"/>
    <s v="PUS"/>
    <s v="Premium Economy"/>
    <n v="267"/>
    <n v="96.42"/>
    <n v="0"/>
    <s v="On Time"/>
    <n v="25744.14"/>
    <s v="Apr"/>
    <n v="2025"/>
    <n v="25744.14"/>
    <s v="On Time"/>
  </r>
  <r>
    <n v="2966"/>
    <d v="2025-01-20T00:00:00"/>
    <x v="5"/>
    <x v="1"/>
    <s v="GMP"/>
    <s v="Business"/>
    <n v="162"/>
    <n v="709.97"/>
    <n v="64"/>
    <s v="On Time"/>
    <n v="115015.14"/>
    <s v="Jan"/>
    <n v="2025"/>
    <n v="115015.14"/>
    <s v="Major Delay"/>
  </r>
  <r>
    <n v="2967"/>
    <d v="2025-03-14T00:00:00"/>
    <x v="0"/>
    <x v="8"/>
    <s v="ICN"/>
    <s v="Business"/>
    <n v="299"/>
    <n v="283.89"/>
    <n v="23"/>
    <s v="On Time"/>
    <n v="84883.11"/>
    <s v="Mar"/>
    <n v="2025"/>
    <n v="84883.11"/>
    <s v="Minor Delay"/>
  </r>
  <r>
    <n v="2968"/>
    <d v="2025-07-30T00:00:00"/>
    <x v="2"/>
    <x v="4"/>
    <s v="KIX"/>
    <s v="Business"/>
    <n v="257"/>
    <n v="277.14999999999998"/>
    <n v="0"/>
    <s v="Delayed"/>
    <n v="71227.55"/>
    <s v="Jul"/>
    <n v="2025"/>
    <n v="71227.549999999988"/>
    <s v="On Time"/>
  </r>
  <r>
    <n v="2969"/>
    <d v="2025-08-07T00:00:00"/>
    <x v="4"/>
    <x v="2"/>
    <s v="MNL"/>
    <s v="Economy"/>
    <n v="66"/>
    <n v="379.68"/>
    <n v="51"/>
    <s v="On Time"/>
    <n v="25058.880000000001"/>
    <s v="Aug"/>
    <n v="2025"/>
    <n v="25058.880000000001"/>
    <s v="Moderate Delay"/>
  </r>
  <r>
    <n v="2970"/>
    <d v="2025-03-02T00:00:00"/>
    <x v="4"/>
    <x v="8"/>
    <s v="PUS"/>
    <s v="Business"/>
    <n v="291"/>
    <n v="428.68"/>
    <n v="6"/>
    <s v="On Time"/>
    <n v="124745.88"/>
    <s v="Mar"/>
    <n v="2025"/>
    <n v="124745.88"/>
    <s v="Minor Delay"/>
  </r>
  <r>
    <n v="2971"/>
    <d v="2025-12-06T00:00:00"/>
    <x v="2"/>
    <x v="7"/>
    <s v="PUS"/>
    <s v="Economy"/>
    <n v="76"/>
    <n v="436.69"/>
    <n v="61"/>
    <s v="On Time"/>
    <n v="33188.44"/>
    <s v="Dec"/>
    <n v="2025"/>
    <n v="33188.44"/>
    <s v="Major Delay"/>
  </r>
  <r>
    <n v="2972"/>
    <d v="2025-10-17T00:00:00"/>
    <x v="1"/>
    <x v="5"/>
    <s v="PUS"/>
    <s v="Premium Economy"/>
    <n v="193"/>
    <n v="332.53"/>
    <n v="9"/>
    <s v="On Time"/>
    <n v="64178.29"/>
    <s v="Oct"/>
    <n v="2025"/>
    <n v="64178.289999999994"/>
    <s v="Minor Delay"/>
  </r>
  <r>
    <n v="2973"/>
    <d v="2025-04-27T00:00:00"/>
    <x v="0"/>
    <x v="4"/>
    <s v="CJU"/>
    <s v="Economy"/>
    <n v="126"/>
    <n v="126.95"/>
    <n v="44"/>
    <s v="On Time"/>
    <n v="15995.7"/>
    <s v="Apr"/>
    <n v="2025"/>
    <n v="15995.7"/>
    <s v="Moderate Delay"/>
  </r>
  <r>
    <n v="2974"/>
    <d v="2025-10-03T00:00:00"/>
    <x v="0"/>
    <x v="3"/>
    <s v="NRT"/>
    <s v="Business"/>
    <n v="160"/>
    <n v="649.85"/>
    <n v="0"/>
    <s v="On Time"/>
    <n v="103976"/>
    <s v="Oct"/>
    <n v="2025"/>
    <n v="103976"/>
    <s v="On Time"/>
  </r>
  <r>
    <n v="2975"/>
    <d v="2025-06-03T00:00:00"/>
    <x v="4"/>
    <x v="8"/>
    <s v="PUS"/>
    <s v="Premium Economy"/>
    <n v="266"/>
    <n v="408.5"/>
    <n v="19"/>
    <s v="On Time"/>
    <n v="108661"/>
    <s v="Jun"/>
    <n v="2025"/>
    <n v="108661"/>
    <s v="Minor Delay"/>
  </r>
  <r>
    <n v="2976"/>
    <d v="2025-11-29T00:00:00"/>
    <x v="1"/>
    <x v="3"/>
    <s v="NRT"/>
    <s v="Business"/>
    <n v="174"/>
    <n v="258.12"/>
    <n v="35"/>
    <s v="Delayed"/>
    <n v="44912.88"/>
    <s v="Nov"/>
    <n v="2025"/>
    <n v="44912.88"/>
    <s v="Moderate Delay"/>
  </r>
  <r>
    <n v="2977"/>
    <d v="2025-02-02T00:00:00"/>
    <x v="2"/>
    <x v="0"/>
    <s v="MNL"/>
    <s v="Economy"/>
    <n v="136"/>
    <n v="69.709999999999994"/>
    <n v="27"/>
    <s v="On Time"/>
    <n v="9480.56"/>
    <s v="Feb"/>
    <n v="2025"/>
    <n v="9480.56"/>
    <s v="Minor Delay"/>
  </r>
  <r>
    <n v="2978"/>
    <d v="2025-10-17T00:00:00"/>
    <x v="5"/>
    <x v="0"/>
    <s v="MNL"/>
    <s v="Economy"/>
    <n v="215"/>
    <n v="677.26"/>
    <n v="32"/>
    <s v="On Time"/>
    <n v="145610.9"/>
    <s v="Oct"/>
    <n v="2025"/>
    <n v="145610.9"/>
    <s v="Moderate Delay"/>
  </r>
  <r>
    <n v="2979"/>
    <d v="2025-06-03T00:00:00"/>
    <x v="4"/>
    <x v="0"/>
    <s v="NRT"/>
    <s v="Business"/>
    <n v="172"/>
    <n v="346.09"/>
    <n v="50"/>
    <s v="On Time"/>
    <n v="59527.48"/>
    <s v="Jun"/>
    <n v="2025"/>
    <n v="59527.479999999996"/>
    <s v="Moderate Delay"/>
  </r>
  <r>
    <n v="2980"/>
    <d v="2025-12-22T00:00:00"/>
    <x v="2"/>
    <x v="6"/>
    <s v="PUS"/>
    <s v="Premium Economy"/>
    <n v="123"/>
    <n v="79.11"/>
    <n v="0"/>
    <s v="Cancelled"/>
    <n v="9730.5300000000007"/>
    <s v="Dec"/>
    <n v="2025"/>
    <n v="9730.5300000000007"/>
    <s v="On Time"/>
  </r>
  <r>
    <n v="2981"/>
    <d v="2025-05-28T00:00:00"/>
    <x v="3"/>
    <x v="7"/>
    <s v="MNL"/>
    <s v="Business"/>
    <n v="111"/>
    <n v="778.61"/>
    <n v="20"/>
    <s v="On Time"/>
    <n v="86425.71"/>
    <s v="May"/>
    <n v="2025"/>
    <n v="86425.71"/>
    <s v="Minor Delay"/>
  </r>
  <r>
    <n v="2982"/>
    <d v="2025-10-22T00:00:00"/>
    <x v="3"/>
    <x v="3"/>
    <s v="ICN"/>
    <s v="Business"/>
    <n v="199"/>
    <n v="344.51"/>
    <n v="14"/>
    <s v="Delayed"/>
    <n v="68557.490000000005"/>
    <s v="Oct"/>
    <n v="2025"/>
    <n v="68557.490000000005"/>
    <s v="Minor Delay"/>
  </r>
  <r>
    <n v="2983"/>
    <d v="2025-08-01T00:00:00"/>
    <x v="2"/>
    <x v="0"/>
    <s v="NRT"/>
    <s v="Premium Economy"/>
    <n v="167"/>
    <n v="151.1"/>
    <n v="18"/>
    <s v="On Time"/>
    <n v="25233.7"/>
    <s v="Aug"/>
    <n v="2025"/>
    <n v="25233.7"/>
    <s v="Minor Delay"/>
  </r>
  <r>
    <n v="2984"/>
    <d v="2025-03-13T00:00:00"/>
    <x v="4"/>
    <x v="0"/>
    <s v="ICN"/>
    <s v="Business"/>
    <n v="150"/>
    <n v="737.3"/>
    <n v="0"/>
    <s v="On Time"/>
    <n v="110595"/>
    <s v="Mar"/>
    <n v="2025"/>
    <n v="110595"/>
    <s v="On Time"/>
  </r>
  <r>
    <n v="2985"/>
    <d v="2025-03-07T00:00:00"/>
    <x v="0"/>
    <x v="5"/>
    <s v="PUS"/>
    <s v="Business"/>
    <n v="228"/>
    <n v="784.35"/>
    <n v="16"/>
    <s v="On Time"/>
    <n v="178831.8"/>
    <s v="Mar"/>
    <n v="2025"/>
    <n v="178831.80000000002"/>
    <s v="Minor Delay"/>
  </r>
  <r>
    <n v="2986"/>
    <d v="2025-08-05T00:00:00"/>
    <x v="5"/>
    <x v="2"/>
    <s v="SIN"/>
    <s v="Economy"/>
    <n v="278"/>
    <n v="371.52"/>
    <n v="53"/>
    <s v="On Time"/>
    <n v="103282.56"/>
    <s v="Aug"/>
    <n v="2025"/>
    <n v="103282.56"/>
    <s v="Moderate Delay"/>
  </r>
  <r>
    <n v="2987"/>
    <d v="2025-08-31T00:00:00"/>
    <x v="2"/>
    <x v="5"/>
    <s v="CJU"/>
    <s v="Business"/>
    <n v="68"/>
    <n v="302.27"/>
    <n v="6"/>
    <s v="On Time"/>
    <n v="20554.36"/>
    <s v="Aug"/>
    <n v="2025"/>
    <n v="20554.36"/>
    <s v="Minor Delay"/>
  </r>
  <r>
    <n v="2988"/>
    <d v="2025-01-14T00:00:00"/>
    <x v="5"/>
    <x v="4"/>
    <s v="KIX"/>
    <s v="Economy"/>
    <n v="104"/>
    <n v="241.53"/>
    <n v="4"/>
    <s v="Delayed"/>
    <n v="25119.119999999999"/>
    <s v="Jan"/>
    <n v="2025"/>
    <n v="25119.119999999999"/>
    <s v="Minor Delay"/>
  </r>
  <r>
    <n v="2989"/>
    <d v="2025-06-05T00:00:00"/>
    <x v="2"/>
    <x v="0"/>
    <s v="SIN"/>
    <s v="Premium Economy"/>
    <n v="161"/>
    <n v="712.44"/>
    <n v="48"/>
    <s v="Delayed"/>
    <n v="114702.84"/>
    <s v="Jun"/>
    <n v="2025"/>
    <n v="114702.84000000001"/>
    <s v="Moderate Delay"/>
  </r>
  <r>
    <n v="2990"/>
    <d v="2025-05-07T00:00:00"/>
    <x v="2"/>
    <x v="0"/>
    <s v="MNL"/>
    <s v="Economy"/>
    <n v="147"/>
    <n v="221.46"/>
    <n v="55"/>
    <s v="On Time"/>
    <n v="32554.62"/>
    <s v="May"/>
    <n v="2025"/>
    <n v="32554.620000000003"/>
    <s v="Moderate Delay"/>
  </r>
  <r>
    <n v="2991"/>
    <d v="2025-11-10T00:00:00"/>
    <x v="3"/>
    <x v="3"/>
    <s v="MNL"/>
    <s v="Premium Economy"/>
    <n v="141"/>
    <n v="491.16"/>
    <n v="28"/>
    <s v="On Time"/>
    <n v="69253.56"/>
    <s v="Nov"/>
    <n v="2025"/>
    <n v="69253.56"/>
    <s v="Minor Delay"/>
  </r>
  <r>
    <n v="2992"/>
    <d v="2025-02-17T00:00:00"/>
    <x v="4"/>
    <x v="1"/>
    <s v="NRT"/>
    <s v="Business"/>
    <n v="61"/>
    <n v="79.48"/>
    <n v="33"/>
    <s v="Delayed"/>
    <n v="4848.28"/>
    <s v="Feb"/>
    <n v="2025"/>
    <n v="4848.2800000000007"/>
    <s v="Moderate Delay"/>
  </r>
  <r>
    <n v="2993"/>
    <d v="2025-01-02T00:00:00"/>
    <x v="0"/>
    <x v="6"/>
    <s v="KIX"/>
    <s v="Business"/>
    <n v="255"/>
    <n v="307.55"/>
    <n v="56"/>
    <s v="On Time"/>
    <n v="78425.25"/>
    <s v="Jan"/>
    <n v="2025"/>
    <n v="78425.25"/>
    <s v="Moderate Delay"/>
  </r>
  <r>
    <n v="2994"/>
    <d v="2025-12-16T00:00:00"/>
    <x v="4"/>
    <x v="4"/>
    <s v="KIX"/>
    <s v="Business"/>
    <n v="152"/>
    <n v="416.02"/>
    <n v="35"/>
    <s v="On Time"/>
    <n v="63235.040000000001"/>
    <s v="Dec"/>
    <n v="2025"/>
    <n v="63235.039999999994"/>
    <s v="Moderate Delay"/>
  </r>
  <r>
    <n v="2995"/>
    <d v="2025-10-21T00:00:00"/>
    <x v="1"/>
    <x v="6"/>
    <s v="PUS"/>
    <s v="Premium Economy"/>
    <n v="170"/>
    <n v="618.72"/>
    <n v="28"/>
    <s v="Delayed"/>
    <n v="105182.39999999999"/>
    <s v="Oct"/>
    <n v="2025"/>
    <n v="105182.40000000001"/>
    <s v="Minor Delay"/>
  </r>
  <r>
    <n v="2996"/>
    <d v="2025-12-23T00:00:00"/>
    <x v="1"/>
    <x v="4"/>
    <s v="MNL"/>
    <s v="Premium Economy"/>
    <n v="225"/>
    <n v="416.83"/>
    <n v="17"/>
    <s v="On Time"/>
    <n v="93786.75"/>
    <s v="Dec"/>
    <n v="2025"/>
    <n v="93786.75"/>
    <s v="Minor Delay"/>
  </r>
  <r>
    <n v="2997"/>
    <d v="2025-07-03T00:00:00"/>
    <x v="1"/>
    <x v="2"/>
    <s v="CJU"/>
    <s v="Economy"/>
    <n v="116"/>
    <n v="575.54"/>
    <n v="0"/>
    <s v="On Time"/>
    <n v="66762.64"/>
    <s v="Jul"/>
    <n v="2025"/>
    <n v="66762.64"/>
    <s v="On Time"/>
  </r>
  <r>
    <n v="2998"/>
    <d v="2025-02-02T00:00:00"/>
    <x v="0"/>
    <x v="3"/>
    <s v="PUS"/>
    <s v="Business"/>
    <n v="52"/>
    <n v="274.24"/>
    <n v="3"/>
    <s v="On Time"/>
    <n v="14260.48"/>
    <s v="Feb"/>
    <n v="2025"/>
    <n v="14260.48"/>
    <s v="Minor Delay"/>
  </r>
  <r>
    <n v="2999"/>
    <d v="2025-08-14T00:00:00"/>
    <x v="2"/>
    <x v="4"/>
    <s v="PUS"/>
    <s v="Business"/>
    <n v="161"/>
    <n v="374.45"/>
    <n v="11"/>
    <s v="On Time"/>
    <n v="60286.45"/>
    <s v="Aug"/>
    <n v="2025"/>
    <n v="60286.45"/>
    <s v="Minor Delay"/>
  </r>
  <r>
    <n v="3000"/>
    <d v="2025-01-31T00:00:00"/>
    <x v="1"/>
    <x v="3"/>
    <s v="ICN"/>
    <s v="Business"/>
    <n v="228"/>
    <n v="456.58"/>
    <n v="19"/>
    <s v="Delayed"/>
    <n v="104100.24"/>
    <s v="Jan"/>
    <n v="2025"/>
    <n v="104100.23999999999"/>
    <s v="Minor Delay"/>
  </r>
  <r>
    <n v="3001"/>
    <d v="2025-04-16T00:00:00"/>
    <x v="5"/>
    <x v="0"/>
    <s v="KIX"/>
    <s v="Economy"/>
    <n v="133"/>
    <n v="128.15"/>
    <n v="36"/>
    <s v="On Time"/>
    <n v="17043.95"/>
    <s v="Apr"/>
    <n v="2025"/>
    <n v="17043.95"/>
    <s v="Moderate Delay"/>
  </r>
  <r>
    <n v="3002"/>
    <d v="2025-11-20T00:00:00"/>
    <x v="1"/>
    <x v="1"/>
    <s v="CJU"/>
    <s v="Economy"/>
    <n v="174"/>
    <n v="650.84"/>
    <n v="27"/>
    <s v="On Time"/>
    <n v="113246.16"/>
    <s v="Nov"/>
    <n v="2025"/>
    <n v="113246.16"/>
    <s v="Minor Delay"/>
  </r>
  <r>
    <n v="3003"/>
    <d v="2025-01-24T00:00:00"/>
    <x v="5"/>
    <x v="8"/>
    <s v="GMP"/>
    <s v="Business"/>
    <n v="153"/>
    <n v="526.84"/>
    <n v="10"/>
    <s v="On Time"/>
    <n v="80606.52"/>
    <s v="Jan"/>
    <n v="2025"/>
    <n v="80606.52"/>
    <s v="Minor Delay"/>
  </r>
  <r>
    <n v="3004"/>
    <d v="2025-07-28T00:00:00"/>
    <x v="3"/>
    <x v="8"/>
    <s v="ICN"/>
    <s v="Business"/>
    <n v="216"/>
    <n v="680.01"/>
    <n v="39"/>
    <s v="On Time"/>
    <n v="146882.16"/>
    <s v="Jul"/>
    <n v="2025"/>
    <n v="146882.16"/>
    <s v="Moderate Delay"/>
  </r>
  <r>
    <n v="3005"/>
    <d v="2025-05-06T00:00:00"/>
    <x v="3"/>
    <x v="1"/>
    <s v="PUS"/>
    <s v="Economy"/>
    <n v="145"/>
    <n v="757.13"/>
    <n v="37"/>
    <s v="On Time"/>
    <n v="109783.85"/>
    <s v="May"/>
    <n v="2025"/>
    <n v="109783.85"/>
    <s v="Moderate Delay"/>
  </r>
  <r>
    <n v="3006"/>
    <d v="2025-04-05T00:00:00"/>
    <x v="0"/>
    <x v="5"/>
    <s v="GMP"/>
    <s v="Economy"/>
    <n v="97"/>
    <n v="769.61"/>
    <n v="57"/>
    <s v="On Time"/>
    <n v="74652.17"/>
    <s v="Apr"/>
    <n v="2025"/>
    <n v="74652.17"/>
    <s v="Moderate Delay"/>
  </r>
  <r>
    <n v="3007"/>
    <d v="2025-12-23T00:00:00"/>
    <x v="1"/>
    <x v="3"/>
    <s v="BKK"/>
    <s v="Business"/>
    <n v="133"/>
    <n v="737.48"/>
    <n v="33"/>
    <s v="On Time"/>
    <n v="98084.84"/>
    <s v="Dec"/>
    <n v="2025"/>
    <n v="98084.84"/>
    <s v="Moderate Delay"/>
  </r>
  <r>
    <n v="3008"/>
    <d v="2025-01-14T00:00:00"/>
    <x v="2"/>
    <x v="4"/>
    <s v="CJU"/>
    <s v="Premium Economy"/>
    <n v="172"/>
    <n v="87.13"/>
    <n v="35"/>
    <s v="On Time"/>
    <n v="14986.36"/>
    <s v="Jan"/>
    <n v="2025"/>
    <n v="14986.359999999999"/>
    <s v="Moderate Delay"/>
  </r>
  <r>
    <n v="3009"/>
    <d v="2025-10-29T00:00:00"/>
    <x v="5"/>
    <x v="4"/>
    <s v="BKK"/>
    <s v="Economy"/>
    <n v="54"/>
    <n v="130.63"/>
    <n v="36"/>
    <s v="On Time"/>
    <n v="7054.02"/>
    <s v="Oct"/>
    <n v="2025"/>
    <n v="7054.0199999999995"/>
    <s v="Moderate Delay"/>
  </r>
  <r>
    <n v="3010"/>
    <d v="2025-03-07T00:00:00"/>
    <x v="0"/>
    <x v="6"/>
    <s v="CJU"/>
    <s v="Economy"/>
    <n v="121"/>
    <n v="87.65"/>
    <n v="0"/>
    <s v="Cancelled"/>
    <n v="10605.65"/>
    <s v="Mar"/>
    <n v="2025"/>
    <n v="10605.650000000001"/>
    <s v="On Time"/>
  </r>
  <r>
    <n v="3011"/>
    <d v="2025-04-05T00:00:00"/>
    <x v="3"/>
    <x v="2"/>
    <s v="CJU"/>
    <s v="Economy"/>
    <n v="62"/>
    <n v="335.6"/>
    <n v="23"/>
    <s v="Delayed"/>
    <n v="20807.2"/>
    <s v="Apr"/>
    <n v="2025"/>
    <n v="20807.2"/>
    <s v="Minor Delay"/>
  </r>
  <r>
    <n v="3012"/>
    <d v="2025-02-28T00:00:00"/>
    <x v="0"/>
    <x v="5"/>
    <s v="CJU"/>
    <s v="Premium Economy"/>
    <n v="186"/>
    <n v="286.99"/>
    <n v="24"/>
    <s v="On Time"/>
    <n v="53380.14"/>
    <s v="Feb"/>
    <n v="2025"/>
    <n v="53380.14"/>
    <s v="Minor Delay"/>
  </r>
  <r>
    <n v="3013"/>
    <d v="2025-04-27T00:00:00"/>
    <x v="3"/>
    <x v="0"/>
    <s v="NRT"/>
    <s v="Economy"/>
    <n v="143"/>
    <n v="194.34"/>
    <n v="0"/>
    <s v="On Time"/>
    <n v="27790.62"/>
    <s v="Apr"/>
    <n v="2025"/>
    <n v="27790.62"/>
    <s v="On Time"/>
  </r>
  <r>
    <n v="3014"/>
    <d v="2025-11-03T00:00:00"/>
    <x v="4"/>
    <x v="7"/>
    <s v="NRT"/>
    <s v="Premium Economy"/>
    <n v="263"/>
    <n v="696.34"/>
    <n v="66"/>
    <s v="On Time"/>
    <n v="183137.42"/>
    <s v="Nov"/>
    <n v="2025"/>
    <n v="183137.42"/>
    <s v="Major Delay"/>
  </r>
  <r>
    <n v="3015"/>
    <d v="2025-04-21T00:00:00"/>
    <x v="4"/>
    <x v="3"/>
    <s v="CJU"/>
    <s v="Economy"/>
    <n v="178"/>
    <n v="355.8"/>
    <n v="22"/>
    <s v="On Time"/>
    <n v="63332.4"/>
    <s v="Apr"/>
    <n v="2025"/>
    <n v="63332.4"/>
    <s v="Minor Delay"/>
  </r>
  <r>
    <n v="3016"/>
    <d v="2025-05-16T00:00:00"/>
    <x v="5"/>
    <x v="5"/>
    <s v="PUS"/>
    <s v="Business"/>
    <n v="160"/>
    <n v="377.76"/>
    <n v="0"/>
    <s v="On Time"/>
    <n v="60441.599999999999"/>
    <s v="May"/>
    <n v="2025"/>
    <n v="60441.599999999999"/>
    <s v="On Time"/>
  </r>
  <r>
    <n v="3017"/>
    <d v="2025-05-07T00:00:00"/>
    <x v="2"/>
    <x v="5"/>
    <s v="BKK"/>
    <s v="Premium Economy"/>
    <n v="212"/>
    <n v="555.82000000000005"/>
    <n v="0"/>
    <s v="On Time"/>
    <n v="117833.84"/>
    <s v="May"/>
    <n v="2025"/>
    <n v="117833.84000000001"/>
    <s v="On Time"/>
  </r>
  <r>
    <n v="3018"/>
    <d v="2025-04-01T00:00:00"/>
    <x v="5"/>
    <x v="6"/>
    <s v="KIX"/>
    <s v="Premium Economy"/>
    <n v="262"/>
    <n v="231.72"/>
    <n v="0"/>
    <s v="On Time"/>
    <n v="60710.64"/>
    <s v="Apr"/>
    <n v="2025"/>
    <n v="60710.64"/>
    <s v="On Time"/>
  </r>
  <r>
    <n v="3019"/>
    <d v="2025-12-19T00:00:00"/>
    <x v="0"/>
    <x v="0"/>
    <s v="BKK"/>
    <s v="Premium Economy"/>
    <n v="295"/>
    <n v="359.17"/>
    <n v="32"/>
    <s v="On Time"/>
    <n v="105955.15"/>
    <s v="Dec"/>
    <n v="2025"/>
    <n v="105955.15000000001"/>
    <s v="Moderate Delay"/>
  </r>
  <r>
    <n v="3020"/>
    <d v="2025-03-22T00:00:00"/>
    <x v="4"/>
    <x v="8"/>
    <s v="BKK"/>
    <s v="Economy"/>
    <n v="273"/>
    <n v="533.29"/>
    <n v="0"/>
    <s v="On Time"/>
    <n v="145588.17000000001"/>
    <s v="Mar"/>
    <n v="2025"/>
    <n v="145588.16999999998"/>
    <s v="On Time"/>
  </r>
  <r>
    <n v="3021"/>
    <d v="2025-06-03T00:00:00"/>
    <x v="1"/>
    <x v="1"/>
    <s v="MNL"/>
    <s v="Premium Economy"/>
    <n v="171"/>
    <n v="639.24"/>
    <n v="7"/>
    <s v="Delayed"/>
    <n v="109310.04"/>
    <s v="Jun"/>
    <n v="2025"/>
    <n v="109310.04000000001"/>
    <s v="Minor Delay"/>
  </r>
  <r>
    <n v="3022"/>
    <d v="2025-05-28T00:00:00"/>
    <x v="2"/>
    <x v="3"/>
    <s v="CJU"/>
    <s v="Premium Economy"/>
    <n v="286"/>
    <n v="625.87"/>
    <n v="33"/>
    <s v="On Time"/>
    <n v="178998.82"/>
    <s v="May"/>
    <n v="2025"/>
    <n v="178998.82"/>
    <s v="Moderate Delay"/>
  </r>
  <r>
    <n v="3023"/>
    <d v="2025-06-23T00:00:00"/>
    <x v="0"/>
    <x v="3"/>
    <s v="PUS"/>
    <s v="Business"/>
    <n v="198"/>
    <n v="577.07000000000005"/>
    <n v="12"/>
    <s v="On Time"/>
    <n v="114259.86"/>
    <s v="Jun"/>
    <n v="2025"/>
    <n v="114259.86000000002"/>
    <s v="Minor Delay"/>
  </r>
  <r>
    <n v="3024"/>
    <d v="2025-05-08T00:00:00"/>
    <x v="0"/>
    <x v="6"/>
    <s v="KIX"/>
    <s v="Premium Economy"/>
    <n v="101"/>
    <n v="709.3"/>
    <n v="0"/>
    <s v="On Time"/>
    <n v="71639.3"/>
    <s v="May"/>
    <n v="2025"/>
    <n v="71639.299999999988"/>
    <s v="On Time"/>
  </r>
  <r>
    <n v="3025"/>
    <d v="2025-10-31T00:00:00"/>
    <x v="0"/>
    <x v="1"/>
    <s v="SIN"/>
    <s v="Premium Economy"/>
    <n v="76"/>
    <n v="310.68"/>
    <n v="51"/>
    <s v="Delayed"/>
    <n v="23611.68"/>
    <s v="Oct"/>
    <n v="2025"/>
    <n v="23611.68"/>
    <s v="Moderate Delay"/>
  </r>
  <r>
    <n v="3026"/>
    <d v="2025-11-17T00:00:00"/>
    <x v="5"/>
    <x v="1"/>
    <s v="PUS"/>
    <s v="Economy"/>
    <n v="132"/>
    <n v="260.88"/>
    <n v="37"/>
    <s v="Delayed"/>
    <n v="34436.160000000003"/>
    <s v="Nov"/>
    <n v="2025"/>
    <n v="34436.159999999996"/>
    <s v="Moderate Delay"/>
  </r>
  <r>
    <n v="3027"/>
    <d v="2025-10-08T00:00:00"/>
    <x v="4"/>
    <x v="4"/>
    <s v="MNL"/>
    <s v="Business"/>
    <n v="241"/>
    <n v="377.58"/>
    <n v="17"/>
    <s v="On Time"/>
    <n v="90996.78"/>
    <s v="Oct"/>
    <n v="2025"/>
    <n v="90996.78"/>
    <s v="Minor Delay"/>
  </r>
  <r>
    <n v="3028"/>
    <d v="2025-06-01T00:00:00"/>
    <x v="5"/>
    <x v="1"/>
    <s v="CJU"/>
    <s v="Premium Economy"/>
    <n v="201"/>
    <n v="532.79999999999995"/>
    <n v="14"/>
    <s v="On Time"/>
    <n v="107092.8"/>
    <s v="Jun"/>
    <n v="2025"/>
    <n v="107092.79999999999"/>
    <s v="Minor Delay"/>
  </r>
  <r>
    <n v="3029"/>
    <d v="2025-08-01T00:00:00"/>
    <x v="1"/>
    <x v="6"/>
    <s v="GMP"/>
    <s v="Premium Economy"/>
    <n v="270"/>
    <n v="226.21"/>
    <n v="29"/>
    <s v="On Time"/>
    <n v="61076.7"/>
    <s v="Aug"/>
    <n v="2025"/>
    <n v="61076.700000000004"/>
    <s v="Minor Delay"/>
  </r>
  <r>
    <n v="3030"/>
    <d v="2025-12-22T00:00:00"/>
    <x v="2"/>
    <x v="6"/>
    <s v="PUS"/>
    <s v="Economy"/>
    <n v="57"/>
    <n v="241.18"/>
    <n v="16"/>
    <s v="On Time"/>
    <n v="13747.26"/>
    <s v="Dec"/>
    <n v="2025"/>
    <n v="13747.26"/>
    <s v="Minor Delay"/>
  </r>
  <r>
    <n v="3031"/>
    <d v="2025-03-08T00:00:00"/>
    <x v="2"/>
    <x v="2"/>
    <s v="SIN"/>
    <s v="Economy"/>
    <n v="170"/>
    <n v="571.44000000000005"/>
    <n v="26"/>
    <s v="Delayed"/>
    <n v="97144.8"/>
    <s v="Mar"/>
    <n v="2025"/>
    <n v="97144.8"/>
    <s v="Minor Delay"/>
  </r>
  <r>
    <n v="3032"/>
    <d v="2025-09-04T00:00:00"/>
    <x v="5"/>
    <x v="4"/>
    <s v="MNL"/>
    <s v="Business"/>
    <n v="54"/>
    <n v="471.39"/>
    <n v="0"/>
    <s v="On Time"/>
    <n v="25455.06"/>
    <s v="Sep"/>
    <n v="2025"/>
    <n v="25455.059999999998"/>
    <s v="On Time"/>
  </r>
  <r>
    <n v="3033"/>
    <d v="2025-03-02T00:00:00"/>
    <x v="0"/>
    <x v="4"/>
    <s v="PUS"/>
    <s v="Economy"/>
    <n v="300"/>
    <n v="271.25"/>
    <n v="27"/>
    <s v="On Time"/>
    <n v="81375"/>
    <s v="Mar"/>
    <n v="2025"/>
    <n v="81375"/>
    <s v="Minor Delay"/>
  </r>
  <r>
    <n v="3034"/>
    <d v="2025-04-05T00:00:00"/>
    <x v="4"/>
    <x v="8"/>
    <s v="BKK"/>
    <s v="Business"/>
    <n v="121"/>
    <n v="680.36"/>
    <n v="0"/>
    <s v="On Time"/>
    <n v="82323.56"/>
    <s v="Apr"/>
    <n v="2025"/>
    <n v="82323.56"/>
    <s v="On Time"/>
  </r>
  <r>
    <n v="3035"/>
    <d v="2025-12-26T00:00:00"/>
    <x v="4"/>
    <x v="7"/>
    <s v="MNL"/>
    <s v="Premium Economy"/>
    <n v="242"/>
    <n v="360.04"/>
    <n v="34"/>
    <s v="On Time"/>
    <n v="87129.68"/>
    <s v="Dec"/>
    <n v="2025"/>
    <n v="87129.680000000008"/>
    <s v="Moderate Delay"/>
  </r>
  <r>
    <n v="3036"/>
    <d v="2025-01-06T00:00:00"/>
    <x v="0"/>
    <x v="7"/>
    <s v="KIX"/>
    <s v="Premium Economy"/>
    <n v="260"/>
    <n v="483.77"/>
    <n v="11"/>
    <s v="On Time"/>
    <n v="125780.2"/>
    <s v="Jan"/>
    <n v="2025"/>
    <n v="125780.2"/>
    <s v="Minor Delay"/>
  </r>
  <r>
    <n v="3037"/>
    <d v="2025-04-03T00:00:00"/>
    <x v="3"/>
    <x v="0"/>
    <s v="CJU"/>
    <s v="Premium Economy"/>
    <n v="229"/>
    <n v="734.17"/>
    <n v="13"/>
    <s v="On Time"/>
    <n v="168124.93"/>
    <s v="Apr"/>
    <n v="2025"/>
    <n v="168124.93"/>
    <s v="Minor Delay"/>
  </r>
  <r>
    <n v="3038"/>
    <d v="2025-12-11T00:00:00"/>
    <x v="1"/>
    <x v="1"/>
    <s v="SIN"/>
    <s v="Premium Economy"/>
    <n v="224"/>
    <n v="717.87"/>
    <n v="0"/>
    <s v="On Time"/>
    <n v="160802.88"/>
    <s v="Dec"/>
    <n v="2025"/>
    <n v="160802.88"/>
    <s v="On Time"/>
  </r>
  <r>
    <n v="3039"/>
    <d v="2025-11-04T00:00:00"/>
    <x v="1"/>
    <x v="3"/>
    <s v="PUS"/>
    <s v="Economy"/>
    <n v="76"/>
    <n v="767.39"/>
    <n v="38"/>
    <s v="On Time"/>
    <n v="58321.64"/>
    <s v="Nov"/>
    <n v="2025"/>
    <n v="58321.64"/>
    <s v="Moderate Delay"/>
  </r>
  <r>
    <n v="3040"/>
    <d v="2025-07-25T00:00:00"/>
    <x v="3"/>
    <x v="5"/>
    <s v="CJU"/>
    <s v="Economy"/>
    <n v="195"/>
    <n v="505.21"/>
    <n v="34"/>
    <s v="On Time"/>
    <n v="98515.95"/>
    <s v="Jul"/>
    <n v="2025"/>
    <n v="98515.95"/>
    <s v="Moderate Delay"/>
  </r>
  <r>
    <n v="3041"/>
    <d v="2025-04-10T00:00:00"/>
    <x v="0"/>
    <x v="5"/>
    <s v="CJU"/>
    <s v="Economy"/>
    <n v="119"/>
    <n v="779.33"/>
    <n v="32"/>
    <s v="On Time"/>
    <n v="92740.27"/>
    <s v="Apr"/>
    <n v="2025"/>
    <n v="92740.27"/>
    <s v="Moderate Delay"/>
  </r>
  <r>
    <n v="3042"/>
    <d v="2025-12-18T00:00:00"/>
    <x v="4"/>
    <x v="8"/>
    <s v="PUS"/>
    <s v="Business"/>
    <n v="253"/>
    <n v="134.29"/>
    <n v="74"/>
    <s v="On Time"/>
    <n v="33975.370000000003"/>
    <s v="Dec"/>
    <n v="2025"/>
    <n v="33975.369999999995"/>
    <s v="Major Delay"/>
  </r>
  <r>
    <n v="3043"/>
    <d v="2025-02-15T00:00:00"/>
    <x v="3"/>
    <x v="6"/>
    <s v="NRT"/>
    <s v="Economy"/>
    <n v="294"/>
    <n v="112.66"/>
    <n v="0"/>
    <s v="On Time"/>
    <n v="33122.04"/>
    <s v="Feb"/>
    <n v="2025"/>
    <n v="33122.04"/>
    <s v="On Time"/>
  </r>
  <r>
    <n v="3044"/>
    <d v="2025-02-23T00:00:00"/>
    <x v="2"/>
    <x v="4"/>
    <s v="GMP"/>
    <s v="Economy"/>
    <n v="299"/>
    <n v="269.37"/>
    <n v="33"/>
    <s v="On Time"/>
    <n v="80541.63"/>
    <s v="Feb"/>
    <n v="2025"/>
    <n v="80541.63"/>
    <s v="Moderate Delay"/>
  </r>
  <r>
    <n v="3045"/>
    <d v="2025-01-25T00:00:00"/>
    <x v="4"/>
    <x v="0"/>
    <s v="ICN"/>
    <s v="Business"/>
    <n v="280"/>
    <n v="742.8"/>
    <n v="25"/>
    <s v="On Time"/>
    <n v="207984"/>
    <s v="Jan"/>
    <n v="2025"/>
    <n v="207984"/>
    <s v="Minor Delay"/>
  </r>
  <r>
    <n v="3046"/>
    <d v="2025-03-02T00:00:00"/>
    <x v="2"/>
    <x v="1"/>
    <s v="MNL"/>
    <s v="Business"/>
    <n v="58"/>
    <n v="613.51"/>
    <n v="15"/>
    <s v="On Time"/>
    <n v="35583.58"/>
    <s v="Mar"/>
    <n v="2025"/>
    <n v="35583.58"/>
    <s v="Minor Delay"/>
  </r>
  <r>
    <n v="3047"/>
    <d v="2025-05-30T00:00:00"/>
    <x v="0"/>
    <x v="5"/>
    <s v="NRT"/>
    <s v="Economy"/>
    <n v="294"/>
    <n v="685.77"/>
    <n v="29"/>
    <s v="On Time"/>
    <n v="201616.38"/>
    <s v="May"/>
    <n v="2025"/>
    <n v="201616.38"/>
    <s v="Minor Delay"/>
  </r>
  <r>
    <n v="3048"/>
    <d v="2025-10-11T00:00:00"/>
    <x v="4"/>
    <x v="3"/>
    <s v="NRT"/>
    <s v="Economy"/>
    <n v="65"/>
    <n v="215.05"/>
    <n v="48"/>
    <s v="On Time"/>
    <n v="13978.25"/>
    <s v="Oct"/>
    <n v="2025"/>
    <n v="13978.25"/>
    <s v="Moderate Delay"/>
  </r>
  <r>
    <n v="3049"/>
    <d v="2025-12-23T00:00:00"/>
    <x v="2"/>
    <x v="1"/>
    <s v="ICN"/>
    <s v="Business"/>
    <n v="221"/>
    <n v="131.16"/>
    <n v="49"/>
    <s v="On Time"/>
    <n v="28986.36"/>
    <s v="Dec"/>
    <n v="2025"/>
    <n v="28986.36"/>
    <s v="Moderate Delay"/>
  </r>
  <r>
    <n v="3050"/>
    <d v="2025-01-31T00:00:00"/>
    <x v="1"/>
    <x v="6"/>
    <s v="BKK"/>
    <s v="Premium Economy"/>
    <n v="251"/>
    <n v="415.61"/>
    <n v="0"/>
    <s v="Delayed"/>
    <n v="104318.11"/>
    <s v="Jan"/>
    <n v="2025"/>
    <n v="104318.11"/>
    <s v="On Time"/>
  </r>
  <r>
    <n v="3051"/>
    <d v="2025-03-01T00:00:00"/>
    <x v="0"/>
    <x v="0"/>
    <s v="SIN"/>
    <s v="Economy"/>
    <n v="250"/>
    <n v="582.01"/>
    <n v="1"/>
    <s v="Delayed"/>
    <n v="145502.5"/>
    <s v="Mar"/>
    <n v="2025"/>
    <n v="145502.5"/>
    <s v="Minor Delay"/>
  </r>
  <r>
    <n v="3052"/>
    <d v="2025-06-05T00:00:00"/>
    <x v="2"/>
    <x v="5"/>
    <s v="PUS"/>
    <s v="Business"/>
    <n v="272"/>
    <n v="63.19"/>
    <n v="9"/>
    <s v="Delayed"/>
    <n v="17187.68"/>
    <s v="Jun"/>
    <n v="2025"/>
    <n v="17187.68"/>
    <s v="Minor Delay"/>
  </r>
  <r>
    <n v="3053"/>
    <d v="2025-05-29T00:00:00"/>
    <x v="1"/>
    <x v="6"/>
    <s v="GMP"/>
    <s v="Economy"/>
    <n v="83"/>
    <n v="681.88"/>
    <n v="0"/>
    <s v="On Time"/>
    <n v="56596.04"/>
    <s v="May"/>
    <n v="2025"/>
    <n v="56596.04"/>
    <s v="On Time"/>
  </r>
  <r>
    <n v="3054"/>
    <d v="2025-11-08T00:00:00"/>
    <x v="0"/>
    <x v="8"/>
    <s v="GMP"/>
    <s v="Premium Economy"/>
    <n v="171"/>
    <n v="688.36"/>
    <n v="28"/>
    <s v="On Time"/>
    <n v="117709.56"/>
    <s v="Nov"/>
    <n v="2025"/>
    <n v="117709.56"/>
    <s v="Minor Delay"/>
  </r>
  <r>
    <n v="3055"/>
    <d v="2025-08-08T00:00:00"/>
    <x v="0"/>
    <x v="1"/>
    <s v="NRT"/>
    <s v="Business"/>
    <n v="68"/>
    <n v="236.74"/>
    <n v="22"/>
    <s v="Delayed"/>
    <n v="16098.32"/>
    <s v="Aug"/>
    <n v="2025"/>
    <n v="16098.32"/>
    <s v="Minor Delay"/>
  </r>
  <r>
    <n v="3056"/>
    <d v="2025-11-11T00:00:00"/>
    <x v="1"/>
    <x v="8"/>
    <s v="NRT"/>
    <s v="Business"/>
    <n v="147"/>
    <n v="150.36000000000001"/>
    <n v="10"/>
    <s v="On Time"/>
    <n v="22102.92"/>
    <s v="Nov"/>
    <n v="2025"/>
    <n v="22102.920000000002"/>
    <s v="Minor Delay"/>
  </r>
  <r>
    <n v="3057"/>
    <d v="2025-05-08T00:00:00"/>
    <x v="3"/>
    <x v="4"/>
    <s v="CJU"/>
    <s v="Economy"/>
    <n v="80"/>
    <n v="317.77999999999997"/>
    <n v="27"/>
    <s v="On Time"/>
    <n v="25422.400000000001"/>
    <s v="May"/>
    <n v="2025"/>
    <n v="25422.399999999998"/>
    <s v="Minor Delay"/>
  </r>
  <r>
    <n v="3058"/>
    <d v="2025-06-19T00:00:00"/>
    <x v="1"/>
    <x v="3"/>
    <s v="PUS"/>
    <s v="Premium Economy"/>
    <n v="202"/>
    <n v="550.96"/>
    <n v="13"/>
    <s v="Delayed"/>
    <n v="111293.92"/>
    <s v="Jun"/>
    <n v="2025"/>
    <n v="111293.92000000001"/>
    <s v="Minor Delay"/>
  </r>
  <r>
    <n v="3059"/>
    <d v="2025-02-04T00:00:00"/>
    <x v="2"/>
    <x v="7"/>
    <s v="MNL"/>
    <s v="Business"/>
    <n v="114"/>
    <n v="662.47"/>
    <n v="0"/>
    <s v="On Time"/>
    <n v="75521.58"/>
    <s v="Feb"/>
    <n v="2025"/>
    <n v="75521.58"/>
    <s v="On Time"/>
  </r>
  <r>
    <n v="3060"/>
    <d v="2025-02-08T00:00:00"/>
    <x v="1"/>
    <x v="8"/>
    <s v="NRT"/>
    <s v="Economy"/>
    <n v="212"/>
    <n v="328.83"/>
    <n v="96"/>
    <s v="On Time"/>
    <n v="69711.960000000006"/>
    <s v="Feb"/>
    <n v="2025"/>
    <n v="69711.959999999992"/>
    <s v="Major Delay"/>
  </r>
  <r>
    <n v="3061"/>
    <d v="2025-10-26T00:00:00"/>
    <x v="5"/>
    <x v="0"/>
    <s v="SIN"/>
    <s v="Business"/>
    <n v="230"/>
    <n v="514.04999999999995"/>
    <n v="0"/>
    <s v="On Time"/>
    <n v="118231.5"/>
    <s v="Oct"/>
    <n v="2025"/>
    <n v="118231.49999999999"/>
    <s v="On Time"/>
  </r>
  <r>
    <n v="3062"/>
    <d v="2025-09-17T00:00:00"/>
    <x v="5"/>
    <x v="1"/>
    <s v="NRT"/>
    <s v="Business"/>
    <n v="106"/>
    <n v="786.06"/>
    <n v="12"/>
    <s v="On Time"/>
    <n v="83322.36"/>
    <s v="Sep"/>
    <n v="2025"/>
    <n v="83322.36"/>
    <s v="Minor Delay"/>
  </r>
  <r>
    <n v="3063"/>
    <d v="2025-08-10T00:00:00"/>
    <x v="2"/>
    <x v="0"/>
    <s v="BKK"/>
    <s v="Premium Economy"/>
    <n v="290"/>
    <n v="550.91999999999996"/>
    <n v="0"/>
    <s v="On Time"/>
    <n v="159766.79999999999"/>
    <s v="Aug"/>
    <n v="2025"/>
    <n v="159766.79999999999"/>
    <s v="On Time"/>
  </r>
  <r>
    <n v="3064"/>
    <d v="2025-04-05T00:00:00"/>
    <x v="2"/>
    <x v="4"/>
    <s v="CJU"/>
    <s v="Business"/>
    <n v="235"/>
    <n v="123.95"/>
    <n v="33"/>
    <s v="On Time"/>
    <n v="29128.25"/>
    <s v="Apr"/>
    <n v="2025"/>
    <n v="29128.25"/>
    <s v="Moderate Delay"/>
  </r>
  <r>
    <n v="3065"/>
    <d v="2025-12-01T00:00:00"/>
    <x v="4"/>
    <x v="1"/>
    <s v="CJU"/>
    <s v="Premium Economy"/>
    <n v="143"/>
    <n v="79.16"/>
    <n v="17"/>
    <s v="On Time"/>
    <n v="11319.88"/>
    <s v="Dec"/>
    <n v="2025"/>
    <n v="11319.88"/>
    <s v="Minor Delay"/>
  </r>
  <r>
    <n v="3066"/>
    <d v="2025-05-31T00:00:00"/>
    <x v="3"/>
    <x v="5"/>
    <s v="CJU"/>
    <s v="Premium Economy"/>
    <n v="78"/>
    <n v="680.74"/>
    <n v="22"/>
    <s v="On Time"/>
    <n v="53097.72"/>
    <s v="May"/>
    <n v="2025"/>
    <n v="53097.72"/>
    <s v="Minor Delay"/>
  </r>
  <r>
    <n v="3067"/>
    <d v="2025-04-03T00:00:00"/>
    <x v="4"/>
    <x v="1"/>
    <s v="MNL"/>
    <s v="Economy"/>
    <n v="251"/>
    <n v="578.32000000000005"/>
    <n v="0"/>
    <s v="Delayed"/>
    <n v="145158.32"/>
    <s v="Apr"/>
    <n v="2025"/>
    <n v="145158.32"/>
    <s v="On Time"/>
  </r>
  <r>
    <n v="3068"/>
    <d v="2025-07-29T00:00:00"/>
    <x v="5"/>
    <x v="5"/>
    <s v="MNL"/>
    <s v="Business"/>
    <n v="65"/>
    <n v="557.51"/>
    <n v="35"/>
    <s v="Cancelled"/>
    <n v="36238.15"/>
    <s v="Jul"/>
    <n v="2025"/>
    <n v="36238.15"/>
    <s v="Moderate Delay"/>
  </r>
  <r>
    <n v="3069"/>
    <d v="2025-03-11T00:00:00"/>
    <x v="5"/>
    <x v="0"/>
    <s v="SIN"/>
    <s v="Economy"/>
    <n v="51"/>
    <n v="409.07"/>
    <n v="34"/>
    <s v="On Time"/>
    <n v="20862.57"/>
    <s v="Mar"/>
    <n v="2025"/>
    <n v="20862.57"/>
    <s v="Moderate Delay"/>
  </r>
  <r>
    <n v="3070"/>
    <d v="2025-03-13T00:00:00"/>
    <x v="0"/>
    <x v="3"/>
    <s v="CJU"/>
    <s v="Economy"/>
    <n v="191"/>
    <n v="169.58"/>
    <n v="45"/>
    <s v="On Time"/>
    <n v="32389.78"/>
    <s v="Mar"/>
    <n v="2025"/>
    <n v="32389.780000000002"/>
    <s v="Moderate Delay"/>
  </r>
  <r>
    <n v="3071"/>
    <d v="2025-01-07T00:00:00"/>
    <x v="5"/>
    <x v="7"/>
    <s v="KIX"/>
    <s v="Premium Economy"/>
    <n v="170"/>
    <n v="301.79000000000002"/>
    <n v="29"/>
    <s v="Cancelled"/>
    <n v="51304.3"/>
    <s v="Jan"/>
    <n v="2025"/>
    <n v="51304.3"/>
    <s v="Minor Delay"/>
  </r>
  <r>
    <n v="3072"/>
    <d v="2025-01-01T00:00:00"/>
    <x v="4"/>
    <x v="4"/>
    <s v="ICN"/>
    <s v="Economy"/>
    <n v="59"/>
    <n v="597.45000000000005"/>
    <n v="33"/>
    <s v="On Time"/>
    <n v="35249.550000000003"/>
    <s v="Jan"/>
    <n v="2025"/>
    <n v="35249.550000000003"/>
    <s v="Moderate Delay"/>
  </r>
  <r>
    <n v="3073"/>
    <d v="2025-04-27T00:00:00"/>
    <x v="4"/>
    <x v="8"/>
    <s v="GMP"/>
    <s v="Economy"/>
    <n v="230"/>
    <n v="145.44"/>
    <n v="20"/>
    <s v="Delayed"/>
    <n v="33451.199999999997"/>
    <s v="Apr"/>
    <n v="2025"/>
    <n v="33451.199999999997"/>
    <s v="Minor Delay"/>
  </r>
  <r>
    <n v="3074"/>
    <d v="2025-06-13T00:00:00"/>
    <x v="2"/>
    <x v="3"/>
    <s v="PUS"/>
    <s v="Economy"/>
    <n v="92"/>
    <n v="626.95000000000005"/>
    <n v="57"/>
    <s v="On Time"/>
    <n v="57679.4"/>
    <s v="Jun"/>
    <n v="2025"/>
    <n v="57679.4"/>
    <s v="Moderate Delay"/>
  </r>
  <r>
    <n v="3075"/>
    <d v="2025-08-12T00:00:00"/>
    <x v="4"/>
    <x v="7"/>
    <s v="ICN"/>
    <s v="Economy"/>
    <n v="213"/>
    <n v="578.15"/>
    <n v="0"/>
    <s v="On Time"/>
    <n v="123145.95"/>
    <s v="Aug"/>
    <n v="2025"/>
    <n v="123145.95"/>
    <s v="On Time"/>
  </r>
  <r>
    <n v="3076"/>
    <d v="2025-09-26T00:00:00"/>
    <x v="0"/>
    <x v="5"/>
    <s v="SIN"/>
    <s v="Economy"/>
    <n v="82"/>
    <n v="745.71"/>
    <n v="0"/>
    <s v="On Time"/>
    <n v="61148.22"/>
    <s v="Sep"/>
    <n v="2025"/>
    <n v="61148.22"/>
    <s v="On Time"/>
  </r>
  <r>
    <n v="3077"/>
    <d v="2025-06-03T00:00:00"/>
    <x v="1"/>
    <x v="0"/>
    <s v="ICN"/>
    <s v="Business"/>
    <n v="123"/>
    <n v="733.42"/>
    <n v="14"/>
    <s v="On Time"/>
    <n v="90210.66"/>
    <s v="Jun"/>
    <n v="2025"/>
    <n v="90210.659999999989"/>
    <s v="Minor Delay"/>
  </r>
  <r>
    <n v="3078"/>
    <d v="2025-09-19T00:00:00"/>
    <x v="1"/>
    <x v="3"/>
    <s v="CJU"/>
    <s v="Business"/>
    <n v="117"/>
    <n v="273.05"/>
    <n v="0"/>
    <s v="On Time"/>
    <n v="31946.85"/>
    <s v="Sep"/>
    <n v="2025"/>
    <n v="31946.850000000002"/>
    <s v="On Time"/>
  </r>
  <r>
    <n v="3079"/>
    <d v="2025-11-18T00:00:00"/>
    <x v="0"/>
    <x v="8"/>
    <s v="NRT"/>
    <s v="Business"/>
    <n v="59"/>
    <n v="189.71"/>
    <n v="0"/>
    <s v="Delayed"/>
    <n v="11192.89"/>
    <s v="Nov"/>
    <n v="2025"/>
    <n v="11192.890000000001"/>
    <s v="On Time"/>
  </r>
  <r>
    <n v="3080"/>
    <d v="2025-07-17T00:00:00"/>
    <x v="0"/>
    <x v="2"/>
    <s v="ICN"/>
    <s v="Premium Economy"/>
    <n v="177"/>
    <n v="786.19"/>
    <n v="0"/>
    <s v="On Time"/>
    <n v="139155.63"/>
    <s v="Jul"/>
    <n v="2025"/>
    <n v="139155.63"/>
    <s v="On Time"/>
  </r>
  <r>
    <n v="3081"/>
    <d v="2025-08-26T00:00:00"/>
    <x v="5"/>
    <x v="5"/>
    <s v="NRT"/>
    <s v="Business"/>
    <n v="247"/>
    <n v="145.4"/>
    <n v="30"/>
    <s v="On Time"/>
    <n v="35913.800000000003"/>
    <s v="Aug"/>
    <n v="2025"/>
    <n v="35913.800000000003"/>
    <s v="Minor Delay"/>
  </r>
  <r>
    <n v="3082"/>
    <d v="2025-05-03T00:00:00"/>
    <x v="3"/>
    <x v="8"/>
    <s v="NRT"/>
    <s v="Premium Economy"/>
    <n v="202"/>
    <n v="486.02"/>
    <n v="34"/>
    <s v="On Time"/>
    <n v="98176.04"/>
    <s v="May"/>
    <n v="2025"/>
    <n v="98176.04"/>
    <s v="Moderate Delay"/>
  </r>
  <r>
    <n v="3083"/>
    <d v="2025-06-26T00:00:00"/>
    <x v="2"/>
    <x v="3"/>
    <s v="BKK"/>
    <s v="Premium Economy"/>
    <n v="201"/>
    <n v="483.4"/>
    <n v="18"/>
    <s v="On Time"/>
    <n v="97163.4"/>
    <s v="Jun"/>
    <n v="2025"/>
    <n v="97163.4"/>
    <s v="Minor Delay"/>
  </r>
  <r>
    <n v="3084"/>
    <d v="2025-08-03T00:00:00"/>
    <x v="5"/>
    <x v="7"/>
    <s v="ICN"/>
    <s v="Premium Economy"/>
    <n v="195"/>
    <n v="531.85"/>
    <n v="15"/>
    <s v="On Time"/>
    <n v="103710.75"/>
    <s v="Aug"/>
    <n v="2025"/>
    <n v="103710.75"/>
    <s v="Minor Delay"/>
  </r>
  <r>
    <n v="3085"/>
    <d v="2025-09-24T00:00:00"/>
    <x v="5"/>
    <x v="3"/>
    <s v="CJU"/>
    <s v="Business"/>
    <n v="159"/>
    <n v="70.930000000000007"/>
    <n v="27"/>
    <s v="On Time"/>
    <n v="11277.87"/>
    <s v="Sep"/>
    <n v="2025"/>
    <n v="11277.87"/>
    <s v="Minor Delay"/>
  </r>
  <r>
    <n v="3086"/>
    <d v="2025-04-30T00:00:00"/>
    <x v="2"/>
    <x v="8"/>
    <s v="PUS"/>
    <s v="Premium Economy"/>
    <n v="145"/>
    <n v="388.6"/>
    <n v="23"/>
    <s v="On Time"/>
    <n v="56347"/>
    <s v="Apr"/>
    <n v="2025"/>
    <n v="56347"/>
    <s v="Minor Delay"/>
  </r>
  <r>
    <n v="3087"/>
    <d v="2025-03-15T00:00:00"/>
    <x v="2"/>
    <x v="1"/>
    <s v="KIX"/>
    <s v="Premium Economy"/>
    <n v="73"/>
    <n v="745.57"/>
    <n v="0"/>
    <s v="On Time"/>
    <n v="54426.61"/>
    <s v="Mar"/>
    <n v="2025"/>
    <n v="54426.61"/>
    <s v="On Time"/>
  </r>
  <r>
    <n v="3088"/>
    <d v="2025-03-13T00:00:00"/>
    <x v="4"/>
    <x v="6"/>
    <s v="ICN"/>
    <s v="Economy"/>
    <n v="212"/>
    <n v="75.17"/>
    <n v="35"/>
    <s v="On Time"/>
    <n v="15936.04"/>
    <s v="Mar"/>
    <n v="2025"/>
    <n v="15936.04"/>
    <s v="Moderate Delay"/>
  </r>
  <r>
    <n v="3089"/>
    <d v="2025-11-12T00:00:00"/>
    <x v="5"/>
    <x v="8"/>
    <s v="BKK"/>
    <s v="Economy"/>
    <n v="213"/>
    <n v="513.52"/>
    <n v="4"/>
    <s v="On Time"/>
    <n v="109379.76"/>
    <s v="Nov"/>
    <n v="2025"/>
    <n v="109379.76"/>
    <s v="Minor Delay"/>
  </r>
  <r>
    <n v="3090"/>
    <d v="2025-06-15T00:00:00"/>
    <x v="1"/>
    <x v="8"/>
    <s v="CJU"/>
    <s v="Business"/>
    <n v="122"/>
    <n v="559.73"/>
    <n v="31"/>
    <s v="On Time"/>
    <n v="68287.06"/>
    <s v="Jun"/>
    <n v="2025"/>
    <n v="68287.06"/>
    <s v="Moderate Delay"/>
  </r>
  <r>
    <n v="3091"/>
    <d v="2025-03-31T00:00:00"/>
    <x v="0"/>
    <x v="7"/>
    <s v="KIX"/>
    <s v="Premium Economy"/>
    <n v="181"/>
    <n v="63.53"/>
    <n v="30"/>
    <s v="On Time"/>
    <n v="11498.93"/>
    <s v="Mar"/>
    <n v="2025"/>
    <n v="11498.93"/>
    <s v="Minor Delay"/>
  </r>
  <r>
    <n v="3092"/>
    <d v="2025-06-19T00:00:00"/>
    <x v="4"/>
    <x v="4"/>
    <s v="GMP"/>
    <s v="Economy"/>
    <n v="291"/>
    <n v="706.1"/>
    <n v="22"/>
    <s v="On Time"/>
    <n v="205475.1"/>
    <s v="Jun"/>
    <n v="2025"/>
    <n v="205475.1"/>
    <s v="Minor Delay"/>
  </r>
  <r>
    <n v="3093"/>
    <d v="2025-06-11T00:00:00"/>
    <x v="2"/>
    <x v="3"/>
    <s v="BKK"/>
    <s v="Premium Economy"/>
    <n v="266"/>
    <n v="767.95"/>
    <n v="42"/>
    <s v="Delayed"/>
    <n v="204274.7"/>
    <s v="Jun"/>
    <n v="2025"/>
    <n v="204274.7"/>
    <s v="Moderate Delay"/>
  </r>
  <r>
    <n v="3094"/>
    <d v="2025-03-25T00:00:00"/>
    <x v="4"/>
    <x v="1"/>
    <s v="ICN"/>
    <s v="Economy"/>
    <n v="144"/>
    <n v="394.61"/>
    <n v="9"/>
    <s v="On Time"/>
    <n v="56823.839999999997"/>
    <s v="Mar"/>
    <n v="2025"/>
    <n v="56823.840000000004"/>
    <s v="Minor Delay"/>
  </r>
  <r>
    <n v="3095"/>
    <d v="2025-12-03T00:00:00"/>
    <x v="0"/>
    <x v="2"/>
    <s v="NRT"/>
    <s v="Business"/>
    <n v="253"/>
    <n v="310.07"/>
    <n v="0"/>
    <s v="Delayed"/>
    <n v="78447.710000000006"/>
    <s v="Dec"/>
    <n v="2025"/>
    <n v="78447.709999999992"/>
    <s v="On Time"/>
  </r>
  <r>
    <n v="3096"/>
    <d v="2025-11-24T00:00:00"/>
    <x v="5"/>
    <x v="0"/>
    <s v="BKK"/>
    <s v="Economy"/>
    <n v="184"/>
    <n v="346.29"/>
    <n v="6"/>
    <s v="On Time"/>
    <n v="63717.36"/>
    <s v="Nov"/>
    <n v="2025"/>
    <n v="63717.36"/>
    <s v="Minor Delay"/>
  </r>
  <r>
    <n v="3097"/>
    <d v="2025-11-06T00:00:00"/>
    <x v="2"/>
    <x v="5"/>
    <s v="PUS"/>
    <s v="Premium Economy"/>
    <n v="97"/>
    <n v="729.57"/>
    <n v="7"/>
    <s v="On Time"/>
    <n v="70768.289999999994"/>
    <s v="Nov"/>
    <n v="2025"/>
    <n v="70768.290000000008"/>
    <s v="Minor Delay"/>
  </r>
  <r>
    <n v="3098"/>
    <d v="2025-06-01T00:00:00"/>
    <x v="0"/>
    <x v="0"/>
    <s v="SIN"/>
    <s v="Business"/>
    <n v="85"/>
    <n v="673.62"/>
    <n v="0"/>
    <s v="On Time"/>
    <n v="57257.7"/>
    <s v="Jun"/>
    <n v="2025"/>
    <n v="57257.7"/>
    <s v="On Time"/>
  </r>
  <r>
    <n v="3099"/>
    <d v="2025-08-26T00:00:00"/>
    <x v="5"/>
    <x v="0"/>
    <s v="MNL"/>
    <s v="Economy"/>
    <n v="281"/>
    <n v="148.22999999999999"/>
    <n v="6"/>
    <s v="Delayed"/>
    <n v="41652.629999999997"/>
    <s v="Aug"/>
    <n v="2025"/>
    <n v="41652.629999999997"/>
    <s v="Minor Delay"/>
  </r>
  <r>
    <n v="3100"/>
    <d v="2025-09-01T00:00:00"/>
    <x v="1"/>
    <x v="1"/>
    <s v="PUS"/>
    <s v="Premium Economy"/>
    <n v="106"/>
    <n v="789.79"/>
    <n v="0"/>
    <s v="Delayed"/>
    <n v="83717.740000000005"/>
    <s v="Sep"/>
    <n v="2025"/>
    <n v="83717.739999999991"/>
    <s v="On Time"/>
  </r>
  <r>
    <n v="3101"/>
    <d v="2025-03-04T00:00:00"/>
    <x v="0"/>
    <x v="5"/>
    <s v="NRT"/>
    <s v="Business"/>
    <n v="90"/>
    <n v="430.08"/>
    <n v="6"/>
    <s v="Delayed"/>
    <n v="38707.199999999997"/>
    <s v="Mar"/>
    <n v="2025"/>
    <n v="38707.199999999997"/>
    <s v="Minor Delay"/>
  </r>
  <r>
    <n v="3102"/>
    <d v="2025-03-19T00:00:00"/>
    <x v="1"/>
    <x v="5"/>
    <s v="PUS"/>
    <s v="Premium Economy"/>
    <n v="74"/>
    <n v="556.85"/>
    <n v="61"/>
    <s v="On Time"/>
    <n v="41206.9"/>
    <s v="Mar"/>
    <n v="2025"/>
    <n v="41206.9"/>
    <s v="Major Delay"/>
  </r>
  <r>
    <n v="3103"/>
    <d v="2025-04-19T00:00:00"/>
    <x v="4"/>
    <x v="2"/>
    <s v="NRT"/>
    <s v="Business"/>
    <n v="107"/>
    <n v="422.16"/>
    <n v="0"/>
    <s v="On Time"/>
    <n v="45171.12"/>
    <s v="Apr"/>
    <n v="2025"/>
    <n v="45171.12"/>
    <s v="On Time"/>
  </r>
  <r>
    <n v="3104"/>
    <d v="2025-12-29T00:00:00"/>
    <x v="5"/>
    <x v="5"/>
    <s v="PUS"/>
    <s v="Business"/>
    <n v="137"/>
    <n v="378.41"/>
    <n v="22"/>
    <s v="On Time"/>
    <n v="51842.17"/>
    <s v="Dec"/>
    <n v="2025"/>
    <n v="51842.170000000006"/>
    <s v="Minor Delay"/>
  </r>
  <r>
    <n v="3105"/>
    <d v="2025-07-12T00:00:00"/>
    <x v="3"/>
    <x v="7"/>
    <s v="BKK"/>
    <s v="Business"/>
    <n v="223"/>
    <n v="267.77"/>
    <n v="0"/>
    <s v="On Time"/>
    <n v="59712.71"/>
    <s v="Jul"/>
    <n v="2025"/>
    <n v="59712.71"/>
    <s v="On Time"/>
  </r>
  <r>
    <n v="3106"/>
    <d v="2025-08-19T00:00:00"/>
    <x v="5"/>
    <x v="4"/>
    <s v="ICN"/>
    <s v="Business"/>
    <n v="257"/>
    <n v="724.9"/>
    <n v="21"/>
    <s v="On Time"/>
    <n v="186299.3"/>
    <s v="Aug"/>
    <n v="2025"/>
    <n v="186299.3"/>
    <s v="Minor Delay"/>
  </r>
  <r>
    <n v="3107"/>
    <d v="2025-04-22T00:00:00"/>
    <x v="0"/>
    <x v="4"/>
    <s v="BKK"/>
    <s v="Business"/>
    <n v="109"/>
    <n v="121.3"/>
    <n v="0"/>
    <s v="On Time"/>
    <n v="13221.7"/>
    <s v="Apr"/>
    <n v="2025"/>
    <n v="13221.699999999999"/>
    <s v="On Time"/>
  </r>
  <r>
    <n v="3108"/>
    <d v="2025-05-26T00:00:00"/>
    <x v="4"/>
    <x v="6"/>
    <s v="GMP"/>
    <s v="Premium Economy"/>
    <n v="124"/>
    <n v="386.41"/>
    <n v="43"/>
    <s v="On Time"/>
    <n v="47914.84"/>
    <s v="May"/>
    <n v="2025"/>
    <n v="47914.840000000004"/>
    <s v="Moderate Delay"/>
  </r>
  <r>
    <n v="3109"/>
    <d v="2025-01-07T00:00:00"/>
    <x v="3"/>
    <x v="2"/>
    <s v="SIN"/>
    <s v="Economy"/>
    <n v="207"/>
    <n v="278.82"/>
    <n v="20"/>
    <s v="On Time"/>
    <n v="57715.74"/>
    <s v="Jan"/>
    <n v="2025"/>
    <n v="57715.74"/>
    <s v="Minor Delay"/>
  </r>
  <r>
    <n v="3110"/>
    <d v="2025-12-10T00:00:00"/>
    <x v="2"/>
    <x v="0"/>
    <s v="CJU"/>
    <s v="Premium Economy"/>
    <n v="159"/>
    <n v="777.21"/>
    <n v="3"/>
    <s v="On Time"/>
    <n v="123576.39"/>
    <s v="Dec"/>
    <n v="2025"/>
    <n v="123576.39"/>
    <s v="Minor Delay"/>
  </r>
  <r>
    <n v="3111"/>
    <d v="2025-06-26T00:00:00"/>
    <x v="0"/>
    <x v="3"/>
    <s v="ICN"/>
    <s v="Business"/>
    <n v="170"/>
    <n v="539.6"/>
    <n v="20"/>
    <s v="On Time"/>
    <n v="91732"/>
    <s v="Jun"/>
    <n v="2025"/>
    <n v="91732"/>
    <s v="Minor Delay"/>
  </r>
  <r>
    <n v="3112"/>
    <d v="2025-12-25T00:00:00"/>
    <x v="3"/>
    <x v="7"/>
    <s v="GMP"/>
    <s v="Premium Economy"/>
    <n v="172"/>
    <n v="465.11"/>
    <n v="10"/>
    <s v="On Time"/>
    <n v="79998.92"/>
    <s v="Dec"/>
    <n v="2025"/>
    <n v="79998.92"/>
    <s v="Minor Delay"/>
  </r>
  <r>
    <n v="3113"/>
    <d v="2025-03-21T00:00:00"/>
    <x v="0"/>
    <x v="0"/>
    <s v="ICN"/>
    <s v="Economy"/>
    <n v="67"/>
    <n v="559.63"/>
    <n v="0"/>
    <s v="On Time"/>
    <n v="37495.21"/>
    <s v="Mar"/>
    <n v="2025"/>
    <n v="37495.21"/>
    <s v="On Time"/>
  </r>
  <r>
    <n v="3114"/>
    <d v="2025-07-17T00:00:00"/>
    <x v="3"/>
    <x v="8"/>
    <s v="ICN"/>
    <s v="Premium Economy"/>
    <n v="211"/>
    <n v="376.41"/>
    <n v="42"/>
    <s v="On Time"/>
    <n v="79422.509999999995"/>
    <s v="Jul"/>
    <n v="2025"/>
    <n v="79422.510000000009"/>
    <s v="Moderate Delay"/>
  </r>
  <r>
    <n v="3115"/>
    <d v="2025-04-12T00:00:00"/>
    <x v="3"/>
    <x v="7"/>
    <s v="PUS"/>
    <s v="Premium Economy"/>
    <n v="81"/>
    <n v="458.97"/>
    <n v="11"/>
    <s v="On Time"/>
    <n v="37176.57"/>
    <s v="Apr"/>
    <n v="2025"/>
    <n v="37176.57"/>
    <s v="Minor Delay"/>
  </r>
  <r>
    <n v="3116"/>
    <d v="2025-11-28T00:00:00"/>
    <x v="5"/>
    <x v="6"/>
    <s v="NRT"/>
    <s v="Premium Economy"/>
    <n v="156"/>
    <n v="223.3"/>
    <n v="15"/>
    <s v="On Time"/>
    <n v="34834.800000000003"/>
    <s v="Nov"/>
    <n v="2025"/>
    <n v="34834.800000000003"/>
    <s v="Minor Delay"/>
  </r>
  <r>
    <n v="3117"/>
    <d v="2025-03-19T00:00:00"/>
    <x v="5"/>
    <x v="0"/>
    <s v="KIX"/>
    <s v="Premium Economy"/>
    <n v="99"/>
    <n v="75.959999999999994"/>
    <n v="60"/>
    <s v="On Time"/>
    <n v="7520.04"/>
    <s v="Mar"/>
    <n v="2025"/>
    <n v="7520.0399999999991"/>
    <s v="Moderate Delay"/>
  </r>
  <r>
    <n v="3118"/>
    <d v="2025-10-19T00:00:00"/>
    <x v="5"/>
    <x v="3"/>
    <s v="PUS"/>
    <s v="Business"/>
    <n v="282"/>
    <n v="575.70000000000005"/>
    <n v="27"/>
    <s v="Delayed"/>
    <n v="162347.4"/>
    <s v="Oct"/>
    <n v="2025"/>
    <n v="162347.40000000002"/>
    <s v="Minor Delay"/>
  </r>
  <r>
    <n v="3119"/>
    <d v="2025-03-15T00:00:00"/>
    <x v="4"/>
    <x v="0"/>
    <s v="NRT"/>
    <s v="Premium Economy"/>
    <n v="138"/>
    <n v="503.58"/>
    <n v="0"/>
    <s v="On Time"/>
    <n v="69494.039999999994"/>
    <s v="Mar"/>
    <n v="2025"/>
    <n v="69494.039999999994"/>
    <s v="On Time"/>
  </r>
  <r>
    <n v="3120"/>
    <d v="2025-09-03T00:00:00"/>
    <x v="5"/>
    <x v="2"/>
    <s v="CJU"/>
    <s v="Business"/>
    <n v="116"/>
    <n v="136.43"/>
    <n v="0"/>
    <s v="On Time"/>
    <n v="15825.88"/>
    <s v="Sep"/>
    <n v="2025"/>
    <n v="15825.880000000001"/>
    <s v="On Time"/>
  </r>
  <r>
    <n v="3121"/>
    <d v="2025-07-31T00:00:00"/>
    <x v="4"/>
    <x v="2"/>
    <s v="SIN"/>
    <s v="Business"/>
    <n v="68"/>
    <n v="712.96"/>
    <n v="10"/>
    <s v="On Time"/>
    <n v="48481.279999999999"/>
    <s v="Jul"/>
    <n v="2025"/>
    <n v="48481.279999999999"/>
    <s v="Minor Delay"/>
  </r>
  <r>
    <n v="3122"/>
    <d v="2025-02-20T00:00:00"/>
    <x v="4"/>
    <x v="5"/>
    <s v="CJU"/>
    <s v="Business"/>
    <n v="272"/>
    <n v="82.45"/>
    <n v="34"/>
    <s v="On Time"/>
    <n v="22426.400000000001"/>
    <s v="Feb"/>
    <n v="2025"/>
    <n v="22426.400000000001"/>
    <s v="Moderate Delay"/>
  </r>
  <r>
    <n v="3123"/>
    <d v="2025-12-25T00:00:00"/>
    <x v="2"/>
    <x v="3"/>
    <s v="CJU"/>
    <s v="Premium Economy"/>
    <n v="124"/>
    <n v="196.15"/>
    <n v="0"/>
    <s v="On Time"/>
    <n v="24322.6"/>
    <s v="Dec"/>
    <n v="2025"/>
    <n v="24322.600000000002"/>
    <s v="On Time"/>
  </r>
  <r>
    <n v="3124"/>
    <d v="2025-03-15T00:00:00"/>
    <x v="2"/>
    <x v="3"/>
    <s v="GMP"/>
    <s v="Economy"/>
    <n v="121"/>
    <n v="293.77999999999997"/>
    <n v="35"/>
    <s v="On Time"/>
    <n v="35547.379999999997"/>
    <s v="Mar"/>
    <n v="2025"/>
    <n v="35547.379999999997"/>
    <s v="Moderate Delay"/>
  </r>
  <r>
    <n v="3125"/>
    <d v="2025-07-07T00:00:00"/>
    <x v="3"/>
    <x v="2"/>
    <s v="SIN"/>
    <s v="Premium Economy"/>
    <n v="130"/>
    <n v="748.46"/>
    <n v="0"/>
    <s v="On Time"/>
    <n v="97299.8"/>
    <s v="Jul"/>
    <n v="2025"/>
    <n v="97299.8"/>
    <s v="On Time"/>
  </r>
  <r>
    <n v="3126"/>
    <d v="2025-09-19T00:00:00"/>
    <x v="4"/>
    <x v="6"/>
    <s v="MNL"/>
    <s v="Business"/>
    <n v="159"/>
    <n v="178.21"/>
    <n v="38"/>
    <s v="On Time"/>
    <n v="28335.39"/>
    <s v="Sep"/>
    <n v="2025"/>
    <n v="28335.390000000003"/>
    <s v="Moderate Delay"/>
  </r>
  <r>
    <n v="3127"/>
    <d v="2025-03-03T00:00:00"/>
    <x v="1"/>
    <x v="4"/>
    <s v="BKK"/>
    <s v="Premium Economy"/>
    <n v="154"/>
    <n v="522.85"/>
    <n v="0"/>
    <s v="On Time"/>
    <n v="80518.899999999994"/>
    <s v="Mar"/>
    <n v="2025"/>
    <n v="80518.900000000009"/>
    <s v="On Time"/>
  </r>
  <r>
    <n v="3128"/>
    <d v="2025-07-16T00:00:00"/>
    <x v="5"/>
    <x v="1"/>
    <s v="KIX"/>
    <s v="Premium Economy"/>
    <n v="269"/>
    <n v="141.29"/>
    <n v="77"/>
    <s v="Delayed"/>
    <n v="38007.01"/>
    <s v="Jul"/>
    <n v="2025"/>
    <n v="38007.009999999995"/>
    <s v="Major Delay"/>
  </r>
  <r>
    <n v="3129"/>
    <d v="2025-03-06T00:00:00"/>
    <x v="2"/>
    <x v="5"/>
    <s v="MNL"/>
    <s v="Premium Economy"/>
    <n v="232"/>
    <n v="424.22"/>
    <n v="5"/>
    <s v="On Time"/>
    <n v="98419.04"/>
    <s v="Mar"/>
    <n v="2025"/>
    <n v="98419.040000000008"/>
    <s v="Minor Delay"/>
  </r>
  <r>
    <n v="3130"/>
    <d v="2025-10-27T00:00:00"/>
    <x v="0"/>
    <x v="5"/>
    <s v="SIN"/>
    <s v="Premium Economy"/>
    <n v="225"/>
    <n v="709.23"/>
    <n v="9"/>
    <s v="Delayed"/>
    <n v="159576.75"/>
    <s v="Oct"/>
    <n v="2025"/>
    <n v="159576.75"/>
    <s v="Minor Delay"/>
  </r>
  <r>
    <n v="3131"/>
    <d v="2025-10-22T00:00:00"/>
    <x v="1"/>
    <x v="0"/>
    <s v="PUS"/>
    <s v="Premium Economy"/>
    <n v="161"/>
    <n v="702.82"/>
    <n v="0"/>
    <s v="On Time"/>
    <n v="113154.02"/>
    <s v="Oct"/>
    <n v="2025"/>
    <n v="113154.02"/>
    <s v="On Time"/>
  </r>
  <r>
    <n v="3132"/>
    <d v="2025-09-10T00:00:00"/>
    <x v="2"/>
    <x v="2"/>
    <s v="KIX"/>
    <s v="Business"/>
    <n v="269"/>
    <n v="570.28"/>
    <n v="0"/>
    <s v="Delayed"/>
    <n v="153405.32"/>
    <s v="Sep"/>
    <n v="2025"/>
    <n v="153405.32"/>
    <s v="On Time"/>
  </r>
  <r>
    <n v="3133"/>
    <d v="2025-06-26T00:00:00"/>
    <x v="2"/>
    <x v="5"/>
    <s v="KIX"/>
    <s v="Business"/>
    <n v="195"/>
    <n v="403.09"/>
    <n v="37"/>
    <s v="Delayed"/>
    <n v="78602.55"/>
    <s v="Jun"/>
    <n v="2025"/>
    <n v="78602.549999999988"/>
    <s v="Moderate Delay"/>
  </r>
  <r>
    <n v="3134"/>
    <d v="2025-08-23T00:00:00"/>
    <x v="1"/>
    <x v="4"/>
    <s v="ICN"/>
    <s v="Economy"/>
    <n v="108"/>
    <n v="540.79999999999995"/>
    <n v="3"/>
    <s v="On Time"/>
    <n v="58406.400000000001"/>
    <s v="Aug"/>
    <n v="2025"/>
    <n v="58406.399999999994"/>
    <s v="Minor Delay"/>
  </r>
  <r>
    <n v="3135"/>
    <d v="2025-08-20T00:00:00"/>
    <x v="5"/>
    <x v="0"/>
    <s v="KIX"/>
    <s v="Business"/>
    <n v="265"/>
    <n v="760.66"/>
    <n v="33"/>
    <s v="On Time"/>
    <n v="201574.9"/>
    <s v="Aug"/>
    <n v="2025"/>
    <n v="201574.9"/>
    <s v="Moderate Delay"/>
  </r>
  <r>
    <n v="3136"/>
    <d v="2025-12-22T00:00:00"/>
    <x v="1"/>
    <x v="8"/>
    <s v="CJU"/>
    <s v="Business"/>
    <n v="228"/>
    <n v="580.34"/>
    <n v="18"/>
    <s v="On Time"/>
    <n v="132317.51999999999"/>
    <s v="Dec"/>
    <n v="2025"/>
    <n v="132317.52000000002"/>
    <s v="Minor Delay"/>
  </r>
  <r>
    <n v="3137"/>
    <d v="2025-07-24T00:00:00"/>
    <x v="3"/>
    <x v="1"/>
    <s v="SIN"/>
    <s v="Premium Economy"/>
    <n v="53"/>
    <n v="352.61"/>
    <n v="5"/>
    <s v="On Time"/>
    <n v="18688.330000000002"/>
    <s v="Jul"/>
    <n v="2025"/>
    <n v="18688.330000000002"/>
    <s v="Minor Delay"/>
  </r>
  <r>
    <n v="3138"/>
    <d v="2025-04-13T00:00:00"/>
    <x v="1"/>
    <x v="6"/>
    <s v="BKK"/>
    <s v="Economy"/>
    <n v="67"/>
    <n v="791.45"/>
    <n v="29"/>
    <s v="Delayed"/>
    <n v="53027.15"/>
    <s v="Apr"/>
    <n v="2025"/>
    <n v="53027.15"/>
    <s v="Minor Delay"/>
  </r>
  <r>
    <n v="3139"/>
    <d v="2025-01-26T00:00:00"/>
    <x v="3"/>
    <x v="7"/>
    <s v="ICN"/>
    <s v="Business"/>
    <n v="182"/>
    <n v="276.20999999999998"/>
    <n v="31"/>
    <s v="Delayed"/>
    <n v="50270.22"/>
    <s v="Jan"/>
    <n v="2025"/>
    <n v="50270.219999999994"/>
    <s v="Moderate Delay"/>
  </r>
  <r>
    <n v="3140"/>
    <d v="2025-04-15T00:00:00"/>
    <x v="0"/>
    <x v="6"/>
    <s v="PUS"/>
    <s v="Premium Economy"/>
    <n v="267"/>
    <n v="394.01"/>
    <n v="13"/>
    <s v="On Time"/>
    <n v="105200.67"/>
    <s v="Apr"/>
    <n v="2025"/>
    <n v="105200.67"/>
    <s v="Minor Delay"/>
  </r>
  <r>
    <n v="3141"/>
    <d v="2025-12-20T00:00:00"/>
    <x v="5"/>
    <x v="5"/>
    <s v="PUS"/>
    <s v="Business"/>
    <n v="153"/>
    <n v="429.09"/>
    <n v="19"/>
    <s v="On Time"/>
    <n v="65650.77"/>
    <s v="Dec"/>
    <n v="2025"/>
    <n v="65650.76999999999"/>
    <s v="Minor Delay"/>
  </r>
  <r>
    <n v="3142"/>
    <d v="2025-11-24T00:00:00"/>
    <x v="3"/>
    <x v="5"/>
    <s v="BKK"/>
    <s v="Premium Economy"/>
    <n v="205"/>
    <n v="738.84"/>
    <n v="9"/>
    <s v="Delayed"/>
    <n v="151462.20000000001"/>
    <s v="Nov"/>
    <n v="2025"/>
    <n v="151462.20000000001"/>
    <s v="Minor Delay"/>
  </r>
  <r>
    <n v="3143"/>
    <d v="2025-10-15T00:00:00"/>
    <x v="4"/>
    <x v="7"/>
    <s v="ICN"/>
    <s v="Premium Economy"/>
    <n v="121"/>
    <n v="480.51"/>
    <n v="26"/>
    <s v="On Time"/>
    <n v="58141.71"/>
    <s v="Oct"/>
    <n v="2025"/>
    <n v="58141.71"/>
    <s v="Minor Delay"/>
  </r>
  <r>
    <n v="3144"/>
    <d v="2025-02-17T00:00:00"/>
    <x v="5"/>
    <x v="4"/>
    <s v="BKK"/>
    <s v="Economy"/>
    <n v="145"/>
    <n v="96.94"/>
    <n v="9"/>
    <s v="On Time"/>
    <n v="14056.3"/>
    <s v="Feb"/>
    <n v="2025"/>
    <n v="14056.3"/>
    <s v="Minor Delay"/>
  </r>
  <r>
    <n v="3145"/>
    <d v="2025-02-25T00:00:00"/>
    <x v="4"/>
    <x v="5"/>
    <s v="CJU"/>
    <s v="Premium Economy"/>
    <n v="150"/>
    <n v="141.19999999999999"/>
    <n v="0"/>
    <s v="On Time"/>
    <n v="21180"/>
    <s v="Feb"/>
    <n v="2025"/>
    <n v="21180"/>
    <s v="On Time"/>
  </r>
  <r>
    <n v="3146"/>
    <d v="2025-04-21T00:00:00"/>
    <x v="5"/>
    <x v="5"/>
    <s v="GMP"/>
    <s v="Business"/>
    <n v="180"/>
    <n v="487.04"/>
    <n v="64"/>
    <s v="On Time"/>
    <n v="87667.199999999997"/>
    <s v="Apr"/>
    <n v="2025"/>
    <n v="87667.199999999997"/>
    <s v="Major Delay"/>
  </r>
  <r>
    <n v="3147"/>
    <d v="2025-05-11T00:00:00"/>
    <x v="3"/>
    <x v="5"/>
    <s v="KIX"/>
    <s v="Economy"/>
    <n v="65"/>
    <n v="268.57"/>
    <n v="18"/>
    <s v="On Time"/>
    <n v="17457.05"/>
    <s v="May"/>
    <n v="2025"/>
    <n v="17457.05"/>
    <s v="Minor Delay"/>
  </r>
  <r>
    <n v="3148"/>
    <d v="2025-02-08T00:00:00"/>
    <x v="3"/>
    <x v="6"/>
    <s v="KIX"/>
    <s v="Economy"/>
    <n v="263"/>
    <n v="304.33"/>
    <n v="28"/>
    <s v="On Time"/>
    <n v="80038.789999999994"/>
    <s v="Feb"/>
    <n v="2025"/>
    <n v="80038.789999999994"/>
    <s v="Minor Delay"/>
  </r>
  <r>
    <n v="3149"/>
    <d v="2025-09-21T00:00:00"/>
    <x v="3"/>
    <x v="0"/>
    <s v="KIX"/>
    <s v="Economy"/>
    <n v="172"/>
    <n v="289.62"/>
    <n v="7"/>
    <s v="On Time"/>
    <n v="49814.64"/>
    <s v="Sep"/>
    <n v="2025"/>
    <n v="49814.64"/>
    <s v="Minor Delay"/>
  </r>
  <r>
    <n v="3150"/>
    <d v="2025-07-26T00:00:00"/>
    <x v="5"/>
    <x v="5"/>
    <s v="CJU"/>
    <s v="Premium Economy"/>
    <n v="147"/>
    <n v="268.56"/>
    <n v="46"/>
    <s v="On Time"/>
    <n v="39478.32"/>
    <s v="Jul"/>
    <n v="2025"/>
    <n v="39478.32"/>
    <s v="Moderate Delay"/>
  </r>
  <r>
    <n v="3151"/>
    <d v="2025-01-19T00:00:00"/>
    <x v="1"/>
    <x v="8"/>
    <s v="NRT"/>
    <s v="Business"/>
    <n v="59"/>
    <n v="174.53"/>
    <n v="0"/>
    <s v="On Time"/>
    <n v="10297.27"/>
    <s v="Jan"/>
    <n v="2025"/>
    <n v="10297.27"/>
    <s v="On Time"/>
  </r>
  <r>
    <n v="3152"/>
    <d v="2025-09-05T00:00:00"/>
    <x v="3"/>
    <x v="6"/>
    <s v="PUS"/>
    <s v="Economy"/>
    <n v="161"/>
    <n v="129.12"/>
    <n v="32"/>
    <s v="On Time"/>
    <n v="20788.32"/>
    <s v="Sep"/>
    <n v="2025"/>
    <n v="20788.32"/>
    <s v="Moderate Delay"/>
  </r>
  <r>
    <n v="3153"/>
    <d v="2025-09-22T00:00:00"/>
    <x v="2"/>
    <x v="1"/>
    <s v="MNL"/>
    <s v="Economy"/>
    <n v="71"/>
    <n v="480.88"/>
    <n v="0"/>
    <s v="On Time"/>
    <n v="34142.480000000003"/>
    <s v="Sep"/>
    <n v="2025"/>
    <n v="34142.480000000003"/>
    <s v="On Time"/>
  </r>
  <r>
    <n v="3154"/>
    <d v="2025-12-06T00:00:00"/>
    <x v="0"/>
    <x v="6"/>
    <s v="PUS"/>
    <s v="Economy"/>
    <n v="155"/>
    <n v="108.6"/>
    <n v="28"/>
    <s v="Delayed"/>
    <n v="16833"/>
    <s v="Dec"/>
    <n v="2025"/>
    <n v="16833"/>
    <s v="Minor Delay"/>
  </r>
  <r>
    <n v="3155"/>
    <d v="2025-06-20T00:00:00"/>
    <x v="5"/>
    <x v="3"/>
    <s v="ICN"/>
    <s v="Economy"/>
    <n v="145"/>
    <n v="200.3"/>
    <n v="0"/>
    <s v="On Time"/>
    <n v="29043.5"/>
    <s v="Jun"/>
    <n v="2025"/>
    <n v="29043.5"/>
    <s v="On Time"/>
  </r>
  <r>
    <n v="3156"/>
    <d v="2025-08-14T00:00:00"/>
    <x v="3"/>
    <x v="1"/>
    <s v="KIX"/>
    <s v="Economy"/>
    <n v="189"/>
    <n v="333.52"/>
    <n v="44"/>
    <s v="On Time"/>
    <n v="63035.28"/>
    <s v="Aug"/>
    <n v="2025"/>
    <n v="63035.28"/>
    <s v="Moderate Delay"/>
  </r>
  <r>
    <n v="3157"/>
    <d v="2025-10-24T00:00:00"/>
    <x v="3"/>
    <x v="2"/>
    <s v="NRT"/>
    <s v="Business"/>
    <n v="247"/>
    <n v="623.20000000000005"/>
    <n v="27"/>
    <s v="On Time"/>
    <n v="153930.4"/>
    <s v="Oct"/>
    <n v="2025"/>
    <n v="153930.40000000002"/>
    <s v="Minor Delay"/>
  </r>
  <r>
    <n v="3158"/>
    <d v="2025-08-28T00:00:00"/>
    <x v="3"/>
    <x v="7"/>
    <s v="GMP"/>
    <s v="Premium Economy"/>
    <n v="135"/>
    <n v="474.07"/>
    <n v="32"/>
    <s v="On Time"/>
    <n v="63999.45"/>
    <s v="Aug"/>
    <n v="2025"/>
    <n v="63999.45"/>
    <s v="Moderate Delay"/>
  </r>
  <r>
    <n v="3159"/>
    <d v="2025-08-06T00:00:00"/>
    <x v="2"/>
    <x v="3"/>
    <s v="NRT"/>
    <s v="Business"/>
    <n v="174"/>
    <n v="507.52"/>
    <n v="31"/>
    <s v="On Time"/>
    <n v="88308.479999999996"/>
    <s v="Aug"/>
    <n v="2025"/>
    <n v="88308.479999999996"/>
    <s v="Moderate Delay"/>
  </r>
  <r>
    <n v="3160"/>
    <d v="2025-09-21T00:00:00"/>
    <x v="4"/>
    <x v="5"/>
    <s v="PUS"/>
    <s v="Economy"/>
    <n v="90"/>
    <n v="726.7"/>
    <n v="64"/>
    <s v="On Time"/>
    <n v="65403"/>
    <s v="Sep"/>
    <n v="2025"/>
    <n v="65403.000000000007"/>
    <s v="Major Delay"/>
  </r>
  <r>
    <n v="3161"/>
    <d v="2025-08-09T00:00:00"/>
    <x v="5"/>
    <x v="8"/>
    <s v="BKK"/>
    <s v="Business"/>
    <n v="257"/>
    <n v="539.04"/>
    <n v="19"/>
    <s v="On Time"/>
    <n v="138533.28"/>
    <s v="Aug"/>
    <n v="2025"/>
    <n v="138533.28"/>
    <s v="Minor Delay"/>
  </r>
  <r>
    <n v="3162"/>
    <d v="2025-06-13T00:00:00"/>
    <x v="0"/>
    <x v="5"/>
    <s v="PUS"/>
    <s v="Business"/>
    <n v="144"/>
    <n v="758.11"/>
    <n v="29"/>
    <s v="On Time"/>
    <n v="109167.84"/>
    <s v="Jun"/>
    <n v="2025"/>
    <n v="109167.84"/>
    <s v="Minor Delay"/>
  </r>
  <r>
    <n v="3163"/>
    <d v="2025-10-06T00:00:00"/>
    <x v="2"/>
    <x v="2"/>
    <s v="ICN"/>
    <s v="Economy"/>
    <n v="290"/>
    <n v="737.3"/>
    <n v="0"/>
    <s v="On Time"/>
    <n v="213817"/>
    <s v="Oct"/>
    <n v="2025"/>
    <n v="213817"/>
    <s v="On Time"/>
  </r>
  <r>
    <n v="3164"/>
    <d v="2025-04-25T00:00:00"/>
    <x v="5"/>
    <x v="5"/>
    <s v="SIN"/>
    <s v="Business"/>
    <n v="266"/>
    <n v="183.52"/>
    <n v="12"/>
    <s v="On Time"/>
    <n v="48816.32"/>
    <s v="Apr"/>
    <n v="2025"/>
    <n v="48816.32"/>
    <s v="Minor Delay"/>
  </r>
  <r>
    <n v="3165"/>
    <d v="2025-08-22T00:00:00"/>
    <x v="3"/>
    <x v="8"/>
    <s v="SIN"/>
    <s v="Economy"/>
    <n v="80"/>
    <n v="710.33"/>
    <n v="6"/>
    <s v="On Time"/>
    <n v="56826.400000000001"/>
    <s v="Aug"/>
    <n v="2025"/>
    <n v="56826.400000000001"/>
    <s v="Minor Delay"/>
  </r>
  <r>
    <n v="3166"/>
    <d v="2025-04-12T00:00:00"/>
    <x v="1"/>
    <x v="8"/>
    <s v="BKK"/>
    <s v="Business"/>
    <n v="65"/>
    <n v="66.38"/>
    <n v="19"/>
    <s v="Delayed"/>
    <n v="4314.7"/>
    <s v="Apr"/>
    <n v="2025"/>
    <n v="4314.7"/>
    <s v="Minor Delay"/>
  </r>
  <r>
    <n v="3167"/>
    <d v="2025-01-25T00:00:00"/>
    <x v="0"/>
    <x v="7"/>
    <s v="GMP"/>
    <s v="Business"/>
    <n v="269"/>
    <n v="266.20999999999998"/>
    <n v="33"/>
    <s v="On Time"/>
    <n v="71610.490000000005"/>
    <s v="Jan"/>
    <n v="2025"/>
    <n v="71610.489999999991"/>
    <s v="Moderate Delay"/>
  </r>
  <r>
    <n v="3168"/>
    <d v="2025-12-04T00:00:00"/>
    <x v="2"/>
    <x v="5"/>
    <s v="BKK"/>
    <s v="Business"/>
    <n v="219"/>
    <n v="390.81"/>
    <n v="55"/>
    <s v="On Time"/>
    <n v="85587.39"/>
    <s v="Dec"/>
    <n v="2025"/>
    <n v="85587.39"/>
    <s v="Moderate Delay"/>
  </r>
  <r>
    <n v="3169"/>
    <d v="2025-12-14T00:00:00"/>
    <x v="5"/>
    <x v="1"/>
    <s v="GMP"/>
    <s v="Business"/>
    <n v="211"/>
    <n v="411.31"/>
    <n v="0"/>
    <s v="On Time"/>
    <n v="86786.41"/>
    <s v="Dec"/>
    <n v="2025"/>
    <n v="86786.41"/>
    <s v="On Time"/>
  </r>
  <r>
    <n v="3170"/>
    <d v="2025-08-22T00:00:00"/>
    <x v="2"/>
    <x v="1"/>
    <s v="MNL"/>
    <s v="Premium Economy"/>
    <n v="60"/>
    <n v="509.37"/>
    <n v="47"/>
    <s v="On Time"/>
    <n v="30562.2"/>
    <s v="Aug"/>
    <n v="2025"/>
    <n v="30562.2"/>
    <s v="Moderate Delay"/>
  </r>
  <r>
    <n v="3171"/>
    <d v="2025-04-10T00:00:00"/>
    <x v="4"/>
    <x v="1"/>
    <s v="PUS"/>
    <s v="Premium Economy"/>
    <n v="54"/>
    <n v="72.92"/>
    <n v="16"/>
    <s v="Delayed"/>
    <n v="3937.68"/>
    <s v="Apr"/>
    <n v="2025"/>
    <n v="3937.6800000000003"/>
    <s v="Minor Delay"/>
  </r>
  <r>
    <n v="3172"/>
    <d v="2025-12-12T00:00:00"/>
    <x v="2"/>
    <x v="4"/>
    <s v="CJU"/>
    <s v="Business"/>
    <n v="232"/>
    <n v="329.75"/>
    <n v="6"/>
    <s v="On Time"/>
    <n v="76502"/>
    <s v="Dec"/>
    <n v="2025"/>
    <n v="76502"/>
    <s v="Minor Delay"/>
  </r>
  <r>
    <n v="3173"/>
    <d v="2025-03-07T00:00:00"/>
    <x v="1"/>
    <x v="2"/>
    <s v="CJU"/>
    <s v="Business"/>
    <n v="69"/>
    <n v="622.58000000000004"/>
    <n v="21"/>
    <s v="On Time"/>
    <n v="42958.02"/>
    <s v="Mar"/>
    <n v="2025"/>
    <n v="42958.020000000004"/>
    <s v="Minor Delay"/>
  </r>
  <r>
    <n v="3174"/>
    <d v="2025-12-21T00:00:00"/>
    <x v="4"/>
    <x v="5"/>
    <s v="BKK"/>
    <s v="Premium Economy"/>
    <n v="221"/>
    <n v="240"/>
    <n v="54"/>
    <s v="On Time"/>
    <n v="53040"/>
    <s v="Dec"/>
    <n v="2025"/>
    <n v="53040"/>
    <s v="Moderate Delay"/>
  </r>
  <r>
    <n v="3175"/>
    <d v="2025-09-10T00:00:00"/>
    <x v="3"/>
    <x v="0"/>
    <s v="BKK"/>
    <s v="Business"/>
    <n v="79"/>
    <n v="121.14"/>
    <n v="26"/>
    <s v="On Time"/>
    <n v="9570.06"/>
    <s v="Sep"/>
    <n v="2025"/>
    <n v="9570.06"/>
    <s v="Minor Delay"/>
  </r>
  <r>
    <n v="3176"/>
    <d v="2025-07-23T00:00:00"/>
    <x v="3"/>
    <x v="5"/>
    <s v="CJU"/>
    <s v="Economy"/>
    <n v="157"/>
    <n v="66.599999999999994"/>
    <n v="17"/>
    <s v="On Time"/>
    <n v="10456.200000000001"/>
    <s v="Jul"/>
    <n v="2025"/>
    <n v="10456.199999999999"/>
    <s v="Minor Delay"/>
  </r>
  <r>
    <n v="3177"/>
    <d v="2025-06-28T00:00:00"/>
    <x v="5"/>
    <x v="7"/>
    <s v="MNL"/>
    <s v="Business"/>
    <n v="233"/>
    <n v="214.61"/>
    <n v="17"/>
    <s v="On Time"/>
    <n v="50004.13"/>
    <s v="Jun"/>
    <n v="2025"/>
    <n v="50004.130000000005"/>
    <s v="Minor Delay"/>
  </r>
  <r>
    <n v="3178"/>
    <d v="2025-04-23T00:00:00"/>
    <x v="4"/>
    <x v="8"/>
    <s v="PUS"/>
    <s v="Premium Economy"/>
    <n v="179"/>
    <n v="430.29"/>
    <n v="48"/>
    <s v="On Time"/>
    <n v="77021.91"/>
    <s v="Apr"/>
    <n v="2025"/>
    <n v="77021.91"/>
    <s v="Moderate Delay"/>
  </r>
  <r>
    <n v="3179"/>
    <d v="2025-11-04T00:00:00"/>
    <x v="0"/>
    <x v="8"/>
    <s v="GMP"/>
    <s v="Economy"/>
    <n v="122"/>
    <n v="482.14"/>
    <n v="9"/>
    <s v="On Time"/>
    <n v="58821.08"/>
    <s v="Nov"/>
    <n v="2025"/>
    <n v="58821.08"/>
    <s v="Minor Delay"/>
  </r>
  <r>
    <n v="3180"/>
    <d v="2025-11-21T00:00:00"/>
    <x v="2"/>
    <x v="2"/>
    <s v="MNL"/>
    <s v="Premium Economy"/>
    <n v="223"/>
    <n v="675.5"/>
    <n v="21"/>
    <s v="Delayed"/>
    <n v="150636.5"/>
    <s v="Nov"/>
    <n v="2025"/>
    <n v="150636.5"/>
    <s v="Minor Delay"/>
  </r>
  <r>
    <n v="3181"/>
    <d v="2025-02-16T00:00:00"/>
    <x v="2"/>
    <x v="5"/>
    <s v="NRT"/>
    <s v="Business"/>
    <n v="85"/>
    <n v="664.79"/>
    <n v="0"/>
    <s v="On Time"/>
    <n v="56507.15"/>
    <s v="Feb"/>
    <n v="2025"/>
    <n v="56507.149999999994"/>
    <s v="On Time"/>
  </r>
  <r>
    <n v="3182"/>
    <d v="2025-07-21T00:00:00"/>
    <x v="5"/>
    <x v="7"/>
    <s v="KIX"/>
    <s v="Premium Economy"/>
    <n v="117"/>
    <n v="695.15"/>
    <n v="33"/>
    <s v="On Time"/>
    <n v="81332.55"/>
    <s v="Jul"/>
    <n v="2025"/>
    <n v="81332.55"/>
    <s v="Moderate Delay"/>
  </r>
  <r>
    <n v="3183"/>
    <d v="2025-12-09T00:00:00"/>
    <x v="0"/>
    <x v="7"/>
    <s v="SIN"/>
    <s v="Premium Economy"/>
    <n v="50"/>
    <n v="89.15"/>
    <n v="70"/>
    <s v="On Time"/>
    <n v="4457.5"/>
    <s v="Dec"/>
    <n v="2025"/>
    <n v="4457.5"/>
    <s v="Major Delay"/>
  </r>
  <r>
    <n v="3184"/>
    <d v="2025-10-07T00:00:00"/>
    <x v="2"/>
    <x v="7"/>
    <s v="ICN"/>
    <s v="Business"/>
    <n v="62"/>
    <n v="123.91"/>
    <n v="31"/>
    <s v="On Time"/>
    <n v="7682.42"/>
    <s v="Oct"/>
    <n v="2025"/>
    <n v="7682.42"/>
    <s v="Moderate Delay"/>
  </r>
  <r>
    <n v="3185"/>
    <d v="2025-06-13T00:00:00"/>
    <x v="1"/>
    <x v="1"/>
    <s v="ICN"/>
    <s v="Business"/>
    <n v="56"/>
    <n v="474.01"/>
    <n v="11"/>
    <s v="On Time"/>
    <n v="26544.560000000001"/>
    <s v="Jun"/>
    <n v="2025"/>
    <n v="26544.559999999998"/>
    <s v="Minor Delay"/>
  </r>
  <r>
    <n v="3186"/>
    <d v="2025-11-30T00:00:00"/>
    <x v="0"/>
    <x v="0"/>
    <s v="MNL"/>
    <s v="Business"/>
    <n v="64"/>
    <n v="710.54"/>
    <n v="34"/>
    <s v="On Time"/>
    <n v="45474.559999999998"/>
    <s v="Nov"/>
    <n v="2025"/>
    <n v="45474.559999999998"/>
    <s v="Moderate Delay"/>
  </r>
  <r>
    <n v="3187"/>
    <d v="2025-06-13T00:00:00"/>
    <x v="2"/>
    <x v="2"/>
    <s v="NRT"/>
    <s v="Business"/>
    <n v="282"/>
    <n v="220.63"/>
    <n v="0"/>
    <s v="Delayed"/>
    <n v="62217.66"/>
    <s v="Jun"/>
    <n v="2025"/>
    <n v="62217.659999999996"/>
    <s v="On Time"/>
  </r>
  <r>
    <n v="3188"/>
    <d v="2025-01-30T00:00:00"/>
    <x v="1"/>
    <x v="5"/>
    <s v="CJU"/>
    <s v="Business"/>
    <n v="59"/>
    <n v="496.11"/>
    <n v="0"/>
    <s v="On Time"/>
    <n v="29270.49"/>
    <s v="Jan"/>
    <n v="2025"/>
    <n v="29270.49"/>
    <s v="On Time"/>
  </r>
  <r>
    <n v="3189"/>
    <d v="2025-10-11T00:00:00"/>
    <x v="2"/>
    <x v="2"/>
    <s v="GMP"/>
    <s v="Business"/>
    <n v="79"/>
    <n v="598.07000000000005"/>
    <n v="27"/>
    <s v="Delayed"/>
    <n v="47247.53"/>
    <s v="Oct"/>
    <n v="2025"/>
    <n v="47247.530000000006"/>
    <s v="Minor Delay"/>
  </r>
  <r>
    <n v="3190"/>
    <d v="2025-09-27T00:00:00"/>
    <x v="3"/>
    <x v="5"/>
    <s v="PUS"/>
    <s v="Economy"/>
    <n v="135"/>
    <n v="577.28"/>
    <n v="0"/>
    <s v="On Time"/>
    <n v="77932.800000000003"/>
    <s v="Sep"/>
    <n v="2025"/>
    <n v="77932.800000000003"/>
    <s v="On Time"/>
  </r>
  <r>
    <n v="3191"/>
    <d v="2025-11-16T00:00:00"/>
    <x v="3"/>
    <x v="3"/>
    <s v="CJU"/>
    <s v="Economy"/>
    <n v="209"/>
    <n v="607.29999999999995"/>
    <n v="38"/>
    <s v="On Time"/>
    <n v="126925.7"/>
    <s v="Nov"/>
    <n v="2025"/>
    <n v="126925.7"/>
    <s v="Moderate Delay"/>
  </r>
  <r>
    <n v="3192"/>
    <d v="2025-08-06T00:00:00"/>
    <x v="1"/>
    <x v="8"/>
    <s v="BKK"/>
    <s v="Economy"/>
    <n v="247"/>
    <n v="368.94"/>
    <n v="25"/>
    <s v="On Time"/>
    <n v="91128.18"/>
    <s v="Aug"/>
    <n v="2025"/>
    <n v="91128.18"/>
    <s v="Minor Delay"/>
  </r>
  <r>
    <n v="3193"/>
    <d v="2025-03-13T00:00:00"/>
    <x v="0"/>
    <x v="5"/>
    <s v="CJU"/>
    <s v="Business"/>
    <n v="212"/>
    <n v="377.53"/>
    <n v="64"/>
    <s v="Delayed"/>
    <n v="80036.36"/>
    <s v="Mar"/>
    <n v="2025"/>
    <n v="80036.36"/>
    <s v="Major Delay"/>
  </r>
  <r>
    <n v="3194"/>
    <d v="2025-12-24T00:00:00"/>
    <x v="4"/>
    <x v="4"/>
    <s v="SIN"/>
    <s v="Premium Economy"/>
    <n v="266"/>
    <n v="62.77"/>
    <n v="39"/>
    <s v="On Time"/>
    <n v="16696.82"/>
    <s v="Dec"/>
    <n v="2025"/>
    <n v="16696.82"/>
    <s v="Moderate Delay"/>
  </r>
  <r>
    <n v="3195"/>
    <d v="2025-02-15T00:00:00"/>
    <x v="1"/>
    <x v="2"/>
    <s v="GMP"/>
    <s v="Premium Economy"/>
    <n v="224"/>
    <n v="465.88"/>
    <n v="30"/>
    <s v="On Time"/>
    <n v="104357.12"/>
    <s v="Feb"/>
    <n v="2025"/>
    <n v="104357.12"/>
    <s v="Minor Delay"/>
  </r>
  <r>
    <n v="3196"/>
    <d v="2025-04-14T00:00:00"/>
    <x v="5"/>
    <x v="1"/>
    <s v="SIN"/>
    <s v="Premium Economy"/>
    <n v="208"/>
    <n v="432.84"/>
    <n v="62"/>
    <s v="Delayed"/>
    <n v="90030.720000000001"/>
    <s v="Apr"/>
    <n v="2025"/>
    <n v="90030.720000000001"/>
    <s v="Major Delay"/>
  </r>
  <r>
    <n v="3197"/>
    <d v="2025-06-07T00:00:00"/>
    <x v="0"/>
    <x v="0"/>
    <s v="CJU"/>
    <s v="Business"/>
    <n v="158"/>
    <n v="508.74"/>
    <n v="0"/>
    <s v="Delayed"/>
    <n v="80380.92"/>
    <s v="Jun"/>
    <n v="2025"/>
    <n v="80380.92"/>
    <s v="On Time"/>
  </r>
  <r>
    <n v="3198"/>
    <d v="2025-07-27T00:00:00"/>
    <x v="2"/>
    <x v="5"/>
    <s v="CJU"/>
    <s v="Premium Economy"/>
    <n v="172"/>
    <n v="570.66"/>
    <n v="24"/>
    <s v="On Time"/>
    <n v="98153.52"/>
    <s v="Jul"/>
    <n v="2025"/>
    <n v="98153.51999999999"/>
    <s v="Minor Delay"/>
  </r>
  <r>
    <n v="3199"/>
    <d v="2025-07-23T00:00:00"/>
    <x v="0"/>
    <x v="8"/>
    <s v="SIN"/>
    <s v="Business"/>
    <n v="185"/>
    <n v="461.59"/>
    <n v="44"/>
    <s v="On Time"/>
    <n v="85394.15"/>
    <s v="Jul"/>
    <n v="2025"/>
    <n v="85394.15"/>
    <s v="Moderate Delay"/>
  </r>
  <r>
    <n v="3200"/>
    <d v="2025-01-13T00:00:00"/>
    <x v="1"/>
    <x v="6"/>
    <s v="KIX"/>
    <s v="Business"/>
    <n v="217"/>
    <n v="353.42"/>
    <n v="13"/>
    <s v="On Time"/>
    <n v="76692.14"/>
    <s v="Jan"/>
    <n v="2025"/>
    <n v="76692.14"/>
    <s v="Minor Delay"/>
  </r>
  <r>
    <n v="3201"/>
    <d v="2025-07-25T00:00:00"/>
    <x v="0"/>
    <x v="7"/>
    <s v="SIN"/>
    <s v="Business"/>
    <n v="90"/>
    <n v="196.22"/>
    <n v="0"/>
    <s v="Delayed"/>
    <n v="17659.8"/>
    <s v="Jul"/>
    <n v="2025"/>
    <n v="17659.8"/>
    <s v="On Time"/>
  </r>
  <r>
    <n v="3202"/>
    <d v="2025-10-19T00:00:00"/>
    <x v="3"/>
    <x v="6"/>
    <s v="ICN"/>
    <s v="Business"/>
    <n v="99"/>
    <n v="391.18"/>
    <n v="31"/>
    <s v="On Time"/>
    <n v="38726.82"/>
    <s v="Oct"/>
    <n v="2025"/>
    <n v="38726.82"/>
    <s v="Moderate Delay"/>
  </r>
  <r>
    <n v="3203"/>
    <d v="2025-03-28T00:00:00"/>
    <x v="0"/>
    <x v="1"/>
    <s v="KIX"/>
    <s v="Business"/>
    <n v="284"/>
    <n v="534.21"/>
    <n v="2"/>
    <s v="Delayed"/>
    <n v="151715.64000000001"/>
    <s v="Mar"/>
    <n v="2025"/>
    <n v="151715.64000000001"/>
    <s v="Minor Delay"/>
  </r>
  <r>
    <n v="3204"/>
    <d v="2025-05-30T00:00:00"/>
    <x v="5"/>
    <x v="5"/>
    <s v="SIN"/>
    <s v="Business"/>
    <n v="111"/>
    <n v="658.23"/>
    <n v="0"/>
    <s v="On Time"/>
    <n v="73063.53"/>
    <s v="May"/>
    <n v="2025"/>
    <n v="73063.53"/>
    <s v="On Time"/>
  </r>
  <r>
    <n v="3205"/>
    <d v="2025-06-15T00:00:00"/>
    <x v="4"/>
    <x v="0"/>
    <s v="PUS"/>
    <s v="Business"/>
    <n v="172"/>
    <n v="415.4"/>
    <n v="32"/>
    <s v="On Time"/>
    <n v="71448.800000000003"/>
    <s v="Jun"/>
    <n v="2025"/>
    <n v="71448.800000000003"/>
    <s v="Moderate Delay"/>
  </r>
  <r>
    <n v="3206"/>
    <d v="2025-06-01T00:00:00"/>
    <x v="1"/>
    <x v="8"/>
    <s v="BKK"/>
    <s v="Business"/>
    <n v="264"/>
    <n v="199.09"/>
    <n v="38"/>
    <s v="On Time"/>
    <n v="52559.76"/>
    <s v="Jun"/>
    <n v="2025"/>
    <n v="52559.76"/>
    <s v="Moderate Delay"/>
  </r>
  <r>
    <n v="3207"/>
    <d v="2025-06-12T00:00:00"/>
    <x v="1"/>
    <x v="6"/>
    <s v="ICN"/>
    <s v="Economy"/>
    <n v="285"/>
    <n v="585.83000000000004"/>
    <n v="31"/>
    <s v="On Time"/>
    <n v="166961.54999999999"/>
    <s v="Jun"/>
    <n v="2025"/>
    <n v="166961.55000000002"/>
    <s v="Moderate Delay"/>
  </r>
  <r>
    <n v="3208"/>
    <d v="2025-09-05T00:00:00"/>
    <x v="5"/>
    <x v="1"/>
    <s v="KIX"/>
    <s v="Business"/>
    <n v="98"/>
    <n v="483.03"/>
    <n v="14"/>
    <s v="Delayed"/>
    <n v="47336.94"/>
    <s v="Sep"/>
    <n v="2025"/>
    <n v="47336.939999999995"/>
    <s v="Minor Delay"/>
  </r>
  <r>
    <n v="3209"/>
    <d v="2025-07-22T00:00:00"/>
    <x v="4"/>
    <x v="7"/>
    <s v="BKK"/>
    <s v="Economy"/>
    <n v="186"/>
    <n v="454.33"/>
    <n v="30"/>
    <s v="Delayed"/>
    <n v="84505.38"/>
    <s v="Jul"/>
    <n v="2025"/>
    <n v="84505.37999999999"/>
    <s v="Minor Delay"/>
  </r>
  <r>
    <n v="3210"/>
    <d v="2025-01-21T00:00:00"/>
    <x v="1"/>
    <x v="6"/>
    <s v="BKK"/>
    <s v="Business"/>
    <n v="142"/>
    <n v="632.66"/>
    <n v="25"/>
    <s v="On Time"/>
    <n v="89837.72"/>
    <s v="Jan"/>
    <n v="2025"/>
    <n v="89837.72"/>
    <s v="Minor Delay"/>
  </r>
  <r>
    <n v="3211"/>
    <d v="2025-05-19T00:00:00"/>
    <x v="5"/>
    <x v="7"/>
    <s v="KIX"/>
    <s v="Business"/>
    <n v="213"/>
    <n v="193.9"/>
    <n v="50"/>
    <s v="Delayed"/>
    <n v="41300.699999999997"/>
    <s v="May"/>
    <n v="2025"/>
    <n v="41300.700000000004"/>
    <s v="Moderate Delay"/>
  </r>
  <r>
    <n v="3212"/>
    <d v="2025-01-26T00:00:00"/>
    <x v="3"/>
    <x v="3"/>
    <s v="SIN"/>
    <s v="Economy"/>
    <n v="214"/>
    <n v="72.33"/>
    <n v="9"/>
    <s v="On Time"/>
    <n v="15478.62"/>
    <s v="Jan"/>
    <n v="2025"/>
    <n v="15478.619999999999"/>
    <s v="Minor Delay"/>
  </r>
  <r>
    <n v="3213"/>
    <d v="2025-03-05T00:00:00"/>
    <x v="1"/>
    <x v="2"/>
    <s v="ICN"/>
    <s v="Business"/>
    <n v="274"/>
    <n v="170.94"/>
    <n v="13"/>
    <s v="On Time"/>
    <n v="46837.56"/>
    <s v="Mar"/>
    <n v="2025"/>
    <n v="46837.56"/>
    <s v="Minor Delay"/>
  </r>
  <r>
    <n v="3214"/>
    <d v="2025-05-21T00:00:00"/>
    <x v="0"/>
    <x v="5"/>
    <s v="SIN"/>
    <s v="Business"/>
    <n v="243"/>
    <n v="777.09"/>
    <n v="13"/>
    <s v="On Time"/>
    <n v="188832.87"/>
    <s v="May"/>
    <n v="2025"/>
    <n v="188832.87"/>
    <s v="Minor Delay"/>
  </r>
  <r>
    <n v="3215"/>
    <d v="2025-04-03T00:00:00"/>
    <x v="0"/>
    <x v="3"/>
    <s v="CJU"/>
    <s v="Economy"/>
    <n v="267"/>
    <n v="199.88"/>
    <n v="0"/>
    <s v="On Time"/>
    <n v="53367.96"/>
    <s v="Apr"/>
    <n v="2025"/>
    <n v="53367.96"/>
    <s v="On Time"/>
  </r>
  <r>
    <n v="3216"/>
    <d v="2025-03-28T00:00:00"/>
    <x v="1"/>
    <x v="5"/>
    <s v="MNL"/>
    <s v="Economy"/>
    <n v="250"/>
    <n v="764.65"/>
    <n v="0"/>
    <s v="On Time"/>
    <n v="191162.5"/>
    <s v="Mar"/>
    <n v="2025"/>
    <n v="191162.5"/>
    <s v="On Time"/>
  </r>
  <r>
    <n v="3217"/>
    <d v="2025-05-14T00:00:00"/>
    <x v="0"/>
    <x v="5"/>
    <s v="PUS"/>
    <s v="Premium Economy"/>
    <n v="216"/>
    <n v="585.83000000000004"/>
    <n v="44"/>
    <s v="On Time"/>
    <n v="126539.28"/>
    <s v="May"/>
    <n v="2025"/>
    <n v="126539.28000000001"/>
    <s v="Moderate Delay"/>
  </r>
  <r>
    <n v="3218"/>
    <d v="2025-08-29T00:00:00"/>
    <x v="3"/>
    <x v="3"/>
    <s v="PUS"/>
    <s v="Business"/>
    <n v="123"/>
    <n v="795.67"/>
    <n v="49"/>
    <s v="On Time"/>
    <n v="97867.41"/>
    <s v="Aug"/>
    <n v="2025"/>
    <n v="97867.409999999989"/>
    <s v="Moderate Delay"/>
  </r>
  <r>
    <n v="3219"/>
    <d v="2025-12-20T00:00:00"/>
    <x v="1"/>
    <x v="3"/>
    <s v="SIN"/>
    <s v="Business"/>
    <n v="245"/>
    <n v="265.05"/>
    <n v="0"/>
    <s v="On Time"/>
    <n v="64937.25"/>
    <s v="Dec"/>
    <n v="2025"/>
    <n v="64937.25"/>
    <s v="On Time"/>
  </r>
  <r>
    <n v="3220"/>
    <d v="2025-05-11T00:00:00"/>
    <x v="1"/>
    <x v="1"/>
    <s v="SIN"/>
    <s v="Business"/>
    <n v="147"/>
    <n v="461.64"/>
    <n v="43"/>
    <s v="On Time"/>
    <n v="67861.08"/>
    <s v="May"/>
    <n v="2025"/>
    <n v="67861.08"/>
    <s v="Moderate Delay"/>
  </r>
  <r>
    <n v="3221"/>
    <d v="2025-11-27T00:00:00"/>
    <x v="4"/>
    <x v="2"/>
    <s v="BKK"/>
    <s v="Premium Economy"/>
    <n v="290"/>
    <n v="335.78"/>
    <n v="18"/>
    <s v="On Time"/>
    <n v="97376.2"/>
    <s v="Nov"/>
    <n v="2025"/>
    <n v="97376.2"/>
    <s v="Minor Delay"/>
  </r>
  <r>
    <n v="3222"/>
    <d v="2025-07-01T00:00:00"/>
    <x v="5"/>
    <x v="1"/>
    <s v="MNL"/>
    <s v="Economy"/>
    <n v="220"/>
    <n v="613.17999999999995"/>
    <n v="60"/>
    <s v="On Time"/>
    <n v="134899.6"/>
    <s v="Jul"/>
    <n v="2025"/>
    <n v="134899.59999999998"/>
    <s v="Moderate Delay"/>
  </r>
  <r>
    <n v="3223"/>
    <d v="2025-10-15T00:00:00"/>
    <x v="3"/>
    <x v="2"/>
    <s v="KIX"/>
    <s v="Economy"/>
    <n v="219"/>
    <n v="755.44"/>
    <n v="1"/>
    <s v="On Time"/>
    <n v="165441.35999999999"/>
    <s v="Oct"/>
    <n v="2025"/>
    <n v="165441.36000000002"/>
    <s v="Minor Delay"/>
  </r>
  <r>
    <n v="3224"/>
    <d v="2025-09-11T00:00:00"/>
    <x v="0"/>
    <x v="7"/>
    <s v="MNL"/>
    <s v="Premium Economy"/>
    <n v="300"/>
    <n v="349.81"/>
    <n v="45"/>
    <s v="On Time"/>
    <n v="104943"/>
    <s v="Sep"/>
    <n v="2025"/>
    <n v="104943"/>
    <s v="Moderate Delay"/>
  </r>
  <r>
    <n v="3225"/>
    <d v="2025-03-20T00:00:00"/>
    <x v="1"/>
    <x v="3"/>
    <s v="PUS"/>
    <s v="Business"/>
    <n v="257"/>
    <n v="400.94"/>
    <n v="1"/>
    <s v="Delayed"/>
    <n v="103041.58"/>
    <s v="Mar"/>
    <n v="2025"/>
    <n v="103041.58"/>
    <s v="Minor Delay"/>
  </r>
  <r>
    <n v="3226"/>
    <d v="2025-03-23T00:00:00"/>
    <x v="3"/>
    <x v="4"/>
    <s v="PUS"/>
    <s v="Premium Economy"/>
    <n v="247"/>
    <n v="655.09"/>
    <n v="41"/>
    <s v="On Time"/>
    <n v="161807.23000000001"/>
    <s v="Mar"/>
    <n v="2025"/>
    <n v="161807.23000000001"/>
    <s v="Moderate Delay"/>
  </r>
  <r>
    <n v="3227"/>
    <d v="2025-05-05T00:00:00"/>
    <x v="3"/>
    <x v="4"/>
    <s v="KIX"/>
    <s v="Premium Economy"/>
    <n v="202"/>
    <n v="570.98"/>
    <n v="24"/>
    <s v="On Time"/>
    <n v="115337.96"/>
    <s v="May"/>
    <n v="2025"/>
    <n v="115337.96"/>
    <s v="Minor Delay"/>
  </r>
  <r>
    <n v="3228"/>
    <d v="2025-01-31T00:00:00"/>
    <x v="4"/>
    <x v="4"/>
    <s v="BKK"/>
    <s v="Business"/>
    <n v="58"/>
    <n v="500.95"/>
    <n v="15"/>
    <s v="On Time"/>
    <n v="29055.1"/>
    <s v="Jan"/>
    <n v="2025"/>
    <n v="29055.1"/>
    <s v="Minor Delay"/>
  </r>
  <r>
    <n v="3229"/>
    <d v="2025-03-26T00:00:00"/>
    <x v="3"/>
    <x v="1"/>
    <s v="SIN"/>
    <s v="Economy"/>
    <n v="63"/>
    <n v="398.84"/>
    <n v="9"/>
    <s v="On Time"/>
    <n v="25126.92"/>
    <s v="Mar"/>
    <n v="2025"/>
    <n v="25126.92"/>
    <s v="Minor Delay"/>
  </r>
  <r>
    <n v="3230"/>
    <d v="2025-12-23T00:00:00"/>
    <x v="2"/>
    <x v="2"/>
    <s v="ICN"/>
    <s v="Premium Economy"/>
    <n v="108"/>
    <n v="736.86"/>
    <n v="74"/>
    <s v="On Time"/>
    <n v="79580.88"/>
    <s v="Dec"/>
    <n v="2025"/>
    <n v="79580.88"/>
    <s v="Major Delay"/>
  </r>
  <r>
    <n v="3231"/>
    <d v="2025-05-19T00:00:00"/>
    <x v="3"/>
    <x v="7"/>
    <s v="BKK"/>
    <s v="Premium Economy"/>
    <n v="220"/>
    <n v="525.38"/>
    <n v="12"/>
    <s v="Delayed"/>
    <n v="115583.6"/>
    <s v="May"/>
    <n v="2025"/>
    <n v="115583.6"/>
    <s v="Minor Delay"/>
  </r>
  <r>
    <n v="3232"/>
    <d v="2025-03-12T00:00:00"/>
    <x v="4"/>
    <x v="0"/>
    <s v="MNL"/>
    <s v="Business"/>
    <n v="139"/>
    <n v="141.35"/>
    <n v="2"/>
    <s v="On Time"/>
    <n v="19647.650000000001"/>
    <s v="Mar"/>
    <n v="2025"/>
    <n v="19647.649999999998"/>
    <s v="Minor Delay"/>
  </r>
  <r>
    <n v="3233"/>
    <d v="2025-06-03T00:00:00"/>
    <x v="4"/>
    <x v="7"/>
    <s v="ICN"/>
    <s v="Economy"/>
    <n v="218"/>
    <n v="196.89"/>
    <n v="0"/>
    <s v="On Time"/>
    <n v="42922.02"/>
    <s v="Jun"/>
    <n v="2025"/>
    <n v="42922.02"/>
    <s v="On Time"/>
  </r>
  <r>
    <n v="3234"/>
    <d v="2025-08-26T00:00:00"/>
    <x v="5"/>
    <x v="0"/>
    <s v="PUS"/>
    <s v="Premium Economy"/>
    <n v="247"/>
    <n v="566"/>
    <n v="11"/>
    <s v="On Time"/>
    <n v="139802"/>
    <s v="Aug"/>
    <n v="2025"/>
    <n v="139802"/>
    <s v="Minor Delay"/>
  </r>
  <r>
    <n v="3235"/>
    <d v="2025-09-09T00:00:00"/>
    <x v="5"/>
    <x v="2"/>
    <s v="NRT"/>
    <s v="Premium Economy"/>
    <n v="98"/>
    <n v="118.22"/>
    <n v="10"/>
    <s v="On Time"/>
    <n v="11585.56"/>
    <s v="Sep"/>
    <n v="2025"/>
    <n v="11585.56"/>
    <s v="Minor Delay"/>
  </r>
  <r>
    <n v="3236"/>
    <d v="2025-10-22T00:00:00"/>
    <x v="1"/>
    <x v="2"/>
    <s v="BKK"/>
    <s v="Premium Economy"/>
    <n v="272"/>
    <n v="183.48"/>
    <n v="0"/>
    <s v="On Time"/>
    <n v="49906.559999999998"/>
    <s v="Oct"/>
    <n v="2025"/>
    <n v="49906.559999999998"/>
    <s v="On Time"/>
  </r>
  <r>
    <n v="3237"/>
    <d v="2025-03-18T00:00:00"/>
    <x v="5"/>
    <x v="8"/>
    <s v="NRT"/>
    <s v="Premium Economy"/>
    <n v="265"/>
    <n v="559.98"/>
    <n v="57"/>
    <s v="On Time"/>
    <n v="148394.70000000001"/>
    <s v="Mar"/>
    <n v="2025"/>
    <n v="148394.70000000001"/>
    <s v="Moderate Delay"/>
  </r>
  <r>
    <n v="3238"/>
    <d v="2025-09-11T00:00:00"/>
    <x v="0"/>
    <x v="5"/>
    <s v="BKK"/>
    <s v="Business"/>
    <n v="99"/>
    <n v="469.97"/>
    <n v="0"/>
    <s v="On Time"/>
    <n v="46527.03"/>
    <s v="Sep"/>
    <n v="2025"/>
    <n v="46527.030000000006"/>
    <s v="On Time"/>
  </r>
  <r>
    <n v="3239"/>
    <d v="2025-06-25T00:00:00"/>
    <x v="1"/>
    <x v="3"/>
    <s v="NRT"/>
    <s v="Premium Economy"/>
    <n v="211"/>
    <n v="619.88"/>
    <n v="64"/>
    <s v="Delayed"/>
    <n v="130794.68"/>
    <s v="Jun"/>
    <n v="2025"/>
    <n v="130794.68"/>
    <s v="Major Delay"/>
  </r>
  <r>
    <n v="3240"/>
    <d v="2025-06-15T00:00:00"/>
    <x v="1"/>
    <x v="0"/>
    <s v="NRT"/>
    <s v="Economy"/>
    <n v="172"/>
    <n v="552.52"/>
    <n v="13"/>
    <s v="Delayed"/>
    <n v="95033.44"/>
    <s v="Jun"/>
    <n v="2025"/>
    <n v="95033.44"/>
    <s v="Minor Delay"/>
  </r>
  <r>
    <n v="3241"/>
    <d v="2025-06-10T00:00:00"/>
    <x v="3"/>
    <x v="3"/>
    <s v="BKK"/>
    <s v="Economy"/>
    <n v="226"/>
    <n v="395.78"/>
    <n v="61"/>
    <s v="On Time"/>
    <n v="89446.28"/>
    <s v="Jun"/>
    <n v="2025"/>
    <n v="89446.28"/>
    <s v="Major Delay"/>
  </r>
  <r>
    <n v="3242"/>
    <d v="2025-08-01T00:00:00"/>
    <x v="2"/>
    <x v="7"/>
    <s v="GMP"/>
    <s v="Economy"/>
    <n v="113"/>
    <n v="387.27"/>
    <n v="28"/>
    <s v="On Time"/>
    <n v="43761.51"/>
    <s v="Aug"/>
    <n v="2025"/>
    <n v="43761.509999999995"/>
    <s v="Minor Delay"/>
  </r>
  <r>
    <n v="3243"/>
    <d v="2025-12-08T00:00:00"/>
    <x v="4"/>
    <x v="7"/>
    <s v="GMP"/>
    <s v="Premium Economy"/>
    <n v="145"/>
    <n v="772.86"/>
    <n v="11"/>
    <s v="On Time"/>
    <n v="112064.7"/>
    <s v="Dec"/>
    <n v="2025"/>
    <n v="112064.7"/>
    <s v="Minor Delay"/>
  </r>
  <r>
    <n v="3244"/>
    <d v="2025-02-21T00:00:00"/>
    <x v="0"/>
    <x v="1"/>
    <s v="NRT"/>
    <s v="Premium Economy"/>
    <n v="57"/>
    <n v="440.13"/>
    <n v="0"/>
    <s v="On Time"/>
    <n v="25087.41"/>
    <s v="Feb"/>
    <n v="2025"/>
    <n v="25087.41"/>
    <s v="On Time"/>
  </r>
  <r>
    <n v="3245"/>
    <d v="2025-07-20T00:00:00"/>
    <x v="0"/>
    <x v="6"/>
    <s v="MNL"/>
    <s v="Economy"/>
    <n v="200"/>
    <n v="519.86"/>
    <n v="50"/>
    <s v="On Time"/>
    <n v="103972"/>
    <s v="Jul"/>
    <n v="2025"/>
    <n v="103972"/>
    <s v="Moderate Delay"/>
  </r>
  <r>
    <n v="3246"/>
    <d v="2025-01-11T00:00:00"/>
    <x v="0"/>
    <x v="1"/>
    <s v="PUS"/>
    <s v="Business"/>
    <n v="203"/>
    <n v="308.66000000000003"/>
    <n v="31"/>
    <s v="On Time"/>
    <n v="62657.98"/>
    <s v="Jan"/>
    <n v="2025"/>
    <n v="62657.98"/>
    <s v="Moderate Delay"/>
  </r>
  <r>
    <n v="3247"/>
    <d v="2025-06-09T00:00:00"/>
    <x v="4"/>
    <x v="8"/>
    <s v="ICN"/>
    <s v="Economy"/>
    <n v="232"/>
    <n v="304.14999999999998"/>
    <n v="0"/>
    <s v="On Time"/>
    <n v="70562.8"/>
    <s v="Jun"/>
    <n v="2025"/>
    <n v="70562.799999999988"/>
    <s v="On Time"/>
  </r>
  <r>
    <n v="3248"/>
    <d v="2025-08-14T00:00:00"/>
    <x v="0"/>
    <x v="7"/>
    <s v="MNL"/>
    <s v="Business"/>
    <n v="255"/>
    <n v="133.97"/>
    <n v="0"/>
    <s v="On Time"/>
    <n v="34162.35"/>
    <s v="Aug"/>
    <n v="2025"/>
    <n v="34162.35"/>
    <s v="On Time"/>
  </r>
  <r>
    <n v="3249"/>
    <d v="2025-04-28T00:00:00"/>
    <x v="5"/>
    <x v="2"/>
    <s v="KIX"/>
    <s v="Business"/>
    <n v="185"/>
    <n v="768.38"/>
    <n v="11"/>
    <s v="Delayed"/>
    <n v="142150.29999999999"/>
    <s v="Apr"/>
    <n v="2025"/>
    <n v="142150.29999999999"/>
    <s v="Minor Delay"/>
  </r>
  <r>
    <n v="3250"/>
    <d v="2025-01-30T00:00:00"/>
    <x v="0"/>
    <x v="4"/>
    <s v="CJU"/>
    <s v="Premium Economy"/>
    <n v="205"/>
    <n v="663.77"/>
    <n v="41"/>
    <s v="On Time"/>
    <n v="136072.85"/>
    <s v="Jan"/>
    <n v="2025"/>
    <n v="136072.85"/>
    <s v="Moderate Delay"/>
  </r>
  <r>
    <n v="3251"/>
    <d v="2025-12-14T00:00:00"/>
    <x v="0"/>
    <x v="3"/>
    <s v="ICN"/>
    <s v="Business"/>
    <n v="94"/>
    <n v="641.22"/>
    <n v="21"/>
    <s v="On Time"/>
    <n v="60274.68"/>
    <s v="Dec"/>
    <n v="2025"/>
    <n v="60274.68"/>
    <s v="Minor Delay"/>
  </r>
  <r>
    <n v="3252"/>
    <d v="2025-08-15T00:00:00"/>
    <x v="2"/>
    <x v="3"/>
    <s v="BKK"/>
    <s v="Premium Economy"/>
    <n v="97"/>
    <n v="508.72"/>
    <n v="38"/>
    <s v="On Time"/>
    <n v="49345.84"/>
    <s v="Aug"/>
    <n v="2025"/>
    <n v="49345.840000000004"/>
    <s v="Moderate Delay"/>
  </r>
  <r>
    <n v="3253"/>
    <d v="2025-10-30T00:00:00"/>
    <x v="1"/>
    <x v="3"/>
    <s v="NRT"/>
    <s v="Business"/>
    <n v="123"/>
    <n v="525.25"/>
    <n v="23"/>
    <s v="Delayed"/>
    <n v="64605.75"/>
    <s v="Oct"/>
    <n v="2025"/>
    <n v="64605.75"/>
    <s v="Minor Delay"/>
  </r>
  <r>
    <n v="3254"/>
    <d v="2025-05-08T00:00:00"/>
    <x v="2"/>
    <x v="2"/>
    <s v="KIX"/>
    <s v="Business"/>
    <n v="145"/>
    <n v="226.52"/>
    <n v="29"/>
    <s v="On Time"/>
    <n v="32845.4"/>
    <s v="May"/>
    <n v="2025"/>
    <n v="32845.4"/>
    <s v="Minor Delay"/>
  </r>
  <r>
    <n v="3255"/>
    <d v="2025-12-07T00:00:00"/>
    <x v="5"/>
    <x v="5"/>
    <s v="PUS"/>
    <s v="Premium Economy"/>
    <n v="173"/>
    <n v="147.84"/>
    <n v="6"/>
    <s v="On Time"/>
    <n v="25576.32"/>
    <s v="Dec"/>
    <n v="2025"/>
    <n v="25576.32"/>
    <s v="Minor Delay"/>
  </r>
  <r>
    <n v="3256"/>
    <d v="2025-11-06T00:00:00"/>
    <x v="0"/>
    <x v="0"/>
    <s v="SIN"/>
    <s v="Premium Economy"/>
    <n v="281"/>
    <n v="638.87"/>
    <n v="2"/>
    <s v="On Time"/>
    <n v="179522.47"/>
    <s v="Nov"/>
    <n v="2025"/>
    <n v="179522.47"/>
    <s v="Minor Delay"/>
  </r>
  <r>
    <n v="3257"/>
    <d v="2025-04-20T00:00:00"/>
    <x v="0"/>
    <x v="0"/>
    <s v="SIN"/>
    <s v="Business"/>
    <n v="78"/>
    <n v="682.97"/>
    <n v="41"/>
    <s v="On Time"/>
    <n v="53271.66"/>
    <s v="Apr"/>
    <n v="2025"/>
    <n v="53271.66"/>
    <s v="Moderate Delay"/>
  </r>
  <r>
    <n v="3258"/>
    <d v="2025-04-28T00:00:00"/>
    <x v="5"/>
    <x v="6"/>
    <s v="MNL"/>
    <s v="Economy"/>
    <n v="90"/>
    <n v="132.47999999999999"/>
    <n v="46"/>
    <s v="On Time"/>
    <n v="11923.2"/>
    <s v="Apr"/>
    <n v="2025"/>
    <n v="11923.199999999999"/>
    <s v="Moderate Delay"/>
  </r>
  <r>
    <n v="3259"/>
    <d v="2025-06-14T00:00:00"/>
    <x v="2"/>
    <x v="1"/>
    <s v="GMP"/>
    <s v="Economy"/>
    <n v="223"/>
    <n v="400.78"/>
    <n v="22"/>
    <s v="On Time"/>
    <n v="89373.94"/>
    <s v="Jun"/>
    <n v="2025"/>
    <n v="89373.939999999988"/>
    <s v="Minor Delay"/>
  </r>
  <r>
    <n v="3260"/>
    <d v="2025-09-07T00:00:00"/>
    <x v="1"/>
    <x v="7"/>
    <s v="SIN"/>
    <s v="Premium Economy"/>
    <n v="214"/>
    <n v="276.08999999999997"/>
    <n v="7"/>
    <s v="Delayed"/>
    <n v="59083.26"/>
    <s v="Sep"/>
    <n v="2025"/>
    <n v="59083.259999999995"/>
    <s v="Minor Delay"/>
  </r>
  <r>
    <n v="3261"/>
    <d v="2025-04-11T00:00:00"/>
    <x v="1"/>
    <x v="0"/>
    <s v="BKK"/>
    <s v="Premium Economy"/>
    <n v="120"/>
    <n v="295.17"/>
    <n v="94"/>
    <s v="On Time"/>
    <n v="35420.400000000001"/>
    <s v="Apr"/>
    <n v="2025"/>
    <n v="35420.400000000001"/>
    <s v="Major Delay"/>
  </r>
  <r>
    <n v="3262"/>
    <d v="2025-10-14T00:00:00"/>
    <x v="2"/>
    <x v="1"/>
    <s v="PUS"/>
    <s v="Business"/>
    <n v="206"/>
    <n v="85.32"/>
    <n v="24"/>
    <s v="On Time"/>
    <n v="17575.919999999998"/>
    <s v="Oct"/>
    <n v="2025"/>
    <n v="17575.919999999998"/>
    <s v="Minor Delay"/>
  </r>
  <r>
    <n v="3263"/>
    <d v="2025-01-29T00:00:00"/>
    <x v="0"/>
    <x v="4"/>
    <s v="BKK"/>
    <s v="Business"/>
    <n v="130"/>
    <n v="432.22"/>
    <n v="0"/>
    <s v="On Time"/>
    <n v="56188.6"/>
    <s v="Jan"/>
    <n v="2025"/>
    <n v="56188.600000000006"/>
    <s v="On Time"/>
  </r>
  <r>
    <n v="3264"/>
    <d v="2025-01-05T00:00:00"/>
    <x v="5"/>
    <x v="5"/>
    <s v="KIX"/>
    <s v="Business"/>
    <n v="251"/>
    <n v="212.23"/>
    <n v="27"/>
    <s v="On Time"/>
    <n v="53269.73"/>
    <s v="Jan"/>
    <n v="2025"/>
    <n v="53269.729999999996"/>
    <s v="Minor Delay"/>
  </r>
  <r>
    <n v="3265"/>
    <d v="2025-06-02T00:00:00"/>
    <x v="3"/>
    <x v="8"/>
    <s v="KIX"/>
    <s v="Economy"/>
    <n v="187"/>
    <n v="586.13"/>
    <n v="46"/>
    <s v="On Time"/>
    <n v="109606.31"/>
    <s v="Jun"/>
    <n v="2025"/>
    <n v="109606.31"/>
    <s v="Moderate Delay"/>
  </r>
  <r>
    <n v="3266"/>
    <d v="2025-02-08T00:00:00"/>
    <x v="0"/>
    <x v="0"/>
    <s v="ICN"/>
    <s v="Business"/>
    <n v="220"/>
    <n v="157.80000000000001"/>
    <n v="55"/>
    <s v="On Time"/>
    <n v="34716"/>
    <s v="Feb"/>
    <n v="2025"/>
    <n v="34716"/>
    <s v="Moderate Delay"/>
  </r>
  <r>
    <n v="3267"/>
    <d v="2025-02-21T00:00:00"/>
    <x v="0"/>
    <x v="5"/>
    <s v="BKK"/>
    <s v="Economy"/>
    <n v="121"/>
    <n v="337.72"/>
    <n v="37"/>
    <s v="On Time"/>
    <n v="40864.120000000003"/>
    <s v="Feb"/>
    <n v="2025"/>
    <n v="40864.120000000003"/>
    <s v="Moderate Delay"/>
  </r>
  <r>
    <n v="3268"/>
    <d v="2025-10-02T00:00:00"/>
    <x v="3"/>
    <x v="0"/>
    <s v="NRT"/>
    <s v="Business"/>
    <n v="93"/>
    <n v="327.63"/>
    <n v="32"/>
    <s v="On Time"/>
    <n v="30469.59"/>
    <s v="Oct"/>
    <n v="2025"/>
    <n v="30469.59"/>
    <s v="Moderate Delay"/>
  </r>
  <r>
    <n v="3269"/>
    <d v="2025-12-17T00:00:00"/>
    <x v="3"/>
    <x v="5"/>
    <s v="NRT"/>
    <s v="Economy"/>
    <n v="275"/>
    <n v="616.66999999999996"/>
    <n v="10"/>
    <s v="On Time"/>
    <n v="169584.25"/>
    <s v="Dec"/>
    <n v="2025"/>
    <n v="169584.25"/>
    <s v="Minor Delay"/>
  </r>
  <r>
    <n v="3270"/>
    <d v="2025-08-01T00:00:00"/>
    <x v="1"/>
    <x v="1"/>
    <s v="PUS"/>
    <s v="Economy"/>
    <n v="187"/>
    <n v="478.35"/>
    <n v="28"/>
    <s v="On Time"/>
    <n v="89451.45"/>
    <s v="Aug"/>
    <n v="2025"/>
    <n v="89451.45"/>
    <s v="Minor Delay"/>
  </r>
  <r>
    <n v="3271"/>
    <d v="2025-05-06T00:00:00"/>
    <x v="3"/>
    <x v="0"/>
    <s v="SIN"/>
    <s v="Premium Economy"/>
    <n v="203"/>
    <n v="69.349999999999994"/>
    <n v="19"/>
    <s v="On Time"/>
    <n v="14078.05"/>
    <s v="May"/>
    <n v="2025"/>
    <n v="14078.05"/>
    <s v="Minor Delay"/>
  </r>
  <r>
    <n v="3272"/>
    <d v="2025-09-04T00:00:00"/>
    <x v="0"/>
    <x v="8"/>
    <s v="BKK"/>
    <s v="Economy"/>
    <n v="60"/>
    <n v="77.12"/>
    <n v="0"/>
    <s v="On Time"/>
    <n v="4627.2"/>
    <s v="Sep"/>
    <n v="2025"/>
    <n v="4627.2000000000007"/>
    <s v="On Time"/>
  </r>
  <r>
    <n v="3273"/>
    <d v="2025-01-26T00:00:00"/>
    <x v="2"/>
    <x v="4"/>
    <s v="GMP"/>
    <s v="Economy"/>
    <n v="166"/>
    <n v="144.46"/>
    <n v="21"/>
    <s v="Delayed"/>
    <n v="23980.36"/>
    <s v="Jan"/>
    <n v="2025"/>
    <n v="23980.36"/>
    <s v="Minor Delay"/>
  </r>
  <r>
    <n v="3274"/>
    <d v="2025-02-23T00:00:00"/>
    <x v="0"/>
    <x v="5"/>
    <s v="BKK"/>
    <s v="Economy"/>
    <n v="167"/>
    <n v="64.75"/>
    <n v="52"/>
    <s v="On Time"/>
    <n v="10813.25"/>
    <s v="Feb"/>
    <n v="2025"/>
    <n v="10813.25"/>
    <s v="Moderate Delay"/>
  </r>
  <r>
    <n v="3275"/>
    <d v="2025-11-15T00:00:00"/>
    <x v="4"/>
    <x v="0"/>
    <s v="CJU"/>
    <s v="Business"/>
    <n v="127"/>
    <n v="327.74"/>
    <n v="43"/>
    <s v="On Time"/>
    <n v="41622.980000000003"/>
    <s v="Nov"/>
    <n v="2025"/>
    <n v="41622.980000000003"/>
    <s v="Moderate Delay"/>
  </r>
  <r>
    <n v="3276"/>
    <d v="2025-06-23T00:00:00"/>
    <x v="2"/>
    <x v="1"/>
    <s v="KIX"/>
    <s v="Economy"/>
    <n v="203"/>
    <n v="197.69"/>
    <n v="9"/>
    <s v="On Time"/>
    <n v="40131.07"/>
    <s v="Jun"/>
    <n v="2025"/>
    <n v="40131.07"/>
    <s v="Minor Delay"/>
  </r>
  <r>
    <n v="3277"/>
    <d v="2025-08-13T00:00:00"/>
    <x v="2"/>
    <x v="0"/>
    <s v="NRT"/>
    <s v="Business"/>
    <n v="225"/>
    <n v="660.05"/>
    <n v="5"/>
    <s v="On Time"/>
    <n v="148511.25"/>
    <s v="Aug"/>
    <n v="2025"/>
    <n v="148511.25"/>
    <s v="Minor Delay"/>
  </r>
  <r>
    <n v="3278"/>
    <d v="2025-05-04T00:00:00"/>
    <x v="5"/>
    <x v="7"/>
    <s v="MNL"/>
    <s v="Premium Economy"/>
    <n v="152"/>
    <n v="138.85"/>
    <n v="0"/>
    <s v="On Time"/>
    <n v="21105.200000000001"/>
    <s v="May"/>
    <n v="2025"/>
    <n v="21105.200000000001"/>
    <s v="On Time"/>
  </r>
  <r>
    <n v="3279"/>
    <d v="2025-10-06T00:00:00"/>
    <x v="0"/>
    <x v="1"/>
    <s v="SIN"/>
    <s v="Economy"/>
    <n v="145"/>
    <n v="328.96"/>
    <n v="23"/>
    <s v="On Time"/>
    <n v="47699.199999999997"/>
    <s v="Oct"/>
    <n v="2025"/>
    <n v="47699.199999999997"/>
    <s v="Minor Delay"/>
  </r>
  <r>
    <n v="3280"/>
    <d v="2025-05-27T00:00:00"/>
    <x v="1"/>
    <x v="6"/>
    <s v="MNL"/>
    <s v="Economy"/>
    <n v="236"/>
    <n v="163.44"/>
    <n v="30"/>
    <s v="On Time"/>
    <n v="38571.839999999997"/>
    <s v="May"/>
    <n v="2025"/>
    <n v="38571.839999999997"/>
    <s v="Minor Delay"/>
  </r>
  <r>
    <n v="3281"/>
    <d v="2025-02-05T00:00:00"/>
    <x v="4"/>
    <x v="4"/>
    <s v="MNL"/>
    <s v="Premium Economy"/>
    <n v="251"/>
    <n v="349.33"/>
    <n v="0"/>
    <s v="On Time"/>
    <n v="87681.83"/>
    <s v="Feb"/>
    <n v="2025"/>
    <n v="87681.83"/>
    <s v="On Time"/>
  </r>
  <r>
    <n v="3282"/>
    <d v="2025-06-01T00:00:00"/>
    <x v="3"/>
    <x v="2"/>
    <s v="ICN"/>
    <s v="Economy"/>
    <n v="68"/>
    <n v="656.1"/>
    <n v="39"/>
    <s v="On Time"/>
    <n v="44614.8"/>
    <s v="Jun"/>
    <n v="2025"/>
    <n v="44614.8"/>
    <s v="Moderate Delay"/>
  </r>
  <r>
    <n v="3283"/>
    <d v="2025-03-31T00:00:00"/>
    <x v="3"/>
    <x v="0"/>
    <s v="KIX"/>
    <s v="Business"/>
    <n v="76"/>
    <n v="337.2"/>
    <n v="14"/>
    <s v="On Time"/>
    <n v="25627.200000000001"/>
    <s v="Mar"/>
    <n v="2025"/>
    <n v="25627.200000000001"/>
    <s v="Minor Delay"/>
  </r>
  <r>
    <n v="3284"/>
    <d v="2025-04-17T00:00:00"/>
    <x v="2"/>
    <x v="6"/>
    <s v="BKK"/>
    <s v="Premium Economy"/>
    <n v="172"/>
    <n v="80.14"/>
    <n v="37"/>
    <s v="On Time"/>
    <n v="13784.08"/>
    <s v="Apr"/>
    <n v="2025"/>
    <n v="13784.08"/>
    <s v="Moderate Delay"/>
  </r>
  <r>
    <n v="3285"/>
    <d v="2025-10-03T00:00:00"/>
    <x v="5"/>
    <x v="3"/>
    <s v="MNL"/>
    <s v="Premium Economy"/>
    <n v="201"/>
    <n v="437.78"/>
    <n v="14"/>
    <s v="On Time"/>
    <n v="87993.78"/>
    <s v="Oct"/>
    <n v="2025"/>
    <n v="87993.78"/>
    <s v="Minor Delay"/>
  </r>
  <r>
    <n v="3286"/>
    <d v="2025-01-02T00:00:00"/>
    <x v="1"/>
    <x v="6"/>
    <s v="PUS"/>
    <s v="Premium Economy"/>
    <n v="188"/>
    <n v="222.72"/>
    <n v="20"/>
    <s v="On Time"/>
    <n v="41871.360000000001"/>
    <s v="Jan"/>
    <n v="2025"/>
    <n v="41871.360000000001"/>
    <s v="Minor Delay"/>
  </r>
  <r>
    <n v="3287"/>
    <d v="2025-04-27T00:00:00"/>
    <x v="3"/>
    <x v="2"/>
    <s v="MNL"/>
    <s v="Economy"/>
    <n v="245"/>
    <n v="314.94"/>
    <n v="60"/>
    <s v="On Time"/>
    <n v="77160.3"/>
    <s v="Apr"/>
    <n v="2025"/>
    <n v="77160.3"/>
    <s v="Moderate Delay"/>
  </r>
  <r>
    <n v="3288"/>
    <d v="2025-09-05T00:00:00"/>
    <x v="1"/>
    <x v="0"/>
    <s v="PUS"/>
    <s v="Premium Economy"/>
    <n v="134"/>
    <n v="502.75"/>
    <n v="13"/>
    <s v="On Time"/>
    <n v="67368.5"/>
    <s v="Sep"/>
    <n v="2025"/>
    <n v="67368.5"/>
    <s v="Minor Delay"/>
  </r>
  <r>
    <n v="3289"/>
    <d v="2025-01-26T00:00:00"/>
    <x v="2"/>
    <x v="5"/>
    <s v="KIX"/>
    <s v="Business"/>
    <n v="289"/>
    <n v="567.34"/>
    <n v="10"/>
    <s v="On Time"/>
    <n v="163961.26"/>
    <s v="Jan"/>
    <n v="2025"/>
    <n v="163961.26"/>
    <s v="Minor Delay"/>
  </r>
  <r>
    <n v="3290"/>
    <d v="2025-05-24T00:00:00"/>
    <x v="2"/>
    <x v="7"/>
    <s v="PUS"/>
    <s v="Economy"/>
    <n v="182"/>
    <n v="202.51"/>
    <n v="15"/>
    <s v="On Time"/>
    <n v="36856.82"/>
    <s v="May"/>
    <n v="2025"/>
    <n v="36856.82"/>
    <s v="Minor Delay"/>
  </r>
  <r>
    <n v="3291"/>
    <d v="2025-12-23T00:00:00"/>
    <x v="5"/>
    <x v="0"/>
    <s v="SIN"/>
    <s v="Premium Economy"/>
    <n v="216"/>
    <n v="99.54"/>
    <n v="30"/>
    <s v="On Time"/>
    <n v="21500.639999999999"/>
    <s v="Dec"/>
    <n v="2025"/>
    <n v="21500.640000000003"/>
    <s v="Minor Delay"/>
  </r>
  <r>
    <n v="3292"/>
    <d v="2025-10-23T00:00:00"/>
    <x v="2"/>
    <x v="6"/>
    <s v="NRT"/>
    <s v="Premium Economy"/>
    <n v="198"/>
    <n v="514.58000000000004"/>
    <n v="0"/>
    <s v="On Time"/>
    <n v="101886.84"/>
    <s v="Oct"/>
    <n v="2025"/>
    <n v="101886.84000000001"/>
    <s v="On Time"/>
  </r>
  <r>
    <n v="3293"/>
    <d v="2025-03-24T00:00:00"/>
    <x v="0"/>
    <x v="5"/>
    <s v="BKK"/>
    <s v="Economy"/>
    <n v="175"/>
    <n v="151.94"/>
    <n v="11"/>
    <s v="On Time"/>
    <n v="26589.5"/>
    <s v="Mar"/>
    <n v="2025"/>
    <n v="26589.5"/>
    <s v="Minor Delay"/>
  </r>
  <r>
    <n v="3294"/>
    <d v="2025-09-22T00:00:00"/>
    <x v="3"/>
    <x v="1"/>
    <s v="KIX"/>
    <s v="Economy"/>
    <n v="191"/>
    <n v="518.66"/>
    <n v="68"/>
    <s v="On Time"/>
    <n v="99064.06"/>
    <s v="Sep"/>
    <n v="2025"/>
    <n v="99064.06"/>
    <s v="Major Delay"/>
  </r>
  <r>
    <n v="3295"/>
    <d v="2025-02-09T00:00:00"/>
    <x v="2"/>
    <x v="5"/>
    <s v="MNL"/>
    <s v="Economy"/>
    <n v="211"/>
    <n v="652.58000000000004"/>
    <n v="50"/>
    <s v="On Time"/>
    <n v="137694.38"/>
    <s v="Feb"/>
    <n v="2025"/>
    <n v="137694.38"/>
    <s v="Moderate Delay"/>
  </r>
  <r>
    <n v="3296"/>
    <d v="2025-07-28T00:00:00"/>
    <x v="0"/>
    <x v="2"/>
    <s v="GMP"/>
    <s v="Economy"/>
    <n v="93"/>
    <n v="501.32"/>
    <n v="0"/>
    <s v="Cancelled"/>
    <n v="46622.76"/>
    <s v="Jul"/>
    <n v="2025"/>
    <n v="46622.76"/>
    <s v="On Time"/>
  </r>
  <r>
    <n v="3297"/>
    <d v="2025-08-18T00:00:00"/>
    <x v="0"/>
    <x v="3"/>
    <s v="BKK"/>
    <s v="Business"/>
    <n v="271"/>
    <n v="617.44000000000005"/>
    <n v="46"/>
    <s v="On Time"/>
    <n v="167326.24"/>
    <s v="Aug"/>
    <n v="2025"/>
    <n v="167326.24000000002"/>
    <s v="Moderate Delay"/>
  </r>
  <r>
    <n v="3298"/>
    <d v="2025-10-15T00:00:00"/>
    <x v="5"/>
    <x v="2"/>
    <s v="SIN"/>
    <s v="Economy"/>
    <n v="72"/>
    <n v="484.73"/>
    <n v="40"/>
    <s v="Delayed"/>
    <n v="34900.559999999998"/>
    <s v="Oct"/>
    <n v="2025"/>
    <n v="34900.559999999998"/>
    <s v="Moderate Delay"/>
  </r>
  <r>
    <n v="3299"/>
    <d v="2025-07-20T00:00:00"/>
    <x v="5"/>
    <x v="6"/>
    <s v="ICN"/>
    <s v="Economy"/>
    <n v="228"/>
    <n v="95.05"/>
    <n v="23"/>
    <s v="On Time"/>
    <n v="21671.4"/>
    <s v="Jul"/>
    <n v="2025"/>
    <n v="21671.399999999998"/>
    <s v="Minor Delay"/>
  </r>
  <r>
    <n v="3300"/>
    <d v="2025-09-10T00:00:00"/>
    <x v="4"/>
    <x v="0"/>
    <s v="MNL"/>
    <s v="Economy"/>
    <n v="253"/>
    <n v="565.62"/>
    <n v="0"/>
    <s v="On Time"/>
    <n v="143101.85999999999"/>
    <s v="Sep"/>
    <n v="2025"/>
    <n v="143101.86000000002"/>
    <s v="On Time"/>
  </r>
  <r>
    <n v="3301"/>
    <d v="2025-12-20T00:00:00"/>
    <x v="0"/>
    <x v="1"/>
    <s v="PUS"/>
    <s v="Premium Economy"/>
    <n v="285"/>
    <n v="149.19999999999999"/>
    <n v="25"/>
    <s v="On Time"/>
    <n v="42522"/>
    <s v="Dec"/>
    <n v="2025"/>
    <n v="42522"/>
    <s v="Minor Delay"/>
  </r>
  <r>
    <n v="3302"/>
    <d v="2025-05-18T00:00:00"/>
    <x v="5"/>
    <x v="6"/>
    <s v="KIX"/>
    <s v="Economy"/>
    <n v="243"/>
    <n v="687.43"/>
    <n v="11"/>
    <s v="On Time"/>
    <n v="167045.49"/>
    <s v="May"/>
    <n v="2025"/>
    <n v="167045.49"/>
    <s v="Minor Delay"/>
  </r>
  <r>
    <n v="3303"/>
    <d v="2025-09-01T00:00:00"/>
    <x v="3"/>
    <x v="5"/>
    <s v="NRT"/>
    <s v="Economy"/>
    <n v="203"/>
    <n v="324.37"/>
    <n v="11"/>
    <s v="On Time"/>
    <n v="65847.11"/>
    <s v="Sep"/>
    <n v="2025"/>
    <n v="65847.11"/>
    <s v="Minor Delay"/>
  </r>
  <r>
    <n v="3304"/>
    <d v="2025-12-22T00:00:00"/>
    <x v="2"/>
    <x v="2"/>
    <s v="BKK"/>
    <s v="Economy"/>
    <n v="224"/>
    <n v="502.3"/>
    <n v="48"/>
    <s v="On Time"/>
    <n v="112515.2"/>
    <s v="Dec"/>
    <n v="2025"/>
    <n v="112515.2"/>
    <s v="Moderate Delay"/>
  </r>
  <r>
    <n v="3305"/>
    <d v="2025-09-04T00:00:00"/>
    <x v="4"/>
    <x v="0"/>
    <s v="PUS"/>
    <s v="Business"/>
    <n v="105"/>
    <n v="506.78"/>
    <n v="51"/>
    <s v="On Time"/>
    <n v="53211.9"/>
    <s v="Sep"/>
    <n v="2025"/>
    <n v="53211.899999999994"/>
    <s v="Moderate Delay"/>
  </r>
  <r>
    <n v="3306"/>
    <d v="2025-08-13T00:00:00"/>
    <x v="4"/>
    <x v="3"/>
    <s v="GMP"/>
    <s v="Economy"/>
    <n v="263"/>
    <n v="504.15"/>
    <n v="65"/>
    <s v="On Time"/>
    <n v="132591.45000000001"/>
    <s v="Aug"/>
    <n v="2025"/>
    <n v="132591.44999999998"/>
    <s v="Major Delay"/>
  </r>
  <r>
    <n v="3307"/>
    <d v="2025-11-19T00:00:00"/>
    <x v="3"/>
    <x v="3"/>
    <s v="GMP"/>
    <s v="Premium Economy"/>
    <n v="263"/>
    <n v="425.21"/>
    <n v="6"/>
    <s v="Delayed"/>
    <n v="111830.23"/>
    <s v="Nov"/>
    <n v="2025"/>
    <n v="111830.23"/>
    <s v="Minor Delay"/>
  </r>
  <r>
    <n v="3308"/>
    <d v="2025-07-27T00:00:00"/>
    <x v="1"/>
    <x v="7"/>
    <s v="NRT"/>
    <s v="Economy"/>
    <n v="228"/>
    <n v="461.08"/>
    <n v="27"/>
    <s v="On Time"/>
    <n v="105126.24"/>
    <s v="Jul"/>
    <n v="2025"/>
    <n v="105126.23999999999"/>
    <s v="Minor Delay"/>
  </r>
  <r>
    <n v="3309"/>
    <d v="2025-05-13T00:00:00"/>
    <x v="1"/>
    <x v="4"/>
    <s v="BKK"/>
    <s v="Economy"/>
    <n v="235"/>
    <n v="631.69000000000005"/>
    <n v="19"/>
    <s v="On Time"/>
    <n v="148447.15"/>
    <s v="May"/>
    <n v="2025"/>
    <n v="148447.15000000002"/>
    <s v="Minor Delay"/>
  </r>
  <r>
    <n v="3310"/>
    <d v="2025-11-05T00:00:00"/>
    <x v="0"/>
    <x v="2"/>
    <s v="ICN"/>
    <s v="Economy"/>
    <n v="279"/>
    <n v="631.14"/>
    <n v="38"/>
    <s v="On Time"/>
    <n v="176088.06"/>
    <s v="Nov"/>
    <n v="2025"/>
    <n v="176088.06"/>
    <s v="Moderate Delay"/>
  </r>
  <r>
    <n v="3311"/>
    <d v="2025-11-15T00:00:00"/>
    <x v="1"/>
    <x v="1"/>
    <s v="KIX"/>
    <s v="Business"/>
    <n v="200"/>
    <n v="377.2"/>
    <n v="7"/>
    <s v="On Time"/>
    <n v="75440"/>
    <s v="Nov"/>
    <n v="2025"/>
    <n v="75440"/>
    <s v="Minor Delay"/>
  </r>
  <r>
    <n v="3312"/>
    <d v="2025-03-11T00:00:00"/>
    <x v="3"/>
    <x v="6"/>
    <s v="MNL"/>
    <s v="Premium Economy"/>
    <n v="284"/>
    <n v="599.74"/>
    <n v="0"/>
    <s v="On Time"/>
    <n v="170326.16"/>
    <s v="Mar"/>
    <n v="2025"/>
    <n v="170326.16"/>
    <s v="On Time"/>
  </r>
  <r>
    <n v="3313"/>
    <d v="2025-08-24T00:00:00"/>
    <x v="2"/>
    <x v="7"/>
    <s v="GMP"/>
    <s v="Business"/>
    <n v="248"/>
    <n v="720.11"/>
    <n v="0"/>
    <s v="Delayed"/>
    <n v="178587.28"/>
    <s v="Aug"/>
    <n v="2025"/>
    <n v="178587.28"/>
    <s v="On Time"/>
  </r>
  <r>
    <n v="3314"/>
    <d v="2025-09-18T00:00:00"/>
    <x v="1"/>
    <x v="1"/>
    <s v="MNL"/>
    <s v="Economy"/>
    <n v="274"/>
    <n v="212.58"/>
    <n v="73"/>
    <s v="Delayed"/>
    <n v="58246.92"/>
    <s v="Sep"/>
    <n v="2025"/>
    <n v="58246.920000000006"/>
    <s v="Major Delay"/>
  </r>
  <r>
    <n v="3315"/>
    <d v="2025-08-08T00:00:00"/>
    <x v="2"/>
    <x v="8"/>
    <s v="PUS"/>
    <s v="Economy"/>
    <n v="172"/>
    <n v="572.38"/>
    <n v="46"/>
    <s v="On Time"/>
    <n v="98449.36"/>
    <s v="Aug"/>
    <n v="2025"/>
    <n v="98449.36"/>
    <s v="Moderate Delay"/>
  </r>
  <r>
    <n v="3316"/>
    <d v="2025-06-06T00:00:00"/>
    <x v="0"/>
    <x v="5"/>
    <s v="PUS"/>
    <s v="Business"/>
    <n v="93"/>
    <n v="538.29"/>
    <n v="45"/>
    <s v="On Time"/>
    <n v="50060.97"/>
    <s v="Jun"/>
    <n v="2025"/>
    <n v="50060.969999999994"/>
    <s v="Moderate Delay"/>
  </r>
  <r>
    <n v="3317"/>
    <d v="2025-12-19T00:00:00"/>
    <x v="5"/>
    <x v="4"/>
    <s v="GMP"/>
    <s v="Business"/>
    <n v="275"/>
    <n v="646.02"/>
    <n v="11"/>
    <s v="On Time"/>
    <n v="177655.5"/>
    <s v="Dec"/>
    <n v="2025"/>
    <n v="177655.5"/>
    <s v="Minor Delay"/>
  </r>
  <r>
    <n v="3318"/>
    <d v="2025-05-01T00:00:00"/>
    <x v="2"/>
    <x v="2"/>
    <s v="CJU"/>
    <s v="Premium Economy"/>
    <n v="128"/>
    <n v="727.32"/>
    <n v="0"/>
    <s v="On Time"/>
    <n v="93096.960000000006"/>
    <s v="May"/>
    <n v="2025"/>
    <n v="93096.960000000006"/>
    <s v="On Time"/>
  </r>
  <r>
    <n v="3319"/>
    <d v="2025-11-29T00:00:00"/>
    <x v="4"/>
    <x v="6"/>
    <s v="GMP"/>
    <s v="Premium Economy"/>
    <n v="118"/>
    <n v="184.46"/>
    <n v="22"/>
    <s v="Delayed"/>
    <n v="21766.28"/>
    <s v="Nov"/>
    <n v="2025"/>
    <n v="21766.280000000002"/>
    <s v="Minor Delay"/>
  </r>
  <r>
    <n v="3320"/>
    <d v="2025-03-22T00:00:00"/>
    <x v="3"/>
    <x v="7"/>
    <s v="ICN"/>
    <s v="Premium Economy"/>
    <n v="112"/>
    <n v="658.3"/>
    <n v="0"/>
    <s v="On Time"/>
    <n v="73729.600000000006"/>
    <s v="Mar"/>
    <n v="2025"/>
    <n v="73729.599999999991"/>
    <s v="On Time"/>
  </r>
  <r>
    <n v="3321"/>
    <d v="2025-08-13T00:00:00"/>
    <x v="2"/>
    <x v="5"/>
    <s v="KIX"/>
    <s v="Premium Economy"/>
    <n v="229"/>
    <n v="721.89"/>
    <n v="51"/>
    <s v="On Time"/>
    <n v="165312.81"/>
    <s v="Aug"/>
    <n v="2025"/>
    <n v="165312.81"/>
    <s v="Moderate Delay"/>
  </r>
  <r>
    <n v="3322"/>
    <d v="2025-08-02T00:00:00"/>
    <x v="4"/>
    <x v="0"/>
    <s v="BKK"/>
    <s v="Economy"/>
    <n v="206"/>
    <n v="654"/>
    <n v="40"/>
    <s v="On Time"/>
    <n v="134724"/>
    <s v="Aug"/>
    <n v="2025"/>
    <n v="134724"/>
    <s v="Moderate Delay"/>
  </r>
  <r>
    <n v="3323"/>
    <d v="2025-06-29T00:00:00"/>
    <x v="0"/>
    <x v="4"/>
    <s v="SIN"/>
    <s v="Business"/>
    <n v="188"/>
    <n v="518.83000000000004"/>
    <n v="35"/>
    <s v="On Time"/>
    <n v="97540.04"/>
    <s v="Jun"/>
    <n v="2025"/>
    <n v="97540.040000000008"/>
    <s v="Moderate Delay"/>
  </r>
  <r>
    <n v="3324"/>
    <d v="2025-06-03T00:00:00"/>
    <x v="4"/>
    <x v="4"/>
    <s v="CJU"/>
    <s v="Economy"/>
    <n v="225"/>
    <n v="528.74"/>
    <n v="26"/>
    <s v="On Time"/>
    <n v="118966.5"/>
    <s v="Jun"/>
    <n v="2025"/>
    <n v="118966.5"/>
    <s v="Minor Delay"/>
  </r>
  <r>
    <n v="3325"/>
    <d v="2025-02-08T00:00:00"/>
    <x v="3"/>
    <x v="7"/>
    <s v="MNL"/>
    <s v="Economy"/>
    <n v="56"/>
    <n v="535.82000000000005"/>
    <n v="10"/>
    <s v="On Time"/>
    <n v="30005.919999999998"/>
    <s v="Feb"/>
    <n v="2025"/>
    <n v="30005.920000000002"/>
    <s v="Minor Delay"/>
  </r>
  <r>
    <n v="3326"/>
    <d v="2025-11-21T00:00:00"/>
    <x v="0"/>
    <x v="7"/>
    <s v="ICN"/>
    <s v="Economy"/>
    <n v="172"/>
    <n v="342.85"/>
    <n v="39"/>
    <s v="On Time"/>
    <n v="58970.2"/>
    <s v="Nov"/>
    <n v="2025"/>
    <n v="58970.200000000004"/>
    <s v="Moderate Delay"/>
  </r>
  <r>
    <n v="3327"/>
    <d v="2025-03-27T00:00:00"/>
    <x v="5"/>
    <x v="1"/>
    <s v="CJU"/>
    <s v="Premium Economy"/>
    <n v="109"/>
    <n v="231.47"/>
    <n v="0"/>
    <s v="On Time"/>
    <n v="25230.23"/>
    <s v="Mar"/>
    <n v="2025"/>
    <n v="25230.23"/>
    <s v="On Time"/>
  </r>
  <r>
    <n v="3328"/>
    <d v="2025-11-08T00:00:00"/>
    <x v="3"/>
    <x v="0"/>
    <s v="NRT"/>
    <s v="Economy"/>
    <n v="263"/>
    <n v="519.62"/>
    <n v="41"/>
    <s v="On Time"/>
    <n v="136660.06"/>
    <s v="Nov"/>
    <n v="2025"/>
    <n v="136660.06"/>
    <s v="Moderate Delay"/>
  </r>
  <r>
    <n v="3329"/>
    <d v="2025-05-24T00:00:00"/>
    <x v="3"/>
    <x v="4"/>
    <s v="CJU"/>
    <s v="Business"/>
    <n v="269"/>
    <n v="170.11"/>
    <n v="46"/>
    <s v="On Time"/>
    <n v="45759.59"/>
    <s v="May"/>
    <n v="2025"/>
    <n v="45759.590000000004"/>
    <s v="Moderate Delay"/>
  </r>
  <r>
    <n v="3330"/>
    <d v="2025-07-29T00:00:00"/>
    <x v="0"/>
    <x v="2"/>
    <s v="KIX"/>
    <s v="Economy"/>
    <n v="256"/>
    <n v="281.93"/>
    <n v="20"/>
    <s v="On Time"/>
    <n v="72174.080000000002"/>
    <s v="Jul"/>
    <n v="2025"/>
    <n v="72174.080000000002"/>
    <s v="Minor Delay"/>
  </r>
  <r>
    <n v="3331"/>
    <d v="2025-05-12T00:00:00"/>
    <x v="0"/>
    <x v="2"/>
    <s v="NRT"/>
    <s v="Premium Economy"/>
    <n v="144"/>
    <n v="135.87"/>
    <n v="49"/>
    <s v="On Time"/>
    <n v="19565.28"/>
    <s v="May"/>
    <n v="2025"/>
    <n v="19565.28"/>
    <s v="Moderate Delay"/>
  </r>
  <r>
    <n v="3332"/>
    <d v="2025-09-17T00:00:00"/>
    <x v="2"/>
    <x v="4"/>
    <s v="ICN"/>
    <s v="Premium Economy"/>
    <n v="257"/>
    <n v="273.10000000000002"/>
    <n v="11"/>
    <s v="On Time"/>
    <n v="70186.7"/>
    <s v="Sep"/>
    <n v="2025"/>
    <n v="70186.700000000012"/>
    <s v="Minor Delay"/>
  </r>
  <r>
    <n v="3333"/>
    <d v="2025-07-16T00:00:00"/>
    <x v="5"/>
    <x v="6"/>
    <s v="CJU"/>
    <s v="Economy"/>
    <n v="191"/>
    <n v="304.02999999999997"/>
    <n v="39"/>
    <s v="On Time"/>
    <n v="58069.73"/>
    <s v="Jul"/>
    <n v="2025"/>
    <n v="58069.729999999996"/>
    <s v="Moderate Delay"/>
  </r>
  <r>
    <n v="3334"/>
    <d v="2025-03-25T00:00:00"/>
    <x v="5"/>
    <x v="5"/>
    <s v="BKK"/>
    <s v="Business"/>
    <n v="281"/>
    <n v="752.6"/>
    <n v="22"/>
    <s v="Delayed"/>
    <n v="211480.6"/>
    <s v="Mar"/>
    <n v="2025"/>
    <n v="211480.6"/>
    <s v="Minor Delay"/>
  </r>
  <r>
    <n v="3335"/>
    <d v="2025-09-03T00:00:00"/>
    <x v="3"/>
    <x v="3"/>
    <s v="NRT"/>
    <s v="Economy"/>
    <n v="113"/>
    <n v="481.3"/>
    <n v="31"/>
    <s v="Delayed"/>
    <n v="54386.9"/>
    <s v="Sep"/>
    <n v="2025"/>
    <n v="54386.9"/>
    <s v="Moderate Delay"/>
  </r>
  <r>
    <n v="3336"/>
    <d v="2025-04-18T00:00:00"/>
    <x v="4"/>
    <x v="4"/>
    <s v="BKK"/>
    <s v="Business"/>
    <n v="74"/>
    <n v="681.24"/>
    <n v="0"/>
    <s v="On Time"/>
    <n v="50411.76"/>
    <s v="Apr"/>
    <n v="2025"/>
    <n v="50411.76"/>
    <s v="On Time"/>
  </r>
  <r>
    <n v="3337"/>
    <d v="2025-05-13T00:00:00"/>
    <x v="2"/>
    <x v="3"/>
    <s v="ICN"/>
    <s v="Economy"/>
    <n v="255"/>
    <n v="466.59"/>
    <n v="22"/>
    <s v="On Time"/>
    <n v="118980.45"/>
    <s v="May"/>
    <n v="2025"/>
    <n v="118980.45"/>
    <s v="Minor Delay"/>
  </r>
  <r>
    <n v="3338"/>
    <d v="2025-03-11T00:00:00"/>
    <x v="5"/>
    <x v="3"/>
    <s v="NRT"/>
    <s v="Business"/>
    <n v="293"/>
    <n v="396.94"/>
    <n v="26"/>
    <s v="Delayed"/>
    <n v="116303.42"/>
    <s v="Mar"/>
    <n v="2025"/>
    <n v="116303.42"/>
    <s v="Minor Delay"/>
  </r>
  <r>
    <n v="3339"/>
    <d v="2025-12-08T00:00:00"/>
    <x v="2"/>
    <x v="4"/>
    <s v="MNL"/>
    <s v="Business"/>
    <n v="296"/>
    <n v="380.89"/>
    <n v="0"/>
    <s v="On Time"/>
    <n v="112743.44"/>
    <s v="Dec"/>
    <n v="2025"/>
    <n v="112743.44"/>
    <s v="On Time"/>
  </r>
  <r>
    <n v="3340"/>
    <d v="2025-07-29T00:00:00"/>
    <x v="3"/>
    <x v="8"/>
    <s v="ICN"/>
    <s v="Economy"/>
    <n v="167"/>
    <n v="578.21"/>
    <n v="29"/>
    <s v="Delayed"/>
    <n v="96561.07"/>
    <s v="Jul"/>
    <n v="2025"/>
    <n v="96561.07"/>
    <s v="Minor Delay"/>
  </r>
  <r>
    <n v="3341"/>
    <d v="2025-10-27T00:00:00"/>
    <x v="1"/>
    <x v="5"/>
    <s v="MNL"/>
    <s v="Economy"/>
    <n v="266"/>
    <n v="253.04"/>
    <n v="10"/>
    <s v="On Time"/>
    <n v="67308.639999999999"/>
    <s v="Oct"/>
    <n v="2025"/>
    <n v="67308.639999999999"/>
    <s v="Minor Delay"/>
  </r>
  <r>
    <n v="3342"/>
    <d v="2025-08-18T00:00:00"/>
    <x v="1"/>
    <x v="2"/>
    <s v="KIX"/>
    <s v="Premium Economy"/>
    <n v="150"/>
    <n v="415.52"/>
    <n v="23"/>
    <s v="On Time"/>
    <n v="62328"/>
    <s v="Aug"/>
    <n v="2025"/>
    <n v="62328"/>
    <s v="Minor Delay"/>
  </r>
  <r>
    <n v="3343"/>
    <d v="2025-01-01T00:00:00"/>
    <x v="3"/>
    <x v="1"/>
    <s v="KIX"/>
    <s v="Premium Economy"/>
    <n v="69"/>
    <n v="461.69"/>
    <n v="0"/>
    <s v="On Time"/>
    <n v="31856.61"/>
    <s v="Jan"/>
    <n v="2025"/>
    <n v="31856.61"/>
    <s v="On Time"/>
  </r>
  <r>
    <n v="3344"/>
    <d v="2025-12-06T00:00:00"/>
    <x v="4"/>
    <x v="1"/>
    <s v="SIN"/>
    <s v="Premium Economy"/>
    <n v="194"/>
    <n v="716.25"/>
    <n v="18"/>
    <s v="On Time"/>
    <n v="138952.5"/>
    <s v="Dec"/>
    <n v="2025"/>
    <n v="138952.5"/>
    <s v="Minor Delay"/>
  </r>
  <r>
    <n v="3345"/>
    <d v="2025-12-22T00:00:00"/>
    <x v="0"/>
    <x v="2"/>
    <s v="KIX"/>
    <s v="Premium Economy"/>
    <n v="206"/>
    <n v="716.82"/>
    <n v="52"/>
    <s v="On Time"/>
    <n v="147664.92000000001"/>
    <s v="Dec"/>
    <n v="2025"/>
    <n v="147664.92000000001"/>
    <s v="Moderate Delay"/>
  </r>
  <r>
    <n v="3346"/>
    <d v="2025-01-09T00:00:00"/>
    <x v="3"/>
    <x v="4"/>
    <s v="BKK"/>
    <s v="Premium Economy"/>
    <n v="250"/>
    <n v="362.63"/>
    <n v="16"/>
    <s v="Delayed"/>
    <n v="90657.5"/>
    <s v="Jan"/>
    <n v="2025"/>
    <n v="90657.5"/>
    <s v="Minor Delay"/>
  </r>
  <r>
    <n v="3347"/>
    <d v="2025-06-25T00:00:00"/>
    <x v="4"/>
    <x v="2"/>
    <s v="SIN"/>
    <s v="Economy"/>
    <n v="84"/>
    <n v="670.37"/>
    <n v="19"/>
    <s v="On Time"/>
    <n v="56311.08"/>
    <s v="Jun"/>
    <n v="2025"/>
    <n v="56311.08"/>
    <s v="Minor Delay"/>
  </r>
  <r>
    <n v="3348"/>
    <d v="2025-02-06T00:00:00"/>
    <x v="2"/>
    <x v="6"/>
    <s v="BKK"/>
    <s v="Business"/>
    <n v="187"/>
    <n v="494.99"/>
    <n v="0"/>
    <s v="Delayed"/>
    <n v="92563.13"/>
    <s v="Feb"/>
    <n v="2025"/>
    <n v="92563.13"/>
    <s v="On Time"/>
  </r>
  <r>
    <n v="3349"/>
    <d v="2025-06-03T00:00:00"/>
    <x v="1"/>
    <x v="8"/>
    <s v="GMP"/>
    <s v="Economy"/>
    <n v="134"/>
    <n v="101.22"/>
    <n v="52"/>
    <s v="On Time"/>
    <n v="13563.48"/>
    <s v="Jun"/>
    <n v="2025"/>
    <n v="13563.48"/>
    <s v="Moderate Delay"/>
  </r>
  <r>
    <n v="3350"/>
    <d v="2025-03-30T00:00:00"/>
    <x v="2"/>
    <x v="8"/>
    <s v="BKK"/>
    <s v="Premium Economy"/>
    <n v="181"/>
    <n v="794.61"/>
    <n v="0"/>
    <s v="On Time"/>
    <n v="143824.41"/>
    <s v="Mar"/>
    <n v="2025"/>
    <n v="143824.41"/>
    <s v="On Time"/>
  </r>
  <r>
    <n v="3351"/>
    <d v="2025-09-22T00:00:00"/>
    <x v="3"/>
    <x v="1"/>
    <s v="PUS"/>
    <s v="Premium Economy"/>
    <n v="196"/>
    <n v="240.93"/>
    <n v="19"/>
    <s v="Delayed"/>
    <n v="47222.28"/>
    <s v="Sep"/>
    <n v="2025"/>
    <n v="47222.28"/>
    <s v="Minor Delay"/>
  </r>
  <r>
    <n v="3352"/>
    <d v="2025-06-15T00:00:00"/>
    <x v="5"/>
    <x v="1"/>
    <s v="PUS"/>
    <s v="Premium Economy"/>
    <n v="106"/>
    <n v="74.02"/>
    <n v="0"/>
    <s v="Delayed"/>
    <n v="7846.12"/>
    <s v="Jun"/>
    <n v="2025"/>
    <n v="7846.12"/>
    <s v="On Time"/>
  </r>
  <r>
    <n v="3353"/>
    <d v="2025-03-14T00:00:00"/>
    <x v="2"/>
    <x v="5"/>
    <s v="CJU"/>
    <s v="Business"/>
    <n v="197"/>
    <n v="339.26"/>
    <n v="0"/>
    <s v="On Time"/>
    <n v="66834.22"/>
    <s v="Mar"/>
    <n v="2025"/>
    <n v="66834.22"/>
    <s v="On Time"/>
  </r>
  <r>
    <n v="3354"/>
    <d v="2025-05-31T00:00:00"/>
    <x v="3"/>
    <x v="2"/>
    <s v="ICN"/>
    <s v="Business"/>
    <n v="270"/>
    <n v="332.97"/>
    <n v="76"/>
    <s v="Delayed"/>
    <n v="89901.9"/>
    <s v="May"/>
    <n v="2025"/>
    <n v="89901.900000000009"/>
    <s v="Major Delay"/>
  </r>
  <r>
    <n v="3355"/>
    <d v="2025-06-29T00:00:00"/>
    <x v="5"/>
    <x v="8"/>
    <s v="SIN"/>
    <s v="Premium Economy"/>
    <n v="244"/>
    <n v="411.39"/>
    <n v="39"/>
    <s v="On Time"/>
    <n v="100379.16"/>
    <s v="Jun"/>
    <n v="2025"/>
    <n v="100379.16"/>
    <s v="Moderate Delay"/>
  </r>
  <r>
    <n v="3356"/>
    <d v="2025-08-05T00:00:00"/>
    <x v="0"/>
    <x v="5"/>
    <s v="NRT"/>
    <s v="Premium Economy"/>
    <n v="127"/>
    <n v="563.20000000000005"/>
    <n v="4"/>
    <s v="On Time"/>
    <n v="71526.399999999994"/>
    <s v="Aug"/>
    <n v="2025"/>
    <n v="71526.400000000009"/>
    <s v="Minor Delay"/>
  </r>
  <r>
    <n v="3357"/>
    <d v="2025-09-18T00:00:00"/>
    <x v="5"/>
    <x v="4"/>
    <s v="MNL"/>
    <s v="Premium Economy"/>
    <n v="241"/>
    <n v="606.66999999999996"/>
    <n v="20"/>
    <s v="On Time"/>
    <n v="146207.47"/>
    <s v="Sep"/>
    <n v="2025"/>
    <n v="146207.47"/>
    <s v="Minor Delay"/>
  </r>
  <r>
    <n v="3358"/>
    <d v="2025-04-24T00:00:00"/>
    <x v="4"/>
    <x v="7"/>
    <s v="NRT"/>
    <s v="Premium Economy"/>
    <n v="223"/>
    <n v="372.04"/>
    <n v="31"/>
    <s v="On Time"/>
    <n v="82964.92"/>
    <s v="Apr"/>
    <n v="2025"/>
    <n v="82964.92"/>
    <s v="Moderate Delay"/>
  </r>
  <r>
    <n v="3359"/>
    <d v="2025-04-23T00:00:00"/>
    <x v="1"/>
    <x v="5"/>
    <s v="SIN"/>
    <s v="Premium Economy"/>
    <n v="127"/>
    <n v="267.16000000000003"/>
    <n v="2"/>
    <s v="On Time"/>
    <n v="33929.32"/>
    <s v="Apr"/>
    <n v="2025"/>
    <n v="33929.32"/>
    <s v="Minor Delay"/>
  </r>
  <r>
    <n v="3360"/>
    <d v="2025-07-18T00:00:00"/>
    <x v="0"/>
    <x v="1"/>
    <s v="CJU"/>
    <s v="Premium Economy"/>
    <n v="163"/>
    <n v="458.26"/>
    <n v="41"/>
    <s v="On Time"/>
    <n v="74696.38"/>
    <s v="Jul"/>
    <n v="2025"/>
    <n v="74696.38"/>
    <s v="Moderate Delay"/>
  </r>
  <r>
    <n v="3361"/>
    <d v="2025-09-11T00:00:00"/>
    <x v="4"/>
    <x v="6"/>
    <s v="MNL"/>
    <s v="Premium Economy"/>
    <n v="297"/>
    <n v="632.29999999999995"/>
    <n v="5"/>
    <s v="On Time"/>
    <n v="187793.1"/>
    <s v="Sep"/>
    <n v="2025"/>
    <n v="187793.09999999998"/>
    <s v="Minor Delay"/>
  </r>
  <r>
    <n v="3362"/>
    <d v="2025-09-15T00:00:00"/>
    <x v="3"/>
    <x v="2"/>
    <s v="KIX"/>
    <s v="Premium Economy"/>
    <n v="85"/>
    <n v="494.7"/>
    <n v="34"/>
    <s v="Delayed"/>
    <n v="42049.5"/>
    <s v="Sep"/>
    <n v="2025"/>
    <n v="42049.5"/>
    <s v="Moderate Delay"/>
  </r>
  <r>
    <n v="3363"/>
    <d v="2025-05-10T00:00:00"/>
    <x v="1"/>
    <x v="8"/>
    <s v="SIN"/>
    <s v="Economy"/>
    <n v="171"/>
    <n v="348.08"/>
    <n v="0"/>
    <s v="On Time"/>
    <n v="59521.68"/>
    <s v="May"/>
    <n v="2025"/>
    <n v="59521.68"/>
    <s v="On Time"/>
  </r>
  <r>
    <n v="3364"/>
    <d v="2025-09-03T00:00:00"/>
    <x v="2"/>
    <x v="7"/>
    <s v="ICN"/>
    <s v="Premium Economy"/>
    <n v="140"/>
    <n v="119.58"/>
    <n v="33"/>
    <s v="On Time"/>
    <n v="16741.2"/>
    <s v="Sep"/>
    <n v="2025"/>
    <n v="16741.2"/>
    <s v="Moderate Delay"/>
  </r>
  <r>
    <n v="3365"/>
    <d v="2025-06-02T00:00:00"/>
    <x v="1"/>
    <x v="3"/>
    <s v="PUS"/>
    <s v="Economy"/>
    <n v="131"/>
    <n v="618.24"/>
    <n v="23"/>
    <s v="On Time"/>
    <n v="80989.440000000002"/>
    <s v="Jun"/>
    <n v="2025"/>
    <n v="80989.440000000002"/>
    <s v="Minor Delay"/>
  </r>
  <r>
    <n v="3366"/>
    <d v="2025-11-26T00:00:00"/>
    <x v="3"/>
    <x v="5"/>
    <s v="GMP"/>
    <s v="Economy"/>
    <n v="196"/>
    <n v="689.82"/>
    <n v="0"/>
    <s v="On Time"/>
    <n v="135204.72"/>
    <s v="Nov"/>
    <n v="2025"/>
    <n v="135204.72"/>
    <s v="On Time"/>
  </r>
  <r>
    <n v="3367"/>
    <d v="2025-07-23T00:00:00"/>
    <x v="4"/>
    <x v="1"/>
    <s v="KIX"/>
    <s v="Business"/>
    <n v="179"/>
    <n v="171.01"/>
    <n v="18"/>
    <s v="On Time"/>
    <n v="30610.79"/>
    <s v="Jul"/>
    <n v="2025"/>
    <n v="30610.789999999997"/>
    <s v="Minor Delay"/>
  </r>
  <r>
    <n v="3368"/>
    <d v="2025-12-02T00:00:00"/>
    <x v="3"/>
    <x v="6"/>
    <s v="KIX"/>
    <s v="Premium Economy"/>
    <n v="143"/>
    <n v="242.04"/>
    <n v="0"/>
    <s v="Delayed"/>
    <n v="34611.72"/>
    <s v="Dec"/>
    <n v="2025"/>
    <n v="34611.72"/>
    <s v="On Time"/>
  </r>
  <r>
    <n v="3369"/>
    <d v="2025-07-30T00:00:00"/>
    <x v="2"/>
    <x v="2"/>
    <s v="CJU"/>
    <s v="Economy"/>
    <n v="211"/>
    <n v="565.82000000000005"/>
    <n v="56"/>
    <s v="Delayed"/>
    <n v="119388.02"/>
    <s v="Jul"/>
    <n v="2025"/>
    <n v="119388.02"/>
    <s v="Moderate Delay"/>
  </r>
  <r>
    <n v="3370"/>
    <d v="2025-08-27T00:00:00"/>
    <x v="1"/>
    <x v="5"/>
    <s v="KIX"/>
    <s v="Business"/>
    <n v="238"/>
    <n v="118.22"/>
    <n v="0"/>
    <s v="On Time"/>
    <n v="28136.36"/>
    <s v="Aug"/>
    <n v="2025"/>
    <n v="28136.36"/>
    <s v="On Time"/>
  </r>
  <r>
    <n v="3371"/>
    <d v="2025-10-27T00:00:00"/>
    <x v="3"/>
    <x v="2"/>
    <s v="KIX"/>
    <s v="Premium Economy"/>
    <n v="261"/>
    <n v="371.85"/>
    <n v="53"/>
    <s v="On Time"/>
    <n v="97052.85"/>
    <s v="Oct"/>
    <n v="2025"/>
    <n v="97052.85"/>
    <s v="Moderate Delay"/>
  </r>
  <r>
    <n v="3372"/>
    <d v="2025-02-11T00:00:00"/>
    <x v="1"/>
    <x v="1"/>
    <s v="KIX"/>
    <s v="Business"/>
    <n v="76"/>
    <n v="565.30999999999995"/>
    <n v="38"/>
    <s v="On Time"/>
    <n v="42963.56"/>
    <s v="Feb"/>
    <n v="2025"/>
    <n v="42963.56"/>
    <s v="Moderate Delay"/>
  </r>
  <r>
    <n v="3373"/>
    <d v="2025-05-22T00:00:00"/>
    <x v="2"/>
    <x v="2"/>
    <s v="SIN"/>
    <s v="Premium Economy"/>
    <n v="69"/>
    <n v="290.85000000000002"/>
    <n v="10"/>
    <s v="Delayed"/>
    <n v="20068.650000000001"/>
    <s v="May"/>
    <n v="2025"/>
    <n v="20068.650000000001"/>
    <s v="Minor Delay"/>
  </r>
  <r>
    <n v="3374"/>
    <d v="2025-09-19T00:00:00"/>
    <x v="2"/>
    <x v="6"/>
    <s v="BKK"/>
    <s v="Business"/>
    <n v="50"/>
    <n v="267.69"/>
    <n v="45"/>
    <s v="On Time"/>
    <n v="13384.5"/>
    <s v="Sep"/>
    <n v="2025"/>
    <n v="13384.5"/>
    <s v="Moderate Delay"/>
  </r>
  <r>
    <n v="3375"/>
    <d v="2025-12-10T00:00:00"/>
    <x v="3"/>
    <x v="1"/>
    <s v="MNL"/>
    <s v="Premium Economy"/>
    <n v="190"/>
    <n v="715.22"/>
    <n v="18"/>
    <s v="On Time"/>
    <n v="135891.79999999999"/>
    <s v="Dec"/>
    <n v="2025"/>
    <n v="135891.80000000002"/>
    <s v="Minor Delay"/>
  </r>
  <r>
    <n v="3376"/>
    <d v="2025-07-26T00:00:00"/>
    <x v="4"/>
    <x v="7"/>
    <s v="BKK"/>
    <s v="Business"/>
    <n v="200"/>
    <n v="337.45"/>
    <n v="15"/>
    <s v="On Time"/>
    <n v="67490"/>
    <s v="Jul"/>
    <n v="2025"/>
    <n v="67490"/>
    <s v="Minor Delay"/>
  </r>
  <r>
    <n v="3377"/>
    <d v="2025-03-26T00:00:00"/>
    <x v="3"/>
    <x v="0"/>
    <s v="KIX"/>
    <s v="Economy"/>
    <n v="227"/>
    <n v="231.35"/>
    <n v="15"/>
    <s v="On Time"/>
    <n v="52516.45"/>
    <s v="Mar"/>
    <n v="2025"/>
    <n v="52516.45"/>
    <s v="Minor Delay"/>
  </r>
  <r>
    <n v="3378"/>
    <d v="2025-01-09T00:00:00"/>
    <x v="4"/>
    <x v="1"/>
    <s v="NRT"/>
    <s v="Premium Economy"/>
    <n v="264"/>
    <n v="416.07"/>
    <n v="0"/>
    <s v="On Time"/>
    <n v="109842.48"/>
    <s v="Jan"/>
    <n v="2025"/>
    <n v="109842.48"/>
    <s v="On Time"/>
  </r>
  <r>
    <n v="3379"/>
    <d v="2025-03-31T00:00:00"/>
    <x v="0"/>
    <x v="6"/>
    <s v="BKK"/>
    <s v="Economy"/>
    <n v="114"/>
    <n v="100.55"/>
    <n v="66"/>
    <s v="On Time"/>
    <n v="11462.7"/>
    <s v="Mar"/>
    <n v="2025"/>
    <n v="11462.699999999999"/>
    <s v="Major Delay"/>
  </r>
  <r>
    <n v="3380"/>
    <d v="2025-06-07T00:00:00"/>
    <x v="2"/>
    <x v="1"/>
    <s v="ICN"/>
    <s v="Premium Economy"/>
    <n v="165"/>
    <n v="702.03"/>
    <n v="40"/>
    <s v="On Time"/>
    <n v="115834.95"/>
    <s v="Jun"/>
    <n v="2025"/>
    <n v="115834.95"/>
    <s v="Moderate Delay"/>
  </r>
  <r>
    <n v="3381"/>
    <d v="2025-08-21T00:00:00"/>
    <x v="3"/>
    <x v="0"/>
    <s v="KIX"/>
    <s v="Business"/>
    <n v="178"/>
    <n v="311.29000000000002"/>
    <n v="18"/>
    <s v="On Time"/>
    <n v="55409.62"/>
    <s v="Aug"/>
    <n v="2025"/>
    <n v="55409.62"/>
    <s v="Minor Delay"/>
  </r>
  <r>
    <n v="3382"/>
    <d v="2025-04-07T00:00:00"/>
    <x v="4"/>
    <x v="7"/>
    <s v="ICN"/>
    <s v="Business"/>
    <n v="117"/>
    <n v="268.7"/>
    <n v="41"/>
    <s v="On Time"/>
    <n v="31437.9"/>
    <s v="Apr"/>
    <n v="2025"/>
    <n v="31437.899999999998"/>
    <s v="Moderate Delay"/>
  </r>
  <r>
    <n v="3383"/>
    <d v="2025-09-16T00:00:00"/>
    <x v="2"/>
    <x v="7"/>
    <s v="NRT"/>
    <s v="Business"/>
    <n v="107"/>
    <n v="680.34"/>
    <n v="50"/>
    <s v="On Time"/>
    <n v="72796.38"/>
    <s v="Sep"/>
    <n v="2025"/>
    <n v="72796.38"/>
    <s v="Moderate Delay"/>
  </r>
  <r>
    <n v="3384"/>
    <d v="2025-06-08T00:00:00"/>
    <x v="2"/>
    <x v="1"/>
    <s v="MNL"/>
    <s v="Premium Economy"/>
    <n v="127"/>
    <n v="130.68"/>
    <n v="18"/>
    <s v="On Time"/>
    <n v="16596.36"/>
    <s v="Jun"/>
    <n v="2025"/>
    <n v="16596.36"/>
    <s v="Minor Delay"/>
  </r>
  <r>
    <n v="3385"/>
    <d v="2025-02-09T00:00:00"/>
    <x v="5"/>
    <x v="2"/>
    <s v="BKK"/>
    <s v="Business"/>
    <n v="98"/>
    <n v="66.41"/>
    <n v="5"/>
    <s v="On Time"/>
    <n v="6508.18"/>
    <s v="Feb"/>
    <n v="2025"/>
    <n v="6508.1799999999994"/>
    <s v="Minor Delay"/>
  </r>
  <r>
    <n v="3386"/>
    <d v="2025-10-01T00:00:00"/>
    <x v="1"/>
    <x v="1"/>
    <s v="KIX"/>
    <s v="Premium Economy"/>
    <n v="103"/>
    <n v="763.64"/>
    <n v="39"/>
    <s v="Delayed"/>
    <n v="78654.92"/>
    <s v="Oct"/>
    <n v="2025"/>
    <n v="78654.92"/>
    <s v="Moderate Delay"/>
  </r>
  <r>
    <n v="3387"/>
    <d v="2025-11-23T00:00:00"/>
    <x v="0"/>
    <x v="6"/>
    <s v="KIX"/>
    <s v="Business"/>
    <n v="80"/>
    <n v="421.83"/>
    <n v="1"/>
    <s v="On Time"/>
    <n v="33746.400000000001"/>
    <s v="Nov"/>
    <n v="2025"/>
    <n v="33746.400000000001"/>
    <s v="Minor Delay"/>
  </r>
  <r>
    <n v="3388"/>
    <d v="2025-12-28T00:00:00"/>
    <x v="3"/>
    <x v="5"/>
    <s v="KIX"/>
    <s v="Economy"/>
    <n v="284"/>
    <n v="186.4"/>
    <n v="6"/>
    <s v="Cancelled"/>
    <n v="52937.599999999999"/>
    <s v="Dec"/>
    <n v="2025"/>
    <n v="52937.599999999999"/>
    <s v="Minor Delay"/>
  </r>
  <r>
    <n v="3389"/>
    <d v="2025-07-04T00:00:00"/>
    <x v="5"/>
    <x v="1"/>
    <s v="KIX"/>
    <s v="Economy"/>
    <n v="146"/>
    <n v="400.93"/>
    <n v="20"/>
    <s v="On Time"/>
    <n v="58535.78"/>
    <s v="Jul"/>
    <n v="2025"/>
    <n v="58535.78"/>
    <s v="Minor Delay"/>
  </r>
  <r>
    <n v="3390"/>
    <d v="2025-06-09T00:00:00"/>
    <x v="5"/>
    <x v="0"/>
    <s v="NRT"/>
    <s v="Business"/>
    <n v="73"/>
    <n v="465.32"/>
    <n v="4"/>
    <s v="On Time"/>
    <n v="33968.36"/>
    <s v="Jun"/>
    <n v="2025"/>
    <n v="33968.36"/>
    <s v="Minor Delay"/>
  </r>
  <r>
    <n v="3391"/>
    <d v="2025-04-11T00:00:00"/>
    <x v="5"/>
    <x v="5"/>
    <s v="GMP"/>
    <s v="Economy"/>
    <n v="259"/>
    <n v="251.07"/>
    <n v="5"/>
    <s v="On Time"/>
    <n v="65027.13"/>
    <s v="Apr"/>
    <n v="2025"/>
    <n v="65027.13"/>
    <s v="Minor Delay"/>
  </r>
  <r>
    <n v="3392"/>
    <d v="2025-03-22T00:00:00"/>
    <x v="1"/>
    <x v="7"/>
    <s v="KIX"/>
    <s v="Business"/>
    <n v="205"/>
    <n v="708.46"/>
    <n v="32"/>
    <s v="On Time"/>
    <n v="145234.29999999999"/>
    <s v="Mar"/>
    <n v="2025"/>
    <n v="145234.30000000002"/>
    <s v="Moderate Delay"/>
  </r>
  <r>
    <n v="3393"/>
    <d v="2025-10-28T00:00:00"/>
    <x v="3"/>
    <x v="2"/>
    <s v="ICN"/>
    <s v="Economy"/>
    <n v="94"/>
    <n v="106.85"/>
    <n v="8"/>
    <s v="On Time"/>
    <n v="10043.9"/>
    <s v="Oct"/>
    <n v="2025"/>
    <n v="10043.9"/>
    <s v="Minor Delay"/>
  </r>
  <r>
    <n v="3394"/>
    <d v="2025-06-01T00:00:00"/>
    <x v="3"/>
    <x v="0"/>
    <s v="CJU"/>
    <s v="Premium Economy"/>
    <n v="72"/>
    <n v="205.51"/>
    <n v="45"/>
    <s v="On Time"/>
    <n v="14796.72"/>
    <s v="Jun"/>
    <n v="2025"/>
    <n v="14796.72"/>
    <s v="Moderate Delay"/>
  </r>
  <r>
    <n v="3395"/>
    <d v="2025-04-11T00:00:00"/>
    <x v="1"/>
    <x v="3"/>
    <s v="BKK"/>
    <s v="Economy"/>
    <n v="132"/>
    <n v="225.36"/>
    <n v="36"/>
    <s v="On Time"/>
    <n v="29747.52"/>
    <s v="Apr"/>
    <n v="2025"/>
    <n v="29747.52"/>
    <s v="Moderate Delay"/>
  </r>
  <r>
    <n v="3396"/>
    <d v="2025-09-30T00:00:00"/>
    <x v="1"/>
    <x v="8"/>
    <s v="SIN"/>
    <s v="Business"/>
    <n v="232"/>
    <n v="133.86000000000001"/>
    <n v="62"/>
    <s v="On Time"/>
    <n v="31055.52"/>
    <s v="Sep"/>
    <n v="2025"/>
    <n v="31055.520000000004"/>
    <s v="Major Delay"/>
  </r>
  <r>
    <n v="3397"/>
    <d v="2025-11-11T00:00:00"/>
    <x v="5"/>
    <x v="1"/>
    <s v="KIX"/>
    <s v="Premium Economy"/>
    <n v="219"/>
    <n v="628.36"/>
    <n v="9"/>
    <s v="Delayed"/>
    <n v="137610.84"/>
    <s v="Nov"/>
    <n v="2025"/>
    <n v="137610.84"/>
    <s v="Minor Delay"/>
  </r>
  <r>
    <n v="3398"/>
    <d v="2025-06-06T00:00:00"/>
    <x v="4"/>
    <x v="1"/>
    <s v="PUS"/>
    <s v="Premium Economy"/>
    <n v="80"/>
    <n v="639.48"/>
    <n v="43"/>
    <s v="On Time"/>
    <n v="51158.400000000001"/>
    <s v="Jun"/>
    <n v="2025"/>
    <n v="51158.400000000001"/>
    <s v="Moderate Delay"/>
  </r>
  <r>
    <n v="3399"/>
    <d v="2025-03-14T00:00:00"/>
    <x v="2"/>
    <x v="7"/>
    <s v="GMP"/>
    <s v="Business"/>
    <n v="269"/>
    <n v="729.58"/>
    <n v="18"/>
    <s v="On Time"/>
    <n v="196257.02"/>
    <s v="Mar"/>
    <n v="2025"/>
    <n v="196257.02000000002"/>
    <s v="Minor Delay"/>
  </r>
  <r>
    <n v="3400"/>
    <d v="2025-01-12T00:00:00"/>
    <x v="2"/>
    <x v="0"/>
    <s v="CJU"/>
    <s v="Economy"/>
    <n v="284"/>
    <n v="574.13"/>
    <n v="34"/>
    <s v="On Time"/>
    <n v="163052.92000000001"/>
    <s v="Jan"/>
    <n v="2025"/>
    <n v="163052.92000000001"/>
    <s v="Moderate Delay"/>
  </r>
  <r>
    <n v="3401"/>
    <d v="2025-01-09T00:00:00"/>
    <x v="1"/>
    <x v="1"/>
    <s v="GMP"/>
    <s v="Business"/>
    <n v="236"/>
    <n v="449.56"/>
    <n v="44"/>
    <s v="On Time"/>
    <n v="106096.16"/>
    <s v="Jan"/>
    <n v="2025"/>
    <n v="106096.16"/>
    <s v="Moderate Delay"/>
  </r>
  <r>
    <n v="3402"/>
    <d v="2025-10-02T00:00:00"/>
    <x v="0"/>
    <x v="0"/>
    <s v="MNL"/>
    <s v="Premium Economy"/>
    <n v="261"/>
    <n v="432.56"/>
    <n v="47"/>
    <s v="On Time"/>
    <n v="112898.16"/>
    <s v="Oct"/>
    <n v="2025"/>
    <n v="112898.16"/>
    <s v="Moderate Delay"/>
  </r>
  <r>
    <n v="3403"/>
    <d v="2025-07-02T00:00:00"/>
    <x v="3"/>
    <x v="0"/>
    <s v="SIN"/>
    <s v="Premium Economy"/>
    <n v="93"/>
    <n v="541.28"/>
    <n v="0"/>
    <s v="On Time"/>
    <n v="50339.040000000001"/>
    <s v="Jul"/>
    <n v="2025"/>
    <n v="50339.040000000001"/>
    <s v="On Time"/>
  </r>
  <r>
    <n v="3404"/>
    <d v="2025-09-28T00:00:00"/>
    <x v="0"/>
    <x v="7"/>
    <s v="ICN"/>
    <s v="Business"/>
    <n v="119"/>
    <n v="427.46"/>
    <n v="43"/>
    <s v="On Time"/>
    <n v="50867.74"/>
    <s v="Sep"/>
    <n v="2025"/>
    <n v="50867.74"/>
    <s v="Moderate Delay"/>
  </r>
  <r>
    <n v="3405"/>
    <d v="2025-01-06T00:00:00"/>
    <x v="4"/>
    <x v="0"/>
    <s v="ICN"/>
    <s v="Business"/>
    <n v="108"/>
    <n v="162.97"/>
    <n v="30"/>
    <s v="Delayed"/>
    <n v="17600.759999999998"/>
    <s v="Jan"/>
    <n v="2025"/>
    <n v="17600.759999999998"/>
    <s v="Minor Delay"/>
  </r>
  <r>
    <n v="3406"/>
    <d v="2025-03-08T00:00:00"/>
    <x v="0"/>
    <x v="3"/>
    <s v="SIN"/>
    <s v="Business"/>
    <n v="210"/>
    <n v="397.34"/>
    <n v="0"/>
    <s v="On Time"/>
    <n v="83441.399999999994"/>
    <s v="Mar"/>
    <n v="2025"/>
    <n v="83441.399999999994"/>
    <s v="On Time"/>
  </r>
  <r>
    <n v="3407"/>
    <d v="2025-01-16T00:00:00"/>
    <x v="1"/>
    <x v="7"/>
    <s v="PUS"/>
    <s v="Business"/>
    <n v="219"/>
    <n v="402.84"/>
    <n v="38"/>
    <s v="On Time"/>
    <n v="88221.96"/>
    <s v="Jan"/>
    <n v="2025"/>
    <n v="88221.959999999992"/>
    <s v="Moderate Delay"/>
  </r>
  <r>
    <n v="3408"/>
    <d v="2025-04-08T00:00:00"/>
    <x v="5"/>
    <x v="7"/>
    <s v="KIX"/>
    <s v="Premium Economy"/>
    <n v="290"/>
    <n v="150.35"/>
    <n v="0"/>
    <s v="On Time"/>
    <n v="43601.5"/>
    <s v="Apr"/>
    <n v="2025"/>
    <n v="43601.5"/>
    <s v="On Time"/>
  </r>
  <r>
    <n v="3409"/>
    <d v="2025-06-21T00:00:00"/>
    <x v="0"/>
    <x v="0"/>
    <s v="KIX"/>
    <s v="Business"/>
    <n v="257"/>
    <n v="93.07"/>
    <n v="6"/>
    <s v="Delayed"/>
    <n v="23918.99"/>
    <s v="Jun"/>
    <n v="2025"/>
    <n v="23918.989999999998"/>
    <s v="Minor Delay"/>
  </r>
  <r>
    <n v="3410"/>
    <d v="2025-11-20T00:00:00"/>
    <x v="5"/>
    <x v="5"/>
    <s v="PUS"/>
    <s v="Premium Economy"/>
    <n v="54"/>
    <n v="656.45"/>
    <n v="0"/>
    <s v="On Time"/>
    <n v="35448.300000000003"/>
    <s v="Nov"/>
    <n v="2025"/>
    <n v="35448.300000000003"/>
    <s v="On Time"/>
  </r>
  <r>
    <n v="3411"/>
    <d v="2025-03-30T00:00:00"/>
    <x v="0"/>
    <x v="6"/>
    <s v="ICN"/>
    <s v="Premium Economy"/>
    <n v="53"/>
    <n v="369.7"/>
    <n v="6"/>
    <s v="On Time"/>
    <n v="19594.099999999999"/>
    <s v="Mar"/>
    <n v="2025"/>
    <n v="19594.099999999999"/>
    <s v="Minor Delay"/>
  </r>
  <r>
    <n v="3412"/>
    <d v="2025-12-21T00:00:00"/>
    <x v="5"/>
    <x v="8"/>
    <s v="BKK"/>
    <s v="Premium Economy"/>
    <n v="60"/>
    <n v="591.33000000000004"/>
    <n v="36"/>
    <s v="On Time"/>
    <n v="35479.800000000003"/>
    <s v="Dec"/>
    <n v="2025"/>
    <n v="35479.800000000003"/>
    <s v="Moderate Delay"/>
  </r>
  <r>
    <n v="3413"/>
    <d v="2025-08-12T00:00:00"/>
    <x v="2"/>
    <x v="0"/>
    <s v="BKK"/>
    <s v="Business"/>
    <n v="116"/>
    <n v="211.14"/>
    <n v="40"/>
    <s v="On Time"/>
    <n v="24492.240000000002"/>
    <s v="Aug"/>
    <n v="2025"/>
    <n v="24492.239999999998"/>
    <s v="Moderate Delay"/>
  </r>
  <r>
    <n v="3414"/>
    <d v="2025-03-10T00:00:00"/>
    <x v="0"/>
    <x v="3"/>
    <s v="MNL"/>
    <s v="Business"/>
    <n v="193"/>
    <n v="424.18"/>
    <n v="33"/>
    <s v="On Time"/>
    <n v="81866.740000000005"/>
    <s v="Mar"/>
    <n v="2025"/>
    <n v="81866.740000000005"/>
    <s v="Moderate Delay"/>
  </r>
  <r>
    <n v="3415"/>
    <d v="2025-07-15T00:00:00"/>
    <x v="4"/>
    <x v="6"/>
    <s v="MNL"/>
    <s v="Premium Economy"/>
    <n v="228"/>
    <n v="787.08"/>
    <n v="54"/>
    <s v="On Time"/>
    <n v="179454.24"/>
    <s v="Jul"/>
    <n v="2025"/>
    <n v="179454.24000000002"/>
    <s v="Moderate Delay"/>
  </r>
  <r>
    <n v="3416"/>
    <d v="2025-12-04T00:00:00"/>
    <x v="1"/>
    <x v="2"/>
    <s v="MNL"/>
    <s v="Premium Economy"/>
    <n v="215"/>
    <n v="154.69999999999999"/>
    <n v="14"/>
    <s v="Delayed"/>
    <n v="33260.5"/>
    <s v="Dec"/>
    <n v="2025"/>
    <n v="33260.5"/>
    <s v="Minor Delay"/>
  </r>
  <r>
    <n v="3417"/>
    <d v="2025-02-20T00:00:00"/>
    <x v="3"/>
    <x v="5"/>
    <s v="CJU"/>
    <s v="Economy"/>
    <n v="192"/>
    <n v="342.82"/>
    <n v="45"/>
    <s v="On Time"/>
    <n v="65821.440000000002"/>
    <s v="Feb"/>
    <n v="2025"/>
    <n v="65821.440000000002"/>
    <s v="Moderate Delay"/>
  </r>
  <r>
    <n v="3418"/>
    <d v="2025-10-23T00:00:00"/>
    <x v="5"/>
    <x v="8"/>
    <s v="GMP"/>
    <s v="Economy"/>
    <n v="104"/>
    <n v="436.62"/>
    <n v="6"/>
    <s v="On Time"/>
    <n v="45408.480000000003"/>
    <s v="Oct"/>
    <n v="2025"/>
    <n v="45408.480000000003"/>
    <s v="Minor Delay"/>
  </r>
  <r>
    <n v="3419"/>
    <d v="2025-09-24T00:00:00"/>
    <x v="5"/>
    <x v="0"/>
    <s v="KIX"/>
    <s v="Premium Economy"/>
    <n v="236"/>
    <n v="241.96"/>
    <n v="39"/>
    <s v="On Time"/>
    <n v="57102.559999999998"/>
    <s v="Sep"/>
    <n v="2025"/>
    <n v="57102.560000000005"/>
    <s v="Moderate Delay"/>
  </r>
  <r>
    <n v="3420"/>
    <d v="2025-05-13T00:00:00"/>
    <x v="2"/>
    <x v="0"/>
    <s v="CJU"/>
    <s v="Business"/>
    <n v="237"/>
    <n v="95.36"/>
    <n v="54"/>
    <s v="On Time"/>
    <n v="22600.32"/>
    <s v="May"/>
    <n v="2025"/>
    <n v="22600.32"/>
    <s v="Moderate Delay"/>
  </r>
  <r>
    <n v="3421"/>
    <d v="2025-03-07T00:00:00"/>
    <x v="5"/>
    <x v="4"/>
    <s v="SIN"/>
    <s v="Economy"/>
    <n v="200"/>
    <n v="325.22000000000003"/>
    <n v="54"/>
    <s v="On Time"/>
    <n v="65044"/>
    <s v="Mar"/>
    <n v="2025"/>
    <n v="65044.000000000007"/>
    <s v="Moderate Delay"/>
  </r>
  <r>
    <n v="3422"/>
    <d v="2025-04-24T00:00:00"/>
    <x v="0"/>
    <x v="5"/>
    <s v="BKK"/>
    <s v="Business"/>
    <n v="236"/>
    <n v="351.44"/>
    <n v="42"/>
    <s v="On Time"/>
    <n v="82939.839999999997"/>
    <s v="Apr"/>
    <n v="2025"/>
    <n v="82939.839999999997"/>
    <s v="Moderate Delay"/>
  </r>
  <r>
    <n v="3423"/>
    <d v="2025-09-19T00:00:00"/>
    <x v="5"/>
    <x v="6"/>
    <s v="NRT"/>
    <s v="Premium Economy"/>
    <n v="258"/>
    <n v="523.82000000000005"/>
    <n v="19"/>
    <s v="On Time"/>
    <n v="135145.56"/>
    <s v="Sep"/>
    <n v="2025"/>
    <n v="135145.56000000003"/>
    <s v="Minor Delay"/>
  </r>
  <r>
    <n v="3424"/>
    <d v="2025-10-31T00:00:00"/>
    <x v="0"/>
    <x v="1"/>
    <s v="CJU"/>
    <s v="Premium Economy"/>
    <n v="248"/>
    <n v="551.01"/>
    <n v="0"/>
    <s v="On Time"/>
    <n v="136650.48000000001"/>
    <s v="Oct"/>
    <n v="2025"/>
    <n v="136650.48000000001"/>
    <s v="On Time"/>
  </r>
  <r>
    <n v="3425"/>
    <d v="2025-09-27T00:00:00"/>
    <x v="0"/>
    <x v="7"/>
    <s v="PUS"/>
    <s v="Business"/>
    <n v="187"/>
    <n v="726.79"/>
    <n v="20"/>
    <s v="On Time"/>
    <n v="135909.73000000001"/>
    <s v="Sep"/>
    <n v="2025"/>
    <n v="135909.72999999998"/>
    <s v="Minor Delay"/>
  </r>
  <r>
    <n v="3426"/>
    <d v="2025-04-18T00:00:00"/>
    <x v="1"/>
    <x v="2"/>
    <s v="BKK"/>
    <s v="Premium Economy"/>
    <n v="279"/>
    <n v="437.37"/>
    <n v="7"/>
    <s v="On Time"/>
    <n v="122026.23"/>
    <s v="Apr"/>
    <n v="2025"/>
    <n v="122026.23"/>
    <s v="Minor Delay"/>
  </r>
  <r>
    <n v="3427"/>
    <d v="2025-12-15T00:00:00"/>
    <x v="2"/>
    <x v="6"/>
    <s v="NRT"/>
    <s v="Premium Economy"/>
    <n v="282"/>
    <n v="363.03"/>
    <n v="15"/>
    <s v="Delayed"/>
    <n v="102374.46"/>
    <s v="Dec"/>
    <n v="2025"/>
    <n v="102374.45999999999"/>
    <s v="Minor Delay"/>
  </r>
  <r>
    <n v="3428"/>
    <d v="2025-10-10T00:00:00"/>
    <x v="0"/>
    <x v="4"/>
    <s v="BKK"/>
    <s v="Premium Economy"/>
    <n v="299"/>
    <n v="258.91000000000003"/>
    <n v="20"/>
    <s v="On Time"/>
    <n v="77414.09"/>
    <s v="Oct"/>
    <n v="2025"/>
    <n v="77414.090000000011"/>
    <s v="Minor Delay"/>
  </r>
  <r>
    <n v="3429"/>
    <d v="2025-06-21T00:00:00"/>
    <x v="0"/>
    <x v="3"/>
    <s v="SIN"/>
    <s v="Economy"/>
    <n v="109"/>
    <n v="324.49"/>
    <n v="37"/>
    <s v="On Time"/>
    <n v="35369.410000000003"/>
    <s v="Jun"/>
    <n v="2025"/>
    <n v="35369.410000000003"/>
    <s v="Moderate Delay"/>
  </r>
  <r>
    <n v="3430"/>
    <d v="2025-11-04T00:00:00"/>
    <x v="3"/>
    <x v="3"/>
    <s v="BKK"/>
    <s v="Economy"/>
    <n v="286"/>
    <n v="432.18"/>
    <n v="76"/>
    <s v="On Time"/>
    <n v="123603.48"/>
    <s v="Nov"/>
    <n v="2025"/>
    <n v="123603.48"/>
    <s v="Major Delay"/>
  </r>
  <r>
    <n v="3431"/>
    <d v="2025-05-22T00:00:00"/>
    <x v="1"/>
    <x v="4"/>
    <s v="SIN"/>
    <s v="Business"/>
    <n v="66"/>
    <n v="582.26"/>
    <n v="12"/>
    <s v="On Time"/>
    <n v="38429.160000000003"/>
    <s v="May"/>
    <n v="2025"/>
    <n v="38429.159999999996"/>
    <s v="Minor Delay"/>
  </r>
  <r>
    <n v="3432"/>
    <d v="2025-08-16T00:00:00"/>
    <x v="4"/>
    <x v="7"/>
    <s v="MNL"/>
    <s v="Economy"/>
    <n v="264"/>
    <n v="613.66"/>
    <n v="49"/>
    <s v="On Time"/>
    <n v="162006.24"/>
    <s v="Aug"/>
    <n v="2025"/>
    <n v="162006.24"/>
    <s v="Moderate Delay"/>
  </r>
  <r>
    <n v="3433"/>
    <d v="2025-05-12T00:00:00"/>
    <x v="4"/>
    <x v="8"/>
    <s v="BKK"/>
    <s v="Economy"/>
    <n v="118"/>
    <n v="513.72"/>
    <n v="6"/>
    <s v="On Time"/>
    <n v="60618.96"/>
    <s v="May"/>
    <n v="2025"/>
    <n v="60618.960000000006"/>
    <s v="Minor Delay"/>
  </r>
  <r>
    <n v="3434"/>
    <d v="2025-02-27T00:00:00"/>
    <x v="5"/>
    <x v="1"/>
    <s v="NRT"/>
    <s v="Premium Economy"/>
    <n v="162"/>
    <n v="451.75"/>
    <n v="37"/>
    <s v="On Time"/>
    <n v="73183.5"/>
    <s v="Feb"/>
    <n v="2025"/>
    <n v="73183.5"/>
    <s v="Moderate Delay"/>
  </r>
  <r>
    <n v="3435"/>
    <d v="2025-10-17T00:00:00"/>
    <x v="0"/>
    <x v="5"/>
    <s v="GMP"/>
    <s v="Premium Economy"/>
    <n v="238"/>
    <n v="433.19"/>
    <n v="39"/>
    <s v="On Time"/>
    <n v="103099.22"/>
    <s v="Oct"/>
    <n v="2025"/>
    <n v="103099.22"/>
    <s v="Moderate Delay"/>
  </r>
  <r>
    <n v="3436"/>
    <d v="2025-02-13T00:00:00"/>
    <x v="3"/>
    <x v="2"/>
    <s v="ICN"/>
    <s v="Premium Economy"/>
    <n v="197"/>
    <n v="411.8"/>
    <n v="63"/>
    <s v="On Time"/>
    <n v="81124.600000000006"/>
    <s v="Feb"/>
    <n v="2025"/>
    <n v="81124.600000000006"/>
    <s v="Major Delay"/>
  </r>
  <r>
    <n v="3437"/>
    <d v="2025-03-16T00:00:00"/>
    <x v="0"/>
    <x v="7"/>
    <s v="KIX"/>
    <s v="Business"/>
    <n v="121"/>
    <n v="621.9"/>
    <n v="24"/>
    <s v="On Time"/>
    <n v="75249.899999999994"/>
    <s v="Mar"/>
    <n v="2025"/>
    <n v="75249.899999999994"/>
    <s v="Minor Delay"/>
  </r>
  <r>
    <n v="3438"/>
    <d v="2025-07-15T00:00:00"/>
    <x v="2"/>
    <x v="7"/>
    <s v="SIN"/>
    <s v="Business"/>
    <n v="62"/>
    <n v="480.12"/>
    <n v="3"/>
    <s v="On Time"/>
    <n v="29767.439999999999"/>
    <s v="Jul"/>
    <n v="2025"/>
    <n v="29767.439999999999"/>
    <s v="Minor Delay"/>
  </r>
  <r>
    <n v="3439"/>
    <d v="2025-12-02T00:00:00"/>
    <x v="3"/>
    <x v="4"/>
    <s v="MNL"/>
    <s v="Economy"/>
    <n v="294"/>
    <n v="121.28"/>
    <n v="0"/>
    <s v="On Time"/>
    <n v="35656.32"/>
    <s v="Dec"/>
    <n v="2025"/>
    <n v="35656.32"/>
    <s v="On Time"/>
  </r>
  <r>
    <n v="3440"/>
    <d v="2025-04-11T00:00:00"/>
    <x v="4"/>
    <x v="5"/>
    <s v="NRT"/>
    <s v="Business"/>
    <n v="51"/>
    <n v="113.27"/>
    <n v="0"/>
    <s v="Delayed"/>
    <n v="5776.77"/>
    <s v="Apr"/>
    <n v="2025"/>
    <n v="5776.7699999999995"/>
    <s v="On Time"/>
  </r>
  <r>
    <n v="3441"/>
    <d v="2025-05-04T00:00:00"/>
    <x v="4"/>
    <x v="2"/>
    <s v="SIN"/>
    <s v="Business"/>
    <n v="152"/>
    <n v="356.18"/>
    <n v="19"/>
    <s v="On Time"/>
    <n v="54139.360000000001"/>
    <s v="May"/>
    <n v="2025"/>
    <n v="54139.360000000001"/>
    <s v="Minor Delay"/>
  </r>
  <r>
    <n v="3442"/>
    <d v="2025-08-02T00:00:00"/>
    <x v="1"/>
    <x v="4"/>
    <s v="KIX"/>
    <s v="Premium Economy"/>
    <n v="112"/>
    <n v="493.47"/>
    <n v="8"/>
    <s v="Delayed"/>
    <n v="55268.639999999999"/>
    <s v="Aug"/>
    <n v="2025"/>
    <n v="55268.639999999999"/>
    <s v="Minor Delay"/>
  </r>
  <r>
    <n v="3443"/>
    <d v="2025-09-06T00:00:00"/>
    <x v="4"/>
    <x v="5"/>
    <s v="MNL"/>
    <s v="Business"/>
    <n v="261"/>
    <n v="793.02"/>
    <n v="10"/>
    <s v="On Time"/>
    <n v="206978.22"/>
    <s v="Sep"/>
    <n v="2025"/>
    <n v="206978.22"/>
    <s v="Minor Delay"/>
  </r>
  <r>
    <n v="3444"/>
    <d v="2025-07-22T00:00:00"/>
    <x v="3"/>
    <x v="3"/>
    <s v="PUS"/>
    <s v="Premium Economy"/>
    <n v="209"/>
    <n v="484.31"/>
    <n v="9"/>
    <s v="On Time"/>
    <n v="101220.79"/>
    <s v="Jul"/>
    <n v="2025"/>
    <n v="101220.79"/>
    <s v="Minor Delay"/>
  </r>
  <r>
    <n v="3445"/>
    <d v="2025-07-29T00:00:00"/>
    <x v="2"/>
    <x v="7"/>
    <s v="BKK"/>
    <s v="Business"/>
    <n v="210"/>
    <n v="744.86"/>
    <n v="36"/>
    <s v="On Time"/>
    <n v="156420.6"/>
    <s v="Jul"/>
    <n v="2025"/>
    <n v="156420.6"/>
    <s v="Moderate Delay"/>
  </r>
  <r>
    <n v="3446"/>
    <d v="2025-07-02T00:00:00"/>
    <x v="4"/>
    <x v="7"/>
    <s v="GMP"/>
    <s v="Business"/>
    <n v="276"/>
    <n v="688.85"/>
    <n v="44"/>
    <s v="On Time"/>
    <n v="190122.6"/>
    <s v="Jul"/>
    <n v="2025"/>
    <n v="190122.6"/>
    <s v="Moderate Delay"/>
  </r>
  <r>
    <n v="3447"/>
    <d v="2025-01-11T00:00:00"/>
    <x v="3"/>
    <x v="2"/>
    <s v="NRT"/>
    <s v="Premium Economy"/>
    <n v="166"/>
    <n v="311.74"/>
    <n v="14"/>
    <s v="Delayed"/>
    <n v="51748.84"/>
    <s v="Jan"/>
    <n v="2025"/>
    <n v="51748.840000000004"/>
    <s v="Minor Delay"/>
  </r>
  <r>
    <n v="3448"/>
    <d v="2025-08-02T00:00:00"/>
    <x v="4"/>
    <x v="1"/>
    <s v="CJU"/>
    <s v="Economy"/>
    <n v="291"/>
    <n v="509.43"/>
    <n v="32"/>
    <s v="On Time"/>
    <n v="148244.13"/>
    <s v="Aug"/>
    <n v="2025"/>
    <n v="148244.13"/>
    <s v="Moderate Delay"/>
  </r>
  <r>
    <n v="3449"/>
    <d v="2025-05-28T00:00:00"/>
    <x v="3"/>
    <x v="6"/>
    <s v="NRT"/>
    <s v="Premium Economy"/>
    <n v="50"/>
    <n v="389.9"/>
    <n v="0"/>
    <s v="Delayed"/>
    <n v="19495"/>
    <s v="May"/>
    <n v="2025"/>
    <n v="19495"/>
    <s v="On Time"/>
  </r>
  <r>
    <n v="3450"/>
    <d v="2025-12-08T00:00:00"/>
    <x v="5"/>
    <x v="3"/>
    <s v="GMP"/>
    <s v="Business"/>
    <n v="195"/>
    <n v="754.24"/>
    <n v="0"/>
    <s v="On Time"/>
    <n v="147076.79999999999"/>
    <s v="Dec"/>
    <n v="2025"/>
    <n v="147076.79999999999"/>
    <s v="On Time"/>
  </r>
  <r>
    <n v="3451"/>
    <d v="2025-09-05T00:00:00"/>
    <x v="4"/>
    <x v="0"/>
    <s v="SIN"/>
    <s v="Premium Economy"/>
    <n v="67"/>
    <n v="173.35"/>
    <n v="11"/>
    <s v="On Time"/>
    <n v="11614.45"/>
    <s v="Sep"/>
    <n v="2025"/>
    <n v="11614.449999999999"/>
    <s v="Minor Delay"/>
  </r>
  <r>
    <n v="3452"/>
    <d v="2025-06-23T00:00:00"/>
    <x v="0"/>
    <x v="4"/>
    <s v="CJU"/>
    <s v="Business"/>
    <n v="75"/>
    <n v="377.79"/>
    <n v="1"/>
    <s v="On Time"/>
    <n v="28334.25"/>
    <s v="Jun"/>
    <n v="2025"/>
    <n v="28334.25"/>
    <s v="Minor Delay"/>
  </r>
  <r>
    <n v="3453"/>
    <d v="2025-09-24T00:00:00"/>
    <x v="3"/>
    <x v="6"/>
    <s v="CJU"/>
    <s v="Economy"/>
    <n v="182"/>
    <n v="637.66"/>
    <n v="3"/>
    <s v="On Time"/>
    <n v="116054.12"/>
    <s v="Sep"/>
    <n v="2025"/>
    <n v="116054.12"/>
    <s v="Minor Delay"/>
  </r>
  <r>
    <n v="3454"/>
    <d v="2025-06-29T00:00:00"/>
    <x v="2"/>
    <x v="8"/>
    <s v="BKK"/>
    <s v="Premium Economy"/>
    <n v="199"/>
    <n v="724.44"/>
    <n v="47"/>
    <s v="On Time"/>
    <n v="144163.56"/>
    <s v="Jun"/>
    <n v="2025"/>
    <n v="144163.56"/>
    <s v="Moderate Delay"/>
  </r>
  <r>
    <n v="3455"/>
    <d v="2025-06-05T00:00:00"/>
    <x v="3"/>
    <x v="3"/>
    <s v="BKK"/>
    <s v="Business"/>
    <n v="117"/>
    <n v="540"/>
    <n v="10"/>
    <s v="On Time"/>
    <n v="63180"/>
    <s v="Jun"/>
    <n v="2025"/>
    <n v="63180"/>
    <s v="Minor Delay"/>
  </r>
  <r>
    <n v="3456"/>
    <d v="2025-12-03T00:00:00"/>
    <x v="2"/>
    <x v="1"/>
    <s v="SIN"/>
    <s v="Economy"/>
    <n v="136"/>
    <n v="696.27"/>
    <n v="0"/>
    <s v="Delayed"/>
    <n v="94692.72"/>
    <s v="Dec"/>
    <n v="2025"/>
    <n v="94692.72"/>
    <s v="On Time"/>
  </r>
  <r>
    <n v="3457"/>
    <d v="2025-01-02T00:00:00"/>
    <x v="5"/>
    <x v="7"/>
    <s v="PUS"/>
    <s v="Premium Economy"/>
    <n v="246"/>
    <n v="513.24"/>
    <n v="43"/>
    <s v="Delayed"/>
    <n v="126257.04"/>
    <s v="Jan"/>
    <n v="2025"/>
    <n v="126257.04000000001"/>
    <s v="Moderate Delay"/>
  </r>
  <r>
    <n v="3458"/>
    <d v="2025-02-27T00:00:00"/>
    <x v="4"/>
    <x v="2"/>
    <s v="KIX"/>
    <s v="Economy"/>
    <n v="142"/>
    <n v="499.37"/>
    <n v="2"/>
    <s v="On Time"/>
    <n v="70910.539999999994"/>
    <s v="Feb"/>
    <n v="2025"/>
    <n v="70910.539999999994"/>
    <s v="Minor Delay"/>
  </r>
  <r>
    <n v="3459"/>
    <d v="2025-02-26T00:00:00"/>
    <x v="1"/>
    <x v="5"/>
    <s v="GMP"/>
    <s v="Premium Economy"/>
    <n v="214"/>
    <n v="246.67"/>
    <n v="2"/>
    <s v="On Time"/>
    <n v="52787.38"/>
    <s v="Feb"/>
    <n v="2025"/>
    <n v="52787.38"/>
    <s v="Minor Delay"/>
  </r>
  <r>
    <n v="3460"/>
    <d v="2025-12-06T00:00:00"/>
    <x v="1"/>
    <x v="4"/>
    <s v="PUS"/>
    <s v="Business"/>
    <n v="117"/>
    <n v="573.73"/>
    <n v="25"/>
    <s v="On Time"/>
    <n v="67126.41"/>
    <s v="Dec"/>
    <n v="2025"/>
    <n v="67126.41"/>
    <s v="Minor Delay"/>
  </r>
  <r>
    <n v="3461"/>
    <d v="2025-07-07T00:00:00"/>
    <x v="2"/>
    <x v="7"/>
    <s v="BKK"/>
    <s v="Business"/>
    <n v="136"/>
    <n v="356.96"/>
    <n v="38"/>
    <s v="On Time"/>
    <n v="48546.559999999998"/>
    <s v="Jul"/>
    <n v="2025"/>
    <n v="48546.559999999998"/>
    <s v="Moderate Delay"/>
  </r>
  <r>
    <n v="3462"/>
    <d v="2025-02-18T00:00:00"/>
    <x v="2"/>
    <x v="8"/>
    <s v="NRT"/>
    <s v="Business"/>
    <n v="134"/>
    <n v="707.9"/>
    <n v="33"/>
    <s v="On Time"/>
    <n v="94858.6"/>
    <s v="Feb"/>
    <n v="2025"/>
    <n v="94858.599999999991"/>
    <s v="Moderate Delay"/>
  </r>
  <r>
    <n v="3463"/>
    <d v="2025-03-19T00:00:00"/>
    <x v="0"/>
    <x v="2"/>
    <s v="BKK"/>
    <s v="Economy"/>
    <n v="187"/>
    <n v="331.37"/>
    <n v="0"/>
    <s v="Delayed"/>
    <n v="61966.19"/>
    <s v="Mar"/>
    <n v="2025"/>
    <n v="61966.19"/>
    <s v="On Time"/>
  </r>
  <r>
    <n v="3464"/>
    <d v="2025-11-03T00:00:00"/>
    <x v="4"/>
    <x v="3"/>
    <s v="SIN"/>
    <s v="Premium Economy"/>
    <n v="142"/>
    <n v="746.69"/>
    <n v="42"/>
    <s v="On Time"/>
    <n v="106029.98"/>
    <s v="Nov"/>
    <n v="2025"/>
    <n v="106029.98000000001"/>
    <s v="Moderate Delay"/>
  </r>
  <r>
    <n v="3465"/>
    <d v="2025-01-23T00:00:00"/>
    <x v="0"/>
    <x v="1"/>
    <s v="MNL"/>
    <s v="Business"/>
    <n v="247"/>
    <n v="732.72"/>
    <n v="11"/>
    <s v="On Time"/>
    <n v="180981.84"/>
    <s v="Jan"/>
    <n v="2025"/>
    <n v="180981.84"/>
    <s v="Minor Delay"/>
  </r>
  <r>
    <n v="3466"/>
    <d v="2025-04-20T00:00:00"/>
    <x v="3"/>
    <x v="7"/>
    <s v="NRT"/>
    <s v="Business"/>
    <n v="217"/>
    <n v="642.45000000000005"/>
    <n v="10"/>
    <s v="On Time"/>
    <n v="139411.65"/>
    <s v="Apr"/>
    <n v="2025"/>
    <n v="139411.65000000002"/>
    <s v="Minor Delay"/>
  </r>
  <r>
    <n v="3467"/>
    <d v="2025-06-03T00:00:00"/>
    <x v="1"/>
    <x v="8"/>
    <s v="ICN"/>
    <s v="Premium Economy"/>
    <n v="76"/>
    <n v="246.2"/>
    <n v="49"/>
    <s v="On Time"/>
    <n v="18711.2"/>
    <s v="Jun"/>
    <n v="2025"/>
    <n v="18711.2"/>
    <s v="Moderate Delay"/>
  </r>
  <r>
    <n v="3468"/>
    <d v="2025-09-10T00:00:00"/>
    <x v="3"/>
    <x v="0"/>
    <s v="KIX"/>
    <s v="Business"/>
    <n v="175"/>
    <n v="593.07000000000005"/>
    <n v="0"/>
    <s v="Delayed"/>
    <n v="103787.25"/>
    <s v="Sep"/>
    <n v="2025"/>
    <n v="103787.25000000001"/>
    <s v="On Time"/>
  </r>
  <r>
    <n v="3469"/>
    <d v="2025-03-05T00:00:00"/>
    <x v="5"/>
    <x v="2"/>
    <s v="KIX"/>
    <s v="Premium Economy"/>
    <n v="232"/>
    <n v="296.31"/>
    <n v="16"/>
    <s v="On Time"/>
    <n v="68743.92"/>
    <s v="Mar"/>
    <n v="2025"/>
    <n v="68743.92"/>
    <s v="Minor Delay"/>
  </r>
  <r>
    <n v="3470"/>
    <d v="2025-07-10T00:00:00"/>
    <x v="3"/>
    <x v="8"/>
    <s v="NRT"/>
    <s v="Premium Economy"/>
    <n v="59"/>
    <n v="150.77000000000001"/>
    <n v="26"/>
    <s v="On Time"/>
    <n v="8895.43"/>
    <s v="Jul"/>
    <n v="2025"/>
    <n v="8895.43"/>
    <s v="Minor Delay"/>
  </r>
  <r>
    <n v="3471"/>
    <d v="2025-01-10T00:00:00"/>
    <x v="1"/>
    <x v="1"/>
    <s v="GMP"/>
    <s v="Premium Economy"/>
    <n v="139"/>
    <n v="515.66999999999996"/>
    <n v="67"/>
    <s v="On Time"/>
    <n v="71678.13"/>
    <s v="Jan"/>
    <n v="2025"/>
    <n v="71678.12999999999"/>
    <s v="Major Delay"/>
  </r>
  <r>
    <n v="3472"/>
    <d v="2025-07-16T00:00:00"/>
    <x v="2"/>
    <x v="8"/>
    <s v="ICN"/>
    <s v="Business"/>
    <n v="252"/>
    <n v="538.19000000000005"/>
    <n v="29"/>
    <s v="On Time"/>
    <n v="135623.88"/>
    <s v="Jul"/>
    <n v="2025"/>
    <n v="135623.88"/>
    <s v="Minor Delay"/>
  </r>
  <r>
    <n v="3473"/>
    <d v="2025-12-25T00:00:00"/>
    <x v="5"/>
    <x v="8"/>
    <s v="BKK"/>
    <s v="Economy"/>
    <n v="291"/>
    <n v="451.46"/>
    <n v="15"/>
    <s v="Delayed"/>
    <n v="131374.85999999999"/>
    <s v="Dec"/>
    <n v="2025"/>
    <n v="131374.85999999999"/>
    <s v="Minor Delay"/>
  </r>
  <r>
    <n v="3474"/>
    <d v="2025-07-06T00:00:00"/>
    <x v="5"/>
    <x v="7"/>
    <s v="GMP"/>
    <s v="Economy"/>
    <n v="220"/>
    <n v="466.76"/>
    <n v="30"/>
    <s v="On Time"/>
    <n v="102687.2"/>
    <s v="Jul"/>
    <n v="2025"/>
    <n v="102687.2"/>
    <s v="Minor Delay"/>
  </r>
  <r>
    <n v="3475"/>
    <d v="2025-07-25T00:00:00"/>
    <x v="3"/>
    <x v="1"/>
    <s v="SIN"/>
    <s v="Economy"/>
    <n v="140"/>
    <n v="798.68"/>
    <n v="27"/>
    <s v="On Time"/>
    <n v="111815.2"/>
    <s v="Jul"/>
    <n v="2025"/>
    <n v="111815.2"/>
    <s v="Minor Delay"/>
  </r>
  <r>
    <n v="3476"/>
    <d v="2025-01-24T00:00:00"/>
    <x v="2"/>
    <x v="3"/>
    <s v="MNL"/>
    <s v="Economy"/>
    <n v="166"/>
    <n v="154.78"/>
    <n v="0"/>
    <s v="On Time"/>
    <n v="25693.48"/>
    <s v="Jan"/>
    <n v="2025"/>
    <n v="25693.48"/>
    <s v="On Time"/>
  </r>
  <r>
    <n v="3477"/>
    <d v="2025-02-13T00:00:00"/>
    <x v="0"/>
    <x v="2"/>
    <s v="KIX"/>
    <s v="Economy"/>
    <n v="255"/>
    <n v="315.60000000000002"/>
    <n v="32"/>
    <s v="On Time"/>
    <n v="80478"/>
    <s v="Feb"/>
    <n v="2025"/>
    <n v="80478"/>
    <s v="Moderate Delay"/>
  </r>
  <r>
    <n v="3478"/>
    <d v="2025-01-25T00:00:00"/>
    <x v="5"/>
    <x v="4"/>
    <s v="PUS"/>
    <s v="Premium Economy"/>
    <n v="283"/>
    <n v="694.38"/>
    <n v="30"/>
    <s v="On Time"/>
    <n v="196509.54"/>
    <s v="Jan"/>
    <n v="2025"/>
    <n v="196509.54"/>
    <s v="Minor Delay"/>
  </r>
  <r>
    <n v="3479"/>
    <d v="2025-08-10T00:00:00"/>
    <x v="2"/>
    <x v="4"/>
    <s v="PUS"/>
    <s v="Business"/>
    <n v="286"/>
    <n v="226.51"/>
    <n v="0"/>
    <s v="On Time"/>
    <n v="64781.86"/>
    <s v="Aug"/>
    <n v="2025"/>
    <n v="64781.86"/>
    <s v="On Time"/>
  </r>
  <r>
    <n v="3480"/>
    <d v="2025-12-22T00:00:00"/>
    <x v="4"/>
    <x v="8"/>
    <s v="GMP"/>
    <s v="Business"/>
    <n v="296"/>
    <n v="76.540000000000006"/>
    <n v="25"/>
    <s v="On Time"/>
    <n v="22655.84"/>
    <s v="Dec"/>
    <n v="2025"/>
    <n v="22655.84"/>
    <s v="Minor Delay"/>
  </r>
  <r>
    <n v="3481"/>
    <d v="2025-08-22T00:00:00"/>
    <x v="3"/>
    <x v="5"/>
    <s v="GMP"/>
    <s v="Business"/>
    <n v="108"/>
    <n v="655.4"/>
    <n v="24"/>
    <s v="On Time"/>
    <n v="70783.199999999997"/>
    <s v="Aug"/>
    <n v="2025"/>
    <n v="70783.199999999997"/>
    <s v="Minor Delay"/>
  </r>
  <r>
    <n v="3482"/>
    <d v="2025-01-13T00:00:00"/>
    <x v="5"/>
    <x v="7"/>
    <s v="MNL"/>
    <s v="Economy"/>
    <n v="299"/>
    <n v="688.85"/>
    <n v="0"/>
    <s v="On Time"/>
    <n v="205966.15"/>
    <s v="Jan"/>
    <n v="2025"/>
    <n v="205966.15"/>
    <s v="On Time"/>
  </r>
  <r>
    <n v="3483"/>
    <d v="2025-08-30T00:00:00"/>
    <x v="5"/>
    <x v="1"/>
    <s v="PUS"/>
    <s v="Premium Economy"/>
    <n v="231"/>
    <n v="636.02"/>
    <n v="67"/>
    <s v="Delayed"/>
    <n v="146920.62"/>
    <s v="Aug"/>
    <n v="2025"/>
    <n v="146920.62"/>
    <s v="Major Delay"/>
  </r>
  <r>
    <n v="3484"/>
    <d v="2025-08-08T00:00:00"/>
    <x v="5"/>
    <x v="6"/>
    <s v="BKK"/>
    <s v="Economy"/>
    <n v="72"/>
    <n v="659.58"/>
    <n v="41"/>
    <s v="On Time"/>
    <n v="47489.760000000002"/>
    <s v="Aug"/>
    <n v="2025"/>
    <n v="47489.760000000002"/>
    <s v="Moderate Delay"/>
  </r>
  <r>
    <n v="3485"/>
    <d v="2025-02-08T00:00:00"/>
    <x v="4"/>
    <x v="2"/>
    <s v="CJU"/>
    <s v="Business"/>
    <n v="218"/>
    <n v="183.13"/>
    <n v="50"/>
    <s v="On Time"/>
    <n v="39922.339999999997"/>
    <s v="Feb"/>
    <n v="2025"/>
    <n v="39922.339999999997"/>
    <s v="Moderate Delay"/>
  </r>
  <r>
    <n v="3486"/>
    <d v="2025-11-25T00:00:00"/>
    <x v="5"/>
    <x v="0"/>
    <s v="SIN"/>
    <s v="Business"/>
    <n v="256"/>
    <n v="784.05"/>
    <n v="0"/>
    <s v="Delayed"/>
    <n v="200716.79999999999"/>
    <s v="Nov"/>
    <n v="2025"/>
    <n v="200716.79999999999"/>
    <s v="On Time"/>
  </r>
  <r>
    <n v="3487"/>
    <d v="2025-06-13T00:00:00"/>
    <x v="2"/>
    <x v="4"/>
    <s v="MNL"/>
    <s v="Premium Economy"/>
    <n v="211"/>
    <n v="525.54999999999995"/>
    <n v="2"/>
    <s v="On Time"/>
    <n v="110891.05"/>
    <s v="Jun"/>
    <n v="2025"/>
    <n v="110891.04999999999"/>
    <s v="Minor Delay"/>
  </r>
  <r>
    <n v="3488"/>
    <d v="2025-05-24T00:00:00"/>
    <x v="4"/>
    <x v="3"/>
    <s v="BKK"/>
    <s v="Economy"/>
    <n v="78"/>
    <n v="445.37"/>
    <n v="36"/>
    <s v="On Time"/>
    <n v="34738.86"/>
    <s v="May"/>
    <n v="2025"/>
    <n v="34738.86"/>
    <s v="Moderate Delay"/>
  </r>
  <r>
    <n v="3489"/>
    <d v="2025-02-13T00:00:00"/>
    <x v="0"/>
    <x v="6"/>
    <s v="KIX"/>
    <s v="Premium Economy"/>
    <n v="285"/>
    <n v="393.11"/>
    <n v="15"/>
    <s v="On Time"/>
    <n v="112036.35"/>
    <s v="Feb"/>
    <n v="2025"/>
    <n v="112036.35"/>
    <s v="Minor Delay"/>
  </r>
  <r>
    <n v="3490"/>
    <d v="2025-10-10T00:00:00"/>
    <x v="3"/>
    <x v="5"/>
    <s v="NRT"/>
    <s v="Business"/>
    <n v="188"/>
    <n v="134.19999999999999"/>
    <n v="19"/>
    <s v="On Time"/>
    <n v="25229.599999999999"/>
    <s v="Oct"/>
    <n v="2025"/>
    <n v="25229.599999999999"/>
    <s v="Minor Delay"/>
  </r>
  <r>
    <n v="3491"/>
    <d v="2025-09-20T00:00:00"/>
    <x v="4"/>
    <x v="8"/>
    <s v="BKK"/>
    <s v="Economy"/>
    <n v="187"/>
    <n v="636.16"/>
    <n v="14"/>
    <s v="On Time"/>
    <n v="118961.92"/>
    <s v="Sep"/>
    <n v="2025"/>
    <n v="118961.92"/>
    <s v="Minor Delay"/>
  </r>
  <r>
    <n v="3492"/>
    <d v="2025-03-26T00:00:00"/>
    <x v="1"/>
    <x v="1"/>
    <s v="CJU"/>
    <s v="Economy"/>
    <n v="116"/>
    <n v="549.79"/>
    <n v="48"/>
    <s v="On Time"/>
    <n v="63775.64"/>
    <s v="Mar"/>
    <n v="2025"/>
    <n v="63775.64"/>
    <s v="Moderate Delay"/>
  </r>
  <r>
    <n v="3493"/>
    <d v="2025-05-17T00:00:00"/>
    <x v="1"/>
    <x v="2"/>
    <s v="BKK"/>
    <s v="Economy"/>
    <n v="78"/>
    <n v="196.59"/>
    <n v="28"/>
    <s v="On Time"/>
    <n v="15334.02"/>
    <s v="May"/>
    <n v="2025"/>
    <n v="15334.02"/>
    <s v="Minor Delay"/>
  </r>
  <r>
    <n v="3494"/>
    <d v="2025-09-18T00:00:00"/>
    <x v="2"/>
    <x v="2"/>
    <s v="ICN"/>
    <s v="Premium Economy"/>
    <n v="285"/>
    <n v="275.39999999999998"/>
    <n v="34"/>
    <s v="Delayed"/>
    <n v="78489"/>
    <s v="Sep"/>
    <n v="2025"/>
    <n v="78489"/>
    <s v="Moderate Delay"/>
  </r>
  <r>
    <n v="3495"/>
    <d v="2025-08-04T00:00:00"/>
    <x v="3"/>
    <x v="5"/>
    <s v="GMP"/>
    <s v="Business"/>
    <n v="173"/>
    <n v="382.26"/>
    <n v="38"/>
    <s v="On Time"/>
    <n v="66130.98"/>
    <s v="Aug"/>
    <n v="2025"/>
    <n v="66130.98"/>
    <s v="Moderate Delay"/>
  </r>
  <r>
    <n v="3496"/>
    <d v="2025-01-02T00:00:00"/>
    <x v="2"/>
    <x v="7"/>
    <s v="BKK"/>
    <s v="Premium Economy"/>
    <n v="217"/>
    <n v="417.26"/>
    <n v="16"/>
    <s v="Delayed"/>
    <n v="90545.42"/>
    <s v="Jan"/>
    <n v="2025"/>
    <n v="90545.42"/>
    <s v="Minor Delay"/>
  </r>
  <r>
    <n v="3497"/>
    <d v="2025-02-18T00:00:00"/>
    <x v="2"/>
    <x v="1"/>
    <s v="CJU"/>
    <s v="Economy"/>
    <n v="60"/>
    <n v="268.63"/>
    <n v="0"/>
    <s v="On Time"/>
    <n v="16117.8"/>
    <s v="Feb"/>
    <n v="2025"/>
    <n v="16117.8"/>
    <s v="On Time"/>
  </r>
  <r>
    <n v="3498"/>
    <d v="2025-09-14T00:00:00"/>
    <x v="2"/>
    <x v="4"/>
    <s v="GMP"/>
    <s v="Business"/>
    <n v="106"/>
    <n v="93.09"/>
    <n v="15"/>
    <s v="Delayed"/>
    <n v="9867.5400000000009"/>
    <s v="Sep"/>
    <n v="2025"/>
    <n v="9867.5400000000009"/>
    <s v="Minor Delay"/>
  </r>
  <r>
    <n v="3499"/>
    <d v="2025-06-02T00:00:00"/>
    <x v="3"/>
    <x v="7"/>
    <s v="MNL"/>
    <s v="Premium Economy"/>
    <n v="253"/>
    <n v="356.45"/>
    <n v="0"/>
    <s v="On Time"/>
    <n v="90181.85"/>
    <s v="Jun"/>
    <n v="2025"/>
    <n v="90181.849999999991"/>
    <s v="On Time"/>
  </r>
  <r>
    <n v="3500"/>
    <d v="2025-01-19T00:00:00"/>
    <x v="4"/>
    <x v="0"/>
    <s v="MNL"/>
    <s v="Business"/>
    <n v="281"/>
    <n v="566.66999999999996"/>
    <n v="1"/>
    <s v="On Time"/>
    <n v="159234.26999999999"/>
    <s v="Jan"/>
    <n v="2025"/>
    <n v="159234.26999999999"/>
    <s v="Minor Delay"/>
  </r>
  <r>
    <n v="3501"/>
    <d v="2025-05-09T00:00:00"/>
    <x v="5"/>
    <x v="5"/>
    <s v="MNL"/>
    <s v="Economy"/>
    <n v="297"/>
    <n v="477.77"/>
    <n v="12"/>
    <s v="On Time"/>
    <n v="141897.69"/>
    <s v="May"/>
    <n v="2025"/>
    <n v="141897.69"/>
    <s v="Minor Delay"/>
  </r>
  <r>
    <n v="3502"/>
    <d v="2025-06-22T00:00:00"/>
    <x v="3"/>
    <x v="4"/>
    <s v="CJU"/>
    <s v="Economy"/>
    <n v="230"/>
    <n v="771.38"/>
    <n v="0"/>
    <s v="On Time"/>
    <n v="177417.4"/>
    <s v="Jun"/>
    <n v="2025"/>
    <n v="177417.4"/>
    <s v="On Time"/>
  </r>
  <r>
    <n v="3503"/>
    <d v="2025-10-10T00:00:00"/>
    <x v="1"/>
    <x v="5"/>
    <s v="CJU"/>
    <s v="Business"/>
    <n v="271"/>
    <n v="336.59"/>
    <n v="5"/>
    <s v="Cancelled"/>
    <n v="91215.89"/>
    <s v="Oct"/>
    <n v="2025"/>
    <n v="91215.89"/>
    <s v="Minor Delay"/>
  </r>
  <r>
    <n v="3504"/>
    <d v="2025-08-26T00:00:00"/>
    <x v="1"/>
    <x v="7"/>
    <s v="MNL"/>
    <s v="Premium Economy"/>
    <n v="120"/>
    <n v="189.61"/>
    <n v="12"/>
    <s v="Delayed"/>
    <n v="22753.200000000001"/>
    <s v="Aug"/>
    <n v="2025"/>
    <n v="22753.200000000001"/>
    <s v="Minor Delay"/>
  </r>
  <r>
    <n v="3505"/>
    <d v="2025-11-03T00:00:00"/>
    <x v="0"/>
    <x v="2"/>
    <s v="GMP"/>
    <s v="Business"/>
    <n v="280"/>
    <n v="354.5"/>
    <n v="52"/>
    <s v="Delayed"/>
    <n v="99260"/>
    <s v="Nov"/>
    <n v="2025"/>
    <n v="99260"/>
    <s v="Moderate Delay"/>
  </r>
  <r>
    <n v="3506"/>
    <d v="2025-03-13T00:00:00"/>
    <x v="0"/>
    <x v="1"/>
    <s v="ICN"/>
    <s v="Economy"/>
    <n v="158"/>
    <n v="482.83"/>
    <n v="58"/>
    <s v="Delayed"/>
    <n v="76287.14"/>
    <s v="Mar"/>
    <n v="2025"/>
    <n v="76287.14"/>
    <s v="Moderate Delay"/>
  </r>
  <r>
    <n v="3507"/>
    <d v="2025-07-07T00:00:00"/>
    <x v="4"/>
    <x v="5"/>
    <s v="SIN"/>
    <s v="Business"/>
    <n v="52"/>
    <n v="164.76"/>
    <n v="38"/>
    <s v="On Time"/>
    <n v="8567.52"/>
    <s v="Jul"/>
    <n v="2025"/>
    <n v="8567.52"/>
    <s v="Moderate Delay"/>
  </r>
  <r>
    <n v="3508"/>
    <d v="2025-09-15T00:00:00"/>
    <x v="4"/>
    <x v="3"/>
    <s v="PUS"/>
    <s v="Economy"/>
    <n v="224"/>
    <n v="681.01"/>
    <n v="0"/>
    <s v="On Time"/>
    <n v="152546.23999999999"/>
    <s v="Sep"/>
    <n v="2025"/>
    <n v="152546.23999999999"/>
    <s v="On Time"/>
  </r>
  <r>
    <n v="3509"/>
    <d v="2025-07-05T00:00:00"/>
    <x v="2"/>
    <x v="5"/>
    <s v="MNL"/>
    <s v="Economy"/>
    <n v="276"/>
    <n v="654.54"/>
    <n v="36"/>
    <s v="On Time"/>
    <n v="180653.04"/>
    <s v="Jul"/>
    <n v="2025"/>
    <n v="180653.03999999998"/>
    <s v="Moderate Delay"/>
  </r>
  <r>
    <n v="3510"/>
    <d v="2025-10-21T00:00:00"/>
    <x v="0"/>
    <x v="4"/>
    <s v="MNL"/>
    <s v="Business"/>
    <n v="230"/>
    <n v="315.42"/>
    <n v="0"/>
    <s v="On Time"/>
    <n v="72546.600000000006"/>
    <s v="Oct"/>
    <n v="2025"/>
    <n v="72546.600000000006"/>
    <s v="On Time"/>
  </r>
  <r>
    <n v="3511"/>
    <d v="2025-06-05T00:00:00"/>
    <x v="1"/>
    <x v="7"/>
    <s v="GMP"/>
    <s v="Economy"/>
    <n v="88"/>
    <n v="734.05"/>
    <n v="20"/>
    <s v="On Time"/>
    <n v="64596.4"/>
    <s v="Jun"/>
    <n v="2025"/>
    <n v="64596.399999999994"/>
    <s v="Minor Delay"/>
  </r>
  <r>
    <n v="3512"/>
    <d v="2025-10-17T00:00:00"/>
    <x v="5"/>
    <x v="6"/>
    <s v="MNL"/>
    <s v="Economy"/>
    <n v="288"/>
    <n v="223.2"/>
    <n v="30"/>
    <s v="Delayed"/>
    <n v="64281.599999999999"/>
    <s v="Oct"/>
    <n v="2025"/>
    <n v="64281.599999999999"/>
    <s v="Minor Delay"/>
  </r>
  <r>
    <n v="3513"/>
    <d v="2025-09-10T00:00:00"/>
    <x v="2"/>
    <x v="8"/>
    <s v="GMP"/>
    <s v="Economy"/>
    <n v="269"/>
    <n v="419.59"/>
    <n v="26"/>
    <s v="On Time"/>
    <n v="112869.71"/>
    <s v="Sep"/>
    <n v="2025"/>
    <n v="112869.70999999999"/>
    <s v="Minor Delay"/>
  </r>
  <r>
    <n v="3514"/>
    <d v="2025-10-21T00:00:00"/>
    <x v="4"/>
    <x v="8"/>
    <s v="ICN"/>
    <s v="Economy"/>
    <n v="83"/>
    <n v="247.7"/>
    <n v="21"/>
    <s v="Delayed"/>
    <n v="20559.099999999999"/>
    <s v="Oct"/>
    <n v="2025"/>
    <n v="20559.099999999999"/>
    <s v="Minor Delay"/>
  </r>
  <r>
    <n v="3515"/>
    <d v="2025-06-18T00:00:00"/>
    <x v="1"/>
    <x v="1"/>
    <s v="ICN"/>
    <s v="Premium Economy"/>
    <n v="114"/>
    <n v="460.24"/>
    <n v="24"/>
    <s v="On Time"/>
    <n v="52467.360000000001"/>
    <s v="Jun"/>
    <n v="2025"/>
    <n v="52467.360000000001"/>
    <s v="Minor Delay"/>
  </r>
  <r>
    <n v="3516"/>
    <d v="2025-05-03T00:00:00"/>
    <x v="2"/>
    <x v="3"/>
    <s v="PUS"/>
    <s v="Premium Economy"/>
    <n v="193"/>
    <n v="251.56"/>
    <n v="55"/>
    <s v="On Time"/>
    <n v="48551.08"/>
    <s v="May"/>
    <n v="2025"/>
    <n v="48551.08"/>
    <s v="Moderate Delay"/>
  </r>
  <r>
    <n v="3517"/>
    <d v="2025-08-23T00:00:00"/>
    <x v="2"/>
    <x v="8"/>
    <s v="BKK"/>
    <s v="Business"/>
    <n v="161"/>
    <n v="694.7"/>
    <n v="40"/>
    <s v="On Time"/>
    <n v="111846.7"/>
    <s v="Aug"/>
    <n v="2025"/>
    <n v="111846.70000000001"/>
    <s v="Moderate Delay"/>
  </r>
  <r>
    <n v="3518"/>
    <d v="2025-02-10T00:00:00"/>
    <x v="3"/>
    <x v="8"/>
    <s v="PUS"/>
    <s v="Premium Economy"/>
    <n v="244"/>
    <n v="234.89"/>
    <n v="21"/>
    <s v="On Time"/>
    <n v="57313.16"/>
    <s v="Feb"/>
    <n v="2025"/>
    <n v="57313.159999999996"/>
    <s v="Minor Delay"/>
  </r>
  <r>
    <n v="3519"/>
    <d v="2025-10-25T00:00:00"/>
    <x v="2"/>
    <x v="7"/>
    <s v="KIX"/>
    <s v="Business"/>
    <n v="262"/>
    <n v="594.70000000000005"/>
    <n v="0"/>
    <s v="Cancelled"/>
    <n v="155811.4"/>
    <s v="Oct"/>
    <n v="2025"/>
    <n v="155811.40000000002"/>
    <s v="On Time"/>
  </r>
  <r>
    <n v="3520"/>
    <d v="2025-03-01T00:00:00"/>
    <x v="1"/>
    <x v="4"/>
    <s v="BKK"/>
    <s v="Premium Economy"/>
    <n v="188"/>
    <n v="267.87"/>
    <n v="36"/>
    <s v="On Time"/>
    <n v="50359.56"/>
    <s v="Mar"/>
    <n v="2025"/>
    <n v="50359.56"/>
    <s v="Moderate Delay"/>
  </r>
  <r>
    <n v="3521"/>
    <d v="2025-12-25T00:00:00"/>
    <x v="2"/>
    <x v="5"/>
    <s v="KIX"/>
    <s v="Business"/>
    <n v="255"/>
    <n v="220.74"/>
    <n v="28"/>
    <s v="On Time"/>
    <n v="56288.7"/>
    <s v="Dec"/>
    <n v="2025"/>
    <n v="56288.700000000004"/>
    <s v="Minor Delay"/>
  </r>
  <r>
    <n v="3522"/>
    <d v="2025-05-29T00:00:00"/>
    <x v="0"/>
    <x v="5"/>
    <s v="BKK"/>
    <s v="Premium Economy"/>
    <n v="63"/>
    <n v="396.71"/>
    <n v="27"/>
    <s v="On Time"/>
    <n v="24992.73"/>
    <s v="May"/>
    <n v="2025"/>
    <n v="24992.73"/>
    <s v="Minor Delay"/>
  </r>
  <r>
    <n v="3523"/>
    <d v="2025-09-02T00:00:00"/>
    <x v="2"/>
    <x v="3"/>
    <s v="NRT"/>
    <s v="Economy"/>
    <n v="76"/>
    <n v="139.55000000000001"/>
    <n v="0"/>
    <s v="On Time"/>
    <n v="10605.8"/>
    <s v="Sep"/>
    <n v="2025"/>
    <n v="10605.800000000001"/>
    <s v="On Time"/>
  </r>
  <r>
    <n v="3524"/>
    <d v="2025-07-05T00:00:00"/>
    <x v="4"/>
    <x v="4"/>
    <s v="SIN"/>
    <s v="Business"/>
    <n v="240"/>
    <n v="319.81"/>
    <n v="27"/>
    <s v="On Time"/>
    <n v="76754.399999999994"/>
    <s v="Jul"/>
    <n v="2025"/>
    <n v="76754.399999999994"/>
    <s v="Minor Delay"/>
  </r>
  <r>
    <n v="3525"/>
    <d v="2025-03-19T00:00:00"/>
    <x v="0"/>
    <x v="7"/>
    <s v="SIN"/>
    <s v="Premium Economy"/>
    <n v="224"/>
    <n v="486.7"/>
    <n v="13"/>
    <s v="Delayed"/>
    <n v="109020.8"/>
    <s v="Mar"/>
    <n v="2025"/>
    <n v="109020.8"/>
    <s v="Minor Delay"/>
  </r>
  <r>
    <n v="3526"/>
    <d v="2025-10-24T00:00:00"/>
    <x v="1"/>
    <x v="5"/>
    <s v="NRT"/>
    <s v="Business"/>
    <n v="179"/>
    <n v="250.79"/>
    <n v="41"/>
    <s v="On Time"/>
    <n v="44891.41"/>
    <s v="Oct"/>
    <n v="2025"/>
    <n v="44891.409999999996"/>
    <s v="Moderate Delay"/>
  </r>
  <r>
    <n v="3527"/>
    <d v="2025-08-02T00:00:00"/>
    <x v="1"/>
    <x v="6"/>
    <s v="KIX"/>
    <s v="Premium Economy"/>
    <n v="147"/>
    <n v="595.44000000000005"/>
    <n v="17"/>
    <s v="Delayed"/>
    <n v="87529.68"/>
    <s v="Aug"/>
    <n v="2025"/>
    <n v="87529.680000000008"/>
    <s v="Minor Delay"/>
  </r>
  <r>
    <n v="3528"/>
    <d v="2025-04-22T00:00:00"/>
    <x v="5"/>
    <x v="1"/>
    <s v="GMP"/>
    <s v="Economy"/>
    <n v="288"/>
    <n v="363.23"/>
    <n v="4"/>
    <s v="On Time"/>
    <n v="104610.24000000001"/>
    <s v="Apr"/>
    <n v="2025"/>
    <n v="104610.24000000001"/>
    <s v="Minor Delay"/>
  </r>
  <r>
    <n v="3529"/>
    <d v="2025-08-14T00:00:00"/>
    <x v="2"/>
    <x v="5"/>
    <s v="SIN"/>
    <s v="Premium Economy"/>
    <n v="202"/>
    <n v="337.19"/>
    <n v="55"/>
    <s v="On Time"/>
    <n v="68112.38"/>
    <s v="Aug"/>
    <n v="2025"/>
    <n v="68112.38"/>
    <s v="Moderate Delay"/>
  </r>
  <r>
    <n v="3530"/>
    <d v="2025-07-12T00:00:00"/>
    <x v="0"/>
    <x v="1"/>
    <s v="CJU"/>
    <s v="Premium Economy"/>
    <n v="169"/>
    <n v="496.05"/>
    <n v="29"/>
    <s v="Delayed"/>
    <n v="83832.45"/>
    <s v="Jul"/>
    <n v="2025"/>
    <n v="83832.45"/>
    <s v="Minor Delay"/>
  </r>
  <r>
    <n v="3531"/>
    <d v="2025-12-10T00:00:00"/>
    <x v="1"/>
    <x v="8"/>
    <s v="GMP"/>
    <s v="Economy"/>
    <n v="292"/>
    <n v="383.98"/>
    <n v="21"/>
    <s v="On Time"/>
    <n v="112122.16"/>
    <s v="Dec"/>
    <n v="2025"/>
    <n v="112122.16"/>
    <s v="Minor Delay"/>
  </r>
  <r>
    <n v="3532"/>
    <d v="2025-04-06T00:00:00"/>
    <x v="3"/>
    <x v="1"/>
    <s v="CJU"/>
    <s v="Economy"/>
    <n v="154"/>
    <n v="459.33"/>
    <n v="43"/>
    <s v="Delayed"/>
    <n v="70736.820000000007"/>
    <s v="Apr"/>
    <n v="2025"/>
    <n v="70736.819999999992"/>
    <s v="Moderate Delay"/>
  </r>
  <r>
    <n v="3533"/>
    <d v="2025-04-14T00:00:00"/>
    <x v="0"/>
    <x v="7"/>
    <s v="KIX"/>
    <s v="Economy"/>
    <n v="99"/>
    <n v="566.46"/>
    <n v="21"/>
    <s v="On Time"/>
    <n v="56079.54"/>
    <s v="Apr"/>
    <n v="2025"/>
    <n v="56079.54"/>
    <s v="Minor Delay"/>
  </r>
  <r>
    <n v="3534"/>
    <d v="2025-05-24T00:00:00"/>
    <x v="2"/>
    <x v="2"/>
    <s v="KIX"/>
    <s v="Economy"/>
    <n v="251"/>
    <n v="356.84"/>
    <n v="11"/>
    <s v="On Time"/>
    <n v="89566.84"/>
    <s v="May"/>
    <n v="2025"/>
    <n v="89566.84"/>
    <s v="Minor Delay"/>
  </r>
  <r>
    <n v="3535"/>
    <d v="2025-10-17T00:00:00"/>
    <x v="4"/>
    <x v="5"/>
    <s v="MNL"/>
    <s v="Business"/>
    <n v="108"/>
    <n v="563.24"/>
    <n v="54"/>
    <s v="On Time"/>
    <n v="60829.919999999998"/>
    <s v="Oct"/>
    <n v="2025"/>
    <n v="60829.919999999998"/>
    <s v="Moderate Delay"/>
  </r>
  <r>
    <n v="3536"/>
    <d v="2025-08-13T00:00:00"/>
    <x v="5"/>
    <x v="2"/>
    <s v="BKK"/>
    <s v="Premium Economy"/>
    <n v="132"/>
    <n v="636.11"/>
    <n v="20"/>
    <s v="On Time"/>
    <n v="83966.52"/>
    <s v="Aug"/>
    <n v="2025"/>
    <n v="83966.52"/>
    <s v="Minor Delay"/>
  </r>
  <r>
    <n v="3537"/>
    <d v="2025-09-16T00:00:00"/>
    <x v="4"/>
    <x v="0"/>
    <s v="PUS"/>
    <s v="Economy"/>
    <n v="173"/>
    <n v="589.4"/>
    <n v="61"/>
    <s v="Delayed"/>
    <n v="101966.2"/>
    <s v="Sep"/>
    <n v="2025"/>
    <n v="101966.2"/>
    <s v="Major Delay"/>
  </r>
  <r>
    <n v="3538"/>
    <d v="2025-09-29T00:00:00"/>
    <x v="5"/>
    <x v="4"/>
    <s v="KIX"/>
    <s v="Premium Economy"/>
    <n v="123"/>
    <n v="453.46"/>
    <n v="33"/>
    <s v="On Time"/>
    <n v="55775.58"/>
    <s v="Sep"/>
    <n v="2025"/>
    <n v="55775.579999999994"/>
    <s v="Moderate Delay"/>
  </r>
  <r>
    <n v="3539"/>
    <d v="2025-02-24T00:00:00"/>
    <x v="1"/>
    <x v="3"/>
    <s v="PUS"/>
    <s v="Business"/>
    <n v="211"/>
    <n v="617.54999999999995"/>
    <n v="33"/>
    <s v="On Time"/>
    <n v="130303.05"/>
    <s v="Feb"/>
    <n v="2025"/>
    <n v="130303.04999999999"/>
    <s v="Moderate Delay"/>
  </r>
  <r>
    <n v="3540"/>
    <d v="2025-06-09T00:00:00"/>
    <x v="0"/>
    <x v="3"/>
    <s v="BKK"/>
    <s v="Business"/>
    <n v="255"/>
    <n v="64.78"/>
    <n v="0"/>
    <s v="On Time"/>
    <n v="16518.900000000001"/>
    <s v="Jun"/>
    <n v="2025"/>
    <n v="16518.900000000001"/>
    <s v="On Time"/>
  </r>
  <r>
    <n v="3541"/>
    <d v="2025-06-04T00:00:00"/>
    <x v="0"/>
    <x v="8"/>
    <s v="BKK"/>
    <s v="Premium Economy"/>
    <n v="135"/>
    <n v="652.53"/>
    <n v="0"/>
    <s v="Delayed"/>
    <n v="88091.55"/>
    <s v="Jun"/>
    <n v="2025"/>
    <n v="88091.55"/>
    <s v="On Time"/>
  </r>
  <r>
    <n v="3542"/>
    <d v="2025-10-06T00:00:00"/>
    <x v="2"/>
    <x v="6"/>
    <s v="MNL"/>
    <s v="Economy"/>
    <n v="223"/>
    <n v="193.52"/>
    <n v="26"/>
    <s v="On Time"/>
    <n v="43154.96"/>
    <s v="Oct"/>
    <n v="2025"/>
    <n v="43154.96"/>
    <s v="Minor Delay"/>
  </r>
  <r>
    <n v="3543"/>
    <d v="2025-03-04T00:00:00"/>
    <x v="0"/>
    <x v="7"/>
    <s v="PUS"/>
    <s v="Economy"/>
    <n v="284"/>
    <n v="415.6"/>
    <n v="29"/>
    <s v="Delayed"/>
    <n v="118030.39999999999"/>
    <s v="Mar"/>
    <n v="2025"/>
    <n v="118030.40000000001"/>
    <s v="Minor Delay"/>
  </r>
  <r>
    <n v="3544"/>
    <d v="2025-08-01T00:00:00"/>
    <x v="0"/>
    <x v="3"/>
    <s v="MNL"/>
    <s v="Business"/>
    <n v="248"/>
    <n v="486.75"/>
    <n v="13"/>
    <s v="On Time"/>
    <n v="120714"/>
    <s v="Aug"/>
    <n v="2025"/>
    <n v="120714"/>
    <s v="Minor Delay"/>
  </r>
  <r>
    <n v="3545"/>
    <d v="2025-03-23T00:00:00"/>
    <x v="5"/>
    <x v="8"/>
    <s v="SIN"/>
    <s v="Premium Economy"/>
    <n v="101"/>
    <n v="671.51"/>
    <n v="14"/>
    <s v="On Time"/>
    <n v="67822.509999999995"/>
    <s v="Mar"/>
    <n v="2025"/>
    <n v="67822.509999999995"/>
    <s v="Minor Delay"/>
  </r>
  <r>
    <n v="3546"/>
    <d v="2025-07-29T00:00:00"/>
    <x v="0"/>
    <x v="4"/>
    <s v="BKK"/>
    <s v="Business"/>
    <n v="259"/>
    <n v="143.69"/>
    <n v="1"/>
    <s v="Delayed"/>
    <n v="37215.71"/>
    <s v="Jul"/>
    <n v="2025"/>
    <n v="37215.71"/>
    <s v="Minor Delay"/>
  </r>
  <r>
    <n v="3547"/>
    <d v="2025-06-03T00:00:00"/>
    <x v="1"/>
    <x v="1"/>
    <s v="NRT"/>
    <s v="Premium Economy"/>
    <n v="52"/>
    <n v="233.5"/>
    <n v="22"/>
    <s v="On Time"/>
    <n v="12142"/>
    <s v="Jun"/>
    <n v="2025"/>
    <n v="12142"/>
    <s v="Minor Delay"/>
  </r>
  <r>
    <n v="3548"/>
    <d v="2025-01-10T00:00:00"/>
    <x v="4"/>
    <x v="8"/>
    <s v="ICN"/>
    <s v="Economy"/>
    <n v="229"/>
    <n v="90.58"/>
    <n v="0"/>
    <s v="On Time"/>
    <n v="20742.82"/>
    <s v="Jan"/>
    <n v="2025"/>
    <n v="20742.82"/>
    <s v="On Time"/>
  </r>
  <r>
    <n v="3549"/>
    <d v="2025-12-17T00:00:00"/>
    <x v="1"/>
    <x v="4"/>
    <s v="BKK"/>
    <s v="Economy"/>
    <n v="290"/>
    <n v="75.69"/>
    <n v="3"/>
    <s v="On Time"/>
    <n v="21950.1"/>
    <s v="Dec"/>
    <n v="2025"/>
    <n v="21950.1"/>
    <s v="Minor Delay"/>
  </r>
  <r>
    <n v="3550"/>
    <d v="2025-09-08T00:00:00"/>
    <x v="4"/>
    <x v="5"/>
    <s v="CJU"/>
    <s v="Premium Economy"/>
    <n v="143"/>
    <n v="760.87"/>
    <n v="0"/>
    <s v="On Time"/>
    <n v="108804.41"/>
    <s v="Sep"/>
    <n v="2025"/>
    <n v="108804.41"/>
    <s v="On Time"/>
  </r>
  <r>
    <n v="3551"/>
    <d v="2025-11-14T00:00:00"/>
    <x v="0"/>
    <x v="4"/>
    <s v="SIN"/>
    <s v="Business"/>
    <n v="271"/>
    <n v="575.16999999999996"/>
    <n v="69"/>
    <s v="On Time"/>
    <n v="155871.07"/>
    <s v="Nov"/>
    <n v="2025"/>
    <n v="155871.06999999998"/>
    <s v="Major Delay"/>
  </r>
  <r>
    <n v="3552"/>
    <d v="2025-06-13T00:00:00"/>
    <x v="3"/>
    <x v="7"/>
    <s v="SIN"/>
    <s v="Business"/>
    <n v="54"/>
    <n v="637.14"/>
    <n v="37"/>
    <s v="On Time"/>
    <n v="34405.56"/>
    <s v="Jun"/>
    <n v="2025"/>
    <n v="34405.56"/>
    <s v="Moderate Delay"/>
  </r>
  <r>
    <n v="3553"/>
    <d v="2025-05-10T00:00:00"/>
    <x v="4"/>
    <x v="1"/>
    <s v="SIN"/>
    <s v="Economy"/>
    <n v="261"/>
    <n v="97.59"/>
    <n v="36"/>
    <s v="On Time"/>
    <n v="25470.99"/>
    <s v="May"/>
    <n v="2025"/>
    <n v="25470.99"/>
    <s v="Moderate Delay"/>
  </r>
  <r>
    <n v="3554"/>
    <d v="2025-10-05T00:00:00"/>
    <x v="0"/>
    <x v="3"/>
    <s v="NRT"/>
    <s v="Economy"/>
    <n v="53"/>
    <n v="483.92"/>
    <n v="1"/>
    <s v="On Time"/>
    <n v="25647.759999999998"/>
    <s v="Oct"/>
    <n v="2025"/>
    <n v="25647.760000000002"/>
    <s v="Minor Delay"/>
  </r>
  <r>
    <n v="3555"/>
    <d v="2025-05-02T00:00:00"/>
    <x v="3"/>
    <x v="8"/>
    <s v="CJU"/>
    <s v="Business"/>
    <n v="105"/>
    <n v="354.44"/>
    <n v="19"/>
    <s v="On Time"/>
    <n v="37216.199999999997"/>
    <s v="May"/>
    <n v="2025"/>
    <n v="37216.199999999997"/>
    <s v="Minor Delay"/>
  </r>
  <r>
    <n v="3556"/>
    <d v="2025-06-21T00:00:00"/>
    <x v="2"/>
    <x v="0"/>
    <s v="KIX"/>
    <s v="Business"/>
    <n v="89"/>
    <n v="229.55"/>
    <n v="16"/>
    <s v="On Time"/>
    <n v="20429.95"/>
    <s v="Jun"/>
    <n v="2025"/>
    <n v="20429.95"/>
    <s v="Minor Delay"/>
  </r>
  <r>
    <n v="3557"/>
    <d v="2025-12-06T00:00:00"/>
    <x v="5"/>
    <x v="0"/>
    <s v="KIX"/>
    <s v="Premium Economy"/>
    <n v="178"/>
    <n v="580.73"/>
    <n v="0"/>
    <s v="On Time"/>
    <n v="103369.94"/>
    <s v="Dec"/>
    <n v="2025"/>
    <n v="103369.94"/>
    <s v="On Time"/>
  </r>
  <r>
    <n v="3558"/>
    <d v="2025-10-17T00:00:00"/>
    <x v="2"/>
    <x v="5"/>
    <s v="CJU"/>
    <s v="Premium Economy"/>
    <n v="205"/>
    <n v="786.1"/>
    <n v="0"/>
    <s v="Delayed"/>
    <n v="161150.5"/>
    <s v="Oct"/>
    <n v="2025"/>
    <n v="161150.5"/>
    <s v="On Time"/>
  </r>
  <r>
    <n v="3559"/>
    <d v="2025-11-13T00:00:00"/>
    <x v="0"/>
    <x v="7"/>
    <s v="ICN"/>
    <s v="Premium Economy"/>
    <n v="68"/>
    <n v="482.88"/>
    <n v="66"/>
    <s v="On Time"/>
    <n v="32835.839999999997"/>
    <s v="Nov"/>
    <n v="2025"/>
    <n v="32835.839999999997"/>
    <s v="Major Delay"/>
  </r>
  <r>
    <n v="3560"/>
    <d v="2025-05-02T00:00:00"/>
    <x v="0"/>
    <x v="3"/>
    <s v="CJU"/>
    <s v="Business"/>
    <n v="88"/>
    <n v="777.45"/>
    <n v="33"/>
    <s v="On Time"/>
    <n v="68415.600000000006"/>
    <s v="May"/>
    <n v="2025"/>
    <n v="68415.600000000006"/>
    <s v="Moderate Delay"/>
  </r>
  <r>
    <n v="3561"/>
    <d v="2025-10-22T00:00:00"/>
    <x v="3"/>
    <x v="5"/>
    <s v="KIX"/>
    <s v="Economy"/>
    <n v="243"/>
    <n v="412.7"/>
    <n v="12"/>
    <s v="Delayed"/>
    <n v="100286.1"/>
    <s v="Oct"/>
    <n v="2025"/>
    <n v="100286.09999999999"/>
    <s v="Minor Delay"/>
  </r>
  <r>
    <n v="3562"/>
    <d v="2025-06-15T00:00:00"/>
    <x v="1"/>
    <x v="3"/>
    <s v="BKK"/>
    <s v="Economy"/>
    <n v="159"/>
    <n v="683.32"/>
    <n v="32"/>
    <s v="Delayed"/>
    <n v="108647.88"/>
    <s v="Jun"/>
    <n v="2025"/>
    <n v="108647.88"/>
    <s v="Moderate Delay"/>
  </r>
  <r>
    <n v="3563"/>
    <d v="2025-05-25T00:00:00"/>
    <x v="5"/>
    <x v="8"/>
    <s v="GMP"/>
    <s v="Economy"/>
    <n v="299"/>
    <n v="74.349999999999994"/>
    <n v="25"/>
    <s v="Delayed"/>
    <n v="22230.65"/>
    <s v="May"/>
    <n v="2025"/>
    <n v="22230.649999999998"/>
    <s v="Minor Delay"/>
  </r>
  <r>
    <n v="3564"/>
    <d v="2025-06-08T00:00:00"/>
    <x v="0"/>
    <x v="4"/>
    <s v="GMP"/>
    <s v="Premium Economy"/>
    <n v="193"/>
    <n v="659.92"/>
    <n v="0"/>
    <s v="Delayed"/>
    <n v="127364.56"/>
    <s v="Jun"/>
    <n v="2025"/>
    <n v="127364.56"/>
    <s v="On Time"/>
  </r>
  <r>
    <n v="3565"/>
    <d v="2025-07-17T00:00:00"/>
    <x v="0"/>
    <x v="1"/>
    <s v="CJU"/>
    <s v="Premium Economy"/>
    <n v="203"/>
    <n v="119"/>
    <n v="36"/>
    <s v="On Time"/>
    <n v="24157"/>
    <s v="Jul"/>
    <n v="2025"/>
    <n v="24157"/>
    <s v="Moderate Delay"/>
  </r>
  <r>
    <n v="3566"/>
    <d v="2025-08-19T00:00:00"/>
    <x v="0"/>
    <x v="4"/>
    <s v="SIN"/>
    <s v="Business"/>
    <n v="161"/>
    <n v="584.13"/>
    <n v="11"/>
    <s v="On Time"/>
    <n v="94044.93"/>
    <s v="Aug"/>
    <n v="2025"/>
    <n v="94044.93"/>
    <s v="Minor Delay"/>
  </r>
  <r>
    <n v="3567"/>
    <d v="2025-06-02T00:00:00"/>
    <x v="0"/>
    <x v="7"/>
    <s v="KIX"/>
    <s v="Business"/>
    <n v="128"/>
    <n v="206.19"/>
    <n v="56"/>
    <s v="On Time"/>
    <n v="26392.32"/>
    <s v="Jun"/>
    <n v="2025"/>
    <n v="26392.32"/>
    <s v="Moderate Delay"/>
  </r>
  <r>
    <n v="3568"/>
    <d v="2025-03-26T00:00:00"/>
    <x v="5"/>
    <x v="8"/>
    <s v="SIN"/>
    <s v="Premium Economy"/>
    <n v="142"/>
    <n v="412.65"/>
    <n v="0"/>
    <s v="On Time"/>
    <n v="58596.3"/>
    <s v="Mar"/>
    <n v="2025"/>
    <n v="58596.299999999996"/>
    <s v="On Time"/>
  </r>
  <r>
    <n v="3569"/>
    <d v="2025-04-25T00:00:00"/>
    <x v="5"/>
    <x v="1"/>
    <s v="NRT"/>
    <s v="Business"/>
    <n v="215"/>
    <n v="91.83"/>
    <n v="50"/>
    <s v="On Time"/>
    <n v="19743.45"/>
    <s v="Apr"/>
    <n v="2025"/>
    <n v="19743.45"/>
    <s v="Moderate Delay"/>
  </r>
  <r>
    <n v="3570"/>
    <d v="2025-10-01T00:00:00"/>
    <x v="3"/>
    <x v="2"/>
    <s v="KIX"/>
    <s v="Economy"/>
    <n v="214"/>
    <n v="279.64999999999998"/>
    <n v="66"/>
    <s v="On Time"/>
    <n v="59845.1"/>
    <s v="Oct"/>
    <n v="2025"/>
    <n v="59845.1"/>
    <s v="Major Delay"/>
  </r>
  <r>
    <n v="3571"/>
    <d v="2025-11-17T00:00:00"/>
    <x v="1"/>
    <x v="1"/>
    <s v="ICN"/>
    <s v="Business"/>
    <n v="62"/>
    <n v="480.04"/>
    <n v="29"/>
    <s v="On Time"/>
    <n v="29762.48"/>
    <s v="Nov"/>
    <n v="2025"/>
    <n v="29762.48"/>
    <s v="Minor Delay"/>
  </r>
  <r>
    <n v="3572"/>
    <d v="2025-09-02T00:00:00"/>
    <x v="2"/>
    <x v="8"/>
    <s v="PUS"/>
    <s v="Economy"/>
    <n v="123"/>
    <n v="710.45"/>
    <n v="20"/>
    <s v="On Time"/>
    <n v="87385.35"/>
    <s v="Sep"/>
    <n v="2025"/>
    <n v="87385.35"/>
    <s v="Minor Delay"/>
  </r>
  <r>
    <n v="3573"/>
    <d v="2025-07-07T00:00:00"/>
    <x v="4"/>
    <x v="7"/>
    <s v="PUS"/>
    <s v="Business"/>
    <n v="89"/>
    <n v="742.9"/>
    <n v="27"/>
    <s v="On Time"/>
    <n v="66118.100000000006"/>
    <s v="Jul"/>
    <n v="2025"/>
    <n v="66118.099999999991"/>
    <s v="Minor Delay"/>
  </r>
  <r>
    <n v="3574"/>
    <d v="2025-11-19T00:00:00"/>
    <x v="1"/>
    <x v="0"/>
    <s v="KIX"/>
    <s v="Economy"/>
    <n v="223"/>
    <n v="305.74"/>
    <n v="62"/>
    <s v="On Time"/>
    <n v="68180.02"/>
    <s v="Nov"/>
    <n v="2025"/>
    <n v="68180.02"/>
    <s v="Major Delay"/>
  </r>
  <r>
    <n v="3575"/>
    <d v="2025-08-24T00:00:00"/>
    <x v="0"/>
    <x v="0"/>
    <s v="CJU"/>
    <s v="Economy"/>
    <n v="151"/>
    <n v="289.95"/>
    <n v="46"/>
    <s v="Delayed"/>
    <n v="43782.45"/>
    <s v="Aug"/>
    <n v="2025"/>
    <n v="43782.45"/>
    <s v="Moderate Delay"/>
  </r>
  <r>
    <n v="3576"/>
    <d v="2025-01-06T00:00:00"/>
    <x v="3"/>
    <x v="1"/>
    <s v="ICN"/>
    <s v="Economy"/>
    <n v="183"/>
    <n v="256.76"/>
    <n v="31"/>
    <s v="Delayed"/>
    <n v="46987.08"/>
    <s v="Jan"/>
    <n v="2025"/>
    <n v="46987.08"/>
    <s v="Moderate Delay"/>
  </r>
  <r>
    <n v="3577"/>
    <d v="2025-06-18T00:00:00"/>
    <x v="5"/>
    <x v="2"/>
    <s v="NRT"/>
    <s v="Business"/>
    <n v="238"/>
    <n v="261.94"/>
    <n v="24"/>
    <s v="On Time"/>
    <n v="62341.72"/>
    <s v="Jun"/>
    <n v="2025"/>
    <n v="62341.72"/>
    <s v="Minor Delay"/>
  </r>
  <r>
    <n v="3578"/>
    <d v="2025-11-12T00:00:00"/>
    <x v="2"/>
    <x v="2"/>
    <s v="BKK"/>
    <s v="Business"/>
    <n v="156"/>
    <n v="734.58"/>
    <n v="5"/>
    <s v="On Time"/>
    <n v="114594.48"/>
    <s v="Nov"/>
    <n v="2025"/>
    <n v="114594.48000000001"/>
    <s v="Minor Delay"/>
  </r>
  <r>
    <n v="3579"/>
    <d v="2025-06-30T00:00:00"/>
    <x v="0"/>
    <x v="8"/>
    <s v="GMP"/>
    <s v="Business"/>
    <n v="55"/>
    <n v="644.34"/>
    <n v="41"/>
    <s v="On Time"/>
    <n v="35438.699999999997"/>
    <s v="Jun"/>
    <n v="2025"/>
    <n v="35438.700000000004"/>
    <s v="Moderate Delay"/>
  </r>
  <r>
    <n v="3580"/>
    <d v="2025-05-01T00:00:00"/>
    <x v="2"/>
    <x v="4"/>
    <s v="SIN"/>
    <s v="Premium Economy"/>
    <n v="52"/>
    <n v="91.6"/>
    <n v="57"/>
    <s v="On Time"/>
    <n v="4763.2"/>
    <s v="May"/>
    <n v="2025"/>
    <n v="4763.2"/>
    <s v="Moderate Delay"/>
  </r>
  <r>
    <n v="3581"/>
    <d v="2025-12-27T00:00:00"/>
    <x v="3"/>
    <x v="5"/>
    <s v="GMP"/>
    <s v="Economy"/>
    <n v="160"/>
    <n v="282.45"/>
    <n v="11"/>
    <s v="Delayed"/>
    <n v="45192"/>
    <s v="Dec"/>
    <n v="2025"/>
    <n v="45192"/>
    <s v="Minor Delay"/>
  </r>
  <r>
    <n v="3582"/>
    <d v="2025-03-16T00:00:00"/>
    <x v="2"/>
    <x v="4"/>
    <s v="KIX"/>
    <s v="Business"/>
    <n v="175"/>
    <n v="244.57"/>
    <n v="22"/>
    <s v="On Time"/>
    <n v="42799.75"/>
    <s v="Mar"/>
    <n v="2025"/>
    <n v="42799.75"/>
    <s v="Minor Delay"/>
  </r>
  <r>
    <n v="3583"/>
    <d v="2025-05-14T00:00:00"/>
    <x v="3"/>
    <x v="3"/>
    <s v="BKK"/>
    <s v="Economy"/>
    <n v="232"/>
    <n v="741.6"/>
    <n v="28"/>
    <s v="On Time"/>
    <n v="172051.20000000001"/>
    <s v="May"/>
    <n v="2025"/>
    <n v="172051.20000000001"/>
    <s v="Minor Delay"/>
  </r>
  <r>
    <n v="3584"/>
    <d v="2025-12-28T00:00:00"/>
    <x v="3"/>
    <x v="8"/>
    <s v="CJU"/>
    <s v="Economy"/>
    <n v="238"/>
    <n v="380.32"/>
    <n v="36"/>
    <s v="Delayed"/>
    <n v="90516.160000000003"/>
    <s v="Dec"/>
    <n v="2025"/>
    <n v="90516.160000000003"/>
    <s v="Moderate Delay"/>
  </r>
  <r>
    <n v="3585"/>
    <d v="2025-11-15T00:00:00"/>
    <x v="0"/>
    <x v="4"/>
    <s v="PUS"/>
    <s v="Premium Economy"/>
    <n v="294"/>
    <n v="231.09"/>
    <n v="0"/>
    <s v="On Time"/>
    <n v="67940.460000000006"/>
    <s v="Nov"/>
    <n v="2025"/>
    <n v="67940.460000000006"/>
    <s v="On Time"/>
  </r>
  <r>
    <n v="3586"/>
    <d v="2025-12-19T00:00:00"/>
    <x v="4"/>
    <x v="2"/>
    <s v="CJU"/>
    <s v="Economy"/>
    <n v="181"/>
    <n v="406.92"/>
    <n v="4"/>
    <s v="On Time"/>
    <n v="73652.52"/>
    <s v="Dec"/>
    <n v="2025"/>
    <n v="73652.52"/>
    <s v="Minor Delay"/>
  </r>
  <r>
    <n v="3587"/>
    <d v="2025-04-12T00:00:00"/>
    <x v="0"/>
    <x v="3"/>
    <s v="SIN"/>
    <s v="Business"/>
    <n v="75"/>
    <n v="720.03"/>
    <n v="21"/>
    <s v="On Time"/>
    <n v="54002.25"/>
    <s v="Apr"/>
    <n v="2025"/>
    <n v="54002.25"/>
    <s v="Minor Delay"/>
  </r>
  <r>
    <n v="3588"/>
    <d v="2025-11-19T00:00:00"/>
    <x v="3"/>
    <x v="3"/>
    <s v="PUS"/>
    <s v="Economy"/>
    <n v="62"/>
    <n v="193.78"/>
    <n v="78"/>
    <s v="On Time"/>
    <n v="12014.36"/>
    <s v="Nov"/>
    <n v="2025"/>
    <n v="12014.36"/>
    <s v="Major Delay"/>
  </r>
  <r>
    <n v="3589"/>
    <d v="2025-04-02T00:00:00"/>
    <x v="0"/>
    <x v="4"/>
    <s v="GMP"/>
    <s v="Premium Economy"/>
    <n v="244"/>
    <n v="411.98"/>
    <n v="19"/>
    <s v="On Time"/>
    <n v="100523.12"/>
    <s v="Apr"/>
    <n v="2025"/>
    <n v="100523.12000000001"/>
    <s v="Minor Delay"/>
  </r>
  <r>
    <n v="3590"/>
    <d v="2025-03-22T00:00:00"/>
    <x v="1"/>
    <x v="2"/>
    <s v="SIN"/>
    <s v="Economy"/>
    <n v="108"/>
    <n v="316.66000000000003"/>
    <n v="55"/>
    <s v="On Time"/>
    <n v="34199.279999999999"/>
    <s v="Mar"/>
    <n v="2025"/>
    <n v="34199.280000000006"/>
    <s v="Moderate Delay"/>
  </r>
  <r>
    <n v="3591"/>
    <d v="2025-01-25T00:00:00"/>
    <x v="0"/>
    <x v="0"/>
    <s v="MNL"/>
    <s v="Economy"/>
    <n v="260"/>
    <n v="157.72999999999999"/>
    <n v="24"/>
    <s v="On Time"/>
    <n v="41009.800000000003"/>
    <s v="Jan"/>
    <n v="2025"/>
    <n v="41009.799999999996"/>
    <s v="Minor Delay"/>
  </r>
  <r>
    <n v="3592"/>
    <d v="2025-06-16T00:00:00"/>
    <x v="5"/>
    <x v="3"/>
    <s v="BKK"/>
    <s v="Premium Economy"/>
    <n v="63"/>
    <n v="654.94000000000005"/>
    <n v="23"/>
    <s v="Delayed"/>
    <n v="41261.22"/>
    <s v="Jun"/>
    <n v="2025"/>
    <n v="41261.22"/>
    <s v="Minor Delay"/>
  </r>
  <r>
    <n v="3593"/>
    <d v="2025-05-20T00:00:00"/>
    <x v="0"/>
    <x v="4"/>
    <s v="ICN"/>
    <s v="Economy"/>
    <n v="279"/>
    <n v="539.25"/>
    <n v="11"/>
    <s v="On Time"/>
    <n v="150450.75"/>
    <s v="May"/>
    <n v="2025"/>
    <n v="150450.75"/>
    <s v="Minor Delay"/>
  </r>
  <r>
    <n v="3594"/>
    <d v="2025-02-10T00:00:00"/>
    <x v="5"/>
    <x v="4"/>
    <s v="GMP"/>
    <s v="Business"/>
    <n v="90"/>
    <n v="334.79"/>
    <n v="0"/>
    <s v="On Time"/>
    <n v="30131.1"/>
    <s v="Feb"/>
    <n v="2025"/>
    <n v="30131.100000000002"/>
    <s v="On Time"/>
  </r>
  <r>
    <n v="3595"/>
    <d v="2025-06-14T00:00:00"/>
    <x v="0"/>
    <x v="0"/>
    <s v="PUS"/>
    <s v="Business"/>
    <n v="255"/>
    <n v="661.37"/>
    <n v="60"/>
    <s v="On Time"/>
    <n v="168649.35"/>
    <s v="Jun"/>
    <n v="2025"/>
    <n v="168649.35"/>
    <s v="Moderate Delay"/>
  </r>
  <r>
    <n v="3596"/>
    <d v="2025-06-26T00:00:00"/>
    <x v="1"/>
    <x v="0"/>
    <s v="NRT"/>
    <s v="Premium Economy"/>
    <n v="233"/>
    <n v="609.76"/>
    <n v="4"/>
    <s v="On Time"/>
    <n v="142074.07999999999"/>
    <s v="Jun"/>
    <n v="2025"/>
    <n v="142074.07999999999"/>
    <s v="Minor Delay"/>
  </r>
  <r>
    <n v="3597"/>
    <d v="2025-02-05T00:00:00"/>
    <x v="5"/>
    <x v="4"/>
    <s v="KIX"/>
    <s v="Business"/>
    <n v="273"/>
    <n v="408.13"/>
    <n v="5"/>
    <s v="On Time"/>
    <n v="111419.49"/>
    <s v="Feb"/>
    <n v="2025"/>
    <n v="111419.49"/>
    <s v="Minor Delay"/>
  </r>
  <r>
    <n v="3598"/>
    <d v="2025-03-04T00:00:00"/>
    <x v="2"/>
    <x v="3"/>
    <s v="SIN"/>
    <s v="Premium Economy"/>
    <n v="254"/>
    <n v="230.65"/>
    <n v="45"/>
    <s v="Delayed"/>
    <n v="58585.1"/>
    <s v="Mar"/>
    <n v="2025"/>
    <n v="58585.1"/>
    <s v="Moderate Delay"/>
  </r>
  <r>
    <n v="3599"/>
    <d v="2025-07-29T00:00:00"/>
    <x v="0"/>
    <x v="7"/>
    <s v="KIX"/>
    <s v="Economy"/>
    <n v="265"/>
    <n v="640.04"/>
    <n v="38"/>
    <s v="Delayed"/>
    <n v="169610.6"/>
    <s v="Jul"/>
    <n v="2025"/>
    <n v="169610.59999999998"/>
    <s v="Moderate Delay"/>
  </r>
  <r>
    <n v="3600"/>
    <d v="2025-08-10T00:00:00"/>
    <x v="0"/>
    <x v="0"/>
    <s v="BKK"/>
    <s v="Premium Economy"/>
    <n v="83"/>
    <n v="66.849999999999994"/>
    <n v="37"/>
    <s v="On Time"/>
    <n v="5548.55"/>
    <s v="Aug"/>
    <n v="2025"/>
    <n v="5548.5499999999993"/>
    <s v="Moderate Delay"/>
  </r>
  <r>
    <n v="3601"/>
    <d v="2025-02-07T00:00:00"/>
    <x v="4"/>
    <x v="8"/>
    <s v="BKK"/>
    <s v="Economy"/>
    <n v="124"/>
    <n v="173.84"/>
    <n v="7"/>
    <s v="On Time"/>
    <n v="21556.16"/>
    <s v="Feb"/>
    <n v="2025"/>
    <n v="21556.16"/>
    <s v="Minor Delay"/>
  </r>
  <r>
    <n v="3602"/>
    <d v="2025-11-01T00:00:00"/>
    <x v="2"/>
    <x v="3"/>
    <s v="MNL"/>
    <s v="Premium Economy"/>
    <n v="274"/>
    <n v="117.24"/>
    <n v="49"/>
    <s v="On Time"/>
    <n v="32123.759999999998"/>
    <s v="Nov"/>
    <n v="2025"/>
    <n v="32123.759999999998"/>
    <s v="Moderate Delay"/>
  </r>
  <r>
    <n v="3603"/>
    <d v="2025-01-13T00:00:00"/>
    <x v="5"/>
    <x v="2"/>
    <s v="MNL"/>
    <s v="Economy"/>
    <n v="240"/>
    <n v="626.44000000000005"/>
    <n v="27"/>
    <s v="Delayed"/>
    <n v="150345.60000000001"/>
    <s v="Jan"/>
    <n v="2025"/>
    <n v="150345.60000000001"/>
    <s v="Minor Delay"/>
  </r>
  <r>
    <n v="3604"/>
    <d v="2025-01-26T00:00:00"/>
    <x v="3"/>
    <x v="1"/>
    <s v="GMP"/>
    <s v="Economy"/>
    <n v="203"/>
    <n v="170.11"/>
    <n v="21"/>
    <s v="Delayed"/>
    <n v="34532.33"/>
    <s v="Jan"/>
    <n v="2025"/>
    <n v="34532.33"/>
    <s v="Minor Delay"/>
  </r>
  <r>
    <n v="3605"/>
    <d v="2025-10-03T00:00:00"/>
    <x v="5"/>
    <x v="6"/>
    <s v="GMP"/>
    <s v="Economy"/>
    <n v="59"/>
    <n v="267.98"/>
    <n v="44"/>
    <s v="On Time"/>
    <n v="15810.82"/>
    <s v="Oct"/>
    <n v="2025"/>
    <n v="15810.820000000002"/>
    <s v="Moderate Delay"/>
  </r>
  <r>
    <n v="3606"/>
    <d v="2025-07-28T00:00:00"/>
    <x v="5"/>
    <x v="2"/>
    <s v="GMP"/>
    <s v="Premium Economy"/>
    <n v="231"/>
    <n v="456.39"/>
    <n v="15"/>
    <s v="On Time"/>
    <n v="105426.09"/>
    <s v="Jul"/>
    <n v="2025"/>
    <n v="105426.09"/>
    <s v="Minor Delay"/>
  </r>
  <r>
    <n v="3607"/>
    <d v="2025-08-04T00:00:00"/>
    <x v="5"/>
    <x v="6"/>
    <s v="KIX"/>
    <s v="Economy"/>
    <n v="139"/>
    <n v="524.51"/>
    <n v="6"/>
    <s v="Cancelled"/>
    <n v="72906.89"/>
    <s v="Aug"/>
    <n v="2025"/>
    <n v="72906.89"/>
    <s v="Minor Delay"/>
  </r>
  <r>
    <n v="3608"/>
    <d v="2025-07-14T00:00:00"/>
    <x v="2"/>
    <x v="6"/>
    <s v="CJU"/>
    <s v="Economy"/>
    <n v="184"/>
    <n v="85.36"/>
    <n v="0"/>
    <s v="On Time"/>
    <n v="15706.24"/>
    <s v="Jul"/>
    <n v="2025"/>
    <n v="15706.24"/>
    <s v="On Time"/>
  </r>
  <r>
    <n v="3609"/>
    <d v="2025-03-22T00:00:00"/>
    <x v="1"/>
    <x v="7"/>
    <s v="SIN"/>
    <s v="Business"/>
    <n v="213"/>
    <n v="787.8"/>
    <n v="48"/>
    <s v="Delayed"/>
    <n v="167801.4"/>
    <s v="Mar"/>
    <n v="2025"/>
    <n v="167801.4"/>
    <s v="Moderate Delay"/>
  </r>
  <r>
    <n v="3610"/>
    <d v="2025-11-20T00:00:00"/>
    <x v="0"/>
    <x v="8"/>
    <s v="CJU"/>
    <s v="Premium Economy"/>
    <n v="103"/>
    <n v="320.26"/>
    <n v="44"/>
    <s v="On Time"/>
    <n v="32986.78"/>
    <s v="Nov"/>
    <n v="2025"/>
    <n v="32986.78"/>
    <s v="Moderate Delay"/>
  </r>
  <r>
    <n v="3611"/>
    <d v="2025-12-31T00:00:00"/>
    <x v="1"/>
    <x v="8"/>
    <s v="PUS"/>
    <s v="Business"/>
    <n v="106"/>
    <n v="96.79"/>
    <n v="0"/>
    <s v="Delayed"/>
    <n v="10259.74"/>
    <s v="Dec"/>
    <n v="2025"/>
    <n v="10259.74"/>
    <s v="On Time"/>
  </r>
  <r>
    <n v="3612"/>
    <d v="2025-11-25T00:00:00"/>
    <x v="4"/>
    <x v="3"/>
    <s v="GMP"/>
    <s v="Premium Economy"/>
    <n v="300"/>
    <n v="270.2"/>
    <n v="35"/>
    <s v="On Time"/>
    <n v="81060"/>
    <s v="Nov"/>
    <n v="2025"/>
    <n v="81060"/>
    <s v="Moderate Delay"/>
  </r>
  <r>
    <n v="3613"/>
    <d v="2025-02-10T00:00:00"/>
    <x v="4"/>
    <x v="1"/>
    <s v="SIN"/>
    <s v="Premium Economy"/>
    <n v="173"/>
    <n v="254.94"/>
    <n v="46"/>
    <s v="On Time"/>
    <n v="44104.62"/>
    <s v="Feb"/>
    <n v="2025"/>
    <n v="44104.62"/>
    <s v="Moderate Delay"/>
  </r>
  <r>
    <n v="3614"/>
    <d v="2025-07-10T00:00:00"/>
    <x v="1"/>
    <x v="1"/>
    <s v="SIN"/>
    <s v="Business"/>
    <n v="136"/>
    <n v="624.52"/>
    <n v="25"/>
    <s v="Delayed"/>
    <n v="84934.720000000001"/>
    <s v="Jul"/>
    <n v="2025"/>
    <n v="84934.720000000001"/>
    <s v="Minor Delay"/>
  </r>
  <r>
    <n v="3615"/>
    <d v="2025-06-05T00:00:00"/>
    <x v="4"/>
    <x v="0"/>
    <s v="MNL"/>
    <s v="Premium Economy"/>
    <n v="61"/>
    <n v="319.81"/>
    <n v="1"/>
    <s v="On Time"/>
    <n v="19508.41"/>
    <s v="Jun"/>
    <n v="2025"/>
    <n v="19508.41"/>
    <s v="Minor Delay"/>
  </r>
  <r>
    <n v="3616"/>
    <d v="2025-02-15T00:00:00"/>
    <x v="5"/>
    <x v="4"/>
    <s v="PUS"/>
    <s v="Economy"/>
    <n v="284"/>
    <n v="523.1"/>
    <n v="5"/>
    <s v="On Time"/>
    <n v="148560.4"/>
    <s v="Feb"/>
    <n v="2025"/>
    <n v="148560.4"/>
    <s v="Minor Delay"/>
  </r>
  <r>
    <n v="3617"/>
    <d v="2025-01-17T00:00:00"/>
    <x v="0"/>
    <x v="7"/>
    <s v="ICN"/>
    <s v="Premium Economy"/>
    <n v="185"/>
    <n v="677.82"/>
    <n v="7"/>
    <s v="On Time"/>
    <n v="125396.7"/>
    <s v="Jan"/>
    <n v="2025"/>
    <n v="125396.70000000001"/>
    <s v="Minor Delay"/>
  </r>
  <r>
    <n v="3618"/>
    <d v="2025-12-27T00:00:00"/>
    <x v="2"/>
    <x v="2"/>
    <s v="SIN"/>
    <s v="Premium Economy"/>
    <n v="253"/>
    <n v="239.05"/>
    <n v="38"/>
    <s v="On Time"/>
    <n v="60479.65"/>
    <s v="Dec"/>
    <n v="2025"/>
    <n v="60479.65"/>
    <s v="Moderate Delay"/>
  </r>
  <r>
    <n v="3619"/>
    <d v="2025-09-11T00:00:00"/>
    <x v="3"/>
    <x v="0"/>
    <s v="MNL"/>
    <s v="Business"/>
    <n v="173"/>
    <n v="140.12"/>
    <n v="29"/>
    <s v="On Time"/>
    <n v="24240.76"/>
    <s v="Sep"/>
    <n v="2025"/>
    <n v="24240.760000000002"/>
    <s v="Minor Delay"/>
  </r>
  <r>
    <n v="3620"/>
    <d v="2025-12-11T00:00:00"/>
    <x v="0"/>
    <x v="4"/>
    <s v="SIN"/>
    <s v="Economy"/>
    <n v="268"/>
    <n v="136.59"/>
    <n v="0"/>
    <s v="On Time"/>
    <n v="36606.120000000003"/>
    <s v="Dec"/>
    <n v="2025"/>
    <n v="36606.120000000003"/>
    <s v="On Time"/>
  </r>
  <r>
    <n v="3621"/>
    <d v="2025-07-11T00:00:00"/>
    <x v="4"/>
    <x v="5"/>
    <s v="PUS"/>
    <s v="Premium Economy"/>
    <n v="132"/>
    <n v="77.59"/>
    <n v="41"/>
    <s v="On Time"/>
    <n v="10241.879999999999"/>
    <s v="Jul"/>
    <n v="2025"/>
    <n v="10241.880000000001"/>
    <s v="Moderate Delay"/>
  </r>
  <r>
    <n v="3622"/>
    <d v="2025-12-07T00:00:00"/>
    <x v="5"/>
    <x v="5"/>
    <s v="GMP"/>
    <s v="Business"/>
    <n v="285"/>
    <n v="467.42"/>
    <n v="28"/>
    <s v="On Time"/>
    <n v="133214.70000000001"/>
    <s v="Dec"/>
    <n v="2025"/>
    <n v="133214.70000000001"/>
    <s v="Minor Delay"/>
  </r>
  <r>
    <n v="3623"/>
    <d v="2025-11-20T00:00:00"/>
    <x v="2"/>
    <x v="8"/>
    <s v="BKK"/>
    <s v="Economy"/>
    <n v="183"/>
    <n v="437.4"/>
    <n v="36"/>
    <s v="On Time"/>
    <n v="80044.2"/>
    <s v="Nov"/>
    <n v="2025"/>
    <n v="80044.2"/>
    <s v="Moderate Delay"/>
  </r>
  <r>
    <n v="3624"/>
    <d v="2025-05-25T00:00:00"/>
    <x v="0"/>
    <x v="5"/>
    <s v="NRT"/>
    <s v="Business"/>
    <n v="106"/>
    <n v="631.61"/>
    <n v="38"/>
    <s v="On Time"/>
    <n v="66950.66"/>
    <s v="May"/>
    <n v="2025"/>
    <n v="66950.66"/>
    <s v="Moderate Delay"/>
  </r>
  <r>
    <n v="3625"/>
    <d v="2025-05-30T00:00:00"/>
    <x v="0"/>
    <x v="5"/>
    <s v="CJU"/>
    <s v="Premium Economy"/>
    <n v="90"/>
    <n v="515.16999999999996"/>
    <n v="6"/>
    <s v="On Time"/>
    <n v="46365.3"/>
    <s v="May"/>
    <n v="2025"/>
    <n v="46365.299999999996"/>
    <s v="Minor Delay"/>
  </r>
  <r>
    <n v="3626"/>
    <d v="2025-08-13T00:00:00"/>
    <x v="5"/>
    <x v="4"/>
    <s v="GMP"/>
    <s v="Business"/>
    <n v="296"/>
    <n v="536.42999999999995"/>
    <n v="7"/>
    <s v="On Time"/>
    <n v="158783.28"/>
    <s v="Aug"/>
    <n v="2025"/>
    <n v="158783.28"/>
    <s v="Minor Delay"/>
  </r>
  <r>
    <n v="3627"/>
    <d v="2025-07-18T00:00:00"/>
    <x v="0"/>
    <x v="4"/>
    <s v="MNL"/>
    <s v="Business"/>
    <n v="208"/>
    <n v="427.43"/>
    <n v="23"/>
    <s v="On Time"/>
    <n v="88905.44"/>
    <s v="Jul"/>
    <n v="2025"/>
    <n v="88905.44"/>
    <s v="Minor Delay"/>
  </r>
  <r>
    <n v="3628"/>
    <d v="2025-03-16T00:00:00"/>
    <x v="4"/>
    <x v="1"/>
    <s v="CJU"/>
    <s v="Economy"/>
    <n v="165"/>
    <n v="635.71"/>
    <n v="30"/>
    <s v="On Time"/>
    <n v="104892.15"/>
    <s v="Mar"/>
    <n v="2025"/>
    <n v="104892.15000000001"/>
    <s v="Minor Delay"/>
  </r>
  <r>
    <n v="3629"/>
    <d v="2025-03-26T00:00:00"/>
    <x v="0"/>
    <x v="5"/>
    <s v="GMP"/>
    <s v="Economy"/>
    <n v="59"/>
    <n v="155.93"/>
    <n v="36"/>
    <s v="On Time"/>
    <n v="9199.8700000000008"/>
    <s v="Mar"/>
    <n v="2025"/>
    <n v="9199.8700000000008"/>
    <s v="Moderate Delay"/>
  </r>
  <r>
    <n v="3630"/>
    <d v="2025-02-22T00:00:00"/>
    <x v="0"/>
    <x v="8"/>
    <s v="SIN"/>
    <s v="Premium Economy"/>
    <n v="70"/>
    <n v="547.88"/>
    <n v="7"/>
    <s v="On Time"/>
    <n v="38351.599999999999"/>
    <s v="Feb"/>
    <n v="2025"/>
    <n v="38351.599999999999"/>
    <s v="Minor Delay"/>
  </r>
  <r>
    <n v="3631"/>
    <d v="2025-02-22T00:00:00"/>
    <x v="5"/>
    <x v="5"/>
    <s v="KIX"/>
    <s v="Business"/>
    <n v="92"/>
    <n v="631.42999999999995"/>
    <n v="0"/>
    <s v="On Time"/>
    <n v="58091.56"/>
    <s v="Feb"/>
    <n v="2025"/>
    <n v="58091.56"/>
    <s v="On Time"/>
  </r>
  <r>
    <n v="3632"/>
    <d v="2025-08-09T00:00:00"/>
    <x v="1"/>
    <x v="1"/>
    <s v="MNL"/>
    <s v="Business"/>
    <n v="188"/>
    <n v="652.77"/>
    <n v="17"/>
    <s v="Delayed"/>
    <n v="122720.76"/>
    <s v="Aug"/>
    <n v="2025"/>
    <n v="122720.76"/>
    <s v="Minor Delay"/>
  </r>
  <r>
    <n v="3633"/>
    <d v="2025-09-07T00:00:00"/>
    <x v="5"/>
    <x v="2"/>
    <s v="CJU"/>
    <s v="Business"/>
    <n v="125"/>
    <n v="630.78"/>
    <n v="0"/>
    <s v="On Time"/>
    <n v="78847.5"/>
    <s v="Sep"/>
    <n v="2025"/>
    <n v="78847.5"/>
    <s v="On Time"/>
  </r>
  <r>
    <n v="3634"/>
    <d v="2025-08-02T00:00:00"/>
    <x v="1"/>
    <x v="1"/>
    <s v="PUS"/>
    <s v="Premium Economy"/>
    <n v="85"/>
    <n v="410.49"/>
    <n v="23"/>
    <s v="On Time"/>
    <n v="34891.65"/>
    <s v="Aug"/>
    <n v="2025"/>
    <n v="34891.65"/>
    <s v="Minor Delay"/>
  </r>
  <r>
    <n v="3635"/>
    <d v="2025-06-05T00:00:00"/>
    <x v="4"/>
    <x v="6"/>
    <s v="NRT"/>
    <s v="Economy"/>
    <n v="53"/>
    <n v="167.11"/>
    <n v="25"/>
    <s v="On Time"/>
    <n v="8856.83"/>
    <s v="Jun"/>
    <n v="2025"/>
    <n v="8856.83"/>
    <s v="Minor Delay"/>
  </r>
  <r>
    <n v="3636"/>
    <d v="2025-04-08T00:00:00"/>
    <x v="3"/>
    <x v="4"/>
    <s v="MNL"/>
    <s v="Economy"/>
    <n v="112"/>
    <n v="702.55"/>
    <n v="1"/>
    <s v="On Time"/>
    <n v="78685.600000000006"/>
    <s v="Apr"/>
    <n v="2025"/>
    <n v="78685.599999999991"/>
    <s v="Minor Delay"/>
  </r>
  <r>
    <n v="3637"/>
    <d v="2025-07-07T00:00:00"/>
    <x v="1"/>
    <x v="0"/>
    <s v="KIX"/>
    <s v="Economy"/>
    <n v="291"/>
    <n v="114.52"/>
    <n v="26"/>
    <s v="On Time"/>
    <n v="33325.32"/>
    <s v="Jul"/>
    <n v="2025"/>
    <n v="33325.32"/>
    <s v="Minor Delay"/>
  </r>
  <r>
    <n v="3638"/>
    <d v="2025-12-14T00:00:00"/>
    <x v="2"/>
    <x v="7"/>
    <s v="MNL"/>
    <s v="Business"/>
    <n v="200"/>
    <n v="661.01"/>
    <n v="9"/>
    <s v="Delayed"/>
    <n v="132202"/>
    <s v="Dec"/>
    <n v="2025"/>
    <n v="132202"/>
    <s v="Minor Delay"/>
  </r>
  <r>
    <n v="3639"/>
    <d v="2025-12-09T00:00:00"/>
    <x v="5"/>
    <x v="0"/>
    <s v="NRT"/>
    <s v="Premium Economy"/>
    <n v="51"/>
    <n v="343.59"/>
    <n v="47"/>
    <s v="On Time"/>
    <n v="17523.09"/>
    <s v="Dec"/>
    <n v="2025"/>
    <n v="17523.09"/>
    <s v="Moderate Delay"/>
  </r>
  <r>
    <n v="3640"/>
    <d v="2025-02-22T00:00:00"/>
    <x v="5"/>
    <x v="0"/>
    <s v="CJU"/>
    <s v="Business"/>
    <n v="82"/>
    <n v="602.89"/>
    <n v="24"/>
    <s v="Delayed"/>
    <n v="49436.98"/>
    <s v="Feb"/>
    <n v="2025"/>
    <n v="49436.979999999996"/>
    <s v="Minor Delay"/>
  </r>
  <r>
    <n v="3641"/>
    <d v="2025-06-05T00:00:00"/>
    <x v="3"/>
    <x v="1"/>
    <s v="CJU"/>
    <s v="Premium Economy"/>
    <n v="154"/>
    <n v="474.55"/>
    <n v="11"/>
    <s v="On Time"/>
    <n v="73080.7"/>
    <s v="Jun"/>
    <n v="2025"/>
    <n v="73080.7"/>
    <s v="Minor Delay"/>
  </r>
  <r>
    <n v="3642"/>
    <d v="2025-05-15T00:00:00"/>
    <x v="1"/>
    <x v="5"/>
    <s v="NRT"/>
    <s v="Premium Economy"/>
    <n v="73"/>
    <n v="206.52"/>
    <n v="4"/>
    <s v="On Time"/>
    <n v="15075.96"/>
    <s v="May"/>
    <n v="2025"/>
    <n v="15075.960000000001"/>
    <s v="Minor Delay"/>
  </r>
  <r>
    <n v="3643"/>
    <d v="2025-10-15T00:00:00"/>
    <x v="3"/>
    <x v="0"/>
    <s v="CJU"/>
    <s v="Economy"/>
    <n v="129"/>
    <n v="67.180000000000007"/>
    <n v="76"/>
    <s v="On Time"/>
    <n v="8666.2199999999993"/>
    <s v="Oct"/>
    <n v="2025"/>
    <n v="8666.2200000000012"/>
    <s v="Major Delay"/>
  </r>
  <r>
    <n v="3644"/>
    <d v="2025-06-11T00:00:00"/>
    <x v="3"/>
    <x v="2"/>
    <s v="CJU"/>
    <s v="Economy"/>
    <n v="163"/>
    <n v="706.67"/>
    <n v="14"/>
    <s v="On Time"/>
    <n v="115187.21"/>
    <s v="Jun"/>
    <n v="2025"/>
    <n v="115187.20999999999"/>
    <s v="Minor Delay"/>
  </r>
  <r>
    <n v="3645"/>
    <d v="2025-08-19T00:00:00"/>
    <x v="1"/>
    <x v="4"/>
    <s v="KIX"/>
    <s v="Business"/>
    <n v="142"/>
    <n v="366.41"/>
    <n v="2"/>
    <s v="On Time"/>
    <n v="52030.22"/>
    <s v="Aug"/>
    <n v="2025"/>
    <n v="52030.22"/>
    <s v="Minor Delay"/>
  </r>
  <r>
    <n v="3646"/>
    <d v="2025-02-21T00:00:00"/>
    <x v="4"/>
    <x v="1"/>
    <s v="SIN"/>
    <s v="Business"/>
    <n v="259"/>
    <n v="432.46"/>
    <n v="11"/>
    <s v="On Time"/>
    <n v="112007.14"/>
    <s v="Feb"/>
    <n v="2025"/>
    <n v="112007.14"/>
    <s v="Minor Delay"/>
  </r>
  <r>
    <n v="3647"/>
    <d v="2025-04-12T00:00:00"/>
    <x v="1"/>
    <x v="0"/>
    <s v="ICN"/>
    <s v="Premium Economy"/>
    <n v="257"/>
    <n v="657.36"/>
    <n v="22"/>
    <s v="On Time"/>
    <n v="168941.52"/>
    <s v="Apr"/>
    <n v="2025"/>
    <n v="168941.52"/>
    <s v="Minor Delay"/>
  </r>
  <r>
    <n v="3648"/>
    <d v="2025-08-23T00:00:00"/>
    <x v="4"/>
    <x v="7"/>
    <s v="PUS"/>
    <s v="Business"/>
    <n v="300"/>
    <n v="409.57"/>
    <n v="0"/>
    <s v="On Time"/>
    <n v="122871"/>
    <s v="Aug"/>
    <n v="2025"/>
    <n v="122871"/>
    <s v="On Time"/>
  </r>
  <r>
    <n v="3649"/>
    <d v="2025-05-18T00:00:00"/>
    <x v="1"/>
    <x v="5"/>
    <s v="SIN"/>
    <s v="Economy"/>
    <n v="104"/>
    <n v="694.81"/>
    <n v="38"/>
    <s v="On Time"/>
    <n v="72260.240000000005"/>
    <s v="May"/>
    <n v="2025"/>
    <n v="72260.239999999991"/>
    <s v="Moderate Delay"/>
  </r>
  <r>
    <n v="3650"/>
    <d v="2025-01-02T00:00:00"/>
    <x v="5"/>
    <x v="6"/>
    <s v="MNL"/>
    <s v="Economy"/>
    <n v="113"/>
    <n v="510.26"/>
    <n v="12"/>
    <s v="On Time"/>
    <n v="57659.38"/>
    <s v="Jan"/>
    <n v="2025"/>
    <n v="57659.38"/>
    <s v="Minor Delay"/>
  </r>
  <r>
    <n v="3651"/>
    <d v="2025-02-15T00:00:00"/>
    <x v="0"/>
    <x v="1"/>
    <s v="NRT"/>
    <s v="Business"/>
    <n v="153"/>
    <n v="772.97"/>
    <n v="62"/>
    <s v="On Time"/>
    <n v="118264.41"/>
    <s v="Feb"/>
    <n v="2025"/>
    <n v="118264.41"/>
    <s v="Major Delay"/>
  </r>
  <r>
    <n v="3652"/>
    <d v="2025-08-19T00:00:00"/>
    <x v="4"/>
    <x v="7"/>
    <s v="MNL"/>
    <s v="Economy"/>
    <n v="290"/>
    <n v="108.37"/>
    <n v="40"/>
    <s v="On Time"/>
    <n v="31427.3"/>
    <s v="Aug"/>
    <n v="2025"/>
    <n v="31427.300000000003"/>
    <s v="Moderate Delay"/>
  </r>
  <r>
    <n v="3653"/>
    <d v="2025-09-08T00:00:00"/>
    <x v="2"/>
    <x v="5"/>
    <s v="BKK"/>
    <s v="Economy"/>
    <n v="72"/>
    <n v="567.23"/>
    <n v="25"/>
    <s v="On Time"/>
    <n v="40840.559999999998"/>
    <s v="Sep"/>
    <n v="2025"/>
    <n v="40840.559999999998"/>
    <s v="Minor Delay"/>
  </r>
  <r>
    <n v="3654"/>
    <d v="2025-06-01T00:00:00"/>
    <x v="2"/>
    <x v="1"/>
    <s v="KIX"/>
    <s v="Economy"/>
    <n v="92"/>
    <n v="298.37"/>
    <n v="21"/>
    <s v="On Time"/>
    <n v="27450.04"/>
    <s v="Jun"/>
    <n v="2025"/>
    <n v="27450.04"/>
    <s v="Minor Delay"/>
  </r>
  <r>
    <n v="3655"/>
    <d v="2025-01-11T00:00:00"/>
    <x v="1"/>
    <x v="1"/>
    <s v="NRT"/>
    <s v="Premium Economy"/>
    <n v="162"/>
    <n v="275.04000000000002"/>
    <n v="0"/>
    <s v="On Time"/>
    <n v="44556.480000000003"/>
    <s v="Jan"/>
    <n v="2025"/>
    <n v="44556.480000000003"/>
    <s v="On Time"/>
  </r>
  <r>
    <n v="3656"/>
    <d v="2025-11-22T00:00:00"/>
    <x v="3"/>
    <x v="6"/>
    <s v="BKK"/>
    <s v="Business"/>
    <n v="258"/>
    <n v="443.93"/>
    <n v="16"/>
    <s v="On Time"/>
    <n v="114533.94"/>
    <s v="Nov"/>
    <n v="2025"/>
    <n v="114533.94"/>
    <s v="Minor Delay"/>
  </r>
  <r>
    <n v="3657"/>
    <d v="2025-08-28T00:00:00"/>
    <x v="1"/>
    <x v="4"/>
    <s v="GMP"/>
    <s v="Business"/>
    <n v="113"/>
    <n v="359.91"/>
    <n v="78"/>
    <s v="Delayed"/>
    <n v="40669.83"/>
    <s v="Aug"/>
    <n v="2025"/>
    <n v="40669.83"/>
    <s v="Major Delay"/>
  </r>
  <r>
    <n v="3658"/>
    <d v="2025-01-03T00:00:00"/>
    <x v="1"/>
    <x v="8"/>
    <s v="SIN"/>
    <s v="Premium Economy"/>
    <n v="174"/>
    <n v="762.77"/>
    <n v="66"/>
    <s v="On Time"/>
    <n v="132721.98000000001"/>
    <s v="Jan"/>
    <n v="2025"/>
    <n v="132721.98000000001"/>
    <s v="Major Delay"/>
  </r>
  <r>
    <n v="3659"/>
    <d v="2025-06-10T00:00:00"/>
    <x v="5"/>
    <x v="2"/>
    <s v="SIN"/>
    <s v="Premium Economy"/>
    <n v="202"/>
    <n v="205.98"/>
    <n v="42"/>
    <s v="On Time"/>
    <n v="41607.96"/>
    <s v="Jun"/>
    <n v="2025"/>
    <n v="41607.96"/>
    <s v="Moderate Delay"/>
  </r>
  <r>
    <n v="3660"/>
    <d v="2025-02-26T00:00:00"/>
    <x v="1"/>
    <x v="6"/>
    <s v="GMP"/>
    <s v="Premium Economy"/>
    <n v="77"/>
    <n v="484.56"/>
    <n v="92"/>
    <s v="On Time"/>
    <n v="37311.120000000003"/>
    <s v="Feb"/>
    <n v="2025"/>
    <n v="37311.120000000003"/>
    <s v="Major Delay"/>
  </r>
  <r>
    <n v="3661"/>
    <d v="2025-05-23T00:00:00"/>
    <x v="5"/>
    <x v="5"/>
    <s v="GMP"/>
    <s v="Economy"/>
    <n v="93"/>
    <n v="742.22"/>
    <n v="17"/>
    <s v="Delayed"/>
    <n v="69026.460000000006"/>
    <s v="May"/>
    <n v="2025"/>
    <n v="69026.460000000006"/>
    <s v="Minor Delay"/>
  </r>
  <r>
    <n v="3662"/>
    <d v="2025-10-31T00:00:00"/>
    <x v="2"/>
    <x v="3"/>
    <s v="BKK"/>
    <s v="Premium Economy"/>
    <n v="121"/>
    <n v="228.31"/>
    <n v="40"/>
    <s v="On Time"/>
    <n v="27625.51"/>
    <s v="Oct"/>
    <n v="2025"/>
    <n v="27625.510000000002"/>
    <s v="Moderate Delay"/>
  </r>
  <r>
    <n v="3663"/>
    <d v="2025-12-06T00:00:00"/>
    <x v="5"/>
    <x v="6"/>
    <s v="NRT"/>
    <s v="Business"/>
    <n v="154"/>
    <n v="788.85"/>
    <n v="41"/>
    <s v="On Time"/>
    <n v="121482.9"/>
    <s v="Dec"/>
    <n v="2025"/>
    <n v="121482.90000000001"/>
    <s v="Moderate Delay"/>
  </r>
  <r>
    <n v="3664"/>
    <d v="2025-12-15T00:00:00"/>
    <x v="1"/>
    <x v="0"/>
    <s v="SIN"/>
    <s v="Economy"/>
    <n v="236"/>
    <n v="233.26"/>
    <n v="9"/>
    <s v="On Time"/>
    <n v="55049.36"/>
    <s v="Dec"/>
    <n v="2025"/>
    <n v="55049.36"/>
    <s v="Minor Delay"/>
  </r>
  <r>
    <n v="3665"/>
    <d v="2025-06-09T00:00:00"/>
    <x v="5"/>
    <x v="5"/>
    <s v="GMP"/>
    <s v="Business"/>
    <n v="254"/>
    <n v="493.39"/>
    <n v="34"/>
    <s v="Delayed"/>
    <n v="125321.06"/>
    <s v="Jun"/>
    <n v="2025"/>
    <n v="125321.06"/>
    <s v="Moderate Delay"/>
  </r>
  <r>
    <n v="3666"/>
    <d v="2025-02-27T00:00:00"/>
    <x v="3"/>
    <x v="2"/>
    <s v="MNL"/>
    <s v="Business"/>
    <n v="172"/>
    <n v="539.22"/>
    <n v="51"/>
    <s v="On Time"/>
    <n v="92745.84"/>
    <s v="Feb"/>
    <n v="2025"/>
    <n v="92745.840000000011"/>
    <s v="Moderate Delay"/>
  </r>
  <r>
    <n v="3667"/>
    <d v="2025-04-21T00:00:00"/>
    <x v="5"/>
    <x v="0"/>
    <s v="SIN"/>
    <s v="Premium Economy"/>
    <n v="245"/>
    <n v="376.4"/>
    <n v="37"/>
    <s v="On Time"/>
    <n v="92218"/>
    <s v="Apr"/>
    <n v="2025"/>
    <n v="92218"/>
    <s v="Moderate Delay"/>
  </r>
  <r>
    <n v="3668"/>
    <d v="2025-10-14T00:00:00"/>
    <x v="4"/>
    <x v="7"/>
    <s v="NRT"/>
    <s v="Business"/>
    <n v="146"/>
    <n v="694.79"/>
    <n v="9"/>
    <s v="Delayed"/>
    <n v="101439.34"/>
    <s v="Oct"/>
    <n v="2025"/>
    <n v="101439.34"/>
    <s v="Minor Delay"/>
  </r>
  <r>
    <n v="3669"/>
    <d v="2025-09-03T00:00:00"/>
    <x v="3"/>
    <x v="2"/>
    <s v="CJU"/>
    <s v="Premium Economy"/>
    <n v="191"/>
    <n v="395.39"/>
    <n v="52"/>
    <s v="Cancelled"/>
    <n v="75519.490000000005"/>
    <s v="Sep"/>
    <n v="2025"/>
    <n v="75519.489999999991"/>
    <s v="Moderate Delay"/>
  </r>
  <r>
    <n v="3670"/>
    <d v="2025-10-23T00:00:00"/>
    <x v="0"/>
    <x v="2"/>
    <s v="KIX"/>
    <s v="Economy"/>
    <n v="279"/>
    <n v="626.17999999999995"/>
    <n v="41"/>
    <s v="Delayed"/>
    <n v="174704.22"/>
    <s v="Oct"/>
    <n v="2025"/>
    <n v="174704.21999999997"/>
    <s v="Moderate Delay"/>
  </r>
  <r>
    <n v="3671"/>
    <d v="2025-01-18T00:00:00"/>
    <x v="2"/>
    <x v="1"/>
    <s v="SIN"/>
    <s v="Economy"/>
    <n v="143"/>
    <n v="329.24"/>
    <n v="1"/>
    <s v="On Time"/>
    <n v="47081.32"/>
    <s v="Jan"/>
    <n v="2025"/>
    <n v="47081.32"/>
    <s v="Minor Delay"/>
  </r>
  <r>
    <n v="3672"/>
    <d v="2025-11-08T00:00:00"/>
    <x v="0"/>
    <x v="3"/>
    <s v="SIN"/>
    <s v="Economy"/>
    <n v="275"/>
    <n v="590.65"/>
    <n v="0"/>
    <s v="On Time"/>
    <n v="162428.75"/>
    <s v="Nov"/>
    <n v="2025"/>
    <n v="162428.75"/>
    <s v="On Time"/>
  </r>
  <r>
    <n v="3673"/>
    <d v="2025-07-21T00:00:00"/>
    <x v="3"/>
    <x v="3"/>
    <s v="ICN"/>
    <s v="Business"/>
    <n v="192"/>
    <n v="513.14"/>
    <n v="42"/>
    <s v="On Time"/>
    <n v="98522.880000000005"/>
    <s v="Jul"/>
    <n v="2025"/>
    <n v="98522.880000000005"/>
    <s v="Moderate Delay"/>
  </r>
  <r>
    <n v="3674"/>
    <d v="2025-04-17T00:00:00"/>
    <x v="5"/>
    <x v="4"/>
    <s v="MNL"/>
    <s v="Business"/>
    <n v="227"/>
    <n v="501.02"/>
    <n v="10"/>
    <s v="On Time"/>
    <n v="113731.54"/>
    <s v="Apr"/>
    <n v="2025"/>
    <n v="113731.54"/>
    <s v="Minor Delay"/>
  </r>
  <r>
    <n v="3675"/>
    <d v="2025-07-04T00:00:00"/>
    <x v="2"/>
    <x v="4"/>
    <s v="BKK"/>
    <s v="Economy"/>
    <n v="266"/>
    <n v="706.71"/>
    <n v="5"/>
    <s v="On Time"/>
    <n v="187984.86"/>
    <s v="Jul"/>
    <n v="2025"/>
    <n v="187984.86000000002"/>
    <s v="Minor Delay"/>
  </r>
  <r>
    <n v="3676"/>
    <d v="2025-10-04T00:00:00"/>
    <x v="2"/>
    <x v="8"/>
    <s v="GMP"/>
    <s v="Premium Economy"/>
    <n v="294"/>
    <n v="613.04999999999995"/>
    <n v="9"/>
    <s v="Delayed"/>
    <n v="180236.7"/>
    <s v="Oct"/>
    <n v="2025"/>
    <n v="180236.69999999998"/>
    <s v="Minor Delay"/>
  </r>
  <r>
    <n v="3677"/>
    <d v="2025-03-06T00:00:00"/>
    <x v="5"/>
    <x v="3"/>
    <s v="BKK"/>
    <s v="Business"/>
    <n v="64"/>
    <n v="303.66000000000003"/>
    <n v="8"/>
    <s v="Cancelled"/>
    <n v="19434.240000000002"/>
    <s v="Mar"/>
    <n v="2025"/>
    <n v="19434.240000000002"/>
    <s v="Minor Delay"/>
  </r>
  <r>
    <n v="3678"/>
    <d v="2025-12-08T00:00:00"/>
    <x v="1"/>
    <x v="5"/>
    <s v="GMP"/>
    <s v="Economy"/>
    <n v="220"/>
    <n v="630.33000000000004"/>
    <n v="9"/>
    <s v="On Time"/>
    <n v="138672.6"/>
    <s v="Dec"/>
    <n v="2025"/>
    <n v="138672.6"/>
    <s v="Minor Delay"/>
  </r>
  <r>
    <n v="3679"/>
    <d v="2025-02-07T00:00:00"/>
    <x v="2"/>
    <x v="3"/>
    <s v="MNL"/>
    <s v="Economy"/>
    <n v="266"/>
    <n v="493.21"/>
    <n v="26"/>
    <s v="On Time"/>
    <n v="131193.85999999999"/>
    <s v="Feb"/>
    <n v="2025"/>
    <n v="131193.85999999999"/>
    <s v="Minor Delay"/>
  </r>
  <r>
    <n v="3680"/>
    <d v="2025-03-13T00:00:00"/>
    <x v="1"/>
    <x v="6"/>
    <s v="GMP"/>
    <s v="Economy"/>
    <n v="50"/>
    <n v="94.69"/>
    <n v="38"/>
    <s v="On Time"/>
    <n v="4734.5"/>
    <s v="Mar"/>
    <n v="2025"/>
    <n v="4734.5"/>
    <s v="Moderate Delay"/>
  </r>
  <r>
    <n v="3681"/>
    <d v="2025-12-02T00:00:00"/>
    <x v="0"/>
    <x v="6"/>
    <s v="CJU"/>
    <s v="Business"/>
    <n v="268"/>
    <n v="284.19"/>
    <n v="66"/>
    <s v="On Time"/>
    <n v="76162.92"/>
    <s v="Dec"/>
    <n v="2025"/>
    <n v="76162.92"/>
    <s v="Major Delay"/>
  </r>
  <r>
    <n v="3682"/>
    <d v="2025-09-02T00:00:00"/>
    <x v="0"/>
    <x v="6"/>
    <s v="BKK"/>
    <s v="Economy"/>
    <n v="222"/>
    <n v="749.8"/>
    <n v="11"/>
    <s v="On Time"/>
    <n v="166455.6"/>
    <s v="Sep"/>
    <n v="2025"/>
    <n v="166455.59999999998"/>
    <s v="Minor Delay"/>
  </r>
  <r>
    <n v="3683"/>
    <d v="2025-09-28T00:00:00"/>
    <x v="1"/>
    <x v="4"/>
    <s v="KIX"/>
    <s v="Premium Economy"/>
    <n v="223"/>
    <n v="717.84"/>
    <n v="80"/>
    <s v="On Time"/>
    <n v="160078.32"/>
    <s v="Sep"/>
    <n v="2025"/>
    <n v="160078.32"/>
    <s v="Major Delay"/>
  </r>
  <r>
    <n v="3684"/>
    <d v="2025-06-12T00:00:00"/>
    <x v="3"/>
    <x v="1"/>
    <s v="KIX"/>
    <s v="Premium Economy"/>
    <n v="67"/>
    <n v="508.37"/>
    <n v="11"/>
    <s v="On Time"/>
    <n v="34060.79"/>
    <s v="Jun"/>
    <n v="2025"/>
    <n v="34060.79"/>
    <s v="Minor Delay"/>
  </r>
  <r>
    <n v="3685"/>
    <d v="2025-03-13T00:00:00"/>
    <x v="1"/>
    <x v="0"/>
    <s v="PUS"/>
    <s v="Premium Economy"/>
    <n v="104"/>
    <n v="615.48"/>
    <n v="0"/>
    <s v="Delayed"/>
    <n v="64009.919999999998"/>
    <s v="Mar"/>
    <n v="2025"/>
    <n v="64009.919999999998"/>
    <s v="On Time"/>
  </r>
  <r>
    <n v="3686"/>
    <d v="2025-07-16T00:00:00"/>
    <x v="1"/>
    <x v="0"/>
    <s v="SIN"/>
    <s v="Business"/>
    <n v="211"/>
    <n v="524.26"/>
    <n v="8"/>
    <s v="On Time"/>
    <n v="110618.86"/>
    <s v="Jul"/>
    <n v="2025"/>
    <n v="110618.86"/>
    <s v="Minor Delay"/>
  </r>
  <r>
    <n v="3687"/>
    <d v="2025-04-08T00:00:00"/>
    <x v="2"/>
    <x v="5"/>
    <s v="PUS"/>
    <s v="Premium Economy"/>
    <n v="245"/>
    <n v="146.11000000000001"/>
    <n v="0"/>
    <s v="On Time"/>
    <n v="35796.949999999997"/>
    <s v="Apr"/>
    <n v="2025"/>
    <n v="35796.950000000004"/>
    <s v="On Time"/>
  </r>
  <r>
    <n v="3688"/>
    <d v="2025-11-17T00:00:00"/>
    <x v="5"/>
    <x v="2"/>
    <s v="BKK"/>
    <s v="Business"/>
    <n v="66"/>
    <n v="366.23"/>
    <n v="0"/>
    <s v="On Time"/>
    <n v="24171.18"/>
    <s v="Nov"/>
    <n v="2025"/>
    <n v="24171.18"/>
    <s v="On Time"/>
  </r>
  <r>
    <n v="3689"/>
    <d v="2025-05-05T00:00:00"/>
    <x v="0"/>
    <x v="4"/>
    <s v="ICN"/>
    <s v="Economy"/>
    <n v="250"/>
    <n v="487.28"/>
    <n v="49"/>
    <s v="On Time"/>
    <n v="121820"/>
    <s v="May"/>
    <n v="2025"/>
    <n v="121820"/>
    <s v="Moderate Delay"/>
  </r>
  <r>
    <n v="3690"/>
    <d v="2025-03-13T00:00:00"/>
    <x v="5"/>
    <x v="7"/>
    <s v="BKK"/>
    <s v="Economy"/>
    <n v="276"/>
    <n v="716.28"/>
    <n v="33"/>
    <s v="Delayed"/>
    <n v="197693.28"/>
    <s v="Mar"/>
    <n v="2025"/>
    <n v="197693.28"/>
    <s v="Moderate Delay"/>
  </r>
  <r>
    <n v="3691"/>
    <d v="2025-03-31T00:00:00"/>
    <x v="2"/>
    <x v="8"/>
    <s v="GMP"/>
    <s v="Business"/>
    <n v="111"/>
    <n v="401.21"/>
    <n v="16"/>
    <s v="On Time"/>
    <n v="44534.31"/>
    <s v="Mar"/>
    <n v="2025"/>
    <n v="44534.31"/>
    <s v="Minor Delay"/>
  </r>
  <r>
    <n v="3692"/>
    <d v="2025-06-10T00:00:00"/>
    <x v="0"/>
    <x v="7"/>
    <s v="PUS"/>
    <s v="Business"/>
    <n v="156"/>
    <n v="623.59"/>
    <n v="68"/>
    <s v="On Time"/>
    <n v="97280.04"/>
    <s v="Jun"/>
    <n v="2025"/>
    <n v="97280.040000000008"/>
    <s v="Major Delay"/>
  </r>
  <r>
    <n v="3693"/>
    <d v="2025-05-08T00:00:00"/>
    <x v="3"/>
    <x v="6"/>
    <s v="NRT"/>
    <s v="Business"/>
    <n v="159"/>
    <n v="627.39"/>
    <n v="16"/>
    <s v="On Time"/>
    <n v="99755.01"/>
    <s v="May"/>
    <n v="2025"/>
    <n v="99755.01"/>
    <s v="Minor Delay"/>
  </r>
  <r>
    <n v="3694"/>
    <d v="2025-06-08T00:00:00"/>
    <x v="0"/>
    <x v="0"/>
    <s v="CJU"/>
    <s v="Economy"/>
    <n v="61"/>
    <n v="375.3"/>
    <n v="0"/>
    <s v="On Time"/>
    <n v="22893.3"/>
    <s v="Jun"/>
    <n v="2025"/>
    <n v="22893.3"/>
    <s v="On Time"/>
  </r>
  <r>
    <n v="3695"/>
    <d v="2025-06-14T00:00:00"/>
    <x v="5"/>
    <x v="6"/>
    <s v="ICN"/>
    <s v="Premium Economy"/>
    <n v="172"/>
    <n v="123.03"/>
    <n v="0"/>
    <s v="On Time"/>
    <n v="21161.16"/>
    <s v="Jun"/>
    <n v="2025"/>
    <n v="21161.16"/>
    <s v="On Time"/>
  </r>
  <r>
    <n v="3696"/>
    <d v="2025-12-24T00:00:00"/>
    <x v="0"/>
    <x v="5"/>
    <s v="MNL"/>
    <s v="Premium Economy"/>
    <n v="185"/>
    <n v="414.39"/>
    <n v="53"/>
    <s v="On Time"/>
    <n v="76662.149999999994"/>
    <s v="Dec"/>
    <n v="2025"/>
    <n v="76662.149999999994"/>
    <s v="Moderate Delay"/>
  </r>
  <r>
    <n v="3697"/>
    <d v="2025-10-23T00:00:00"/>
    <x v="1"/>
    <x v="7"/>
    <s v="BKK"/>
    <s v="Business"/>
    <n v="88"/>
    <n v="71.7"/>
    <n v="12"/>
    <s v="Delayed"/>
    <n v="6309.6"/>
    <s v="Oct"/>
    <n v="2025"/>
    <n v="6309.6"/>
    <s v="Minor Delay"/>
  </r>
  <r>
    <n v="3698"/>
    <d v="2025-03-01T00:00:00"/>
    <x v="2"/>
    <x v="8"/>
    <s v="CJU"/>
    <s v="Economy"/>
    <n v="276"/>
    <n v="596.11"/>
    <n v="0"/>
    <s v="On Time"/>
    <n v="164526.35999999999"/>
    <s v="Mar"/>
    <n v="2025"/>
    <n v="164526.36000000002"/>
    <s v="On Time"/>
  </r>
  <r>
    <n v="3699"/>
    <d v="2025-03-16T00:00:00"/>
    <x v="0"/>
    <x v="5"/>
    <s v="NRT"/>
    <s v="Premium Economy"/>
    <n v="180"/>
    <n v="279.75"/>
    <n v="17"/>
    <s v="On Time"/>
    <n v="50355"/>
    <s v="Mar"/>
    <n v="2025"/>
    <n v="50355"/>
    <s v="Minor Delay"/>
  </r>
  <r>
    <n v="3700"/>
    <d v="2025-08-28T00:00:00"/>
    <x v="0"/>
    <x v="3"/>
    <s v="SIN"/>
    <s v="Business"/>
    <n v="166"/>
    <n v="777.93"/>
    <n v="19"/>
    <s v="On Time"/>
    <n v="129136.38"/>
    <s v="Aug"/>
    <n v="2025"/>
    <n v="129136.37999999999"/>
    <s v="Minor Delay"/>
  </r>
  <r>
    <n v="3701"/>
    <d v="2025-09-08T00:00:00"/>
    <x v="5"/>
    <x v="2"/>
    <s v="BKK"/>
    <s v="Premium Economy"/>
    <n v="245"/>
    <n v="316.23"/>
    <n v="0"/>
    <s v="On Time"/>
    <n v="77476.350000000006"/>
    <s v="Sep"/>
    <n v="2025"/>
    <n v="77476.350000000006"/>
    <s v="On Time"/>
  </r>
  <r>
    <n v="3702"/>
    <d v="2025-12-16T00:00:00"/>
    <x v="1"/>
    <x v="8"/>
    <s v="NRT"/>
    <s v="Economy"/>
    <n v="66"/>
    <n v="414.82"/>
    <n v="5"/>
    <s v="On Time"/>
    <n v="27378.12"/>
    <s v="Dec"/>
    <n v="2025"/>
    <n v="27378.12"/>
    <s v="Minor Delay"/>
  </r>
  <r>
    <n v="3703"/>
    <d v="2025-01-07T00:00:00"/>
    <x v="0"/>
    <x v="1"/>
    <s v="SIN"/>
    <s v="Business"/>
    <n v="185"/>
    <n v="375.02"/>
    <n v="44"/>
    <s v="On Time"/>
    <n v="69378.7"/>
    <s v="Jan"/>
    <n v="2025"/>
    <n v="69378.7"/>
    <s v="Moderate Delay"/>
  </r>
  <r>
    <n v="3704"/>
    <d v="2025-02-22T00:00:00"/>
    <x v="0"/>
    <x v="1"/>
    <s v="GMP"/>
    <s v="Premium Economy"/>
    <n v="292"/>
    <n v="471.15"/>
    <n v="13"/>
    <s v="On Time"/>
    <n v="137575.79999999999"/>
    <s v="Feb"/>
    <n v="2025"/>
    <n v="137575.79999999999"/>
    <s v="Minor Delay"/>
  </r>
  <r>
    <n v="3705"/>
    <d v="2025-04-17T00:00:00"/>
    <x v="1"/>
    <x v="7"/>
    <s v="NRT"/>
    <s v="Economy"/>
    <n v="189"/>
    <n v="91.79"/>
    <n v="4"/>
    <s v="On Time"/>
    <n v="17348.310000000001"/>
    <s v="Apr"/>
    <n v="2025"/>
    <n v="17348.310000000001"/>
    <s v="Minor Delay"/>
  </r>
  <r>
    <n v="3706"/>
    <d v="2025-10-23T00:00:00"/>
    <x v="0"/>
    <x v="6"/>
    <s v="CJU"/>
    <s v="Business"/>
    <n v="114"/>
    <n v="795.73"/>
    <n v="31"/>
    <s v="On Time"/>
    <n v="90713.22"/>
    <s v="Oct"/>
    <n v="2025"/>
    <n v="90713.22"/>
    <s v="Moderate Delay"/>
  </r>
  <r>
    <n v="3707"/>
    <d v="2025-04-25T00:00:00"/>
    <x v="0"/>
    <x v="6"/>
    <s v="MNL"/>
    <s v="Economy"/>
    <n v="60"/>
    <n v="717.1"/>
    <n v="7"/>
    <s v="On Time"/>
    <n v="43026"/>
    <s v="Apr"/>
    <n v="2025"/>
    <n v="43026"/>
    <s v="Minor Delay"/>
  </r>
  <r>
    <n v="3708"/>
    <d v="2025-04-28T00:00:00"/>
    <x v="3"/>
    <x v="7"/>
    <s v="SIN"/>
    <s v="Premium Economy"/>
    <n v="140"/>
    <n v="624.25"/>
    <n v="0"/>
    <s v="On Time"/>
    <n v="87395"/>
    <s v="Apr"/>
    <n v="2025"/>
    <n v="87395"/>
    <s v="On Time"/>
  </r>
  <r>
    <n v="3709"/>
    <d v="2025-04-05T00:00:00"/>
    <x v="1"/>
    <x v="3"/>
    <s v="CJU"/>
    <s v="Premium Economy"/>
    <n v="84"/>
    <n v="64.87"/>
    <n v="0"/>
    <s v="On Time"/>
    <n v="5449.08"/>
    <s v="Apr"/>
    <n v="2025"/>
    <n v="5449.08"/>
    <s v="On Time"/>
  </r>
  <r>
    <n v="3710"/>
    <d v="2025-05-10T00:00:00"/>
    <x v="3"/>
    <x v="7"/>
    <s v="SIN"/>
    <s v="Economy"/>
    <n v="161"/>
    <n v="564.59"/>
    <n v="0"/>
    <s v="On Time"/>
    <n v="90898.99"/>
    <s v="May"/>
    <n v="2025"/>
    <n v="90898.99"/>
    <s v="On Time"/>
  </r>
  <r>
    <n v="3711"/>
    <d v="2025-11-19T00:00:00"/>
    <x v="2"/>
    <x v="1"/>
    <s v="PUS"/>
    <s v="Premium Economy"/>
    <n v="66"/>
    <n v="176.19"/>
    <n v="17"/>
    <s v="On Time"/>
    <n v="11628.54"/>
    <s v="Nov"/>
    <n v="2025"/>
    <n v="11628.539999999999"/>
    <s v="Minor Delay"/>
  </r>
  <r>
    <n v="3712"/>
    <d v="2025-07-06T00:00:00"/>
    <x v="1"/>
    <x v="5"/>
    <s v="GMP"/>
    <s v="Economy"/>
    <n v="181"/>
    <n v="144.97"/>
    <n v="0"/>
    <s v="On Time"/>
    <n v="26239.57"/>
    <s v="Jul"/>
    <n v="2025"/>
    <n v="26239.57"/>
    <s v="On Time"/>
  </r>
  <r>
    <n v="3713"/>
    <d v="2025-12-30T00:00:00"/>
    <x v="0"/>
    <x v="6"/>
    <s v="NRT"/>
    <s v="Economy"/>
    <n v="159"/>
    <n v="709.06"/>
    <n v="22"/>
    <s v="On Time"/>
    <n v="112740.54"/>
    <s v="Dec"/>
    <n v="2025"/>
    <n v="112740.54"/>
    <s v="Minor Delay"/>
  </r>
  <r>
    <n v="3714"/>
    <d v="2025-03-10T00:00:00"/>
    <x v="0"/>
    <x v="5"/>
    <s v="SIN"/>
    <s v="Economy"/>
    <n v="132"/>
    <n v="88.33"/>
    <n v="27"/>
    <s v="On Time"/>
    <n v="11659.56"/>
    <s v="Mar"/>
    <n v="2025"/>
    <n v="11659.56"/>
    <s v="Minor Delay"/>
  </r>
  <r>
    <n v="3715"/>
    <d v="2025-01-02T00:00:00"/>
    <x v="3"/>
    <x v="6"/>
    <s v="PUS"/>
    <s v="Economy"/>
    <n v="221"/>
    <n v="261.07"/>
    <n v="48"/>
    <s v="On Time"/>
    <n v="57696.47"/>
    <s v="Jan"/>
    <n v="2025"/>
    <n v="57696.47"/>
    <s v="Moderate Delay"/>
  </r>
  <r>
    <n v="3716"/>
    <d v="2025-04-15T00:00:00"/>
    <x v="5"/>
    <x v="8"/>
    <s v="KIX"/>
    <s v="Economy"/>
    <n v="161"/>
    <n v="627.96"/>
    <n v="56"/>
    <s v="On Time"/>
    <n v="101101.56"/>
    <s v="Apr"/>
    <n v="2025"/>
    <n v="101101.56000000001"/>
    <s v="Moderate Delay"/>
  </r>
  <r>
    <n v="3717"/>
    <d v="2025-11-07T00:00:00"/>
    <x v="1"/>
    <x v="6"/>
    <s v="ICN"/>
    <s v="Premium Economy"/>
    <n v="231"/>
    <n v="353.33"/>
    <n v="54"/>
    <s v="On Time"/>
    <n v="81619.23"/>
    <s v="Nov"/>
    <n v="2025"/>
    <n v="81619.23"/>
    <s v="Moderate Delay"/>
  </r>
  <r>
    <n v="3718"/>
    <d v="2025-12-13T00:00:00"/>
    <x v="4"/>
    <x v="1"/>
    <s v="SIN"/>
    <s v="Economy"/>
    <n v="113"/>
    <n v="212.69"/>
    <n v="53"/>
    <s v="On Time"/>
    <n v="24033.97"/>
    <s v="Dec"/>
    <n v="2025"/>
    <n v="24033.97"/>
    <s v="Moderate Delay"/>
  </r>
  <r>
    <n v="3719"/>
    <d v="2025-05-10T00:00:00"/>
    <x v="1"/>
    <x v="3"/>
    <s v="NRT"/>
    <s v="Economy"/>
    <n v="149"/>
    <n v="133.69999999999999"/>
    <n v="0"/>
    <s v="On Time"/>
    <n v="19921.3"/>
    <s v="May"/>
    <n v="2025"/>
    <n v="19921.3"/>
    <s v="On Time"/>
  </r>
  <r>
    <n v="3720"/>
    <d v="2025-05-29T00:00:00"/>
    <x v="3"/>
    <x v="6"/>
    <s v="NRT"/>
    <s v="Premium Economy"/>
    <n v="191"/>
    <n v="80.33"/>
    <n v="40"/>
    <s v="On Time"/>
    <n v="15343.03"/>
    <s v="May"/>
    <n v="2025"/>
    <n v="15343.029999999999"/>
    <s v="Moderate Delay"/>
  </r>
  <r>
    <n v="3721"/>
    <d v="2025-07-28T00:00:00"/>
    <x v="4"/>
    <x v="0"/>
    <s v="SIN"/>
    <s v="Economy"/>
    <n v="198"/>
    <n v="759.57"/>
    <n v="27"/>
    <s v="On Time"/>
    <n v="150394.85999999999"/>
    <s v="Jul"/>
    <n v="2025"/>
    <n v="150394.86000000002"/>
    <s v="Minor Delay"/>
  </r>
  <r>
    <n v="3722"/>
    <d v="2025-02-19T00:00:00"/>
    <x v="1"/>
    <x v="7"/>
    <s v="KIX"/>
    <s v="Premium Economy"/>
    <n v="51"/>
    <n v="295.20999999999998"/>
    <n v="6"/>
    <s v="On Time"/>
    <n v="15055.71"/>
    <s v="Feb"/>
    <n v="2025"/>
    <n v="15055.71"/>
    <s v="Minor Delay"/>
  </r>
  <r>
    <n v="3723"/>
    <d v="2025-02-20T00:00:00"/>
    <x v="3"/>
    <x v="1"/>
    <s v="MNL"/>
    <s v="Business"/>
    <n v="247"/>
    <n v="204.41"/>
    <n v="12"/>
    <s v="On Time"/>
    <n v="50489.27"/>
    <s v="Feb"/>
    <n v="2025"/>
    <n v="50489.27"/>
    <s v="Minor Delay"/>
  </r>
  <r>
    <n v="3724"/>
    <d v="2025-12-23T00:00:00"/>
    <x v="0"/>
    <x v="7"/>
    <s v="NRT"/>
    <s v="Economy"/>
    <n v="219"/>
    <n v="646.96"/>
    <n v="33"/>
    <s v="On Time"/>
    <n v="141684.24"/>
    <s v="Dec"/>
    <n v="2025"/>
    <n v="141684.24000000002"/>
    <s v="Moderate Delay"/>
  </r>
  <r>
    <n v="3725"/>
    <d v="2025-09-15T00:00:00"/>
    <x v="5"/>
    <x v="5"/>
    <s v="BKK"/>
    <s v="Economy"/>
    <n v="166"/>
    <n v="539.46"/>
    <n v="7"/>
    <s v="Delayed"/>
    <n v="89550.36"/>
    <s v="Sep"/>
    <n v="2025"/>
    <n v="89550.36"/>
    <s v="Minor Delay"/>
  </r>
  <r>
    <n v="3726"/>
    <d v="2025-09-12T00:00:00"/>
    <x v="2"/>
    <x v="5"/>
    <s v="KIX"/>
    <s v="Economy"/>
    <n v="290"/>
    <n v="311.5"/>
    <n v="6"/>
    <s v="Delayed"/>
    <n v="90335"/>
    <s v="Sep"/>
    <n v="2025"/>
    <n v="90335"/>
    <s v="Minor Delay"/>
  </r>
  <r>
    <n v="3727"/>
    <d v="2025-01-24T00:00:00"/>
    <x v="1"/>
    <x v="2"/>
    <s v="BKK"/>
    <s v="Economy"/>
    <n v="79"/>
    <n v="736.83"/>
    <n v="27"/>
    <s v="On Time"/>
    <n v="58209.57"/>
    <s v="Jan"/>
    <n v="2025"/>
    <n v="58209.57"/>
    <s v="Minor Delay"/>
  </r>
  <r>
    <n v="3728"/>
    <d v="2025-08-26T00:00:00"/>
    <x v="2"/>
    <x v="1"/>
    <s v="CJU"/>
    <s v="Business"/>
    <n v="189"/>
    <n v="468.6"/>
    <n v="0"/>
    <s v="On Time"/>
    <n v="88565.4"/>
    <s v="Aug"/>
    <n v="2025"/>
    <n v="88565.400000000009"/>
    <s v="On Time"/>
  </r>
  <r>
    <n v="3729"/>
    <d v="2025-02-12T00:00:00"/>
    <x v="2"/>
    <x v="5"/>
    <s v="NRT"/>
    <s v="Premium Economy"/>
    <n v="186"/>
    <n v="494.8"/>
    <n v="24"/>
    <s v="Delayed"/>
    <n v="92032.8"/>
    <s v="Feb"/>
    <n v="2025"/>
    <n v="92032.8"/>
    <s v="Minor Delay"/>
  </r>
  <r>
    <n v="3730"/>
    <d v="2025-12-28T00:00:00"/>
    <x v="5"/>
    <x v="3"/>
    <s v="ICN"/>
    <s v="Premium Economy"/>
    <n v="80"/>
    <n v="679.21"/>
    <n v="19"/>
    <s v="On Time"/>
    <n v="54336.800000000003"/>
    <s v="Dec"/>
    <n v="2025"/>
    <n v="54336.800000000003"/>
    <s v="Minor Delay"/>
  </r>
  <r>
    <n v="3731"/>
    <d v="2025-04-02T00:00:00"/>
    <x v="5"/>
    <x v="4"/>
    <s v="CJU"/>
    <s v="Economy"/>
    <n v="144"/>
    <n v="768.39"/>
    <n v="1"/>
    <s v="On Time"/>
    <n v="110648.16"/>
    <s v="Apr"/>
    <n v="2025"/>
    <n v="110648.16"/>
    <s v="Minor Delay"/>
  </r>
  <r>
    <n v="3732"/>
    <d v="2025-01-24T00:00:00"/>
    <x v="4"/>
    <x v="3"/>
    <s v="CJU"/>
    <s v="Business"/>
    <n v="253"/>
    <n v="320.94"/>
    <n v="53"/>
    <s v="On Time"/>
    <n v="81197.820000000007"/>
    <s v="Jan"/>
    <n v="2025"/>
    <n v="81197.819999999992"/>
    <s v="Moderate Delay"/>
  </r>
  <r>
    <n v="3733"/>
    <d v="2025-09-11T00:00:00"/>
    <x v="5"/>
    <x v="3"/>
    <s v="SIN"/>
    <s v="Business"/>
    <n v="268"/>
    <n v="125.31"/>
    <n v="1"/>
    <s v="Cancelled"/>
    <n v="33583.08"/>
    <s v="Sep"/>
    <n v="2025"/>
    <n v="33583.08"/>
    <s v="Minor Delay"/>
  </r>
  <r>
    <n v="3734"/>
    <d v="2025-01-10T00:00:00"/>
    <x v="3"/>
    <x v="6"/>
    <s v="PUS"/>
    <s v="Premium Economy"/>
    <n v="244"/>
    <n v="305.20999999999998"/>
    <n v="0"/>
    <s v="On Time"/>
    <n v="74471.240000000005"/>
    <s v="Jan"/>
    <n v="2025"/>
    <n v="74471.239999999991"/>
    <s v="On Time"/>
  </r>
  <r>
    <n v="3735"/>
    <d v="2025-05-09T00:00:00"/>
    <x v="4"/>
    <x v="7"/>
    <s v="SIN"/>
    <s v="Business"/>
    <n v="76"/>
    <n v="124.94"/>
    <n v="0"/>
    <s v="Delayed"/>
    <n v="9495.44"/>
    <s v="May"/>
    <n v="2025"/>
    <n v="9495.44"/>
    <s v="On Time"/>
  </r>
  <r>
    <n v="3736"/>
    <d v="2025-01-20T00:00:00"/>
    <x v="1"/>
    <x v="3"/>
    <s v="SIN"/>
    <s v="Premium Economy"/>
    <n v="218"/>
    <n v="746.99"/>
    <n v="40"/>
    <s v="On Time"/>
    <n v="162843.82"/>
    <s v="Jan"/>
    <n v="2025"/>
    <n v="162843.82"/>
    <s v="Moderate Delay"/>
  </r>
  <r>
    <n v="3737"/>
    <d v="2025-04-14T00:00:00"/>
    <x v="2"/>
    <x v="0"/>
    <s v="NRT"/>
    <s v="Business"/>
    <n v="183"/>
    <n v="500.38"/>
    <n v="17"/>
    <s v="On Time"/>
    <n v="91569.54"/>
    <s v="Apr"/>
    <n v="2025"/>
    <n v="91569.54"/>
    <s v="Minor Delay"/>
  </r>
  <r>
    <n v="3738"/>
    <d v="2025-08-10T00:00:00"/>
    <x v="3"/>
    <x v="4"/>
    <s v="SIN"/>
    <s v="Business"/>
    <n v="68"/>
    <n v="156.13"/>
    <n v="22"/>
    <s v="On Time"/>
    <n v="10616.84"/>
    <s v="Aug"/>
    <n v="2025"/>
    <n v="10616.84"/>
    <s v="Minor Delay"/>
  </r>
  <r>
    <n v="3739"/>
    <d v="2025-01-04T00:00:00"/>
    <x v="3"/>
    <x v="6"/>
    <s v="PUS"/>
    <s v="Premium Economy"/>
    <n v="121"/>
    <n v="348.91"/>
    <n v="29"/>
    <s v="On Time"/>
    <n v="42218.11"/>
    <s v="Jan"/>
    <n v="2025"/>
    <n v="42218.11"/>
    <s v="Minor Delay"/>
  </r>
  <r>
    <n v="3740"/>
    <d v="2025-08-27T00:00:00"/>
    <x v="1"/>
    <x v="8"/>
    <s v="CJU"/>
    <s v="Business"/>
    <n v="282"/>
    <n v="747.48"/>
    <n v="27"/>
    <s v="On Time"/>
    <n v="210789.36"/>
    <s v="Aug"/>
    <n v="2025"/>
    <n v="210789.36000000002"/>
    <s v="Minor Delay"/>
  </r>
  <r>
    <n v="3741"/>
    <d v="2025-04-19T00:00:00"/>
    <x v="5"/>
    <x v="5"/>
    <s v="NRT"/>
    <s v="Business"/>
    <n v="174"/>
    <n v="613.64"/>
    <n v="47"/>
    <s v="Delayed"/>
    <n v="106773.36"/>
    <s v="Apr"/>
    <n v="2025"/>
    <n v="106773.36"/>
    <s v="Moderate Delay"/>
  </r>
  <r>
    <n v="3742"/>
    <d v="2025-11-26T00:00:00"/>
    <x v="5"/>
    <x v="7"/>
    <s v="BKK"/>
    <s v="Business"/>
    <n v="181"/>
    <n v="353.46"/>
    <n v="0"/>
    <s v="On Time"/>
    <n v="63976.26"/>
    <s v="Nov"/>
    <n v="2025"/>
    <n v="63976.259999999995"/>
    <s v="On Time"/>
  </r>
  <r>
    <n v="3743"/>
    <d v="2025-05-01T00:00:00"/>
    <x v="5"/>
    <x v="6"/>
    <s v="NRT"/>
    <s v="Premium Economy"/>
    <n v="151"/>
    <n v="575.54"/>
    <n v="71"/>
    <s v="On Time"/>
    <n v="86906.54"/>
    <s v="May"/>
    <n v="2025"/>
    <n v="86906.54"/>
    <s v="Major Delay"/>
  </r>
  <r>
    <n v="3744"/>
    <d v="2025-05-02T00:00:00"/>
    <x v="2"/>
    <x v="5"/>
    <s v="SIN"/>
    <s v="Business"/>
    <n v="122"/>
    <n v="515.45000000000005"/>
    <n v="37"/>
    <s v="Cancelled"/>
    <n v="62884.9"/>
    <s v="May"/>
    <n v="2025"/>
    <n v="62884.900000000009"/>
    <s v="Moderate Delay"/>
  </r>
  <r>
    <n v="3745"/>
    <d v="2025-06-10T00:00:00"/>
    <x v="2"/>
    <x v="4"/>
    <s v="KIX"/>
    <s v="Business"/>
    <n v="280"/>
    <n v="535.5"/>
    <n v="19"/>
    <s v="On Time"/>
    <n v="149940"/>
    <s v="Jun"/>
    <n v="2025"/>
    <n v="149940"/>
    <s v="Minor Delay"/>
  </r>
  <r>
    <n v="3746"/>
    <d v="2025-07-26T00:00:00"/>
    <x v="5"/>
    <x v="5"/>
    <s v="SIN"/>
    <s v="Economy"/>
    <n v="240"/>
    <n v="375.27"/>
    <n v="64"/>
    <s v="On Time"/>
    <n v="90064.8"/>
    <s v="Jul"/>
    <n v="2025"/>
    <n v="90064.799999999988"/>
    <s v="Major Delay"/>
  </r>
  <r>
    <n v="3747"/>
    <d v="2025-12-01T00:00:00"/>
    <x v="0"/>
    <x v="3"/>
    <s v="NRT"/>
    <s v="Premium Economy"/>
    <n v="246"/>
    <n v="394.42"/>
    <n v="0"/>
    <s v="On Time"/>
    <n v="97027.32"/>
    <s v="Dec"/>
    <n v="2025"/>
    <n v="97027.32"/>
    <s v="On Time"/>
  </r>
  <r>
    <n v="3748"/>
    <d v="2025-05-08T00:00:00"/>
    <x v="4"/>
    <x v="5"/>
    <s v="KIX"/>
    <s v="Business"/>
    <n v="216"/>
    <n v="740.51"/>
    <n v="45"/>
    <s v="On Time"/>
    <n v="159950.16"/>
    <s v="May"/>
    <n v="2025"/>
    <n v="159950.16"/>
    <s v="Moderate Delay"/>
  </r>
  <r>
    <n v="3749"/>
    <d v="2025-11-17T00:00:00"/>
    <x v="3"/>
    <x v="6"/>
    <s v="KIX"/>
    <s v="Business"/>
    <n v="270"/>
    <n v="480.09"/>
    <n v="63"/>
    <s v="On Time"/>
    <n v="129624.3"/>
    <s v="Nov"/>
    <n v="2025"/>
    <n v="129624.29999999999"/>
    <s v="Major Delay"/>
  </r>
  <r>
    <n v="3750"/>
    <d v="2025-09-17T00:00:00"/>
    <x v="4"/>
    <x v="1"/>
    <s v="KIX"/>
    <s v="Premium Economy"/>
    <n v="179"/>
    <n v="619.67999999999995"/>
    <n v="35"/>
    <s v="Delayed"/>
    <n v="110922.72"/>
    <s v="Sep"/>
    <n v="2025"/>
    <n v="110922.71999999999"/>
    <s v="Moderate Delay"/>
  </r>
  <r>
    <n v="3751"/>
    <d v="2025-08-02T00:00:00"/>
    <x v="3"/>
    <x v="8"/>
    <s v="KIX"/>
    <s v="Business"/>
    <n v="68"/>
    <n v="340.03"/>
    <n v="0"/>
    <s v="On Time"/>
    <n v="23122.04"/>
    <s v="Aug"/>
    <n v="2025"/>
    <n v="23122.039999999997"/>
    <s v="On Time"/>
  </r>
  <r>
    <n v="3752"/>
    <d v="2025-09-08T00:00:00"/>
    <x v="3"/>
    <x v="4"/>
    <s v="ICN"/>
    <s v="Economy"/>
    <n v="64"/>
    <n v="797.1"/>
    <n v="6"/>
    <s v="On Time"/>
    <n v="51014.400000000001"/>
    <s v="Sep"/>
    <n v="2025"/>
    <n v="51014.400000000001"/>
    <s v="Minor Delay"/>
  </r>
  <r>
    <n v="3753"/>
    <d v="2025-08-27T00:00:00"/>
    <x v="2"/>
    <x v="0"/>
    <s v="SIN"/>
    <s v="Economy"/>
    <n v="275"/>
    <n v="741.69"/>
    <n v="9"/>
    <s v="On Time"/>
    <n v="203964.75"/>
    <s v="Aug"/>
    <n v="2025"/>
    <n v="203964.75000000003"/>
    <s v="Minor Delay"/>
  </r>
  <r>
    <n v="3754"/>
    <d v="2025-09-18T00:00:00"/>
    <x v="5"/>
    <x v="5"/>
    <s v="SIN"/>
    <s v="Economy"/>
    <n v="149"/>
    <n v="492.06"/>
    <n v="7"/>
    <s v="On Time"/>
    <n v="73316.94"/>
    <s v="Sep"/>
    <n v="2025"/>
    <n v="73316.94"/>
    <s v="Minor Delay"/>
  </r>
  <r>
    <n v="3755"/>
    <d v="2025-05-25T00:00:00"/>
    <x v="1"/>
    <x v="2"/>
    <s v="BKK"/>
    <s v="Economy"/>
    <n v="281"/>
    <n v="199.93"/>
    <n v="0"/>
    <s v="On Time"/>
    <n v="56180.33"/>
    <s v="May"/>
    <n v="2025"/>
    <n v="56180.33"/>
    <s v="On Time"/>
  </r>
  <r>
    <n v="3756"/>
    <d v="2025-12-16T00:00:00"/>
    <x v="1"/>
    <x v="6"/>
    <s v="KIX"/>
    <s v="Business"/>
    <n v="97"/>
    <n v="225.91"/>
    <n v="3"/>
    <s v="On Time"/>
    <n v="21913.27"/>
    <s v="Dec"/>
    <n v="2025"/>
    <n v="21913.27"/>
    <s v="Minor Delay"/>
  </r>
  <r>
    <n v="3757"/>
    <d v="2025-06-11T00:00:00"/>
    <x v="0"/>
    <x v="7"/>
    <s v="MNL"/>
    <s v="Economy"/>
    <n v="167"/>
    <n v="236.04"/>
    <n v="6"/>
    <s v="Delayed"/>
    <n v="39418.68"/>
    <s v="Jun"/>
    <n v="2025"/>
    <n v="39418.68"/>
    <s v="Minor Delay"/>
  </r>
  <r>
    <n v="3758"/>
    <d v="2025-03-21T00:00:00"/>
    <x v="4"/>
    <x v="4"/>
    <s v="SIN"/>
    <s v="Business"/>
    <n v="226"/>
    <n v="99.69"/>
    <n v="0"/>
    <s v="On Time"/>
    <n v="22529.94"/>
    <s v="Mar"/>
    <n v="2025"/>
    <n v="22529.94"/>
    <s v="On Time"/>
  </r>
  <r>
    <n v="3759"/>
    <d v="2025-05-18T00:00:00"/>
    <x v="2"/>
    <x v="7"/>
    <s v="NRT"/>
    <s v="Premium Economy"/>
    <n v="69"/>
    <n v="276.08999999999997"/>
    <n v="25"/>
    <s v="On Time"/>
    <n v="19050.21"/>
    <s v="May"/>
    <n v="2025"/>
    <n v="19050.21"/>
    <s v="Minor Delay"/>
  </r>
  <r>
    <n v="3760"/>
    <d v="2025-06-10T00:00:00"/>
    <x v="4"/>
    <x v="2"/>
    <s v="BKK"/>
    <s v="Premium Economy"/>
    <n v="227"/>
    <n v="394.1"/>
    <n v="0"/>
    <s v="Cancelled"/>
    <n v="89460.7"/>
    <s v="Jun"/>
    <n v="2025"/>
    <n v="89460.700000000012"/>
    <s v="On Time"/>
  </r>
  <r>
    <n v="3761"/>
    <d v="2025-01-21T00:00:00"/>
    <x v="2"/>
    <x v="7"/>
    <s v="ICN"/>
    <s v="Economy"/>
    <n v="170"/>
    <n v="246.09"/>
    <n v="43"/>
    <s v="On Time"/>
    <n v="41835.300000000003"/>
    <s v="Jan"/>
    <n v="2025"/>
    <n v="41835.300000000003"/>
    <s v="Moderate Delay"/>
  </r>
  <r>
    <n v="3762"/>
    <d v="2025-08-29T00:00:00"/>
    <x v="2"/>
    <x v="3"/>
    <s v="NRT"/>
    <s v="Economy"/>
    <n v="246"/>
    <n v="178.49"/>
    <n v="83"/>
    <s v="On Time"/>
    <n v="43908.54"/>
    <s v="Aug"/>
    <n v="2025"/>
    <n v="43908.54"/>
    <s v="Major Delay"/>
  </r>
  <r>
    <n v="3763"/>
    <d v="2025-11-22T00:00:00"/>
    <x v="0"/>
    <x v="2"/>
    <s v="GMP"/>
    <s v="Premium Economy"/>
    <n v="223"/>
    <n v="601.99"/>
    <n v="30"/>
    <s v="On Time"/>
    <n v="134243.76999999999"/>
    <s v="Nov"/>
    <n v="2025"/>
    <n v="134243.76999999999"/>
    <s v="Minor Delay"/>
  </r>
  <r>
    <n v="3764"/>
    <d v="2025-02-22T00:00:00"/>
    <x v="0"/>
    <x v="8"/>
    <s v="BKK"/>
    <s v="Economy"/>
    <n v="272"/>
    <n v="170.58"/>
    <n v="0"/>
    <s v="Delayed"/>
    <n v="46397.760000000002"/>
    <s v="Feb"/>
    <n v="2025"/>
    <n v="46397.760000000002"/>
    <s v="On Time"/>
  </r>
  <r>
    <n v="3765"/>
    <d v="2025-07-06T00:00:00"/>
    <x v="2"/>
    <x v="2"/>
    <s v="ICN"/>
    <s v="Premium Economy"/>
    <n v="122"/>
    <n v="370.24"/>
    <n v="13"/>
    <s v="On Time"/>
    <n v="45169.279999999999"/>
    <s v="Jul"/>
    <n v="2025"/>
    <n v="45169.279999999999"/>
    <s v="Minor Delay"/>
  </r>
  <r>
    <n v="3766"/>
    <d v="2025-07-09T00:00:00"/>
    <x v="4"/>
    <x v="4"/>
    <s v="BKK"/>
    <s v="Premium Economy"/>
    <n v="198"/>
    <n v="306.39999999999998"/>
    <n v="2"/>
    <s v="On Time"/>
    <n v="60667.199999999997"/>
    <s v="Jul"/>
    <n v="2025"/>
    <n v="60667.199999999997"/>
    <s v="Minor Delay"/>
  </r>
  <r>
    <n v="3767"/>
    <d v="2025-12-28T00:00:00"/>
    <x v="4"/>
    <x v="1"/>
    <s v="PUS"/>
    <s v="Premium Economy"/>
    <n v="51"/>
    <n v="429.79"/>
    <n v="0"/>
    <s v="Delayed"/>
    <n v="21919.29"/>
    <s v="Dec"/>
    <n v="2025"/>
    <n v="21919.29"/>
    <s v="On Time"/>
  </r>
  <r>
    <n v="3768"/>
    <d v="2025-04-29T00:00:00"/>
    <x v="3"/>
    <x v="4"/>
    <s v="PUS"/>
    <s v="Economy"/>
    <n v="174"/>
    <n v="363.36"/>
    <n v="22"/>
    <s v="Cancelled"/>
    <n v="63224.639999999999"/>
    <s v="Apr"/>
    <n v="2025"/>
    <n v="63224.639999999999"/>
    <s v="Minor Delay"/>
  </r>
  <r>
    <n v="3769"/>
    <d v="2025-12-14T00:00:00"/>
    <x v="2"/>
    <x v="5"/>
    <s v="KIX"/>
    <s v="Economy"/>
    <n v="57"/>
    <n v="444.47"/>
    <n v="3"/>
    <s v="On Time"/>
    <n v="25334.79"/>
    <s v="Dec"/>
    <n v="2025"/>
    <n v="25334.79"/>
    <s v="Minor Delay"/>
  </r>
  <r>
    <n v="3770"/>
    <d v="2025-08-06T00:00:00"/>
    <x v="5"/>
    <x v="1"/>
    <s v="CJU"/>
    <s v="Economy"/>
    <n v="97"/>
    <n v="760.74"/>
    <n v="0"/>
    <s v="On Time"/>
    <n v="73791.78"/>
    <s v="Aug"/>
    <n v="2025"/>
    <n v="73791.78"/>
    <s v="On Time"/>
  </r>
  <r>
    <n v="3771"/>
    <d v="2025-07-11T00:00:00"/>
    <x v="4"/>
    <x v="5"/>
    <s v="SIN"/>
    <s v="Business"/>
    <n v="55"/>
    <n v="356.3"/>
    <n v="0"/>
    <s v="On Time"/>
    <n v="19596.5"/>
    <s v="Jul"/>
    <n v="2025"/>
    <n v="19596.5"/>
    <s v="On Time"/>
  </r>
  <r>
    <n v="3772"/>
    <d v="2025-02-04T00:00:00"/>
    <x v="4"/>
    <x v="8"/>
    <s v="ICN"/>
    <s v="Business"/>
    <n v="77"/>
    <n v="187.76"/>
    <n v="28"/>
    <s v="On Time"/>
    <n v="14457.52"/>
    <s v="Feb"/>
    <n v="2025"/>
    <n v="14457.519999999999"/>
    <s v="Minor Delay"/>
  </r>
  <r>
    <n v="3773"/>
    <d v="2025-06-08T00:00:00"/>
    <x v="5"/>
    <x v="2"/>
    <s v="KIX"/>
    <s v="Economy"/>
    <n v="167"/>
    <n v="382.95"/>
    <n v="5"/>
    <s v="On Time"/>
    <n v="63952.65"/>
    <s v="Jun"/>
    <n v="2025"/>
    <n v="63952.65"/>
    <s v="Minor Delay"/>
  </r>
  <r>
    <n v="3774"/>
    <d v="2025-10-10T00:00:00"/>
    <x v="3"/>
    <x v="7"/>
    <s v="GMP"/>
    <s v="Economy"/>
    <n v="225"/>
    <n v="235.88"/>
    <n v="22"/>
    <s v="On Time"/>
    <n v="53073"/>
    <s v="Oct"/>
    <n v="2025"/>
    <n v="53073"/>
    <s v="Minor Delay"/>
  </r>
  <r>
    <n v="3775"/>
    <d v="2025-11-02T00:00:00"/>
    <x v="0"/>
    <x v="2"/>
    <s v="GMP"/>
    <s v="Business"/>
    <n v="285"/>
    <n v="339.66"/>
    <n v="11"/>
    <s v="On Time"/>
    <n v="96803.1"/>
    <s v="Nov"/>
    <n v="2025"/>
    <n v="96803.1"/>
    <s v="Minor Delay"/>
  </r>
  <r>
    <n v="3776"/>
    <d v="2025-01-13T00:00:00"/>
    <x v="2"/>
    <x v="3"/>
    <s v="PUS"/>
    <s v="Economy"/>
    <n v="90"/>
    <n v="188.27"/>
    <n v="8"/>
    <s v="On Time"/>
    <n v="16944.3"/>
    <s v="Jan"/>
    <n v="2025"/>
    <n v="16944.3"/>
    <s v="Minor Delay"/>
  </r>
  <r>
    <n v="3777"/>
    <d v="2025-03-16T00:00:00"/>
    <x v="5"/>
    <x v="5"/>
    <s v="PUS"/>
    <s v="Economy"/>
    <n v="217"/>
    <n v="402.84"/>
    <n v="19"/>
    <s v="On Time"/>
    <n v="87416.28"/>
    <s v="Mar"/>
    <n v="2025"/>
    <n v="87416.28"/>
    <s v="Minor Delay"/>
  </r>
  <r>
    <n v="3778"/>
    <d v="2025-11-14T00:00:00"/>
    <x v="5"/>
    <x v="3"/>
    <s v="NRT"/>
    <s v="Premium Economy"/>
    <n v="175"/>
    <n v="604.15"/>
    <n v="4"/>
    <s v="On Time"/>
    <n v="105726.25"/>
    <s v="Nov"/>
    <n v="2025"/>
    <n v="105726.25"/>
    <s v="Minor Delay"/>
  </r>
  <r>
    <n v="3779"/>
    <d v="2025-10-08T00:00:00"/>
    <x v="0"/>
    <x v="8"/>
    <s v="CJU"/>
    <s v="Economy"/>
    <n v="152"/>
    <n v="203.2"/>
    <n v="39"/>
    <s v="Delayed"/>
    <n v="30886.400000000001"/>
    <s v="Oct"/>
    <n v="2025"/>
    <n v="30886.399999999998"/>
    <s v="Moderate Delay"/>
  </r>
  <r>
    <n v="3780"/>
    <d v="2025-03-27T00:00:00"/>
    <x v="2"/>
    <x v="5"/>
    <s v="CJU"/>
    <s v="Business"/>
    <n v="191"/>
    <n v="99.23"/>
    <n v="50"/>
    <s v="On Time"/>
    <n v="18952.93"/>
    <s v="Mar"/>
    <n v="2025"/>
    <n v="18952.93"/>
    <s v="Moderate Delay"/>
  </r>
  <r>
    <n v="3781"/>
    <d v="2025-07-07T00:00:00"/>
    <x v="5"/>
    <x v="1"/>
    <s v="MNL"/>
    <s v="Business"/>
    <n v="132"/>
    <n v="161.63999999999999"/>
    <n v="41"/>
    <s v="On Time"/>
    <n v="21336.48"/>
    <s v="Jul"/>
    <n v="2025"/>
    <n v="21336.48"/>
    <s v="Moderate Delay"/>
  </r>
  <r>
    <n v="3782"/>
    <d v="2025-11-28T00:00:00"/>
    <x v="2"/>
    <x v="1"/>
    <s v="ICN"/>
    <s v="Premium Economy"/>
    <n v="162"/>
    <n v="175.17"/>
    <n v="0"/>
    <s v="On Time"/>
    <n v="28377.54"/>
    <s v="Nov"/>
    <n v="2025"/>
    <n v="28377.539999999997"/>
    <s v="On Time"/>
  </r>
  <r>
    <n v="3783"/>
    <d v="2025-07-05T00:00:00"/>
    <x v="2"/>
    <x v="3"/>
    <s v="CJU"/>
    <s v="Economy"/>
    <n v="165"/>
    <n v="467.08"/>
    <n v="10"/>
    <s v="On Time"/>
    <n v="77068.2"/>
    <s v="Jul"/>
    <n v="2025"/>
    <n v="77068.2"/>
    <s v="Minor Delay"/>
  </r>
  <r>
    <n v="3784"/>
    <d v="2025-01-08T00:00:00"/>
    <x v="2"/>
    <x v="6"/>
    <s v="NRT"/>
    <s v="Economy"/>
    <n v="257"/>
    <n v="575.69000000000005"/>
    <n v="0"/>
    <s v="On Time"/>
    <n v="147952.32999999999"/>
    <s v="Jan"/>
    <n v="2025"/>
    <n v="147952.33000000002"/>
    <s v="On Time"/>
  </r>
  <r>
    <n v="3785"/>
    <d v="2025-09-03T00:00:00"/>
    <x v="2"/>
    <x v="1"/>
    <s v="KIX"/>
    <s v="Premium Economy"/>
    <n v="248"/>
    <n v="701.97"/>
    <n v="30"/>
    <s v="Delayed"/>
    <n v="174088.56"/>
    <s v="Sep"/>
    <n v="2025"/>
    <n v="174088.56"/>
    <s v="Minor Delay"/>
  </r>
  <r>
    <n v="3786"/>
    <d v="2025-03-20T00:00:00"/>
    <x v="5"/>
    <x v="6"/>
    <s v="MNL"/>
    <s v="Premium Economy"/>
    <n v="89"/>
    <n v="355.18"/>
    <n v="19"/>
    <s v="On Time"/>
    <n v="31611.02"/>
    <s v="Mar"/>
    <n v="2025"/>
    <n v="31611.02"/>
    <s v="Minor Delay"/>
  </r>
  <r>
    <n v="3787"/>
    <d v="2025-07-25T00:00:00"/>
    <x v="3"/>
    <x v="7"/>
    <s v="PUS"/>
    <s v="Business"/>
    <n v="68"/>
    <n v="583.51"/>
    <n v="20"/>
    <s v="On Time"/>
    <n v="39678.68"/>
    <s v="Jul"/>
    <n v="2025"/>
    <n v="39678.68"/>
    <s v="Minor Delay"/>
  </r>
  <r>
    <n v="3788"/>
    <d v="2025-04-11T00:00:00"/>
    <x v="2"/>
    <x v="5"/>
    <s v="BKK"/>
    <s v="Economy"/>
    <n v="215"/>
    <n v="441.8"/>
    <n v="0"/>
    <s v="On Time"/>
    <n v="94987"/>
    <s v="Apr"/>
    <n v="2025"/>
    <n v="94987"/>
    <s v="On Time"/>
  </r>
  <r>
    <n v="3789"/>
    <d v="2025-07-23T00:00:00"/>
    <x v="5"/>
    <x v="3"/>
    <s v="MNL"/>
    <s v="Business"/>
    <n v="52"/>
    <n v="648.22"/>
    <n v="62"/>
    <s v="On Time"/>
    <n v="33707.440000000002"/>
    <s v="Jul"/>
    <n v="2025"/>
    <n v="33707.440000000002"/>
    <s v="Major Delay"/>
  </r>
  <r>
    <n v="3790"/>
    <d v="2025-08-30T00:00:00"/>
    <x v="5"/>
    <x v="1"/>
    <s v="NRT"/>
    <s v="Premium Economy"/>
    <n v="212"/>
    <n v="107.44"/>
    <n v="41"/>
    <s v="On Time"/>
    <n v="22777.279999999999"/>
    <s v="Aug"/>
    <n v="2025"/>
    <n v="22777.279999999999"/>
    <s v="Moderate Delay"/>
  </r>
  <r>
    <n v="3791"/>
    <d v="2025-03-05T00:00:00"/>
    <x v="0"/>
    <x v="6"/>
    <s v="PUS"/>
    <s v="Premium Economy"/>
    <n v="84"/>
    <n v="471.92"/>
    <n v="0"/>
    <s v="On Time"/>
    <n v="39641.279999999999"/>
    <s v="Mar"/>
    <n v="2025"/>
    <n v="39641.279999999999"/>
    <s v="On Time"/>
  </r>
  <r>
    <n v="3792"/>
    <d v="2025-07-24T00:00:00"/>
    <x v="1"/>
    <x v="4"/>
    <s v="GMP"/>
    <s v="Economy"/>
    <n v="197"/>
    <n v="506.91"/>
    <n v="74"/>
    <s v="Delayed"/>
    <n v="99861.27"/>
    <s v="Jul"/>
    <n v="2025"/>
    <n v="99861.27"/>
    <s v="Major Delay"/>
  </r>
  <r>
    <n v="3793"/>
    <d v="2025-10-12T00:00:00"/>
    <x v="1"/>
    <x v="6"/>
    <s v="NRT"/>
    <s v="Business"/>
    <n v="162"/>
    <n v="62.04"/>
    <n v="11"/>
    <s v="On Time"/>
    <n v="10050.48"/>
    <s v="Oct"/>
    <n v="2025"/>
    <n v="10050.48"/>
    <s v="Minor Delay"/>
  </r>
  <r>
    <n v="3794"/>
    <d v="2025-02-22T00:00:00"/>
    <x v="4"/>
    <x v="1"/>
    <s v="SIN"/>
    <s v="Economy"/>
    <n v="60"/>
    <n v="414.86"/>
    <n v="0"/>
    <s v="On Time"/>
    <n v="24891.599999999999"/>
    <s v="Feb"/>
    <n v="2025"/>
    <n v="24891.600000000002"/>
    <s v="On Time"/>
  </r>
  <r>
    <n v="3795"/>
    <d v="2025-05-27T00:00:00"/>
    <x v="1"/>
    <x v="5"/>
    <s v="SIN"/>
    <s v="Premium Economy"/>
    <n v="107"/>
    <n v="226.45"/>
    <n v="52"/>
    <s v="On Time"/>
    <n v="24230.15"/>
    <s v="May"/>
    <n v="2025"/>
    <n v="24230.149999999998"/>
    <s v="Moderate Delay"/>
  </r>
  <r>
    <n v="3796"/>
    <d v="2025-12-25T00:00:00"/>
    <x v="0"/>
    <x v="1"/>
    <s v="SIN"/>
    <s v="Business"/>
    <n v="283"/>
    <n v="277.32"/>
    <n v="14"/>
    <s v="On Time"/>
    <n v="78481.56"/>
    <s v="Dec"/>
    <n v="2025"/>
    <n v="78481.56"/>
    <s v="Minor Delay"/>
  </r>
  <r>
    <n v="3797"/>
    <d v="2025-02-04T00:00:00"/>
    <x v="1"/>
    <x v="5"/>
    <s v="BKK"/>
    <s v="Economy"/>
    <n v="287"/>
    <n v="673.22"/>
    <n v="27"/>
    <s v="On Time"/>
    <n v="193214.14"/>
    <s v="Feb"/>
    <n v="2025"/>
    <n v="193214.14"/>
    <s v="Minor Delay"/>
  </r>
  <r>
    <n v="3798"/>
    <d v="2025-10-12T00:00:00"/>
    <x v="3"/>
    <x v="0"/>
    <s v="SIN"/>
    <s v="Premium Economy"/>
    <n v="57"/>
    <n v="597.62"/>
    <n v="16"/>
    <s v="On Time"/>
    <n v="34064.339999999997"/>
    <s v="Oct"/>
    <n v="2025"/>
    <n v="34064.340000000004"/>
    <s v="Minor Delay"/>
  </r>
  <r>
    <n v="3799"/>
    <d v="2025-06-28T00:00:00"/>
    <x v="3"/>
    <x v="5"/>
    <s v="PUS"/>
    <s v="Premium Economy"/>
    <n v="194"/>
    <n v="410.43"/>
    <n v="0"/>
    <s v="On Time"/>
    <n v="79623.42"/>
    <s v="Jun"/>
    <n v="2025"/>
    <n v="79623.42"/>
    <s v="On Time"/>
  </r>
  <r>
    <n v="3800"/>
    <d v="2025-02-11T00:00:00"/>
    <x v="1"/>
    <x v="7"/>
    <s v="ICN"/>
    <s v="Business"/>
    <n v="94"/>
    <n v="518.88"/>
    <n v="0"/>
    <s v="Delayed"/>
    <n v="48774.720000000001"/>
    <s v="Feb"/>
    <n v="2025"/>
    <n v="48774.720000000001"/>
    <s v="On Time"/>
  </r>
  <r>
    <n v="3801"/>
    <d v="2025-05-18T00:00:00"/>
    <x v="3"/>
    <x v="3"/>
    <s v="SIN"/>
    <s v="Premium Economy"/>
    <n v="222"/>
    <n v="572.69000000000005"/>
    <n v="0"/>
    <s v="On Time"/>
    <n v="127137.18"/>
    <s v="May"/>
    <n v="2025"/>
    <n v="127137.18000000001"/>
    <s v="On Time"/>
  </r>
  <r>
    <n v="3802"/>
    <d v="2025-11-01T00:00:00"/>
    <x v="3"/>
    <x v="1"/>
    <s v="KIX"/>
    <s v="Premium Economy"/>
    <n v="241"/>
    <n v="288.83"/>
    <n v="0"/>
    <s v="Delayed"/>
    <n v="69608.03"/>
    <s v="Nov"/>
    <n v="2025"/>
    <n v="69608.03"/>
    <s v="On Time"/>
  </r>
  <r>
    <n v="3803"/>
    <d v="2025-03-19T00:00:00"/>
    <x v="2"/>
    <x v="7"/>
    <s v="BKK"/>
    <s v="Business"/>
    <n v="223"/>
    <n v="563.54"/>
    <n v="21"/>
    <s v="On Time"/>
    <n v="125669.42"/>
    <s v="Mar"/>
    <n v="2025"/>
    <n v="125669.42"/>
    <s v="Minor Delay"/>
  </r>
  <r>
    <n v="3804"/>
    <d v="2025-02-12T00:00:00"/>
    <x v="2"/>
    <x v="5"/>
    <s v="KIX"/>
    <s v="Premium Economy"/>
    <n v="78"/>
    <n v="318.42"/>
    <n v="0"/>
    <s v="On Time"/>
    <n v="24836.76"/>
    <s v="Feb"/>
    <n v="2025"/>
    <n v="24836.760000000002"/>
    <s v="On Time"/>
  </r>
  <r>
    <n v="3805"/>
    <d v="2025-01-21T00:00:00"/>
    <x v="3"/>
    <x v="8"/>
    <s v="NRT"/>
    <s v="Premium Economy"/>
    <n v="73"/>
    <n v="726.34"/>
    <n v="38"/>
    <s v="Delayed"/>
    <n v="53022.82"/>
    <s v="Jan"/>
    <n v="2025"/>
    <n v="53022.82"/>
    <s v="Moderate Delay"/>
  </r>
  <r>
    <n v="3806"/>
    <d v="2025-08-05T00:00:00"/>
    <x v="2"/>
    <x v="2"/>
    <s v="SIN"/>
    <s v="Business"/>
    <n v="196"/>
    <n v="630.87"/>
    <n v="19"/>
    <s v="On Time"/>
    <n v="123650.52"/>
    <s v="Aug"/>
    <n v="2025"/>
    <n v="123650.52"/>
    <s v="Minor Delay"/>
  </r>
  <r>
    <n v="3807"/>
    <d v="2025-10-01T00:00:00"/>
    <x v="1"/>
    <x v="8"/>
    <s v="BKK"/>
    <s v="Business"/>
    <n v="223"/>
    <n v="726.38"/>
    <n v="20"/>
    <s v="On Time"/>
    <n v="161982.74"/>
    <s v="Oct"/>
    <n v="2025"/>
    <n v="161982.74"/>
    <s v="Minor Delay"/>
  </r>
  <r>
    <n v="3808"/>
    <d v="2025-02-15T00:00:00"/>
    <x v="2"/>
    <x v="3"/>
    <s v="SIN"/>
    <s v="Premium Economy"/>
    <n v="203"/>
    <n v="546.4"/>
    <n v="17"/>
    <s v="On Time"/>
    <n v="110919.2"/>
    <s v="Feb"/>
    <n v="2025"/>
    <n v="110919.2"/>
    <s v="Minor Delay"/>
  </r>
  <r>
    <n v="3809"/>
    <d v="2025-11-12T00:00:00"/>
    <x v="3"/>
    <x v="6"/>
    <s v="NRT"/>
    <s v="Premium Economy"/>
    <n v="182"/>
    <n v="436.76"/>
    <n v="14"/>
    <s v="On Time"/>
    <n v="79490.320000000007"/>
    <s v="Nov"/>
    <n v="2025"/>
    <n v="79490.319999999992"/>
    <s v="Minor Delay"/>
  </r>
  <r>
    <n v="3810"/>
    <d v="2025-06-22T00:00:00"/>
    <x v="5"/>
    <x v="5"/>
    <s v="NRT"/>
    <s v="Premium Economy"/>
    <n v="93"/>
    <n v="269.60000000000002"/>
    <n v="52"/>
    <s v="On Time"/>
    <n v="25072.799999999999"/>
    <s v="Jun"/>
    <n v="2025"/>
    <n v="25072.800000000003"/>
    <s v="Moderate Delay"/>
  </r>
  <r>
    <n v="3811"/>
    <d v="2025-05-11T00:00:00"/>
    <x v="4"/>
    <x v="3"/>
    <s v="SIN"/>
    <s v="Premium Economy"/>
    <n v="56"/>
    <n v="478.05"/>
    <n v="0"/>
    <s v="On Time"/>
    <n v="26770.799999999999"/>
    <s v="May"/>
    <n v="2025"/>
    <n v="26770.799999999999"/>
    <s v="On Time"/>
  </r>
  <r>
    <n v="3812"/>
    <d v="2025-06-12T00:00:00"/>
    <x v="0"/>
    <x v="3"/>
    <s v="PUS"/>
    <s v="Premium Economy"/>
    <n v="238"/>
    <n v="497.46"/>
    <n v="7"/>
    <s v="On Time"/>
    <n v="118395.48"/>
    <s v="Jun"/>
    <n v="2025"/>
    <n v="118395.48"/>
    <s v="Minor Delay"/>
  </r>
  <r>
    <n v="3813"/>
    <d v="2025-12-21T00:00:00"/>
    <x v="1"/>
    <x v="0"/>
    <s v="CJU"/>
    <s v="Business"/>
    <n v="182"/>
    <n v="335.24"/>
    <n v="16"/>
    <s v="On Time"/>
    <n v="61013.68"/>
    <s v="Dec"/>
    <n v="2025"/>
    <n v="61013.68"/>
    <s v="Minor Delay"/>
  </r>
  <r>
    <n v="3814"/>
    <d v="2025-09-19T00:00:00"/>
    <x v="5"/>
    <x v="1"/>
    <s v="MNL"/>
    <s v="Business"/>
    <n v="221"/>
    <n v="796.64"/>
    <n v="11"/>
    <s v="On Time"/>
    <n v="176057.44"/>
    <s v="Sep"/>
    <n v="2025"/>
    <n v="176057.44"/>
    <s v="Minor Delay"/>
  </r>
  <r>
    <n v="3815"/>
    <d v="2025-02-09T00:00:00"/>
    <x v="0"/>
    <x v="2"/>
    <s v="CJU"/>
    <s v="Premium Economy"/>
    <n v="261"/>
    <n v="486.89"/>
    <n v="47"/>
    <s v="On Time"/>
    <n v="127078.29"/>
    <s v="Feb"/>
    <n v="2025"/>
    <n v="127078.29"/>
    <s v="Moderate Delay"/>
  </r>
  <r>
    <n v="3816"/>
    <d v="2025-11-30T00:00:00"/>
    <x v="4"/>
    <x v="8"/>
    <s v="PUS"/>
    <s v="Business"/>
    <n v="289"/>
    <n v="690.05"/>
    <n v="44"/>
    <s v="On Time"/>
    <n v="199424.45"/>
    <s v="Nov"/>
    <n v="2025"/>
    <n v="199424.44999999998"/>
    <s v="Moderate Delay"/>
  </r>
  <r>
    <n v="3817"/>
    <d v="2025-03-17T00:00:00"/>
    <x v="3"/>
    <x v="5"/>
    <s v="PUS"/>
    <s v="Premium Economy"/>
    <n v="117"/>
    <n v="174.6"/>
    <n v="0"/>
    <s v="On Time"/>
    <n v="20428.2"/>
    <s v="Mar"/>
    <n v="2025"/>
    <n v="20428.2"/>
    <s v="On Time"/>
  </r>
  <r>
    <n v="3818"/>
    <d v="2025-06-21T00:00:00"/>
    <x v="4"/>
    <x v="7"/>
    <s v="ICN"/>
    <s v="Premium Economy"/>
    <n v="189"/>
    <n v="671.41"/>
    <n v="0"/>
    <s v="Delayed"/>
    <n v="126896.49"/>
    <s v="Jun"/>
    <n v="2025"/>
    <n v="126896.48999999999"/>
    <s v="On Time"/>
  </r>
  <r>
    <n v="3819"/>
    <d v="2025-10-08T00:00:00"/>
    <x v="1"/>
    <x v="6"/>
    <s v="MNL"/>
    <s v="Business"/>
    <n v="206"/>
    <n v="164.27"/>
    <n v="58"/>
    <s v="On Time"/>
    <n v="33839.620000000003"/>
    <s v="Oct"/>
    <n v="2025"/>
    <n v="33839.620000000003"/>
    <s v="Moderate Delay"/>
  </r>
  <r>
    <n v="3820"/>
    <d v="2025-08-17T00:00:00"/>
    <x v="4"/>
    <x v="4"/>
    <s v="KIX"/>
    <s v="Premium Economy"/>
    <n v="51"/>
    <n v="278.07"/>
    <n v="36"/>
    <s v="On Time"/>
    <n v="14181.57"/>
    <s v="Aug"/>
    <n v="2025"/>
    <n v="14181.57"/>
    <s v="Moderate Delay"/>
  </r>
  <r>
    <n v="3821"/>
    <d v="2025-09-04T00:00:00"/>
    <x v="3"/>
    <x v="8"/>
    <s v="GMP"/>
    <s v="Business"/>
    <n v="285"/>
    <n v="246.53"/>
    <n v="0"/>
    <s v="On Time"/>
    <n v="70261.05"/>
    <s v="Sep"/>
    <n v="2025"/>
    <n v="70261.05"/>
    <s v="On Time"/>
  </r>
  <r>
    <n v="3822"/>
    <d v="2025-02-10T00:00:00"/>
    <x v="2"/>
    <x v="4"/>
    <s v="MNL"/>
    <s v="Economy"/>
    <n v="177"/>
    <n v="308.60000000000002"/>
    <n v="27"/>
    <s v="On Time"/>
    <n v="54622.2"/>
    <s v="Feb"/>
    <n v="2025"/>
    <n v="54622.200000000004"/>
    <s v="Minor Delay"/>
  </r>
  <r>
    <n v="3823"/>
    <d v="2025-03-15T00:00:00"/>
    <x v="5"/>
    <x v="4"/>
    <s v="BKK"/>
    <s v="Economy"/>
    <n v="158"/>
    <n v="390.05"/>
    <n v="44"/>
    <s v="Delayed"/>
    <n v="61627.9"/>
    <s v="Mar"/>
    <n v="2025"/>
    <n v="61627.9"/>
    <s v="Moderate Delay"/>
  </r>
  <r>
    <n v="3824"/>
    <d v="2025-10-29T00:00:00"/>
    <x v="5"/>
    <x v="6"/>
    <s v="MNL"/>
    <s v="Business"/>
    <n v="168"/>
    <n v="756.12"/>
    <n v="10"/>
    <s v="On Time"/>
    <n v="127028.16"/>
    <s v="Oct"/>
    <n v="2025"/>
    <n v="127028.16"/>
    <s v="Minor Delay"/>
  </r>
  <r>
    <n v="3825"/>
    <d v="2025-09-20T00:00:00"/>
    <x v="4"/>
    <x v="4"/>
    <s v="BKK"/>
    <s v="Premium Economy"/>
    <n v="244"/>
    <n v="278.23"/>
    <n v="38"/>
    <s v="On Time"/>
    <n v="67888.12"/>
    <s v="Sep"/>
    <n v="2025"/>
    <n v="67888.12000000001"/>
    <s v="Moderate Delay"/>
  </r>
  <r>
    <n v="3826"/>
    <d v="2025-08-01T00:00:00"/>
    <x v="1"/>
    <x v="7"/>
    <s v="NRT"/>
    <s v="Business"/>
    <n v="134"/>
    <n v="772.3"/>
    <n v="28"/>
    <s v="On Time"/>
    <n v="103488.2"/>
    <s v="Aug"/>
    <n v="2025"/>
    <n v="103488.2"/>
    <s v="Minor Delay"/>
  </r>
  <r>
    <n v="3827"/>
    <d v="2025-12-06T00:00:00"/>
    <x v="1"/>
    <x v="8"/>
    <s v="KIX"/>
    <s v="Business"/>
    <n v="198"/>
    <n v="214.51"/>
    <n v="6"/>
    <s v="On Time"/>
    <n v="42472.98"/>
    <s v="Dec"/>
    <n v="2025"/>
    <n v="42472.979999999996"/>
    <s v="Minor Delay"/>
  </r>
  <r>
    <n v="3828"/>
    <d v="2025-05-23T00:00:00"/>
    <x v="5"/>
    <x v="0"/>
    <s v="PUS"/>
    <s v="Premium Economy"/>
    <n v="251"/>
    <n v="278.01"/>
    <n v="33"/>
    <s v="On Time"/>
    <n v="69780.509999999995"/>
    <s v="May"/>
    <n v="2025"/>
    <n v="69780.509999999995"/>
    <s v="Moderate Delay"/>
  </r>
  <r>
    <n v="3829"/>
    <d v="2025-07-28T00:00:00"/>
    <x v="1"/>
    <x v="1"/>
    <s v="KIX"/>
    <s v="Economy"/>
    <n v="142"/>
    <n v="363.1"/>
    <n v="24"/>
    <s v="On Time"/>
    <n v="51560.2"/>
    <s v="Jul"/>
    <n v="2025"/>
    <n v="51560.200000000004"/>
    <s v="Minor Delay"/>
  </r>
  <r>
    <n v="3830"/>
    <d v="2025-08-27T00:00:00"/>
    <x v="1"/>
    <x v="2"/>
    <s v="ICN"/>
    <s v="Business"/>
    <n v="157"/>
    <n v="308.11"/>
    <n v="7"/>
    <s v="On Time"/>
    <n v="48373.27"/>
    <s v="Aug"/>
    <n v="2025"/>
    <n v="48373.270000000004"/>
    <s v="Minor Delay"/>
  </r>
  <r>
    <n v="3831"/>
    <d v="2025-04-29T00:00:00"/>
    <x v="1"/>
    <x v="5"/>
    <s v="BKK"/>
    <s v="Premium Economy"/>
    <n v="58"/>
    <n v="157.18"/>
    <n v="44"/>
    <s v="On Time"/>
    <n v="9116.44"/>
    <s v="Apr"/>
    <n v="2025"/>
    <n v="9116.44"/>
    <s v="Moderate Delay"/>
  </r>
  <r>
    <n v="3832"/>
    <d v="2025-04-20T00:00:00"/>
    <x v="2"/>
    <x v="2"/>
    <s v="ICN"/>
    <s v="Business"/>
    <n v="95"/>
    <n v="658.24"/>
    <n v="45"/>
    <s v="Delayed"/>
    <n v="62532.800000000003"/>
    <s v="Apr"/>
    <n v="2025"/>
    <n v="62532.800000000003"/>
    <s v="Moderate Delay"/>
  </r>
  <r>
    <n v="3833"/>
    <d v="2025-10-02T00:00:00"/>
    <x v="2"/>
    <x v="8"/>
    <s v="GMP"/>
    <s v="Business"/>
    <n v="216"/>
    <n v="179.84"/>
    <n v="4"/>
    <s v="On Time"/>
    <n v="38845.440000000002"/>
    <s v="Oct"/>
    <n v="2025"/>
    <n v="38845.440000000002"/>
    <s v="Minor Delay"/>
  </r>
  <r>
    <n v="3834"/>
    <d v="2025-02-23T00:00:00"/>
    <x v="0"/>
    <x v="2"/>
    <s v="GMP"/>
    <s v="Business"/>
    <n v="69"/>
    <n v="215.18"/>
    <n v="68"/>
    <s v="On Time"/>
    <n v="14847.42"/>
    <s v="Feb"/>
    <n v="2025"/>
    <n v="14847.42"/>
    <s v="Major Delay"/>
  </r>
  <r>
    <n v="3835"/>
    <d v="2025-10-13T00:00:00"/>
    <x v="2"/>
    <x v="8"/>
    <s v="CJU"/>
    <s v="Business"/>
    <n v="244"/>
    <n v="650.48"/>
    <n v="41"/>
    <s v="On Time"/>
    <n v="158717.12"/>
    <s v="Oct"/>
    <n v="2025"/>
    <n v="158717.12"/>
    <s v="Moderate Delay"/>
  </r>
  <r>
    <n v="3836"/>
    <d v="2025-11-15T00:00:00"/>
    <x v="5"/>
    <x v="4"/>
    <s v="BKK"/>
    <s v="Premium Economy"/>
    <n v="181"/>
    <n v="356.99"/>
    <n v="5"/>
    <s v="On Time"/>
    <n v="64615.19"/>
    <s v="Nov"/>
    <n v="2025"/>
    <n v="64615.19"/>
    <s v="Minor Delay"/>
  </r>
  <r>
    <n v="3837"/>
    <d v="2025-12-29T00:00:00"/>
    <x v="4"/>
    <x v="1"/>
    <s v="KIX"/>
    <s v="Economy"/>
    <n v="183"/>
    <n v="748.27"/>
    <n v="44"/>
    <s v="On Time"/>
    <n v="136933.41"/>
    <s v="Dec"/>
    <n v="2025"/>
    <n v="136933.41"/>
    <s v="Moderate Delay"/>
  </r>
  <r>
    <n v="3838"/>
    <d v="2025-03-13T00:00:00"/>
    <x v="1"/>
    <x v="7"/>
    <s v="BKK"/>
    <s v="Economy"/>
    <n v="284"/>
    <n v="550.45000000000005"/>
    <n v="62"/>
    <s v="On Time"/>
    <n v="156327.79999999999"/>
    <s v="Mar"/>
    <n v="2025"/>
    <n v="156327.80000000002"/>
    <s v="Major Delay"/>
  </r>
  <r>
    <n v="3839"/>
    <d v="2025-10-27T00:00:00"/>
    <x v="1"/>
    <x v="1"/>
    <s v="MNL"/>
    <s v="Premium Economy"/>
    <n v="263"/>
    <n v="764.69"/>
    <n v="15"/>
    <s v="On Time"/>
    <n v="201113.47"/>
    <s v="Oct"/>
    <n v="2025"/>
    <n v="201113.47"/>
    <s v="Minor Delay"/>
  </r>
  <r>
    <n v="3840"/>
    <d v="2025-03-31T00:00:00"/>
    <x v="5"/>
    <x v="6"/>
    <s v="NRT"/>
    <s v="Business"/>
    <n v="277"/>
    <n v="175.68"/>
    <n v="53"/>
    <s v="On Time"/>
    <n v="48663.360000000001"/>
    <s v="Mar"/>
    <n v="2025"/>
    <n v="48663.360000000001"/>
    <s v="Moderate Delay"/>
  </r>
  <r>
    <n v="3841"/>
    <d v="2025-08-18T00:00:00"/>
    <x v="1"/>
    <x v="6"/>
    <s v="NRT"/>
    <s v="Premium Economy"/>
    <n v="89"/>
    <n v="92.9"/>
    <n v="35"/>
    <s v="On Time"/>
    <n v="8268.1"/>
    <s v="Aug"/>
    <n v="2025"/>
    <n v="8268.1"/>
    <s v="Moderate Delay"/>
  </r>
  <r>
    <n v="3842"/>
    <d v="2025-02-16T00:00:00"/>
    <x v="3"/>
    <x v="6"/>
    <s v="MNL"/>
    <s v="Economy"/>
    <n v="103"/>
    <n v="611.89"/>
    <n v="28"/>
    <s v="Delayed"/>
    <n v="63024.67"/>
    <s v="Feb"/>
    <n v="2025"/>
    <n v="63024.67"/>
    <s v="Minor Delay"/>
  </r>
  <r>
    <n v="3843"/>
    <d v="2025-07-15T00:00:00"/>
    <x v="5"/>
    <x v="2"/>
    <s v="MNL"/>
    <s v="Premium Economy"/>
    <n v="300"/>
    <n v="276.81"/>
    <n v="33"/>
    <s v="On Time"/>
    <n v="83043"/>
    <s v="Jul"/>
    <n v="2025"/>
    <n v="83043"/>
    <s v="Moderate Delay"/>
  </r>
  <r>
    <n v="3844"/>
    <d v="2025-03-11T00:00:00"/>
    <x v="2"/>
    <x v="6"/>
    <s v="BKK"/>
    <s v="Business"/>
    <n v="229"/>
    <n v="550.91999999999996"/>
    <n v="0"/>
    <s v="On Time"/>
    <n v="126160.68"/>
    <s v="Mar"/>
    <n v="2025"/>
    <n v="126160.68"/>
    <s v="On Time"/>
  </r>
  <r>
    <n v="3845"/>
    <d v="2025-09-28T00:00:00"/>
    <x v="2"/>
    <x v="8"/>
    <s v="CJU"/>
    <s v="Business"/>
    <n v="146"/>
    <n v="786.35"/>
    <n v="17"/>
    <s v="On Time"/>
    <n v="114807.1"/>
    <s v="Sep"/>
    <n v="2025"/>
    <n v="114807.1"/>
    <s v="Minor Delay"/>
  </r>
  <r>
    <n v="3846"/>
    <d v="2025-10-15T00:00:00"/>
    <x v="0"/>
    <x v="8"/>
    <s v="SIN"/>
    <s v="Premium Economy"/>
    <n v="162"/>
    <n v="777.76"/>
    <n v="5"/>
    <s v="Delayed"/>
    <n v="125997.12"/>
    <s v="Oct"/>
    <n v="2025"/>
    <n v="125997.12"/>
    <s v="Minor Delay"/>
  </r>
  <r>
    <n v="3847"/>
    <d v="2025-04-04T00:00:00"/>
    <x v="3"/>
    <x v="5"/>
    <s v="MNL"/>
    <s v="Business"/>
    <n v="108"/>
    <n v="669.67"/>
    <n v="16"/>
    <s v="Delayed"/>
    <n v="72324.36"/>
    <s v="Apr"/>
    <n v="2025"/>
    <n v="72324.36"/>
    <s v="Minor Delay"/>
  </r>
  <r>
    <n v="3848"/>
    <d v="2025-05-05T00:00:00"/>
    <x v="4"/>
    <x v="3"/>
    <s v="SIN"/>
    <s v="Premium Economy"/>
    <n v="94"/>
    <n v="202.73"/>
    <n v="55"/>
    <s v="On Time"/>
    <n v="19056.62"/>
    <s v="May"/>
    <n v="2025"/>
    <n v="19056.62"/>
    <s v="Moderate Delay"/>
  </r>
  <r>
    <n v="3849"/>
    <d v="2025-11-26T00:00:00"/>
    <x v="3"/>
    <x v="8"/>
    <s v="SIN"/>
    <s v="Economy"/>
    <n v="64"/>
    <n v="248.47"/>
    <n v="27"/>
    <s v="On Time"/>
    <n v="15902.08"/>
    <s v="Nov"/>
    <n v="2025"/>
    <n v="15902.08"/>
    <s v="Minor Delay"/>
  </r>
  <r>
    <n v="3850"/>
    <d v="2025-02-01T00:00:00"/>
    <x v="0"/>
    <x v="8"/>
    <s v="PUS"/>
    <s v="Premium Economy"/>
    <n v="106"/>
    <n v="611.64"/>
    <n v="49"/>
    <s v="On Time"/>
    <n v="64833.84"/>
    <s v="Feb"/>
    <n v="2025"/>
    <n v="64833.84"/>
    <s v="Moderate Delay"/>
  </r>
  <r>
    <n v="3851"/>
    <d v="2025-10-09T00:00:00"/>
    <x v="4"/>
    <x v="7"/>
    <s v="PUS"/>
    <s v="Premium Economy"/>
    <n v="286"/>
    <n v="734.58"/>
    <n v="14"/>
    <s v="On Time"/>
    <n v="210089.88"/>
    <s v="Oct"/>
    <n v="2025"/>
    <n v="210089.88"/>
    <s v="Minor Delay"/>
  </r>
  <r>
    <n v="3852"/>
    <d v="2025-06-25T00:00:00"/>
    <x v="4"/>
    <x v="7"/>
    <s v="BKK"/>
    <s v="Premium Economy"/>
    <n v="282"/>
    <n v="363.8"/>
    <n v="33"/>
    <s v="On Time"/>
    <n v="102591.6"/>
    <s v="Jun"/>
    <n v="2025"/>
    <n v="102591.6"/>
    <s v="Moderate Delay"/>
  </r>
  <r>
    <n v="3853"/>
    <d v="2025-08-23T00:00:00"/>
    <x v="3"/>
    <x v="2"/>
    <s v="SIN"/>
    <s v="Economy"/>
    <n v="125"/>
    <n v="137.15"/>
    <n v="0"/>
    <s v="On Time"/>
    <n v="17143.75"/>
    <s v="Aug"/>
    <n v="2025"/>
    <n v="17143.75"/>
    <s v="On Time"/>
  </r>
  <r>
    <n v="3854"/>
    <d v="2025-10-26T00:00:00"/>
    <x v="2"/>
    <x v="0"/>
    <s v="BKK"/>
    <s v="Business"/>
    <n v="250"/>
    <n v="699.53"/>
    <n v="53"/>
    <s v="On Time"/>
    <n v="174882.5"/>
    <s v="Oct"/>
    <n v="2025"/>
    <n v="174882.5"/>
    <s v="Moderate Delay"/>
  </r>
  <r>
    <n v="3855"/>
    <d v="2025-09-28T00:00:00"/>
    <x v="2"/>
    <x v="8"/>
    <s v="PUS"/>
    <s v="Premium Economy"/>
    <n v="147"/>
    <n v="510.45"/>
    <n v="1"/>
    <s v="On Time"/>
    <n v="75036.149999999994"/>
    <s v="Sep"/>
    <n v="2025"/>
    <n v="75036.149999999994"/>
    <s v="Minor Delay"/>
  </r>
  <r>
    <n v="3856"/>
    <d v="2025-09-13T00:00:00"/>
    <x v="3"/>
    <x v="4"/>
    <s v="MNL"/>
    <s v="Economy"/>
    <n v="103"/>
    <n v="198.69"/>
    <n v="82"/>
    <s v="On Time"/>
    <n v="20465.07"/>
    <s v="Sep"/>
    <n v="2025"/>
    <n v="20465.07"/>
    <s v="Major Delay"/>
  </r>
  <r>
    <n v="3857"/>
    <d v="2025-05-26T00:00:00"/>
    <x v="5"/>
    <x v="0"/>
    <s v="PUS"/>
    <s v="Business"/>
    <n v="134"/>
    <n v="320.66000000000003"/>
    <n v="0"/>
    <s v="On Time"/>
    <n v="42968.44"/>
    <s v="May"/>
    <n v="2025"/>
    <n v="42968.44"/>
    <s v="On Time"/>
  </r>
  <r>
    <n v="3858"/>
    <d v="2025-05-03T00:00:00"/>
    <x v="3"/>
    <x v="1"/>
    <s v="CJU"/>
    <s v="Business"/>
    <n v="117"/>
    <n v="755.61"/>
    <n v="28"/>
    <s v="On Time"/>
    <n v="88406.37"/>
    <s v="May"/>
    <n v="2025"/>
    <n v="88406.37"/>
    <s v="Minor Delay"/>
  </r>
  <r>
    <n v="3859"/>
    <d v="2025-08-04T00:00:00"/>
    <x v="4"/>
    <x v="4"/>
    <s v="CJU"/>
    <s v="Economy"/>
    <n v="174"/>
    <n v="365.31"/>
    <n v="0"/>
    <s v="On Time"/>
    <n v="63563.94"/>
    <s v="Aug"/>
    <n v="2025"/>
    <n v="63563.94"/>
    <s v="On Time"/>
  </r>
  <r>
    <n v="3860"/>
    <d v="2025-01-25T00:00:00"/>
    <x v="0"/>
    <x v="0"/>
    <s v="PUS"/>
    <s v="Economy"/>
    <n v="197"/>
    <n v="438.62"/>
    <n v="0"/>
    <s v="On Time"/>
    <n v="86408.14"/>
    <s v="Jan"/>
    <n v="2025"/>
    <n v="86408.14"/>
    <s v="On Time"/>
  </r>
  <r>
    <n v="3861"/>
    <d v="2025-02-16T00:00:00"/>
    <x v="2"/>
    <x v="2"/>
    <s v="SIN"/>
    <s v="Economy"/>
    <n v="189"/>
    <n v="225.65"/>
    <n v="0"/>
    <s v="On Time"/>
    <n v="42647.85"/>
    <s v="Feb"/>
    <n v="2025"/>
    <n v="42647.85"/>
    <s v="On Time"/>
  </r>
  <r>
    <n v="3862"/>
    <d v="2025-01-20T00:00:00"/>
    <x v="5"/>
    <x v="6"/>
    <s v="GMP"/>
    <s v="Business"/>
    <n v="54"/>
    <n v="760.52"/>
    <n v="44"/>
    <s v="On Time"/>
    <n v="41068.080000000002"/>
    <s v="Jan"/>
    <n v="2025"/>
    <n v="41068.080000000002"/>
    <s v="Moderate Delay"/>
  </r>
  <r>
    <n v="3863"/>
    <d v="2025-08-23T00:00:00"/>
    <x v="4"/>
    <x v="2"/>
    <s v="NRT"/>
    <s v="Economy"/>
    <n v="133"/>
    <n v="358.74"/>
    <n v="55"/>
    <s v="On Time"/>
    <n v="47712.42"/>
    <s v="Aug"/>
    <n v="2025"/>
    <n v="47712.42"/>
    <s v="Moderate Delay"/>
  </r>
  <r>
    <n v="3864"/>
    <d v="2025-02-06T00:00:00"/>
    <x v="4"/>
    <x v="7"/>
    <s v="SIN"/>
    <s v="Premium Economy"/>
    <n v="143"/>
    <n v="510.03"/>
    <n v="24"/>
    <s v="On Time"/>
    <n v="72934.289999999994"/>
    <s v="Feb"/>
    <n v="2025"/>
    <n v="72934.289999999994"/>
    <s v="Minor Delay"/>
  </r>
  <r>
    <n v="3865"/>
    <d v="2025-12-23T00:00:00"/>
    <x v="5"/>
    <x v="3"/>
    <s v="SIN"/>
    <s v="Business"/>
    <n v="279"/>
    <n v="278.89999999999998"/>
    <n v="42"/>
    <s v="On Time"/>
    <n v="77813.100000000006"/>
    <s v="Dec"/>
    <n v="2025"/>
    <n v="77813.099999999991"/>
    <s v="Moderate Delay"/>
  </r>
  <r>
    <n v="3866"/>
    <d v="2025-01-14T00:00:00"/>
    <x v="4"/>
    <x v="3"/>
    <s v="BKK"/>
    <s v="Premium Economy"/>
    <n v="279"/>
    <n v="539.91999999999996"/>
    <n v="14"/>
    <s v="On Time"/>
    <n v="150637.68"/>
    <s v="Jan"/>
    <n v="2025"/>
    <n v="150637.68"/>
    <s v="Minor Delay"/>
  </r>
  <r>
    <n v="3867"/>
    <d v="2025-10-16T00:00:00"/>
    <x v="3"/>
    <x v="1"/>
    <s v="CJU"/>
    <s v="Business"/>
    <n v="71"/>
    <n v="387.9"/>
    <n v="12"/>
    <s v="Delayed"/>
    <n v="27540.9"/>
    <s v="Oct"/>
    <n v="2025"/>
    <n v="27540.899999999998"/>
    <s v="Minor Delay"/>
  </r>
  <r>
    <n v="3868"/>
    <d v="2025-10-14T00:00:00"/>
    <x v="0"/>
    <x v="4"/>
    <s v="GMP"/>
    <s v="Business"/>
    <n v="138"/>
    <n v="757.12"/>
    <n v="42"/>
    <s v="On Time"/>
    <n v="104482.56"/>
    <s v="Oct"/>
    <n v="2025"/>
    <n v="104482.56"/>
    <s v="Moderate Delay"/>
  </r>
  <r>
    <n v="3869"/>
    <d v="2025-03-15T00:00:00"/>
    <x v="1"/>
    <x v="7"/>
    <s v="BKK"/>
    <s v="Premium Economy"/>
    <n v="278"/>
    <n v="554.86"/>
    <n v="0"/>
    <s v="On Time"/>
    <n v="154251.07999999999"/>
    <s v="Mar"/>
    <n v="2025"/>
    <n v="154251.08000000002"/>
    <s v="On Time"/>
  </r>
  <r>
    <n v="3870"/>
    <d v="2025-11-29T00:00:00"/>
    <x v="4"/>
    <x v="0"/>
    <s v="MNL"/>
    <s v="Economy"/>
    <n v="273"/>
    <n v="109.65"/>
    <n v="7"/>
    <s v="On Time"/>
    <n v="29934.45"/>
    <s v="Nov"/>
    <n v="2025"/>
    <n v="29934.45"/>
    <s v="Minor Delay"/>
  </r>
  <r>
    <n v="3871"/>
    <d v="2025-06-03T00:00:00"/>
    <x v="4"/>
    <x v="7"/>
    <s v="GMP"/>
    <s v="Premium Economy"/>
    <n v="125"/>
    <n v="585.79"/>
    <n v="16"/>
    <s v="On Time"/>
    <n v="73223.75"/>
    <s v="Jun"/>
    <n v="2025"/>
    <n v="73223.75"/>
    <s v="Minor Delay"/>
  </r>
  <r>
    <n v="3872"/>
    <d v="2025-11-19T00:00:00"/>
    <x v="2"/>
    <x v="7"/>
    <s v="SIN"/>
    <s v="Business"/>
    <n v="275"/>
    <n v="253.94"/>
    <n v="27"/>
    <s v="On Time"/>
    <n v="69833.5"/>
    <s v="Nov"/>
    <n v="2025"/>
    <n v="69833.5"/>
    <s v="Minor Delay"/>
  </r>
  <r>
    <n v="3873"/>
    <d v="2025-06-03T00:00:00"/>
    <x v="1"/>
    <x v="6"/>
    <s v="CJU"/>
    <s v="Economy"/>
    <n v="260"/>
    <n v="599.29999999999995"/>
    <n v="12"/>
    <s v="On Time"/>
    <n v="155818"/>
    <s v="Jun"/>
    <n v="2025"/>
    <n v="155818"/>
    <s v="Minor Delay"/>
  </r>
  <r>
    <n v="3874"/>
    <d v="2025-05-26T00:00:00"/>
    <x v="4"/>
    <x v="0"/>
    <s v="PUS"/>
    <s v="Economy"/>
    <n v="238"/>
    <n v="579.65"/>
    <n v="3"/>
    <s v="On Time"/>
    <n v="137956.70000000001"/>
    <s v="May"/>
    <n v="2025"/>
    <n v="137956.69999999998"/>
    <s v="Minor Delay"/>
  </r>
  <r>
    <n v="3875"/>
    <d v="2025-05-29T00:00:00"/>
    <x v="3"/>
    <x v="1"/>
    <s v="PUS"/>
    <s v="Economy"/>
    <n v="197"/>
    <n v="245.38"/>
    <n v="37"/>
    <s v="Delayed"/>
    <n v="48339.86"/>
    <s v="May"/>
    <n v="2025"/>
    <n v="48339.86"/>
    <s v="Moderate Delay"/>
  </r>
  <r>
    <n v="3876"/>
    <d v="2025-12-04T00:00:00"/>
    <x v="0"/>
    <x v="5"/>
    <s v="BKK"/>
    <s v="Premium Economy"/>
    <n v="172"/>
    <n v="483.04"/>
    <n v="55"/>
    <s v="On Time"/>
    <n v="83082.880000000005"/>
    <s v="Dec"/>
    <n v="2025"/>
    <n v="83082.880000000005"/>
    <s v="Moderate Delay"/>
  </r>
  <r>
    <n v="3877"/>
    <d v="2025-05-25T00:00:00"/>
    <x v="2"/>
    <x v="5"/>
    <s v="GMP"/>
    <s v="Business"/>
    <n v="283"/>
    <n v="247.13"/>
    <n v="56"/>
    <s v="On Time"/>
    <n v="69937.789999999994"/>
    <s v="May"/>
    <n v="2025"/>
    <n v="69937.789999999994"/>
    <s v="Moderate Delay"/>
  </r>
  <r>
    <n v="3878"/>
    <d v="2025-06-04T00:00:00"/>
    <x v="2"/>
    <x v="7"/>
    <s v="BKK"/>
    <s v="Economy"/>
    <n v="72"/>
    <n v="469.73"/>
    <n v="61"/>
    <s v="On Time"/>
    <n v="33820.559999999998"/>
    <s v="Jun"/>
    <n v="2025"/>
    <n v="33820.559999999998"/>
    <s v="Major Delay"/>
  </r>
  <r>
    <n v="3879"/>
    <d v="2025-06-04T00:00:00"/>
    <x v="3"/>
    <x v="0"/>
    <s v="NRT"/>
    <s v="Business"/>
    <n v="300"/>
    <n v="232.59"/>
    <n v="32"/>
    <s v="On Time"/>
    <n v="69777"/>
    <s v="Jun"/>
    <n v="2025"/>
    <n v="69777"/>
    <s v="Moderate Delay"/>
  </r>
  <r>
    <n v="3880"/>
    <d v="2025-11-04T00:00:00"/>
    <x v="3"/>
    <x v="2"/>
    <s v="NRT"/>
    <s v="Business"/>
    <n v="160"/>
    <n v="572.01"/>
    <n v="0"/>
    <s v="Delayed"/>
    <n v="91521.600000000006"/>
    <s v="Nov"/>
    <n v="2025"/>
    <n v="91521.600000000006"/>
    <s v="On Time"/>
  </r>
  <r>
    <n v="3881"/>
    <d v="2025-02-14T00:00:00"/>
    <x v="0"/>
    <x v="1"/>
    <s v="MNL"/>
    <s v="Premium Economy"/>
    <n v="111"/>
    <n v="274.86"/>
    <n v="49"/>
    <s v="On Time"/>
    <n v="30509.46"/>
    <s v="Feb"/>
    <n v="2025"/>
    <n v="30509.460000000003"/>
    <s v="Moderate Delay"/>
  </r>
  <r>
    <n v="3882"/>
    <d v="2025-12-23T00:00:00"/>
    <x v="3"/>
    <x v="7"/>
    <s v="GMP"/>
    <s v="Economy"/>
    <n v="178"/>
    <n v="121.85"/>
    <n v="50"/>
    <s v="On Time"/>
    <n v="21689.3"/>
    <s v="Dec"/>
    <n v="2025"/>
    <n v="21689.3"/>
    <s v="Moderate Delay"/>
  </r>
  <r>
    <n v="3883"/>
    <d v="2025-10-31T00:00:00"/>
    <x v="4"/>
    <x v="0"/>
    <s v="KIX"/>
    <s v="Business"/>
    <n v="58"/>
    <n v="180.44"/>
    <n v="0"/>
    <s v="On Time"/>
    <n v="10465.52"/>
    <s v="Oct"/>
    <n v="2025"/>
    <n v="10465.52"/>
    <s v="On Time"/>
  </r>
  <r>
    <n v="3884"/>
    <d v="2025-10-24T00:00:00"/>
    <x v="2"/>
    <x v="6"/>
    <s v="GMP"/>
    <s v="Business"/>
    <n v="155"/>
    <n v="283.49"/>
    <n v="14"/>
    <s v="On Time"/>
    <n v="43940.95"/>
    <s v="Oct"/>
    <n v="2025"/>
    <n v="43940.950000000004"/>
    <s v="Minor Delay"/>
  </r>
  <r>
    <n v="3885"/>
    <d v="2025-10-21T00:00:00"/>
    <x v="1"/>
    <x v="2"/>
    <s v="GMP"/>
    <s v="Business"/>
    <n v="197"/>
    <n v="702.96"/>
    <n v="34"/>
    <s v="On Time"/>
    <n v="138483.12"/>
    <s v="Oct"/>
    <n v="2025"/>
    <n v="138483.12"/>
    <s v="Moderate Delay"/>
  </r>
  <r>
    <n v="3886"/>
    <d v="2025-07-20T00:00:00"/>
    <x v="5"/>
    <x v="2"/>
    <s v="BKK"/>
    <s v="Business"/>
    <n v="259"/>
    <n v="575.17999999999995"/>
    <n v="23"/>
    <s v="On Time"/>
    <n v="148971.62"/>
    <s v="Jul"/>
    <n v="2025"/>
    <n v="148971.62"/>
    <s v="Minor Delay"/>
  </r>
  <r>
    <n v="3887"/>
    <d v="2025-08-09T00:00:00"/>
    <x v="3"/>
    <x v="7"/>
    <s v="NRT"/>
    <s v="Premium Economy"/>
    <n v="175"/>
    <n v="99.84"/>
    <n v="2"/>
    <s v="Delayed"/>
    <n v="17472"/>
    <s v="Aug"/>
    <n v="2025"/>
    <n v="17472"/>
    <s v="Minor Delay"/>
  </r>
  <r>
    <n v="3888"/>
    <d v="2025-02-13T00:00:00"/>
    <x v="1"/>
    <x v="0"/>
    <s v="SIN"/>
    <s v="Business"/>
    <n v="105"/>
    <n v="571.17999999999995"/>
    <n v="74"/>
    <s v="Delayed"/>
    <n v="59973.9"/>
    <s v="Feb"/>
    <n v="2025"/>
    <n v="59973.899999999994"/>
    <s v="Major Delay"/>
  </r>
  <r>
    <n v="3889"/>
    <d v="2025-09-17T00:00:00"/>
    <x v="2"/>
    <x v="0"/>
    <s v="CJU"/>
    <s v="Premium Economy"/>
    <n v="59"/>
    <n v="297.58"/>
    <n v="28"/>
    <s v="On Time"/>
    <n v="17557.22"/>
    <s v="Sep"/>
    <n v="2025"/>
    <n v="17557.219999999998"/>
    <s v="Minor Delay"/>
  </r>
  <r>
    <n v="3890"/>
    <d v="2025-05-08T00:00:00"/>
    <x v="4"/>
    <x v="7"/>
    <s v="ICN"/>
    <s v="Premium Economy"/>
    <n v="201"/>
    <n v="332.23"/>
    <n v="10"/>
    <s v="On Time"/>
    <n v="66778.23"/>
    <s v="May"/>
    <n v="2025"/>
    <n v="66778.23000000001"/>
    <s v="Minor Delay"/>
  </r>
  <r>
    <n v="3891"/>
    <d v="2025-05-12T00:00:00"/>
    <x v="5"/>
    <x v="8"/>
    <s v="GMP"/>
    <s v="Premium Economy"/>
    <n v="247"/>
    <n v="349.22"/>
    <n v="57"/>
    <s v="On Time"/>
    <n v="86257.34"/>
    <s v="May"/>
    <n v="2025"/>
    <n v="86257.340000000011"/>
    <s v="Moderate Delay"/>
  </r>
  <r>
    <n v="3892"/>
    <d v="2025-12-29T00:00:00"/>
    <x v="3"/>
    <x v="7"/>
    <s v="BKK"/>
    <s v="Premium Economy"/>
    <n v="88"/>
    <n v="227.31"/>
    <n v="34"/>
    <s v="Delayed"/>
    <n v="20003.28"/>
    <s v="Dec"/>
    <n v="2025"/>
    <n v="20003.28"/>
    <s v="Moderate Delay"/>
  </r>
  <r>
    <n v="3893"/>
    <d v="2025-07-21T00:00:00"/>
    <x v="1"/>
    <x v="2"/>
    <s v="GMP"/>
    <s v="Economy"/>
    <n v="219"/>
    <n v="428.12"/>
    <n v="0"/>
    <s v="On Time"/>
    <n v="93758.28"/>
    <s v="Jul"/>
    <n v="2025"/>
    <n v="93758.28"/>
    <s v="On Time"/>
  </r>
  <r>
    <n v="3894"/>
    <d v="2025-12-20T00:00:00"/>
    <x v="2"/>
    <x v="5"/>
    <s v="BKK"/>
    <s v="Economy"/>
    <n v="294"/>
    <n v="199.09"/>
    <n v="0"/>
    <s v="Delayed"/>
    <n v="58532.46"/>
    <s v="Dec"/>
    <n v="2025"/>
    <n v="58532.46"/>
    <s v="On Time"/>
  </r>
  <r>
    <n v="3895"/>
    <d v="2025-01-31T00:00:00"/>
    <x v="2"/>
    <x v="1"/>
    <s v="PUS"/>
    <s v="Premium Economy"/>
    <n v="272"/>
    <n v="401.63"/>
    <n v="53"/>
    <s v="On Time"/>
    <n v="109243.36"/>
    <s v="Jan"/>
    <n v="2025"/>
    <n v="109243.36"/>
    <s v="Moderate Delay"/>
  </r>
  <r>
    <n v="3896"/>
    <d v="2025-12-18T00:00:00"/>
    <x v="5"/>
    <x v="1"/>
    <s v="MNL"/>
    <s v="Economy"/>
    <n v="270"/>
    <n v="589.63"/>
    <n v="22"/>
    <s v="Cancelled"/>
    <n v="159200.1"/>
    <s v="Dec"/>
    <n v="2025"/>
    <n v="159200.1"/>
    <s v="Minor Delay"/>
  </r>
  <r>
    <n v="3897"/>
    <d v="2025-12-20T00:00:00"/>
    <x v="2"/>
    <x v="2"/>
    <s v="NRT"/>
    <s v="Economy"/>
    <n v="57"/>
    <n v="424.93"/>
    <n v="18"/>
    <s v="Delayed"/>
    <n v="24221.01"/>
    <s v="Dec"/>
    <n v="2025"/>
    <n v="24221.010000000002"/>
    <s v="Minor Delay"/>
  </r>
  <r>
    <n v="3898"/>
    <d v="2025-02-03T00:00:00"/>
    <x v="4"/>
    <x v="5"/>
    <s v="SIN"/>
    <s v="Business"/>
    <n v="62"/>
    <n v="473.98"/>
    <n v="0"/>
    <s v="On Time"/>
    <n v="29386.76"/>
    <s v="Feb"/>
    <n v="2025"/>
    <n v="29386.760000000002"/>
    <s v="On Time"/>
  </r>
  <r>
    <n v="3899"/>
    <d v="2025-06-02T00:00:00"/>
    <x v="0"/>
    <x v="7"/>
    <s v="NRT"/>
    <s v="Economy"/>
    <n v="254"/>
    <n v="616.95000000000005"/>
    <n v="3"/>
    <s v="On Time"/>
    <n v="156705.29999999999"/>
    <s v="Jun"/>
    <n v="2025"/>
    <n v="156705.30000000002"/>
    <s v="Minor Delay"/>
  </r>
  <r>
    <n v="3900"/>
    <d v="2025-11-16T00:00:00"/>
    <x v="3"/>
    <x v="4"/>
    <s v="PUS"/>
    <s v="Economy"/>
    <n v="112"/>
    <n v="406.41"/>
    <n v="46"/>
    <s v="On Time"/>
    <n v="45517.919999999998"/>
    <s v="Nov"/>
    <n v="2025"/>
    <n v="45517.920000000006"/>
    <s v="Moderate Delay"/>
  </r>
  <r>
    <n v="3901"/>
    <d v="2025-04-06T00:00:00"/>
    <x v="0"/>
    <x v="5"/>
    <s v="SIN"/>
    <s v="Business"/>
    <n v="267"/>
    <n v="718.11"/>
    <n v="60"/>
    <s v="On Time"/>
    <n v="191735.37"/>
    <s v="Apr"/>
    <n v="2025"/>
    <n v="191735.37"/>
    <s v="Moderate Delay"/>
  </r>
  <r>
    <n v="3902"/>
    <d v="2025-05-21T00:00:00"/>
    <x v="4"/>
    <x v="3"/>
    <s v="BKK"/>
    <s v="Premium Economy"/>
    <n v="272"/>
    <n v="143.30000000000001"/>
    <n v="0"/>
    <s v="On Time"/>
    <n v="38977.599999999999"/>
    <s v="May"/>
    <n v="2025"/>
    <n v="38977.600000000006"/>
    <s v="On Time"/>
  </r>
  <r>
    <n v="3903"/>
    <d v="2025-01-13T00:00:00"/>
    <x v="0"/>
    <x v="0"/>
    <s v="MNL"/>
    <s v="Premium Economy"/>
    <n v="182"/>
    <n v="697.83"/>
    <n v="23"/>
    <s v="On Time"/>
    <n v="127005.06"/>
    <s v="Jan"/>
    <n v="2025"/>
    <n v="127005.06000000001"/>
    <s v="Minor Delay"/>
  </r>
  <r>
    <n v="3904"/>
    <d v="2025-10-08T00:00:00"/>
    <x v="3"/>
    <x v="6"/>
    <s v="PUS"/>
    <s v="Premium Economy"/>
    <n v="100"/>
    <n v="353.32"/>
    <n v="1"/>
    <s v="On Time"/>
    <n v="35332"/>
    <s v="Oct"/>
    <n v="2025"/>
    <n v="35332"/>
    <s v="Minor Delay"/>
  </r>
  <r>
    <n v="3905"/>
    <d v="2025-05-04T00:00:00"/>
    <x v="5"/>
    <x v="2"/>
    <s v="CJU"/>
    <s v="Economy"/>
    <n v="58"/>
    <n v="250.99"/>
    <n v="21"/>
    <s v="On Time"/>
    <n v="14557.42"/>
    <s v="May"/>
    <n v="2025"/>
    <n v="14557.42"/>
    <s v="Minor Delay"/>
  </r>
  <r>
    <n v="3906"/>
    <d v="2025-08-04T00:00:00"/>
    <x v="4"/>
    <x v="4"/>
    <s v="MNL"/>
    <s v="Business"/>
    <n v="160"/>
    <n v="606.16"/>
    <n v="39"/>
    <s v="Delayed"/>
    <n v="96985.600000000006"/>
    <s v="Aug"/>
    <n v="2025"/>
    <n v="96985.599999999991"/>
    <s v="Moderate Delay"/>
  </r>
  <r>
    <n v="3907"/>
    <d v="2025-07-21T00:00:00"/>
    <x v="0"/>
    <x v="4"/>
    <s v="GMP"/>
    <s v="Premium Economy"/>
    <n v="246"/>
    <n v="125.37"/>
    <n v="37"/>
    <s v="On Time"/>
    <n v="30841.02"/>
    <s v="Jul"/>
    <n v="2025"/>
    <n v="30841.02"/>
    <s v="Moderate Delay"/>
  </r>
  <r>
    <n v="3908"/>
    <d v="2025-10-22T00:00:00"/>
    <x v="2"/>
    <x v="3"/>
    <s v="CJU"/>
    <s v="Premium Economy"/>
    <n v="152"/>
    <n v="87.61"/>
    <n v="24"/>
    <s v="On Time"/>
    <n v="13316.72"/>
    <s v="Oct"/>
    <n v="2025"/>
    <n v="13316.72"/>
    <s v="Minor Delay"/>
  </r>
  <r>
    <n v="3909"/>
    <d v="2025-01-03T00:00:00"/>
    <x v="5"/>
    <x v="6"/>
    <s v="NRT"/>
    <s v="Economy"/>
    <n v="78"/>
    <n v="614.48"/>
    <n v="14"/>
    <s v="On Time"/>
    <n v="47929.440000000002"/>
    <s v="Jan"/>
    <n v="2025"/>
    <n v="47929.440000000002"/>
    <s v="Minor Delay"/>
  </r>
  <r>
    <n v="3910"/>
    <d v="2025-12-28T00:00:00"/>
    <x v="4"/>
    <x v="7"/>
    <s v="GMP"/>
    <s v="Business"/>
    <n v="104"/>
    <n v="580.26"/>
    <n v="64"/>
    <s v="Delayed"/>
    <n v="60347.040000000001"/>
    <s v="Dec"/>
    <n v="2025"/>
    <n v="60347.040000000001"/>
    <s v="Major Delay"/>
  </r>
  <r>
    <n v="3911"/>
    <d v="2025-10-03T00:00:00"/>
    <x v="2"/>
    <x v="0"/>
    <s v="MNL"/>
    <s v="Economy"/>
    <n v="76"/>
    <n v="287.12"/>
    <n v="63"/>
    <s v="Delayed"/>
    <n v="21821.119999999999"/>
    <s v="Oct"/>
    <n v="2025"/>
    <n v="21821.119999999999"/>
    <s v="Major Delay"/>
  </r>
  <r>
    <n v="3912"/>
    <d v="2025-09-22T00:00:00"/>
    <x v="5"/>
    <x v="0"/>
    <s v="CJU"/>
    <s v="Economy"/>
    <n v="152"/>
    <n v="613.9"/>
    <n v="0"/>
    <s v="On Time"/>
    <n v="93312.8"/>
    <s v="Sep"/>
    <n v="2025"/>
    <n v="93312.8"/>
    <s v="On Time"/>
  </r>
  <r>
    <n v="3913"/>
    <d v="2025-06-23T00:00:00"/>
    <x v="3"/>
    <x v="3"/>
    <s v="BKK"/>
    <s v="Business"/>
    <n v="119"/>
    <n v="340.52"/>
    <n v="8"/>
    <s v="On Time"/>
    <n v="40521.879999999997"/>
    <s v="Jun"/>
    <n v="2025"/>
    <n v="40521.879999999997"/>
    <s v="Minor Delay"/>
  </r>
  <r>
    <n v="3914"/>
    <d v="2025-07-14T00:00:00"/>
    <x v="5"/>
    <x v="6"/>
    <s v="PUS"/>
    <s v="Premium Economy"/>
    <n v="286"/>
    <n v="688.48"/>
    <n v="35"/>
    <s v="On Time"/>
    <n v="196905.28"/>
    <s v="Jul"/>
    <n v="2025"/>
    <n v="196905.28"/>
    <s v="Moderate Delay"/>
  </r>
  <r>
    <n v="3915"/>
    <d v="2025-08-20T00:00:00"/>
    <x v="1"/>
    <x v="2"/>
    <s v="SIN"/>
    <s v="Premium Economy"/>
    <n v="256"/>
    <n v="80.2"/>
    <n v="8"/>
    <s v="On Time"/>
    <n v="20531.2"/>
    <s v="Aug"/>
    <n v="2025"/>
    <n v="20531.2"/>
    <s v="Minor Delay"/>
  </r>
  <r>
    <n v="3916"/>
    <d v="2025-06-23T00:00:00"/>
    <x v="5"/>
    <x v="3"/>
    <s v="NRT"/>
    <s v="Premium Economy"/>
    <n v="222"/>
    <n v="363.6"/>
    <n v="63"/>
    <s v="On Time"/>
    <n v="80719.199999999997"/>
    <s v="Jun"/>
    <n v="2025"/>
    <n v="80719.200000000012"/>
    <s v="Major Delay"/>
  </r>
  <r>
    <n v="3917"/>
    <d v="2025-01-04T00:00:00"/>
    <x v="1"/>
    <x v="5"/>
    <s v="NRT"/>
    <s v="Economy"/>
    <n v="203"/>
    <n v="766.91"/>
    <n v="11"/>
    <s v="On Time"/>
    <n v="155682.73000000001"/>
    <s v="Jan"/>
    <n v="2025"/>
    <n v="155682.72999999998"/>
    <s v="Minor Delay"/>
  </r>
  <r>
    <n v="3918"/>
    <d v="2025-09-25T00:00:00"/>
    <x v="2"/>
    <x v="7"/>
    <s v="NRT"/>
    <s v="Business"/>
    <n v="170"/>
    <n v="731.25"/>
    <n v="9"/>
    <s v="On Time"/>
    <n v="124312.5"/>
    <s v="Sep"/>
    <n v="2025"/>
    <n v="124312.5"/>
    <s v="Minor Delay"/>
  </r>
  <r>
    <n v="3919"/>
    <d v="2025-04-17T00:00:00"/>
    <x v="2"/>
    <x v="0"/>
    <s v="SIN"/>
    <s v="Business"/>
    <n v="109"/>
    <n v="455.96"/>
    <n v="0"/>
    <s v="Delayed"/>
    <n v="49699.64"/>
    <s v="Apr"/>
    <n v="2025"/>
    <n v="49699.64"/>
    <s v="On Time"/>
  </r>
  <r>
    <n v="3920"/>
    <d v="2025-01-11T00:00:00"/>
    <x v="5"/>
    <x v="3"/>
    <s v="SIN"/>
    <s v="Economy"/>
    <n v="116"/>
    <n v="81.739999999999995"/>
    <n v="0"/>
    <s v="On Time"/>
    <n v="9481.84"/>
    <s v="Jan"/>
    <n v="2025"/>
    <n v="9481.84"/>
    <s v="On Time"/>
  </r>
  <r>
    <n v="3921"/>
    <d v="2025-12-16T00:00:00"/>
    <x v="4"/>
    <x v="0"/>
    <s v="MNL"/>
    <s v="Economy"/>
    <n v="189"/>
    <n v="143.99"/>
    <n v="36"/>
    <s v="On Time"/>
    <n v="27214.11"/>
    <s v="Dec"/>
    <n v="2025"/>
    <n v="27214.11"/>
    <s v="Moderate Delay"/>
  </r>
  <r>
    <n v="3922"/>
    <d v="2025-05-21T00:00:00"/>
    <x v="5"/>
    <x v="5"/>
    <s v="NRT"/>
    <s v="Business"/>
    <n v="114"/>
    <n v="475.86"/>
    <n v="61"/>
    <s v="On Time"/>
    <n v="54248.04"/>
    <s v="May"/>
    <n v="2025"/>
    <n v="54248.04"/>
    <s v="Major Delay"/>
  </r>
  <r>
    <n v="3923"/>
    <d v="2025-01-18T00:00:00"/>
    <x v="1"/>
    <x v="8"/>
    <s v="SIN"/>
    <s v="Business"/>
    <n v="157"/>
    <n v="187.81"/>
    <n v="0"/>
    <s v="On Time"/>
    <n v="29486.17"/>
    <s v="Jan"/>
    <n v="2025"/>
    <n v="29486.170000000002"/>
    <s v="On Time"/>
  </r>
  <r>
    <n v="3924"/>
    <d v="2025-06-06T00:00:00"/>
    <x v="0"/>
    <x v="3"/>
    <s v="GMP"/>
    <s v="Business"/>
    <n v="294"/>
    <n v="323"/>
    <n v="22"/>
    <s v="On Time"/>
    <n v="94962"/>
    <s v="Jun"/>
    <n v="2025"/>
    <n v="94962"/>
    <s v="Minor Delay"/>
  </r>
  <r>
    <n v="3925"/>
    <d v="2025-10-22T00:00:00"/>
    <x v="4"/>
    <x v="1"/>
    <s v="MNL"/>
    <s v="Premium Economy"/>
    <n v="85"/>
    <n v="678.13"/>
    <n v="61"/>
    <s v="On Time"/>
    <n v="57641.05"/>
    <s v="Oct"/>
    <n v="2025"/>
    <n v="57641.05"/>
    <s v="Major Delay"/>
  </r>
  <r>
    <n v="3926"/>
    <d v="2025-03-08T00:00:00"/>
    <x v="2"/>
    <x v="3"/>
    <s v="MNL"/>
    <s v="Premium Economy"/>
    <n v="93"/>
    <n v="430.36"/>
    <n v="15"/>
    <s v="Delayed"/>
    <n v="40023.480000000003"/>
    <s v="Mar"/>
    <n v="2025"/>
    <n v="40023.480000000003"/>
    <s v="Minor Delay"/>
  </r>
  <r>
    <n v="3927"/>
    <d v="2025-02-04T00:00:00"/>
    <x v="3"/>
    <x v="0"/>
    <s v="MNL"/>
    <s v="Premium Economy"/>
    <n v="102"/>
    <n v="260.47000000000003"/>
    <n v="0"/>
    <s v="On Time"/>
    <n v="26567.94"/>
    <s v="Feb"/>
    <n v="2025"/>
    <n v="26567.940000000002"/>
    <s v="On Time"/>
  </r>
  <r>
    <n v="3928"/>
    <d v="2025-04-30T00:00:00"/>
    <x v="4"/>
    <x v="3"/>
    <s v="CJU"/>
    <s v="Business"/>
    <n v="80"/>
    <n v="663.92"/>
    <n v="28"/>
    <s v="On Time"/>
    <n v="53113.599999999999"/>
    <s v="Apr"/>
    <n v="2025"/>
    <n v="53113.599999999999"/>
    <s v="Minor Delay"/>
  </r>
  <r>
    <n v="3929"/>
    <d v="2025-03-25T00:00:00"/>
    <x v="2"/>
    <x v="6"/>
    <s v="PUS"/>
    <s v="Premium Economy"/>
    <n v="282"/>
    <n v="601.89"/>
    <n v="0"/>
    <s v="On Time"/>
    <n v="169732.98"/>
    <s v="Mar"/>
    <n v="2025"/>
    <n v="169732.98"/>
    <s v="On Time"/>
  </r>
  <r>
    <n v="3930"/>
    <d v="2025-02-16T00:00:00"/>
    <x v="2"/>
    <x v="5"/>
    <s v="GMP"/>
    <s v="Economy"/>
    <n v="169"/>
    <n v="471.58"/>
    <n v="0"/>
    <s v="Delayed"/>
    <n v="79697.02"/>
    <s v="Feb"/>
    <n v="2025"/>
    <n v="79697.02"/>
    <s v="On Time"/>
  </r>
  <r>
    <n v="3931"/>
    <d v="2025-11-22T00:00:00"/>
    <x v="3"/>
    <x v="7"/>
    <s v="KIX"/>
    <s v="Premium Economy"/>
    <n v="164"/>
    <n v="359.73"/>
    <n v="56"/>
    <s v="On Time"/>
    <n v="58995.72"/>
    <s v="Nov"/>
    <n v="2025"/>
    <n v="58995.72"/>
    <s v="Moderate Delay"/>
  </r>
  <r>
    <n v="3932"/>
    <d v="2025-10-14T00:00:00"/>
    <x v="4"/>
    <x v="4"/>
    <s v="KIX"/>
    <s v="Economy"/>
    <n v="228"/>
    <n v="741.54"/>
    <n v="38"/>
    <s v="On Time"/>
    <n v="169071.12"/>
    <s v="Oct"/>
    <n v="2025"/>
    <n v="169071.12"/>
    <s v="Moderate Delay"/>
  </r>
  <r>
    <n v="3933"/>
    <d v="2025-06-29T00:00:00"/>
    <x v="0"/>
    <x v="2"/>
    <s v="BKK"/>
    <s v="Business"/>
    <n v="101"/>
    <n v="533.53"/>
    <n v="0"/>
    <s v="Delayed"/>
    <n v="53886.53"/>
    <s v="Jun"/>
    <n v="2025"/>
    <n v="53886.53"/>
    <s v="On Time"/>
  </r>
  <r>
    <n v="3934"/>
    <d v="2025-12-04T00:00:00"/>
    <x v="2"/>
    <x v="3"/>
    <s v="MNL"/>
    <s v="Business"/>
    <n v="192"/>
    <n v="152.27000000000001"/>
    <n v="23"/>
    <s v="On Time"/>
    <n v="29235.84"/>
    <s v="Dec"/>
    <n v="2025"/>
    <n v="29235.840000000004"/>
    <s v="Minor Delay"/>
  </r>
  <r>
    <n v="3935"/>
    <d v="2025-06-16T00:00:00"/>
    <x v="2"/>
    <x v="7"/>
    <s v="MNL"/>
    <s v="Premium Economy"/>
    <n v="213"/>
    <n v="397.7"/>
    <n v="17"/>
    <s v="On Time"/>
    <n v="84710.1"/>
    <s v="Jun"/>
    <n v="2025"/>
    <n v="84710.099999999991"/>
    <s v="Minor Delay"/>
  </r>
  <r>
    <n v="3936"/>
    <d v="2025-02-03T00:00:00"/>
    <x v="5"/>
    <x v="6"/>
    <s v="CJU"/>
    <s v="Premium Economy"/>
    <n v="295"/>
    <n v="87.76"/>
    <n v="9"/>
    <s v="Delayed"/>
    <n v="25889.200000000001"/>
    <s v="Feb"/>
    <n v="2025"/>
    <n v="25889.200000000001"/>
    <s v="Minor Delay"/>
  </r>
  <r>
    <n v="3937"/>
    <d v="2025-01-02T00:00:00"/>
    <x v="2"/>
    <x v="4"/>
    <s v="GMP"/>
    <s v="Business"/>
    <n v="197"/>
    <n v="149.41"/>
    <n v="32"/>
    <s v="On Time"/>
    <n v="29433.77"/>
    <s v="Jan"/>
    <n v="2025"/>
    <n v="29433.77"/>
    <s v="Moderate Delay"/>
  </r>
  <r>
    <n v="3938"/>
    <d v="2025-05-11T00:00:00"/>
    <x v="2"/>
    <x v="1"/>
    <s v="NRT"/>
    <s v="Business"/>
    <n v="216"/>
    <n v="120.48"/>
    <n v="19"/>
    <s v="On Time"/>
    <n v="26023.68"/>
    <s v="May"/>
    <n v="2025"/>
    <n v="26023.68"/>
    <s v="Minor Delay"/>
  </r>
  <r>
    <n v="3939"/>
    <d v="2025-01-31T00:00:00"/>
    <x v="5"/>
    <x v="6"/>
    <s v="PUS"/>
    <s v="Premium Economy"/>
    <n v="142"/>
    <n v="652.17999999999995"/>
    <n v="39"/>
    <s v="Delayed"/>
    <n v="92609.56"/>
    <s v="Jan"/>
    <n v="2025"/>
    <n v="92609.56"/>
    <s v="Moderate Delay"/>
  </r>
  <r>
    <n v="3940"/>
    <d v="2025-12-10T00:00:00"/>
    <x v="5"/>
    <x v="8"/>
    <s v="PUS"/>
    <s v="Business"/>
    <n v="269"/>
    <n v="542.14"/>
    <n v="57"/>
    <s v="On Time"/>
    <n v="145835.66"/>
    <s v="Dec"/>
    <n v="2025"/>
    <n v="145835.66"/>
    <s v="Moderate Delay"/>
  </r>
  <r>
    <n v="3941"/>
    <d v="2025-09-12T00:00:00"/>
    <x v="3"/>
    <x v="7"/>
    <s v="NRT"/>
    <s v="Business"/>
    <n v="173"/>
    <n v="778.16"/>
    <n v="0"/>
    <s v="On Time"/>
    <n v="134621.68"/>
    <s v="Sep"/>
    <n v="2025"/>
    <n v="134621.68"/>
    <s v="On Time"/>
  </r>
  <r>
    <n v="3942"/>
    <d v="2025-01-29T00:00:00"/>
    <x v="2"/>
    <x v="8"/>
    <s v="ICN"/>
    <s v="Business"/>
    <n v="193"/>
    <n v="716.64"/>
    <n v="2"/>
    <s v="On Time"/>
    <n v="138311.51999999999"/>
    <s v="Jan"/>
    <n v="2025"/>
    <n v="138311.51999999999"/>
    <s v="Minor Delay"/>
  </r>
  <r>
    <n v="3943"/>
    <d v="2025-03-30T00:00:00"/>
    <x v="4"/>
    <x v="3"/>
    <s v="PUS"/>
    <s v="Economy"/>
    <n v="90"/>
    <n v="124.04"/>
    <n v="0"/>
    <s v="Delayed"/>
    <n v="11163.6"/>
    <s v="Mar"/>
    <n v="2025"/>
    <n v="11163.6"/>
    <s v="On Time"/>
  </r>
  <r>
    <n v="3944"/>
    <d v="2025-03-26T00:00:00"/>
    <x v="2"/>
    <x v="6"/>
    <s v="CJU"/>
    <s v="Premium Economy"/>
    <n v="196"/>
    <n v="778.98"/>
    <n v="0"/>
    <s v="On Time"/>
    <n v="152680.07999999999"/>
    <s v="Mar"/>
    <n v="2025"/>
    <n v="152680.08000000002"/>
    <s v="On Time"/>
  </r>
  <r>
    <n v="3945"/>
    <d v="2025-07-30T00:00:00"/>
    <x v="3"/>
    <x v="1"/>
    <s v="MNL"/>
    <s v="Economy"/>
    <n v="87"/>
    <n v="460.45"/>
    <n v="0"/>
    <s v="On Time"/>
    <n v="40059.15"/>
    <s v="Jul"/>
    <n v="2025"/>
    <n v="40059.15"/>
    <s v="On Time"/>
  </r>
  <r>
    <n v="3946"/>
    <d v="2025-08-24T00:00:00"/>
    <x v="1"/>
    <x v="2"/>
    <s v="BKK"/>
    <s v="Premium Economy"/>
    <n v="128"/>
    <n v="357.86"/>
    <n v="50"/>
    <s v="Delayed"/>
    <n v="45806.080000000002"/>
    <s v="Aug"/>
    <n v="2025"/>
    <n v="45806.080000000002"/>
    <s v="Moderate Delay"/>
  </r>
  <r>
    <n v="3947"/>
    <d v="2025-02-25T00:00:00"/>
    <x v="3"/>
    <x v="6"/>
    <s v="CJU"/>
    <s v="Economy"/>
    <n v="262"/>
    <n v="70.27"/>
    <n v="3"/>
    <s v="On Time"/>
    <n v="18410.740000000002"/>
    <s v="Feb"/>
    <n v="2025"/>
    <n v="18410.739999999998"/>
    <s v="Minor Delay"/>
  </r>
  <r>
    <n v="3948"/>
    <d v="2025-01-24T00:00:00"/>
    <x v="0"/>
    <x v="5"/>
    <s v="SIN"/>
    <s v="Premium Economy"/>
    <n v="183"/>
    <n v="634.77"/>
    <n v="0"/>
    <s v="On Time"/>
    <n v="116162.91"/>
    <s v="Jan"/>
    <n v="2025"/>
    <n v="116162.91"/>
    <s v="On Time"/>
  </r>
  <r>
    <n v="3949"/>
    <d v="2025-12-27T00:00:00"/>
    <x v="2"/>
    <x v="6"/>
    <s v="BKK"/>
    <s v="Business"/>
    <n v="107"/>
    <n v="181.52"/>
    <n v="0"/>
    <s v="On Time"/>
    <n v="19422.64"/>
    <s v="Dec"/>
    <n v="2025"/>
    <n v="19422.64"/>
    <s v="On Time"/>
  </r>
  <r>
    <n v="3950"/>
    <d v="2025-05-20T00:00:00"/>
    <x v="5"/>
    <x v="5"/>
    <s v="NRT"/>
    <s v="Premium Economy"/>
    <n v="202"/>
    <n v="174.37"/>
    <n v="20"/>
    <s v="On Time"/>
    <n v="35222.74"/>
    <s v="May"/>
    <n v="2025"/>
    <n v="35222.74"/>
    <s v="Minor Delay"/>
  </r>
  <r>
    <n v="3951"/>
    <d v="2025-06-05T00:00:00"/>
    <x v="5"/>
    <x v="1"/>
    <s v="SIN"/>
    <s v="Premium Economy"/>
    <n v="271"/>
    <n v="362.93"/>
    <n v="6"/>
    <s v="On Time"/>
    <n v="98354.03"/>
    <s v="Jun"/>
    <n v="2025"/>
    <n v="98354.03"/>
    <s v="Minor Delay"/>
  </r>
  <r>
    <n v="3952"/>
    <d v="2025-12-11T00:00:00"/>
    <x v="4"/>
    <x v="8"/>
    <s v="NRT"/>
    <s v="Premium Economy"/>
    <n v="151"/>
    <n v="294.33"/>
    <n v="0"/>
    <s v="On Time"/>
    <n v="44443.83"/>
    <s v="Dec"/>
    <n v="2025"/>
    <n v="44443.829999999994"/>
    <s v="On Time"/>
  </r>
  <r>
    <n v="3953"/>
    <d v="2025-07-04T00:00:00"/>
    <x v="3"/>
    <x v="8"/>
    <s v="BKK"/>
    <s v="Premium Economy"/>
    <n v="72"/>
    <n v="632.33000000000004"/>
    <n v="0"/>
    <s v="On Time"/>
    <n v="45527.76"/>
    <s v="Jul"/>
    <n v="2025"/>
    <n v="45527.76"/>
    <s v="On Time"/>
  </r>
  <r>
    <n v="3954"/>
    <d v="2025-09-02T00:00:00"/>
    <x v="5"/>
    <x v="4"/>
    <s v="SIN"/>
    <s v="Premium Economy"/>
    <n v="50"/>
    <n v="695.74"/>
    <n v="18"/>
    <s v="Delayed"/>
    <n v="34787"/>
    <s v="Sep"/>
    <n v="2025"/>
    <n v="34787"/>
    <s v="Minor Delay"/>
  </r>
  <r>
    <n v="3955"/>
    <d v="2025-06-20T00:00:00"/>
    <x v="0"/>
    <x v="2"/>
    <s v="KIX"/>
    <s v="Economy"/>
    <n v="65"/>
    <n v="197.57"/>
    <n v="44"/>
    <s v="Cancelled"/>
    <n v="12842.05"/>
    <s v="Jun"/>
    <n v="2025"/>
    <n v="12842.05"/>
    <s v="Moderate Delay"/>
  </r>
  <r>
    <n v="3956"/>
    <d v="2025-04-21T00:00:00"/>
    <x v="0"/>
    <x v="2"/>
    <s v="ICN"/>
    <s v="Business"/>
    <n v="149"/>
    <n v="550.84"/>
    <n v="16"/>
    <s v="Delayed"/>
    <n v="82075.16"/>
    <s v="Apr"/>
    <n v="2025"/>
    <n v="82075.16"/>
    <s v="Minor Delay"/>
  </r>
  <r>
    <n v="3957"/>
    <d v="2025-07-10T00:00:00"/>
    <x v="2"/>
    <x v="3"/>
    <s v="CJU"/>
    <s v="Economy"/>
    <n v="111"/>
    <n v="67.48"/>
    <n v="55"/>
    <s v="Cancelled"/>
    <n v="7490.28"/>
    <s v="Jul"/>
    <n v="2025"/>
    <n v="7490.2800000000007"/>
    <s v="Moderate Delay"/>
  </r>
  <r>
    <n v="3958"/>
    <d v="2025-01-21T00:00:00"/>
    <x v="3"/>
    <x v="8"/>
    <s v="NRT"/>
    <s v="Premium Economy"/>
    <n v="108"/>
    <n v="307.91000000000003"/>
    <n v="0"/>
    <s v="On Time"/>
    <n v="33254.28"/>
    <s v="Jan"/>
    <n v="2025"/>
    <n v="33254.280000000006"/>
    <s v="On Time"/>
  </r>
  <r>
    <n v="3959"/>
    <d v="2025-11-28T00:00:00"/>
    <x v="0"/>
    <x v="3"/>
    <s v="CJU"/>
    <s v="Premium Economy"/>
    <n v="169"/>
    <n v="355.79"/>
    <n v="7"/>
    <s v="On Time"/>
    <n v="60128.51"/>
    <s v="Nov"/>
    <n v="2025"/>
    <n v="60128.51"/>
    <s v="Minor Delay"/>
  </r>
  <r>
    <n v="3960"/>
    <d v="2025-09-04T00:00:00"/>
    <x v="3"/>
    <x v="6"/>
    <s v="PUS"/>
    <s v="Business"/>
    <n v="201"/>
    <n v="787.75"/>
    <n v="21"/>
    <s v="On Time"/>
    <n v="158337.75"/>
    <s v="Sep"/>
    <n v="2025"/>
    <n v="158337.75"/>
    <s v="Minor Delay"/>
  </r>
  <r>
    <n v="3961"/>
    <d v="2025-07-24T00:00:00"/>
    <x v="3"/>
    <x v="3"/>
    <s v="PUS"/>
    <s v="Premium Economy"/>
    <n v="203"/>
    <n v="748.72"/>
    <n v="30"/>
    <s v="On Time"/>
    <n v="151990.16"/>
    <s v="Jul"/>
    <n v="2025"/>
    <n v="151990.16"/>
    <s v="Minor Delay"/>
  </r>
  <r>
    <n v="3962"/>
    <d v="2025-03-18T00:00:00"/>
    <x v="5"/>
    <x v="4"/>
    <s v="CJU"/>
    <s v="Premium Economy"/>
    <n v="228"/>
    <n v="356.18"/>
    <n v="47"/>
    <s v="On Time"/>
    <n v="81209.039999999994"/>
    <s v="Mar"/>
    <n v="2025"/>
    <n v="81209.040000000008"/>
    <s v="Moderate Delay"/>
  </r>
  <r>
    <n v="3963"/>
    <d v="2025-08-27T00:00:00"/>
    <x v="0"/>
    <x v="6"/>
    <s v="PUS"/>
    <s v="Economy"/>
    <n v="177"/>
    <n v="558.89"/>
    <n v="36"/>
    <s v="On Time"/>
    <n v="98923.53"/>
    <s v="Aug"/>
    <n v="2025"/>
    <n v="98923.53"/>
    <s v="Moderate Delay"/>
  </r>
  <r>
    <n v="3964"/>
    <d v="2025-04-28T00:00:00"/>
    <x v="3"/>
    <x v="5"/>
    <s v="NRT"/>
    <s v="Premium Economy"/>
    <n v="261"/>
    <n v="627.45000000000005"/>
    <n v="58"/>
    <s v="On Time"/>
    <n v="163764.45000000001"/>
    <s v="Apr"/>
    <n v="2025"/>
    <n v="163764.45000000001"/>
    <s v="Moderate Delay"/>
  </r>
  <r>
    <n v="3965"/>
    <d v="2025-10-06T00:00:00"/>
    <x v="3"/>
    <x v="5"/>
    <s v="GMP"/>
    <s v="Business"/>
    <n v="129"/>
    <n v="165.51"/>
    <n v="35"/>
    <s v="On Time"/>
    <n v="21350.79"/>
    <s v="Oct"/>
    <n v="2025"/>
    <n v="21350.789999999997"/>
    <s v="Moderate Delay"/>
  </r>
  <r>
    <n v="3966"/>
    <d v="2025-05-17T00:00:00"/>
    <x v="0"/>
    <x v="8"/>
    <s v="ICN"/>
    <s v="Economy"/>
    <n v="109"/>
    <n v="716.3"/>
    <n v="76"/>
    <s v="On Time"/>
    <n v="78076.7"/>
    <s v="May"/>
    <n v="2025"/>
    <n v="78076.7"/>
    <s v="Major Delay"/>
  </r>
  <r>
    <n v="3967"/>
    <d v="2025-10-01T00:00:00"/>
    <x v="4"/>
    <x v="0"/>
    <s v="NRT"/>
    <s v="Premium Economy"/>
    <n v="152"/>
    <n v="529.62"/>
    <n v="32"/>
    <s v="On Time"/>
    <n v="80502.240000000005"/>
    <s v="Oct"/>
    <n v="2025"/>
    <n v="80502.240000000005"/>
    <s v="Moderate Delay"/>
  </r>
  <r>
    <n v="3968"/>
    <d v="2025-05-18T00:00:00"/>
    <x v="2"/>
    <x v="6"/>
    <s v="ICN"/>
    <s v="Economy"/>
    <n v="162"/>
    <n v="134.76"/>
    <n v="17"/>
    <s v="On Time"/>
    <n v="21831.119999999999"/>
    <s v="May"/>
    <n v="2025"/>
    <n v="21831.119999999999"/>
    <s v="Minor Delay"/>
  </r>
  <r>
    <n v="3969"/>
    <d v="2025-09-02T00:00:00"/>
    <x v="2"/>
    <x v="3"/>
    <s v="GMP"/>
    <s v="Business"/>
    <n v="218"/>
    <n v="345.38"/>
    <n v="88"/>
    <s v="On Time"/>
    <n v="75292.84"/>
    <s v="Sep"/>
    <n v="2025"/>
    <n v="75292.84"/>
    <s v="Major Delay"/>
  </r>
  <r>
    <n v="3970"/>
    <d v="2025-12-28T00:00:00"/>
    <x v="4"/>
    <x v="4"/>
    <s v="BKK"/>
    <s v="Premium Economy"/>
    <n v="127"/>
    <n v="598.65"/>
    <n v="27"/>
    <s v="On Time"/>
    <n v="76028.55"/>
    <s v="Dec"/>
    <n v="2025"/>
    <n v="76028.55"/>
    <s v="Minor Delay"/>
  </r>
  <r>
    <n v="3971"/>
    <d v="2025-09-08T00:00:00"/>
    <x v="3"/>
    <x v="0"/>
    <s v="BKK"/>
    <s v="Business"/>
    <n v="188"/>
    <n v="645.75"/>
    <n v="0"/>
    <s v="On Time"/>
    <n v="121401"/>
    <s v="Sep"/>
    <n v="2025"/>
    <n v="121401"/>
    <s v="On Time"/>
  </r>
  <r>
    <n v="3972"/>
    <d v="2025-04-16T00:00:00"/>
    <x v="3"/>
    <x v="5"/>
    <s v="BKK"/>
    <s v="Economy"/>
    <n v="211"/>
    <n v="669.69"/>
    <n v="28"/>
    <s v="On Time"/>
    <n v="141304.59"/>
    <s v="Apr"/>
    <n v="2025"/>
    <n v="141304.59000000003"/>
    <s v="Minor Delay"/>
  </r>
  <r>
    <n v="3973"/>
    <d v="2025-11-12T00:00:00"/>
    <x v="0"/>
    <x v="1"/>
    <s v="KIX"/>
    <s v="Premium Economy"/>
    <n v="235"/>
    <n v="771.55"/>
    <n v="0"/>
    <s v="On Time"/>
    <n v="181314.25"/>
    <s v="Nov"/>
    <n v="2025"/>
    <n v="181314.25"/>
    <s v="On Time"/>
  </r>
  <r>
    <n v="3974"/>
    <d v="2025-11-05T00:00:00"/>
    <x v="2"/>
    <x v="5"/>
    <s v="NRT"/>
    <s v="Business"/>
    <n v="283"/>
    <n v="509.32"/>
    <n v="14"/>
    <s v="Delayed"/>
    <n v="144137.56"/>
    <s v="Nov"/>
    <n v="2025"/>
    <n v="144137.56"/>
    <s v="Minor Delay"/>
  </r>
  <r>
    <n v="3975"/>
    <d v="2025-12-13T00:00:00"/>
    <x v="0"/>
    <x v="6"/>
    <s v="PUS"/>
    <s v="Economy"/>
    <n v="227"/>
    <n v="335.5"/>
    <n v="20"/>
    <s v="On Time"/>
    <n v="76158.5"/>
    <s v="Dec"/>
    <n v="2025"/>
    <n v="76158.5"/>
    <s v="Minor Delay"/>
  </r>
  <r>
    <n v="3976"/>
    <d v="2025-07-05T00:00:00"/>
    <x v="1"/>
    <x v="1"/>
    <s v="KIX"/>
    <s v="Business"/>
    <n v="225"/>
    <n v="598.34"/>
    <n v="31"/>
    <s v="On Time"/>
    <n v="134626.5"/>
    <s v="Jul"/>
    <n v="2025"/>
    <n v="134626.5"/>
    <s v="Moderate Delay"/>
  </r>
  <r>
    <n v="3977"/>
    <d v="2025-08-12T00:00:00"/>
    <x v="2"/>
    <x v="5"/>
    <s v="MNL"/>
    <s v="Business"/>
    <n v="216"/>
    <n v="447.77"/>
    <n v="0"/>
    <s v="On Time"/>
    <n v="96718.32"/>
    <s v="Aug"/>
    <n v="2025"/>
    <n v="96718.319999999992"/>
    <s v="On Time"/>
  </r>
  <r>
    <n v="3978"/>
    <d v="2025-06-02T00:00:00"/>
    <x v="2"/>
    <x v="8"/>
    <s v="PUS"/>
    <s v="Premium Economy"/>
    <n v="170"/>
    <n v="129.28"/>
    <n v="0"/>
    <s v="On Time"/>
    <n v="21977.599999999999"/>
    <s v="Jun"/>
    <n v="2025"/>
    <n v="21977.599999999999"/>
    <s v="On Time"/>
  </r>
  <r>
    <n v="3979"/>
    <d v="2025-05-07T00:00:00"/>
    <x v="0"/>
    <x v="6"/>
    <s v="BKK"/>
    <s v="Business"/>
    <n v="199"/>
    <n v="325.2"/>
    <n v="0"/>
    <s v="On Time"/>
    <n v="64714.8"/>
    <s v="May"/>
    <n v="2025"/>
    <n v="64714.799999999996"/>
    <s v="On Time"/>
  </r>
  <r>
    <n v="3980"/>
    <d v="2025-04-05T00:00:00"/>
    <x v="4"/>
    <x v="6"/>
    <s v="KIX"/>
    <s v="Economy"/>
    <n v="269"/>
    <n v="407.58"/>
    <n v="0"/>
    <s v="On Time"/>
    <n v="109639.02"/>
    <s v="Apr"/>
    <n v="2025"/>
    <n v="109639.01999999999"/>
    <s v="On Time"/>
  </r>
  <r>
    <n v="3981"/>
    <d v="2025-06-30T00:00:00"/>
    <x v="5"/>
    <x v="0"/>
    <s v="BKK"/>
    <s v="Premium Economy"/>
    <n v="111"/>
    <n v="731.58"/>
    <n v="4"/>
    <s v="On Time"/>
    <n v="81205.38"/>
    <s v="Jun"/>
    <n v="2025"/>
    <n v="81205.38"/>
    <s v="Minor Delay"/>
  </r>
  <r>
    <n v="3982"/>
    <d v="2025-11-02T00:00:00"/>
    <x v="5"/>
    <x v="1"/>
    <s v="PUS"/>
    <s v="Premium Economy"/>
    <n v="207"/>
    <n v="309.24"/>
    <n v="26"/>
    <s v="On Time"/>
    <n v="64012.68"/>
    <s v="Nov"/>
    <n v="2025"/>
    <n v="64012.68"/>
    <s v="Minor Delay"/>
  </r>
  <r>
    <n v="3983"/>
    <d v="2025-10-12T00:00:00"/>
    <x v="5"/>
    <x v="5"/>
    <s v="NRT"/>
    <s v="Premium Economy"/>
    <n v="132"/>
    <n v="643.03"/>
    <n v="14"/>
    <s v="On Time"/>
    <n v="84879.96"/>
    <s v="Oct"/>
    <n v="2025"/>
    <n v="84879.959999999992"/>
    <s v="Minor Delay"/>
  </r>
  <r>
    <n v="3984"/>
    <d v="2025-02-08T00:00:00"/>
    <x v="2"/>
    <x v="3"/>
    <s v="PUS"/>
    <s v="Economy"/>
    <n v="181"/>
    <n v="423.04"/>
    <n v="43"/>
    <s v="On Time"/>
    <n v="76570.240000000005"/>
    <s v="Feb"/>
    <n v="2025"/>
    <n v="76570.240000000005"/>
    <s v="Moderate Delay"/>
  </r>
  <r>
    <n v="3985"/>
    <d v="2025-01-09T00:00:00"/>
    <x v="3"/>
    <x v="7"/>
    <s v="GMP"/>
    <s v="Economy"/>
    <n v="238"/>
    <n v="656.93"/>
    <n v="3"/>
    <s v="On Time"/>
    <n v="156349.34"/>
    <s v="Jan"/>
    <n v="2025"/>
    <n v="156349.34"/>
    <s v="Minor Delay"/>
  </r>
  <r>
    <n v="3986"/>
    <d v="2025-06-29T00:00:00"/>
    <x v="3"/>
    <x v="2"/>
    <s v="CJU"/>
    <s v="Premium Economy"/>
    <n v="218"/>
    <n v="648.1"/>
    <n v="23"/>
    <s v="On Time"/>
    <n v="141285.79999999999"/>
    <s v="Jun"/>
    <n v="2025"/>
    <n v="141285.80000000002"/>
    <s v="Minor Delay"/>
  </r>
  <r>
    <n v="3987"/>
    <d v="2025-04-15T00:00:00"/>
    <x v="4"/>
    <x v="7"/>
    <s v="PUS"/>
    <s v="Business"/>
    <n v="165"/>
    <n v="258.25"/>
    <n v="35"/>
    <s v="On Time"/>
    <n v="42611.25"/>
    <s v="Apr"/>
    <n v="2025"/>
    <n v="42611.25"/>
    <s v="Moderate Delay"/>
  </r>
  <r>
    <n v="3988"/>
    <d v="2025-02-19T00:00:00"/>
    <x v="5"/>
    <x v="1"/>
    <s v="ICN"/>
    <s v="Economy"/>
    <n v="58"/>
    <n v="506.37"/>
    <n v="87"/>
    <s v="On Time"/>
    <n v="29369.46"/>
    <s v="Feb"/>
    <n v="2025"/>
    <n v="29369.46"/>
    <s v="Major Delay"/>
  </r>
  <r>
    <n v="3989"/>
    <d v="2025-07-22T00:00:00"/>
    <x v="3"/>
    <x v="6"/>
    <s v="BKK"/>
    <s v="Business"/>
    <n v="55"/>
    <n v="613.36"/>
    <n v="32"/>
    <s v="On Time"/>
    <n v="33734.800000000003"/>
    <s v="Jul"/>
    <n v="2025"/>
    <n v="33734.800000000003"/>
    <s v="Moderate Delay"/>
  </r>
  <r>
    <n v="3990"/>
    <d v="2025-08-18T00:00:00"/>
    <x v="5"/>
    <x v="4"/>
    <s v="KIX"/>
    <s v="Business"/>
    <n v="210"/>
    <n v="571.23"/>
    <n v="67"/>
    <s v="On Time"/>
    <n v="119958.3"/>
    <s v="Aug"/>
    <n v="2025"/>
    <n v="119958.3"/>
    <s v="Major Delay"/>
  </r>
  <r>
    <n v="3991"/>
    <d v="2025-11-11T00:00:00"/>
    <x v="4"/>
    <x v="6"/>
    <s v="KIX"/>
    <s v="Business"/>
    <n v="290"/>
    <n v="266.75"/>
    <n v="0"/>
    <s v="On Time"/>
    <n v="77357.5"/>
    <s v="Nov"/>
    <n v="2025"/>
    <n v="77357.5"/>
    <s v="On Time"/>
  </r>
  <r>
    <n v="3992"/>
    <d v="2025-09-11T00:00:00"/>
    <x v="1"/>
    <x v="5"/>
    <s v="NRT"/>
    <s v="Premium Economy"/>
    <n v="124"/>
    <n v="737.32"/>
    <n v="22"/>
    <s v="On Time"/>
    <n v="91427.68"/>
    <s v="Sep"/>
    <n v="2025"/>
    <n v="91427.680000000008"/>
    <s v="Minor Delay"/>
  </r>
  <r>
    <n v="3993"/>
    <d v="2025-01-08T00:00:00"/>
    <x v="4"/>
    <x v="3"/>
    <s v="GMP"/>
    <s v="Premium Economy"/>
    <n v="242"/>
    <n v="423.22"/>
    <n v="20"/>
    <s v="On Time"/>
    <n v="102419.24"/>
    <s v="Jan"/>
    <n v="2025"/>
    <n v="102419.24"/>
    <s v="Minor Delay"/>
  </r>
  <r>
    <n v="3994"/>
    <d v="2025-09-10T00:00:00"/>
    <x v="0"/>
    <x v="4"/>
    <s v="KIX"/>
    <s v="Business"/>
    <n v="295"/>
    <n v="776.71"/>
    <n v="39"/>
    <s v="On Time"/>
    <n v="229129.45"/>
    <s v="Sep"/>
    <n v="2025"/>
    <n v="229129.45"/>
    <s v="Moderate Delay"/>
  </r>
  <r>
    <n v="3995"/>
    <d v="2025-12-31T00:00:00"/>
    <x v="4"/>
    <x v="6"/>
    <s v="ICN"/>
    <s v="Economy"/>
    <n v="178"/>
    <n v="758.1"/>
    <n v="42"/>
    <s v="On Time"/>
    <n v="134941.79999999999"/>
    <s v="Dec"/>
    <n v="2025"/>
    <n v="134941.80000000002"/>
    <s v="Moderate Delay"/>
  </r>
  <r>
    <n v="3996"/>
    <d v="2025-08-15T00:00:00"/>
    <x v="5"/>
    <x v="0"/>
    <s v="NRT"/>
    <s v="Premium Economy"/>
    <n v="239"/>
    <n v="392.53"/>
    <n v="24"/>
    <s v="On Time"/>
    <n v="93814.67"/>
    <s v="Aug"/>
    <n v="2025"/>
    <n v="93814.67"/>
    <s v="Minor Delay"/>
  </r>
  <r>
    <n v="3997"/>
    <d v="2025-08-16T00:00:00"/>
    <x v="4"/>
    <x v="6"/>
    <s v="PUS"/>
    <s v="Economy"/>
    <n v="258"/>
    <n v="255.38"/>
    <n v="64"/>
    <s v="On Time"/>
    <n v="65888.039999999994"/>
    <s v="Aug"/>
    <n v="2025"/>
    <n v="65888.039999999994"/>
    <s v="Major Delay"/>
  </r>
  <r>
    <n v="3998"/>
    <d v="2025-07-22T00:00:00"/>
    <x v="0"/>
    <x v="2"/>
    <s v="ICN"/>
    <s v="Business"/>
    <n v="132"/>
    <n v="102.74"/>
    <n v="32"/>
    <s v="On Time"/>
    <n v="13561.68"/>
    <s v="Jul"/>
    <n v="2025"/>
    <n v="13561.679999999998"/>
    <s v="Moderate Delay"/>
  </r>
  <r>
    <n v="3999"/>
    <d v="2025-05-24T00:00:00"/>
    <x v="2"/>
    <x v="6"/>
    <s v="BKK"/>
    <s v="Business"/>
    <n v="293"/>
    <n v="533.44000000000005"/>
    <n v="18"/>
    <s v="On Time"/>
    <n v="156297.92000000001"/>
    <s v="May"/>
    <n v="2025"/>
    <n v="156297.92000000001"/>
    <s v="Minor Delay"/>
  </r>
  <r>
    <n v="4000"/>
    <d v="2025-05-09T00:00:00"/>
    <x v="5"/>
    <x v="2"/>
    <s v="BKK"/>
    <s v="Premium Economy"/>
    <n v="202"/>
    <n v="304.18"/>
    <n v="37"/>
    <s v="Cancelled"/>
    <n v="61444.36"/>
    <s v="May"/>
    <n v="2025"/>
    <n v="61444.36"/>
    <s v="Moderate Delay"/>
  </r>
  <r>
    <n v="4001"/>
    <d v="2025-12-18T00:00:00"/>
    <x v="4"/>
    <x v="7"/>
    <s v="GMP"/>
    <s v="Premium Economy"/>
    <n v="58"/>
    <n v="668.68"/>
    <n v="10"/>
    <s v="On Time"/>
    <n v="38783.440000000002"/>
    <s v="Dec"/>
    <n v="2025"/>
    <n v="38783.439999999995"/>
    <s v="Minor Delay"/>
  </r>
  <r>
    <n v="4002"/>
    <d v="2025-06-19T00:00:00"/>
    <x v="4"/>
    <x v="5"/>
    <s v="NRT"/>
    <s v="Premium Economy"/>
    <n v="209"/>
    <n v="275.14999999999998"/>
    <n v="19"/>
    <s v="On Time"/>
    <n v="57506.35"/>
    <s v="Jun"/>
    <n v="2025"/>
    <n v="57506.35"/>
    <s v="Minor Delay"/>
  </r>
  <r>
    <n v="4003"/>
    <d v="2025-04-19T00:00:00"/>
    <x v="2"/>
    <x v="4"/>
    <s v="ICN"/>
    <s v="Premium Economy"/>
    <n v="116"/>
    <n v="386.56"/>
    <n v="0"/>
    <s v="On Time"/>
    <n v="44840.959999999999"/>
    <s v="Apr"/>
    <n v="2025"/>
    <n v="44840.959999999999"/>
    <s v="On Time"/>
  </r>
  <r>
    <n v="4004"/>
    <d v="2025-02-11T00:00:00"/>
    <x v="0"/>
    <x v="0"/>
    <s v="MNL"/>
    <s v="Economy"/>
    <n v="79"/>
    <n v="661.24"/>
    <n v="30"/>
    <s v="On Time"/>
    <n v="52237.96"/>
    <s v="Feb"/>
    <n v="2025"/>
    <n v="52237.96"/>
    <s v="Minor Delay"/>
  </r>
  <r>
    <n v="4005"/>
    <d v="2025-12-24T00:00:00"/>
    <x v="4"/>
    <x v="2"/>
    <s v="MNL"/>
    <s v="Premium Economy"/>
    <n v="191"/>
    <n v="643.6"/>
    <n v="10"/>
    <s v="On Time"/>
    <n v="122927.6"/>
    <s v="Dec"/>
    <n v="2025"/>
    <n v="122927.6"/>
    <s v="Minor Delay"/>
  </r>
  <r>
    <n v="4006"/>
    <d v="2025-06-04T00:00:00"/>
    <x v="1"/>
    <x v="5"/>
    <s v="GMP"/>
    <s v="Premium Economy"/>
    <n v="183"/>
    <n v="505.61"/>
    <n v="0"/>
    <s v="On Time"/>
    <n v="92526.63"/>
    <s v="Jun"/>
    <n v="2025"/>
    <n v="92526.63"/>
    <s v="On Time"/>
  </r>
  <r>
    <n v="4007"/>
    <d v="2025-10-06T00:00:00"/>
    <x v="2"/>
    <x v="3"/>
    <s v="CJU"/>
    <s v="Business"/>
    <n v="233"/>
    <n v="549.52"/>
    <n v="65"/>
    <s v="On Time"/>
    <n v="128038.16"/>
    <s v="Oct"/>
    <n v="2025"/>
    <n v="128038.15999999999"/>
    <s v="Major Delay"/>
  </r>
  <r>
    <n v="4008"/>
    <d v="2025-01-14T00:00:00"/>
    <x v="0"/>
    <x v="3"/>
    <s v="ICN"/>
    <s v="Business"/>
    <n v="136"/>
    <n v="641.20000000000005"/>
    <n v="20"/>
    <s v="On Time"/>
    <n v="87203.199999999997"/>
    <s v="Jan"/>
    <n v="2025"/>
    <n v="87203.200000000012"/>
    <s v="Minor Delay"/>
  </r>
  <r>
    <n v="4009"/>
    <d v="2025-02-24T00:00:00"/>
    <x v="1"/>
    <x v="6"/>
    <s v="ICN"/>
    <s v="Economy"/>
    <n v="97"/>
    <n v="693.12"/>
    <n v="38"/>
    <s v="On Time"/>
    <n v="67232.639999999999"/>
    <s v="Feb"/>
    <n v="2025"/>
    <n v="67232.639999999999"/>
    <s v="Moderate Delay"/>
  </r>
  <r>
    <n v="4010"/>
    <d v="2025-07-11T00:00:00"/>
    <x v="5"/>
    <x v="6"/>
    <s v="GMP"/>
    <s v="Economy"/>
    <n v="148"/>
    <n v="613.28"/>
    <n v="0"/>
    <s v="On Time"/>
    <n v="90765.440000000002"/>
    <s v="Jul"/>
    <n v="2025"/>
    <n v="90765.440000000002"/>
    <s v="On Time"/>
  </r>
  <r>
    <n v="4011"/>
    <d v="2025-11-08T00:00:00"/>
    <x v="5"/>
    <x v="0"/>
    <s v="KIX"/>
    <s v="Business"/>
    <n v="79"/>
    <n v="200.37"/>
    <n v="0"/>
    <s v="On Time"/>
    <n v="15829.23"/>
    <s v="Nov"/>
    <n v="2025"/>
    <n v="15829.23"/>
    <s v="On Time"/>
  </r>
  <r>
    <n v="4012"/>
    <d v="2025-03-03T00:00:00"/>
    <x v="5"/>
    <x v="3"/>
    <s v="BKK"/>
    <s v="Economy"/>
    <n v="221"/>
    <n v="661.6"/>
    <n v="45"/>
    <s v="Delayed"/>
    <n v="146213.6"/>
    <s v="Mar"/>
    <n v="2025"/>
    <n v="146213.6"/>
    <s v="Moderate Delay"/>
  </r>
  <r>
    <n v="4013"/>
    <d v="2025-09-30T00:00:00"/>
    <x v="2"/>
    <x v="2"/>
    <s v="MNL"/>
    <s v="Economy"/>
    <n v="178"/>
    <n v="380.49"/>
    <n v="14"/>
    <s v="On Time"/>
    <n v="67727.22"/>
    <s v="Sep"/>
    <n v="2025"/>
    <n v="67727.22"/>
    <s v="Minor Delay"/>
  </r>
  <r>
    <n v="4014"/>
    <d v="2025-11-09T00:00:00"/>
    <x v="0"/>
    <x v="5"/>
    <s v="KIX"/>
    <s v="Business"/>
    <n v="267"/>
    <n v="210.97"/>
    <n v="11"/>
    <s v="On Time"/>
    <n v="56328.99"/>
    <s v="Nov"/>
    <n v="2025"/>
    <n v="56328.99"/>
    <s v="Minor Delay"/>
  </r>
  <r>
    <n v="4015"/>
    <d v="2025-01-09T00:00:00"/>
    <x v="2"/>
    <x v="6"/>
    <s v="KIX"/>
    <s v="Business"/>
    <n v="75"/>
    <n v="504.12"/>
    <n v="75"/>
    <s v="On Time"/>
    <n v="37809"/>
    <s v="Jan"/>
    <n v="2025"/>
    <n v="37809"/>
    <s v="Major Delay"/>
  </r>
  <r>
    <n v="4016"/>
    <d v="2025-04-10T00:00:00"/>
    <x v="4"/>
    <x v="7"/>
    <s v="GMP"/>
    <s v="Business"/>
    <n v="140"/>
    <n v="180.76"/>
    <n v="52"/>
    <s v="On Time"/>
    <n v="25306.400000000001"/>
    <s v="Apr"/>
    <n v="2025"/>
    <n v="25306.399999999998"/>
    <s v="Moderate Delay"/>
  </r>
  <r>
    <n v="4017"/>
    <d v="2025-12-07T00:00:00"/>
    <x v="1"/>
    <x v="4"/>
    <s v="ICN"/>
    <s v="Economy"/>
    <n v="172"/>
    <n v="705.86"/>
    <n v="71"/>
    <s v="On Time"/>
    <n v="121407.92"/>
    <s v="Dec"/>
    <n v="2025"/>
    <n v="121407.92"/>
    <s v="Major Delay"/>
  </r>
  <r>
    <n v="4018"/>
    <d v="2025-07-17T00:00:00"/>
    <x v="0"/>
    <x v="6"/>
    <s v="KIX"/>
    <s v="Business"/>
    <n v="164"/>
    <n v="248.62"/>
    <n v="45"/>
    <s v="On Time"/>
    <n v="40773.68"/>
    <s v="Jul"/>
    <n v="2025"/>
    <n v="40773.68"/>
    <s v="Moderate Delay"/>
  </r>
  <r>
    <n v="4019"/>
    <d v="2025-02-04T00:00:00"/>
    <x v="3"/>
    <x v="1"/>
    <s v="GMP"/>
    <s v="Economy"/>
    <n v="281"/>
    <n v="366.74"/>
    <n v="33"/>
    <s v="On Time"/>
    <n v="103053.94"/>
    <s v="Feb"/>
    <n v="2025"/>
    <n v="103053.94"/>
    <s v="Moderate Delay"/>
  </r>
  <r>
    <n v="4020"/>
    <d v="2025-07-18T00:00:00"/>
    <x v="5"/>
    <x v="2"/>
    <s v="ICN"/>
    <s v="Premium Economy"/>
    <n v="291"/>
    <n v="114.34"/>
    <n v="18"/>
    <s v="On Time"/>
    <n v="33272.94"/>
    <s v="Jul"/>
    <n v="2025"/>
    <n v="33272.94"/>
    <s v="Minor Delay"/>
  </r>
  <r>
    <n v="4021"/>
    <d v="2025-02-26T00:00:00"/>
    <x v="1"/>
    <x v="0"/>
    <s v="PUS"/>
    <s v="Business"/>
    <n v="160"/>
    <n v="95.57"/>
    <n v="0"/>
    <s v="Delayed"/>
    <n v="15291.2"/>
    <s v="Feb"/>
    <n v="2025"/>
    <n v="15291.199999999999"/>
    <s v="On Time"/>
  </r>
  <r>
    <n v="4022"/>
    <d v="2025-12-14T00:00:00"/>
    <x v="5"/>
    <x v="7"/>
    <s v="NRT"/>
    <s v="Business"/>
    <n v="287"/>
    <n v="224.02"/>
    <n v="0"/>
    <s v="On Time"/>
    <n v="64293.74"/>
    <s v="Dec"/>
    <n v="2025"/>
    <n v="64293.740000000005"/>
    <s v="On Time"/>
  </r>
  <r>
    <n v="4023"/>
    <d v="2025-10-26T00:00:00"/>
    <x v="3"/>
    <x v="3"/>
    <s v="BKK"/>
    <s v="Business"/>
    <n v="246"/>
    <n v="426.54"/>
    <n v="17"/>
    <s v="On Time"/>
    <n v="104928.84"/>
    <s v="Oct"/>
    <n v="2025"/>
    <n v="104928.84000000001"/>
    <s v="Minor Delay"/>
  </r>
  <r>
    <n v="4024"/>
    <d v="2025-02-28T00:00:00"/>
    <x v="4"/>
    <x v="7"/>
    <s v="NRT"/>
    <s v="Business"/>
    <n v="137"/>
    <n v="504.02"/>
    <n v="6"/>
    <s v="On Time"/>
    <n v="69050.740000000005"/>
    <s v="Feb"/>
    <n v="2025"/>
    <n v="69050.739999999991"/>
    <s v="Minor Delay"/>
  </r>
  <r>
    <n v="4025"/>
    <d v="2025-01-11T00:00:00"/>
    <x v="5"/>
    <x v="6"/>
    <s v="GMP"/>
    <s v="Business"/>
    <n v="149"/>
    <n v="528.62"/>
    <n v="0"/>
    <s v="On Time"/>
    <n v="78764.38"/>
    <s v="Jan"/>
    <n v="2025"/>
    <n v="78764.38"/>
    <s v="On Time"/>
  </r>
  <r>
    <n v="4026"/>
    <d v="2025-01-16T00:00:00"/>
    <x v="4"/>
    <x v="4"/>
    <s v="BKK"/>
    <s v="Economy"/>
    <n v="72"/>
    <n v="108.18"/>
    <n v="9"/>
    <s v="On Time"/>
    <n v="7788.96"/>
    <s v="Jan"/>
    <n v="2025"/>
    <n v="7788.9600000000009"/>
    <s v="Minor Delay"/>
  </r>
  <r>
    <n v="4027"/>
    <d v="2025-01-04T00:00:00"/>
    <x v="5"/>
    <x v="2"/>
    <s v="MNL"/>
    <s v="Economy"/>
    <n v="153"/>
    <n v="641.66"/>
    <n v="29"/>
    <s v="Delayed"/>
    <n v="98173.98"/>
    <s v="Jan"/>
    <n v="2025"/>
    <n v="98173.98"/>
    <s v="Minor Delay"/>
  </r>
  <r>
    <n v="4028"/>
    <d v="2025-05-11T00:00:00"/>
    <x v="3"/>
    <x v="5"/>
    <s v="KIX"/>
    <s v="Premium Economy"/>
    <n v="264"/>
    <n v="91.45"/>
    <n v="0"/>
    <s v="On Time"/>
    <n v="24142.799999999999"/>
    <s v="May"/>
    <n v="2025"/>
    <n v="24142.799999999999"/>
    <s v="On Time"/>
  </r>
  <r>
    <n v="4029"/>
    <d v="2025-02-22T00:00:00"/>
    <x v="4"/>
    <x v="0"/>
    <s v="SIN"/>
    <s v="Economy"/>
    <n v="255"/>
    <n v="633.07000000000005"/>
    <n v="30"/>
    <s v="On Time"/>
    <n v="161432.85"/>
    <s v="Feb"/>
    <n v="2025"/>
    <n v="161432.85"/>
    <s v="Minor Delay"/>
  </r>
  <r>
    <n v="4030"/>
    <d v="2025-10-17T00:00:00"/>
    <x v="4"/>
    <x v="4"/>
    <s v="KIX"/>
    <s v="Economy"/>
    <n v="259"/>
    <n v="358.92"/>
    <n v="3"/>
    <s v="On Time"/>
    <n v="92960.28"/>
    <s v="Oct"/>
    <n v="2025"/>
    <n v="92960.28"/>
    <s v="Minor Delay"/>
  </r>
  <r>
    <n v="4031"/>
    <d v="2025-07-31T00:00:00"/>
    <x v="0"/>
    <x v="3"/>
    <s v="ICN"/>
    <s v="Business"/>
    <n v="291"/>
    <n v="397.98"/>
    <n v="5"/>
    <s v="On Time"/>
    <n v="115812.18"/>
    <s v="Jul"/>
    <n v="2025"/>
    <n v="115812.18000000001"/>
    <s v="Minor Delay"/>
  </r>
  <r>
    <n v="4032"/>
    <d v="2025-10-20T00:00:00"/>
    <x v="3"/>
    <x v="6"/>
    <s v="KIX"/>
    <s v="Economy"/>
    <n v="174"/>
    <n v="250.84"/>
    <n v="42"/>
    <s v="On Time"/>
    <n v="43646.16"/>
    <s v="Oct"/>
    <n v="2025"/>
    <n v="43646.16"/>
    <s v="Moderate Delay"/>
  </r>
  <r>
    <n v="4033"/>
    <d v="2025-06-06T00:00:00"/>
    <x v="0"/>
    <x v="4"/>
    <s v="GMP"/>
    <s v="Business"/>
    <n v="208"/>
    <n v="546.86"/>
    <n v="14"/>
    <s v="Delayed"/>
    <n v="113746.88"/>
    <s v="Jun"/>
    <n v="2025"/>
    <n v="113746.88"/>
    <s v="Minor Delay"/>
  </r>
  <r>
    <n v="4034"/>
    <d v="2025-04-02T00:00:00"/>
    <x v="4"/>
    <x v="8"/>
    <s v="BKK"/>
    <s v="Economy"/>
    <n v="222"/>
    <n v="623.21"/>
    <n v="42"/>
    <s v="On Time"/>
    <n v="138352.62"/>
    <s v="Apr"/>
    <n v="2025"/>
    <n v="138352.62"/>
    <s v="Moderate Delay"/>
  </r>
  <r>
    <n v="4035"/>
    <d v="2025-07-19T00:00:00"/>
    <x v="5"/>
    <x v="8"/>
    <s v="BKK"/>
    <s v="Economy"/>
    <n v="274"/>
    <n v="504.42"/>
    <n v="15"/>
    <s v="On Time"/>
    <n v="138211.07999999999"/>
    <s v="Jul"/>
    <n v="2025"/>
    <n v="138211.08000000002"/>
    <s v="Minor Delay"/>
  </r>
  <r>
    <n v="4036"/>
    <d v="2025-03-13T00:00:00"/>
    <x v="5"/>
    <x v="4"/>
    <s v="SIN"/>
    <s v="Business"/>
    <n v="152"/>
    <n v="151.36000000000001"/>
    <n v="26"/>
    <s v="Cancelled"/>
    <n v="23006.720000000001"/>
    <s v="Mar"/>
    <n v="2025"/>
    <n v="23006.720000000001"/>
    <s v="Minor Delay"/>
  </r>
  <r>
    <n v="4037"/>
    <d v="2025-10-26T00:00:00"/>
    <x v="1"/>
    <x v="1"/>
    <s v="KIX"/>
    <s v="Economy"/>
    <n v="297"/>
    <n v="638.91999999999996"/>
    <n v="14"/>
    <s v="Delayed"/>
    <n v="189759.24"/>
    <s v="Oct"/>
    <n v="2025"/>
    <n v="189759.24"/>
    <s v="Minor Delay"/>
  </r>
  <r>
    <n v="4038"/>
    <d v="2025-03-03T00:00:00"/>
    <x v="2"/>
    <x v="1"/>
    <s v="GMP"/>
    <s v="Premium Economy"/>
    <n v="85"/>
    <n v="628.86"/>
    <n v="7"/>
    <s v="On Time"/>
    <n v="53453.1"/>
    <s v="Mar"/>
    <n v="2025"/>
    <n v="53453.1"/>
    <s v="Minor Delay"/>
  </r>
  <r>
    <n v="4039"/>
    <d v="2025-04-08T00:00:00"/>
    <x v="4"/>
    <x v="1"/>
    <s v="ICN"/>
    <s v="Business"/>
    <n v="183"/>
    <n v="154.33000000000001"/>
    <n v="28"/>
    <s v="On Time"/>
    <n v="28242.39"/>
    <s v="Apr"/>
    <n v="2025"/>
    <n v="28242.390000000003"/>
    <s v="Minor Delay"/>
  </r>
  <r>
    <n v="4040"/>
    <d v="2025-11-30T00:00:00"/>
    <x v="1"/>
    <x v="1"/>
    <s v="SIN"/>
    <s v="Economy"/>
    <n v="151"/>
    <n v="333.49"/>
    <n v="0"/>
    <s v="On Time"/>
    <n v="50356.99"/>
    <s v="Nov"/>
    <n v="2025"/>
    <n v="50356.99"/>
    <s v="On Time"/>
  </r>
  <r>
    <n v="4041"/>
    <d v="2025-12-17T00:00:00"/>
    <x v="4"/>
    <x v="8"/>
    <s v="SIN"/>
    <s v="Economy"/>
    <n v="90"/>
    <n v="106.55"/>
    <n v="0"/>
    <s v="Delayed"/>
    <n v="9589.5"/>
    <s v="Dec"/>
    <n v="2025"/>
    <n v="9589.5"/>
    <s v="On Time"/>
  </r>
  <r>
    <n v="4042"/>
    <d v="2025-03-17T00:00:00"/>
    <x v="4"/>
    <x v="2"/>
    <s v="GMP"/>
    <s v="Economy"/>
    <n v="120"/>
    <n v="192.69"/>
    <n v="64"/>
    <s v="On Time"/>
    <n v="23122.799999999999"/>
    <s v="Mar"/>
    <n v="2025"/>
    <n v="23122.799999999999"/>
    <s v="Major Delay"/>
  </r>
  <r>
    <n v="4043"/>
    <d v="2025-07-19T00:00:00"/>
    <x v="1"/>
    <x v="7"/>
    <s v="BKK"/>
    <s v="Economy"/>
    <n v="183"/>
    <n v="297.56"/>
    <n v="44"/>
    <s v="On Time"/>
    <n v="54453.48"/>
    <s v="Jul"/>
    <n v="2025"/>
    <n v="54453.48"/>
    <s v="Moderate Delay"/>
  </r>
  <r>
    <n v="4044"/>
    <d v="2025-08-20T00:00:00"/>
    <x v="0"/>
    <x v="1"/>
    <s v="GMP"/>
    <s v="Economy"/>
    <n v="142"/>
    <n v="767.28"/>
    <n v="0"/>
    <s v="On Time"/>
    <n v="108953.76"/>
    <s v="Aug"/>
    <n v="2025"/>
    <n v="108953.76"/>
    <s v="On Time"/>
  </r>
  <r>
    <n v="4045"/>
    <d v="2025-11-17T00:00:00"/>
    <x v="4"/>
    <x v="7"/>
    <s v="ICN"/>
    <s v="Business"/>
    <n v="279"/>
    <n v="228.47"/>
    <n v="23"/>
    <s v="On Time"/>
    <n v="63743.13"/>
    <s v="Nov"/>
    <n v="2025"/>
    <n v="63743.13"/>
    <s v="Minor Delay"/>
  </r>
  <r>
    <n v="4046"/>
    <d v="2025-07-10T00:00:00"/>
    <x v="2"/>
    <x v="6"/>
    <s v="NRT"/>
    <s v="Economy"/>
    <n v="134"/>
    <n v="513.34"/>
    <n v="30"/>
    <s v="Delayed"/>
    <n v="68787.56"/>
    <s v="Jul"/>
    <n v="2025"/>
    <n v="68787.56"/>
    <s v="Minor Delay"/>
  </r>
  <r>
    <n v="4047"/>
    <d v="2025-12-06T00:00:00"/>
    <x v="0"/>
    <x v="2"/>
    <s v="KIX"/>
    <s v="Economy"/>
    <n v="88"/>
    <n v="153.88999999999999"/>
    <n v="17"/>
    <s v="On Time"/>
    <n v="13542.32"/>
    <s v="Dec"/>
    <n v="2025"/>
    <n v="13542.32"/>
    <s v="Minor Delay"/>
  </r>
  <r>
    <n v="4048"/>
    <d v="2025-05-13T00:00:00"/>
    <x v="3"/>
    <x v="7"/>
    <s v="KIX"/>
    <s v="Economy"/>
    <n v="235"/>
    <n v="140.66"/>
    <n v="7"/>
    <s v="Delayed"/>
    <n v="33055.1"/>
    <s v="May"/>
    <n v="2025"/>
    <n v="33055.1"/>
    <s v="Minor Delay"/>
  </r>
  <r>
    <n v="4049"/>
    <d v="2025-01-16T00:00:00"/>
    <x v="5"/>
    <x v="0"/>
    <s v="KIX"/>
    <s v="Premium Economy"/>
    <n v="181"/>
    <n v="224.61"/>
    <n v="4"/>
    <s v="On Time"/>
    <n v="40654.410000000003"/>
    <s v="Jan"/>
    <n v="2025"/>
    <n v="40654.410000000003"/>
    <s v="Minor Delay"/>
  </r>
  <r>
    <n v="4050"/>
    <d v="2025-10-30T00:00:00"/>
    <x v="5"/>
    <x v="8"/>
    <s v="SIN"/>
    <s v="Economy"/>
    <n v="226"/>
    <n v="706.66"/>
    <n v="0"/>
    <s v="On Time"/>
    <n v="159705.16"/>
    <s v="Oct"/>
    <n v="2025"/>
    <n v="159705.16"/>
    <s v="On Time"/>
  </r>
  <r>
    <n v="4051"/>
    <d v="2025-02-28T00:00:00"/>
    <x v="2"/>
    <x v="7"/>
    <s v="GMP"/>
    <s v="Business"/>
    <n v="87"/>
    <n v="228.78"/>
    <n v="27"/>
    <s v="On Time"/>
    <n v="19903.86"/>
    <s v="Feb"/>
    <n v="2025"/>
    <n v="19903.86"/>
    <s v="Minor Delay"/>
  </r>
  <r>
    <n v="4052"/>
    <d v="2025-09-15T00:00:00"/>
    <x v="1"/>
    <x v="6"/>
    <s v="GMP"/>
    <s v="Business"/>
    <n v="53"/>
    <n v="770.48"/>
    <n v="54"/>
    <s v="Delayed"/>
    <n v="40835.440000000002"/>
    <s v="Sep"/>
    <n v="2025"/>
    <n v="40835.440000000002"/>
    <s v="Moderate Delay"/>
  </r>
  <r>
    <n v="4053"/>
    <d v="2025-06-09T00:00:00"/>
    <x v="0"/>
    <x v="1"/>
    <s v="CJU"/>
    <s v="Premium Economy"/>
    <n v="138"/>
    <n v="795.1"/>
    <n v="0"/>
    <s v="Delayed"/>
    <n v="109723.8"/>
    <s v="Jun"/>
    <n v="2025"/>
    <n v="109723.8"/>
    <s v="On Time"/>
  </r>
  <r>
    <n v="4054"/>
    <d v="2025-07-05T00:00:00"/>
    <x v="5"/>
    <x v="2"/>
    <s v="BKK"/>
    <s v="Premium Economy"/>
    <n v="165"/>
    <n v="779.58"/>
    <n v="15"/>
    <s v="On Time"/>
    <n v="128630.7"/>
    <s v="Jul"/>
    <n v="2025"/>
    <n v="128630.70000000001"/>
    <s v="Minor Delay"/>
  </r>
  <r>
    <n v="4055"/>
    <d v="2025-08-02T00:00:00"/>
    <x v="0"/>
    <x v="3"/>
    <s v="CJU"/>
    <s v="Business"/>
    <n v="126"/>
    <n v="431.68"/>
    <n v="33"/>
    <s v="On Time"/>
    <n v="54391.68"/>
    <s v="Aug"/>
    <n v="2025"/>
    <n v="54391.68"/>
    <s v="Moderate Delay"/>
  </r>
  <r>
    <n v="4056"/>
    <d v="2025-06-11T00:00:00"/>
    <x v="4"/>
    <x v="8"/>
    <s v="CJU"/>
    <s v="Premium Economy"/>
    <n v="241"/>
    <n v="197.4"/>
    <n v="15"/>
    <s v="On Time"/>
    <n v="47573.4"/>
    <s v="Jun"/>
    <n v="2025"/>
    <n v="47573.4"/>
    <s v="Minor Delay"/>
  </r>
  <r>
    <n v="4057"/>
    <d v="2025-03-01T00:00:00"/>
    <x v="1"/>
    <x v="2"/>
    <s v="BKK"/>
    <s v="Premium Economy"/>
    <n v="298"/>
    <n v="449.53"/>
    <n v="4"/>
    <s v="On Time"/>
    <n v="133959.94"/>
    <s v="Mar"/>
    <n v="2025"/>
    <n v="133959.94"/>
    <s v="Minor Delay"/>
  </r>
  <r>
    <n v="4058"/>
    <d v="2025-05-09T00:00:00"/>
    <x v="4"/>
    <x v="5"/>
    <s v="NRT"/>
    <s v="Premium Economy"/>
    <n v="108"/>
    <n v="469.97"/>
    <n v="14"/>
    <s v="On Time"/>
    <n v="50756.76"/>
    <s v="May"/>
    <n v="2025"/>
    <n v="50756.76"/>
    <s v="Minor Delay"/>
  </r>
  <r>
    <n v="4059"/>
    <d v="2025-03-23T00:00:00"/>
    <x v="1"/>
    <x v="6"/>
    <s v="MNL"/>
    <s v="Premium Economy"/>
    <n v="162"/>
    <n v="353.57"/>
    <n v="0"/>
    <s v="On Time"/>
    <n v="57278.34"/>
    <s v="Mar"/>
    <n v="2025"/>
    <n v="57278.34"/>
    <s v="On Time"/>
  </r>
  <r>
    <n v="4060"/>
    <d v="2025-10-04T00:00:00"/>
    <x v="5"/>
    <x v="6"/>
    <s v="CJU"/>
    <s v="Premium Economy"/>
    <n v="126"/>
    <n v="297.51"/>
    <n v="42"/>
    <s v="On Time"/>
    <n v="37486.26"/>
    <s v="Oct"/>
    <n v="2025"/>
    <n v="37486.26"/>
    <s v="Moderate Delay"/>
  </r>
  <r>
    <n v="4061"/>
    <d v="2025-02-10T00:00:00"/>
    <x v="3"/>
    <x v="6"/>
    <s v="MNL"/>
    <s v="Business"/>
    <n v="83"/>
    <n v="101.16"/>
    <n v="3"/>
    <s v="On Time"/>
    <n v="8396.2800000000007"/>
    <s v="Feb"/>
    <n v="2025"/>
    <n v="8396.2799999999988"/>
    <s v="Minor Delay"/>
  </r>
  <r>
    <n v="4062"/>
    <d v="2025-10-12T00:00:00"/>
    <x v="4"/>
    <x v="2"/>
    <s v="MNL"/>
    <s v="Business"/>
    <n v="98"/>
    <n v="136.01"/>
    <n v="22"/>
    <s v="On Time"/>
    <n v="13328.98"/>
    <s v="Oct"/>
    <n v="2025"/>
    <n v="13328.98"/>
    <s v="Minor Delay"/>
  </r>
  <r>
    <n v="4063"/>
    <d v="2025-03-07T00:00:00"/>
    <x v="1"/>
    <x v="7"/>
    <s v="MNL"/>
    <s v="Business"/>
    <n v="217"/>
    <n v="85.51"/>
    <n v="41"/>
    <s v="Delayed"/>
    <n v="18555.669999999998"/>
    <s v="Mar"/>
    <n v="2025"/>
    <n v="18555.670000000002"/>
    <s v="Moderate Delay"/>
  </r>
  <r>
    <n v="4064"/>
    <d v="2025-04-23T00:00:00"/>
    <x v="1"/>
    <x v="4"/>
    <s v="KIX"/>
    <s v="Business"/>
    <n v="259"/>
    <n v="150.12"/>
    <n v="0"/>
    <s v="Delayed"/>
    <n v="38881.08"/>
    <s v="Apr"/>
    <n v="2025"/>
    <n v="38881.08"/>
    <s v="On Time"/>
  </r>
  <r>
    <n v="4065"/>
    <d v="2025-05-27T00:00:00"/>
    <x v="4"/>
    <x v="0"/>
    <s v="KIX"/>
    <s v="Economy"/>
    <n v="201"/>
    <n v="643.46"/>
    <n v="0"/>
    <s v="On Time"/>
    <n v="129335.46"/>
    <s v="May"/>
    <n v="2025"/>
    <n v="129335.46"/>
    <s v="On Time"/>
  </r>
  <r>
    <n v="4066"/>
    <d v="2025-05-19T00:00:00"/>
    <x v="0"/>
    <x v="8"/>
    <s v="NRT"/>
    <s v="Economy"/>
    <n v="67"/>
    <n v="500.42"/>
    <n v="0"/>
    <s v="On Time"/>
    <n v="33528.14"/>
    <s v="May"/>
    <n v="2025"/>
    <n v="33528.14"/>
    <s v="On Time"/>
  </r>
  <r>
    <n v="4067"/>
    <d v="2025-03-04T00:00:00"/>
    <x v="3"/>
    <x v="8"/>
    <s v="GMP"/>
    <s v="Premium Economy"/>
    <n v="108"/>
    <n v="228.04"/>
    <n v="20"/>
    <s v="On Time"/>
    <n v="24628.32"/>
    <s v="Mar"/>
    <n v="2025"/>
    <n v="24628.32"/>
    <s v="Minor Delay"/>
  </r>
  <r>
    <n v="4068"/>
    <d v="2025-11-15T00:00:00"/>
    <x v="2"/>
    <x v="8"/>
    <s v="CJU"/>
    <s v="Business"/>
    <n v="169"/>
    <n v="81.08"/>
    <n v="40"/>
    <s v="On Time"/>
    <n v="13702.52"/>
    <s v="Nov"/>
    <n v="2025"/>
    <n v="13702.52"/>
    <s v="Moderate Delay"/>
  </r>
  <r>
    <n v="4069"/>
    <d v="2025-11-21T00:00:00"/>
    <x v="4"/>
    <x v="5"/>
    <s v="NRT"/>
    <s v="Economy"/>
    <n v="125"/>
    <n v="283.13"/>
    <n v="0"/>
    <s v="On Time"/>
    <n v="35391.25"/>
    <s v="Nov"/>
    <n v="2025"/>
    <n v="35391.25"/>
    <s v="On Time"/>
  </r>
  <r>
    <n v="4070"/>
    <d v="2025-11-17T00:00:00"/>
    <x v="1"/>
    <x v="3"/>
    <s v="MNL"/>
    <s v="Business"/>
    <n v="185"/>
    <n v="447.38"/>
    <n v="6"/>
    <s v="On Time"/>
    <n v="82765.3"/>
    <s v="Nov"/>
    <n v="2025"/>
    <n v="82765.3"/>
    <s v="Minor Delay"/>
  </r>
  <r>
    <n v="4071"/>
    <d v="2025-01-28T00:00:00"/>
    <x v="3"/>
    <x v="8"/>
    <s v="BKK"/>
    <s v="Economy"/>
    <n v="79"/>
    <n v="331.1"/>
    <n v="0"/>
    <s v="On Time"/>
    <n v="26156.9"/>
    <s v="Jan"/>
    <n v="2025"/>
    <n v="26156.9"/>
    <s v="On Time"/>
  </r>
  <r>
    <n v="4072"/>
    <d v="2025-04-23T00:00:00"/>
    <x v="5"/>
    <x v="8"/>
    <s v="BKK"/>
    <s v="Economy"/>
    <n v="175"/>
    <n v="728.24"/>
    <n v="4"/>
    <s v="On Time"/>
    <n v="127442"/>
    <s v="Apr"/>
    <n v="2025"/>
    <n v="127442"/>
    <s v="Minor Delay"/>
  </r>
  <r>
    <n v="4073"/>
    <d v="2025-04-20T00:00:00"/>
    <x v="1"/>
    <x v="5"/>
    <s v="NRT"/>
    <s v="Economy"/>
    <n v="92"/>
    <n v="197.8"/>
    <n v="35"/>
    <s v="On Time"/>
    <n v="18197.599999999999"/>
    <s v="Apr"/>
    <n v="2025"/>
    <n v="18197.600000000002"/>
    <s v="Moderate Delay"/>
  </r>
  <r>
    <n v="4074"/>
    <d v="2025-05-29T00:00:00"/>
    <x v="2"/>
    <x v="8"/>
    <s v="ICN"/>
    <s v="Economy"/>
    <n v="225"/>
    <n v="147.07"/>
    <n v="4"/>
    <s v="On Time"/>
    <n v="33090.75"/>
    <s v="May"/>
    <n v="2025"/>
    <n v="33090.75"/>
    <s v="Minor Delay"/>
  </r>
  <r>
    <n v="4075"/>
    <d v="2025-07-22T00:00:00"/>
    <x v="5"/>
    <x v="6"/>
    <s v="PUS"/>
    <s v="Premium Economy"/>
    <n v="129"/>
    <n v="400.28"/>
    <n v="15"/>
    <s v="On Time"/>
    <n v="51636.12"/>
    <s v="Jul"/>
    <n v="2025"/>
    <n v="51636.119999999995"/>
    <s v="Minor Delay"/>
  </r>
  <r>
    <n v="4076"/>
    <d v="2025-07-26T00:00:00"/>
    <x v="2"/>
    <x v="5"/>
    <s v="NRT"/>
    <s v="Premium Economy"/>
    <n v="270"/>
    <n v="798.53"/>
    <n v="0"/>
    <s v="On Time"/>
    <n v="215603.1"/>
    <s v="Jul"/>
    <n v="2025"/>
    <n v="215603.1"/>
    <s v="On Time"/>
  </r>
  <r>
    <n v="4077"/>
    <d v="2025-01-02T00:00:00"/>
    <x v="3"/>
    <x v="1"/>
    <s v="ICN"/>
    <s v="Premium Economy"/>
    <n v="146"/>
    <n v="772.14"/>
    <n v="51"/>
    <s v="On Time"/>
    <n v="112732.44"/>
    <s v="Jan"/>
    <n v="2025"/>
    <n v="112732.44"/>
    <s v="Moderate Delay"/>
  </r>
  <r>
    <n v="4078"/>
    <d v="2025-04-03T00:00:00"/>
    <x v="3"/>
    <x v="7"/>
    <s v="GMP"/>
    <s v="Business"/>
    <n v="187"/>
    <n v="154.02000000000001"/>
    <n v="57"/>
    <s v="On Time"/>
    <n v="28801.74"/>
    <s v="Apr"/>
    <n v="2025"/>
    <n v="28801.74"/>
    <s v="Moderate Delay"/>
  </r>
  <r>
    <n v="4079"/>
    <d v="2025-10-03T00:00:00"/>
    <x v="0"/>
    <x v="2"/>
    <s v="MNL"/>
    <s v="Premium Economy"/>
    <n v="192"/>
    <n v="644.70000000000005"/>
    <n v="21"/>
    <s v="On Time"/>
    <n v="123782.39999999999"/>
    <s v="Oct"/>
    <n v="2025"/>
    <n v="123782.40000000001"/>
    <s v="Minor Delay"/>
  </r>
  <r>
    <n v="4080"/>
    <d v="2025-04-12T00:00:00"/>
    <x v="1"/>
    <x v="2"/>
    <s v="NRT"/>
    <s v="Premium Economy"/>
    <n v="234"/>
    <n v="636.64"/>
    <n v="6"/>
    <s v="On Time"/>
    <n v="148973.76000000001"/>
    <s v="Apr"/>
    <n v="2025"/>
    <n v="148973.76000000001"/>
    <s v="Minor Delay"/>
  </r>
  <r>
    <n v="4081"/>
    <d v="2025-12-06T00:00:00"/>
    <x v="1"/>
    <x v="1"/>
    <s v="CJU"/>
    <s v="Premium Economy"/>
    <n v="152"/>
    <n v="548.5"/>
    <n v="0"/>
    <s v="On Time"/>
    <n v="83372"/>
    <s v="Dec"/>
    <n v="2025"/>
    <n v="83372"/>
    <s v="On Time"/>
  </r>
  <r>
    <n v="4082"/>
    <d v="2025-04-04T00:00:00"/>
    <x v="0"/>
    <x v="2"/>
    <s v="GMP"/>
    <s v="Premium Economy"/>
    <n v="217"/>
    <n v="736.47"/>
    <n v="51"/>
    <s v="On Time"/>
    <n v="159813.99"/>
    <s v="Apr"/>
    <n v="2025"/>
    <n v="159813.99000000002"/>
    <s v="Moderate Delay"/>
  </r>
  <r>
    <n v="4083"/>
    <d v="2025-10-24T00:00:00"/>
    <x v="5"/>
    <x v="3"/>
    <s v="NRT"/>
    <s v="Economy"/>
    <n v="78"/>
    <n v="775.27"/>
    <n v="0"/>
    <s v="On Time"/>
    <n v="60471.06"/>
    <s v="Oct"/>
    <n v="2025"/>
    <n v="60471.06"/>
    <s v="On Time"/>
  </r>
  <r>
    <n v="4084"/>
    <d v="2025-03-20T00:00:00"/>
    <x v="4"/>
    <x v="3"/>
    <s v="GMP"/>
    <s v="Economy"/>
    <n v="80"/>
    <n v="81.53"/>
    <n v="0"/>
    <s v="On Time"/>
    <n v="6522.4"/>
    <s v="Mar"/>
    <n v="2025"/>
    <n v="6522.4"/>
    <s v="On Time"/>
  </r>
  <r>
    <n v="4085"/>
    <d v="2025-10-13T00:00:00"/>
    <x v="3"/>
    <x v="2"/>
    <s v="SIN"/>
    <s v="Economy"/>
    <n v="171"/>
    <n v="620.29"/>
    <n v="51"/>
    <s v="On Time"/>
    <n v="106069.59"/>
    <s v="Oct"/>
    <n v="2025"/>
    <n v="106069.59"/>
    <s v="Moderate Delay"/>
  </r>
  <r>
    <n v="4086"/>
    <d v="2025-05-10T00:00:00"/>
    <x v="3"/>
    <x v="2"/>
    <s v="MNL"/>
    <s v="Business"/>
    <n v="74"/>
    <n v="121.54"/>
    <n v="23"/>
    <s v="On Time"/>
    <n v="8993.9599999999991"/>
    <s v="May"/>
    <n v="2025"/>
    <n v="8993.9600000000009"/>
    <s v="Minor Delay"/>
  </r>
  <r>
    <n v="4087"/>
    <d v="2025-07-05T00:00:00"/>
    <x v="3"/>
    <x v="3"/>
    <s v="BKK"/>
    <s v="Business"/>
    <n v="256"/>
    <n v="522.80999999999995"/>
    <n v="0"/>
    <s v="On Time"/>
    <n v="133839.35999999999"/>
    <s v="Jul"/>
    <n v="2025"/>
    <n v="133839.35999999999"/>
    <s v="On Time"/>
  </r>
  <r>
    <n v="4088"/>
    <d v="2025-10-21T00:00:00"/>
    <x v="0"/>
    <x v="2"/>
    <s v="SIN"/>
    <s v="Economy"/>
    <n v="103"/>
    <n v="624.66999999999996"/>
    <n v="61"/>
    <s v="On Time"/>
    <n v="64341.01"/>
    <s v="Oct"/>
    <n v="2025"/>
    <n v="64341.009999999995"/>
    <s v="Major Delay"/>
  </r>
  <r>
    <n v="4089"/>
    <d v="2025-10-23T00:00:00"/>
    <x v="2"/>
    <x v="1"/>
    <s v="KIX"/>
    <s v="Economy"/>
    <n v="175"/>
    <n v="355.81"/>
    <n v="0"/>
    <s v="On Time"/>
    <n v="62266.75"/>
    <s v="Oct"/>
    <n v="2025"/>
    <n v="62266.75"/>
    <s v="On Time"/>
  </r>
  <r>
    <n v="4090"/>
    <d v="2025-10-14T00:00:00"/>
    <x v="2"/>
    <x v="2"/>
    <s v="BKK"/>
    <s v="Economy"/>
    <n v="103"/>
    <n v="676.75"/>
    <n v="32"/>
    <s v="On Time"/>
    <n v="69705.25"/>
    <s v="Oct"/>
    <n v="2025"/>
    <n v="69705.25"/>
    <s v="Moderate Delay"/>
  </r>
  <r>
    <n v="4091"/>
    <d v="2025-11-01T00:00:00"/>
    <x v="1"/>
    <x v="8"/>
    <s v="NRT"/>
    <s v="Business"/>
    <n v="138"/>
    <n v="222.84"/>
    <n v="32"/>
    <s v="Delayed"/>
    <n v="30751.919999999998"/>
    <s v="Nov"/>
    <n v="2025"/>
    <n v="30751.920000000002"/>
    <s v="Moderate Delay"/>
  </r>
  <r>
    <n v="4092"/>
    <d v="2025-04-02T00:00:00"/>
    <x v="2"/>
    <x v="6"/>
    <s v="NRT"/>
    <s v="Premium Economy"/>
    <n v="268"/>
    <n v="156.41"/>
    <n v="0"/>
    <s v="On Time"/>
    <n v="41917.879999999997"/>
    <s v="Apr"/>
    <n v="2025"/>
    <n v="41917.879999999997"/>
    <s v="On Time"/>
  </r>
  <r>
    <n v="4093"/>
    <d v="2025-07-27T00:00:00"/>
    <x v="1"/>
    <x v="5"/>
    <s v="SIN"/>
    <s v="Premium Economy"/>
    <n v="271"/>
    <n v="80.400000000000006"/>
    <n v="28"/>
    <s v="On Time"/>
    <n v="21788.400000000001"/>
    <s v="Jul"/>
    <n v="2025"/>
    <n v="21788.400000000001"/>
    <s v="Minor Delay"/>
  </r>
  <r>
    <n v="4094"/>
    <d v="2025-09-27T00:00:00"/>
    <x v="1"/>
    <x v="3"/>
    <s v="NRT"/>
    <s v="Premium Economy"/>
    <n v="122"/>
    <n v="195.74"/>
    <n v="25"/>
    <s v="On Time"/>
    <n v="23880.28"/>
    <s v="Sep"/>
    <n v="2025"/>
    <n v="23880.280000000002"/>
    <s v="Minor Delay"/>
  </r>
  <r>
    <n v="4095"/>
    <d v="2025-11-13T00:00:00"/>
    <x v="0"/>
    <x v="4"/>
    <s v="SIN"/>
    <s v="Economy"/>
    <n v="116"/>
    <n v="794.69"/>
    <n v="11"/>
    <s v="Delayed"/>
    <n v="92184.04"/>
    <s v="Nov"/>
    <n v="2025"/>
    <n v="92184.040000000008"/>
    <s v="Minor Delay"/>
  </r>
  <r>
    <n v="4096"/>
    <d v="2025-02-19T00:00:00"/>
    <x v="2"/>
    <x v="6"/>
    <s v="BKK"/>
    <s v="Premium Economy"/>
    <n v="261"/>
    <n v="400.6"/>
    <n v="13"/>
    <s v="On Time"/>
    <n v="104556.6"/>
    <s v="Feb"/>
    <n v="2025"/>
    <n v="104556.6"/>
    <s v="Minor Delay"/>
  </r>
  <r>
    <n v="4097"/>
    <d v="2025-06-25T00:00:00"/>
    <x v="2"/>
    <x v="4"/>
    <s v="GMP"/>
    <s v="Economy"/>
    <n v="185"/>
    <n v="549.5"/>
    <n v="47"/>
    <s v="Delayed"/>
    <n v="101657.5"/>
    <s v="Jun"/>
    <n v="2025"/>
    <n v="101657.5"/>
    <s v="Moderate Delay"/>
  </r>
  <r>
    <n v="4098"/>
    <d v="2025-12-08T00:00:00"/>
    <x v="0"/>
    <x v="1"/>
    <s v="SIN"/>
    <s v="Premium Economy"/>
    <n v="165"/>
    <n v="194.32"/>
    <n v="24"/>
    <s v="On Time"/>
    <n v="32062.799999999999"/>
    <s v="Dec"/>
    <n v="2025"/>
    <n v="32062.799999999999"/>
    <s v="Minor Delay"/>
  </r>
  <r>
    <n v="4099"/>
    <d v="2025-01-24T00:00:00"/>
    <x v="0"/>
    <x v="1"/>
    <s v="GMP"/>
    <s v="Economy"/>
    <n v="167"/>
    <n v="194.09"/>
    <n v="7"/>
    <s v="On Time"/>
    <n v="32413.03"/>
    <s v="Jan"/>
    <n v="2025"/>
    <n v="32413.03"/>
    <s v="Minor Delay"/>
  </r>
  <r>
    <n v="4100"/>
    <d v="2025-10-18T00:00:00"/>
    <x v="5"/>
    <x v="6"/>
    <s v="BKK"/>
    <s v="Premium Economy"/>
    <n v="90"/>
    <n v="722.9"/>
    <n v="55"/>
    <s v="Delayed"/>
    <n v="65061"/>
    <s v="Oct"/>
    <n v="2025"/>
    <n v="65061"/>
    <s v="Moderate Delay"/>
  </r>
  <r>
    <n v="4101"/>
    <d v="2025-12-07T00:00:00"/>
    <x v="3"/>
    <x v="8"/>
    <s v="GMP"/>
    <s v="Premium Economy"/>
    <n v="142"/>
    <n v="737.1"/>
    <n v="4"/>
    <s v="On Time"/>
    <n v="104668.2"/>
    <s v="Dec"/>
    <n v="2025"/>
    <n v="104668.2"/>
    <s v="Minor Delay"/>
  </r>
  <r>
    <n v="4102"/>
    <d v="2025-01-04T00:00:00"/>
    <x v="1"/>
    <x v="8"/>
    <s v="SIN"/>
    <s v="Economy"/>
    <n v="224"/>
    <n v="308.38"/>
    <n v="25"/>
    <s v="On Time"/>
    <n v="69077.119999999995"/>
    <s v="Jan"/>
    <n v="2025"/>
    <n v="69077.119999999995"/>
    <s v="Minor Delay"/>
  </r>
  <r>
    <n v="4103"/>
    <d v="2025-12-13T00:00:00"/>
    <x v="2"/>
    <x v="0"/>
    <s v="SIN"/>
    <s v="Economy"/>
    <n v="210"/>
    <n v="658.2"/>
    <n v="13"/>
    <s v="On Time"/>
    <n v="138222"/>
    <s v="Dec"/>
    <n v="2025"/>
    <n v="138222"/>
    <s v="Minor Delay"/>
  </r>
  <r>
    <n v="4104"/>
    <d v="2025-07-28T00:00:00"/>
    <x v="5"/>
    <x v="1"/>
    <s v="KIX"/>
    <s v="Business"/>
    <n v="226"/>
    <n v="456.67"/>
    <n v="0"/>
    <s v="On Time"/>
    <n v="103207.42"/>
    <s v="Jul"/>
    <n v="2025"/>
    <n v="103207.42"/>
    <s v="On Time"/>
  </r>
  <r>
    <n v="4105"/>
    <d v="2025-02-02T00:00:00"/>
    <x v="1"/>
    <x v="6"/>
    <s v="BKK"/>
    <s v="Business"/>
    <n v="137"/>
    <n v="558.42999999999995"/>
    <n v="0"/>
    <s v="On Time"/>
    <n v="76504.91"/>
    <s v="Feb"/>
    <n v="2025"/>
    <n v="76504.909999999989"/>
    <s v="On Time"/>
  </r>
  <r>
    <n v="4106"/>
    <d v="2025-04-19T00:00:00"/>
    <x v="3"/>
    <x v="8"/>
    <s v="NRT"/>
    <s v="Economy"/>
    <n v="268"/>
    <n v="363.93"/>
    <n v="29"/>
    <s v="On Time"/>
    <n v="97533.24"/>
    <s v="Apr"/>
    <n v="2025"/>
    <n v="97533.24"/>
    <s v="Minor Delay"/>
  </r>
  <r>
    <n v="4107"/>
    <d v="2025-03-28T00:00:00"/>
    <x v="2"/>
    <x v="8"/>
    <s v="ICN"/>
    <s v="Economy"/>
    <n v="88"/>
    <n v="422.6"/>
    <n v="39"/>
    <s v="Delayed"/>
    <n v="37188.800000000003"/>
    <s v="Mar"/>
    <n v="2025"/>
    <n v="37188.800000000003"/>
    <s v="Moderate Delay"/>
  </r>
  <r>
    <n v="4108"/>
    <d v="2025-05-16T00:00:00"/>
    <x v="3"/>
    <x v="3"/>
    <s v="MNL"/>
    <s v="Premium Economy"/>
    <n v="182"/>
    <n v="388.89"/>
    <n v="0"/>
    <s v="On Time"/>
    <n v="70777.98"/>
    <s v="May"/>
    <n v="2025"/>
    <n v="70777.98"/>
    <s v="On Time"/>
  </r>
  <r>
    <n v="4109"/>
    <d v="2025-10-26T00:00:00"/>
    <x v="3"/>
    <x v="1"/>
    <s v="NRT"/>
    <s v="Premium Economy"/>
    <n v="298"/>
    <n v="387.54"/>
    <n v="40"/>
    <s v="On Time"/>
    <n v="115486.92"/>
    <s v="Oct"/>
    <n v="2025"/>
    <n v="115486.92000000001"/>
    <s v="Moderate Delay"/>
  </r>
  <r>
    <n v="4110"/>
    <d v="2025-08-15T00:00:00"/>
    <x v="4"/>
    <x v="2"/>
    <s v="KIX"/>
    <s v="Premium Economy"/>
    <n v="215"/>
    <n v="86.7"/>
    <n v="31"/>
    <s v="On Time"/>
    <n v="18640.5"/>
    <s v="Aug"/>
    <n v="2025"/>
    <n v="18640.5"/>
    <s v="Moderate Delay"/>
  </r>
  <r>
    <n v="4111"/>
    <d v="2025-07-06T00:00:00"/>
    <x v="0"/>
    <x v="4"/>
    <s v="ICN"/>
    <s v="Premium Economy"/>
    <n v="176"/>
    <n v="185.54"/>
    <n v="0"/>
    <s v="On Time"/>
    <n v="32655.040000000001"/>
    <s v="Jul"/>
    <n v="2025"/>
    <n v="32655.039999999997"/>
    <s v="On Time"/>
  </r>
  <r>
    <n v="4112"/>
    <d v="2025-06-11T00:00:00"/>
    <x v="0"/>
    <x v="6"/>
    <s v="BKK"/>
    <s v="Business"/>
    <n v="209"/>
    <n v="251.44"/>
    <n v="0"/>
    <s v="Delayed"/>
    <n v="52550.96"/>
    <s v="Jun"/>
    <n v="2025"/>
    <n v="52550.96"/>
    <s v="On Time"/>
  </r>
  <r>
    <n v="4113"/>
    <d v="2025-06-28T00:00:00"/>
    <x v="4"/>
    <x v="2"/>
    <s v="SIN"/>
    <s v="Business"/>
    <n v="271"/>
    <n v="756.97"/>
    <n v="24"/>
    <s v="On Time"/>
    <n v="205138.87"/>
    <s v="Jun"/>
    <n v="2025"/>
    <n v="205138.87"/>
    <s v="Minor Delay"/>
  </r>
  <r>
    <n v="4114"/>
    <d v="2025-04-12T00:00:00"/>
    <x v="3"/>
    <x v="2"/>
    <s v="NRT"/>
    <s v="Business"/>
    <n v="145"/>
    <n v="744.44"/>
    <n v="0"/>
    <s v="On Time"/>
    <n v="107943.8"/>
    <s v="Apr"/>
    <n v="2025"/>
    <n v="107943.8"/>
    <s v="On Time"/>
  </r>
  <r>
    <n v="4115"/>
    <d v="2025-05-07T00:00:00"/>
    <x v="2"/>
    <x v="7"/>
    <s v="GMP"/>
    <s v="Business"/>
    <n v="147"/>
    <n v="284.18"/>
    <n v="19"/>
    <s v="Delayed"/>
    <n v="41774.46"/>
    <s v="May"/>
    <n v="2025"/>
    <n v="41774.46"/>
    <s v="Minor Delay"/>
  </r>
  <r>
    <n v="4116"/>
    <d v="2025-04-24T00:00:00"/>
    <x v="2"/>
    <x v="5"/>
    <s v="SIN"/>
    <s v="Economy"/>
    <n v="64"/>
    <n v="776.02"/>
    <n v="12"/>
    <s v="Delayed"/>
    <n v="49665.279999999999"/>
    <s v="Apr"/>
    <n v="2025"/>
    <n v="49665.279999999999"/>
    <s v="Minor Delay"/>
  </r>
  <r>
    <n v="4117"/>
    <d v="2025-01-01T00:00:00"/>
    <x v="3"/>
    <x v="0"/>
    <s v="BKK"/>
    <s v="Premium Economy"/>
    <n v="105"/>
    <n v="190.74"/>
    <n v="39"/>
    <s v="On Time"/>
    <n v="20027.7"/>
    <s v="Jan"/>
    <n v="2025"/>
    <n v="20027.7"/>
    <s v="Moderate Delay"/>
  </r>
  <r>
    <n v="4118"/>
    <d v="2025-03-14T00:00:00"/>
    <x v="2"/>
    <x v="0"/>
    <s v="ICN"/>
    <s v="Premium Economy"/>
    <n v="182"/>
    <n v="230.54"/>
    <n v="18"/>
    <s v="On Time"/>
    <n v="41958.28"/>
    <s v="Mar"/>
    <n v="2025"/>
    <n v="41958.28"/>
    <s v="Minor Delay"/>
  </r>
  <r>
    <n v="4119"/>
    <d v="2025-04-14T00:00:00"/>
    <x v="4"/>
    <x v="1"/>
    <s v="PUS"/>
    <s v="Premium Economy"/>
    <n v="169"/>
    <n v="268.04000000000002"/>
    <n v="0"/>
    <s v="Cancelled"/>
    <n v="45298.76"/>
    <s v="Apr"/>
    <n v="2025"/>
    <n v="45298.76"/>
    <s v="On Time"/>
  </r>
  <r>
    <n v="4120"/>
    <d v="2025-01-20T00:00:00"/>
    <x v="0"/>
    <x v="1"/>
    <s v="MNL"/>
    <s v="Economy"/>
    <n v="267"/>
    <n v="694.26"/>
    <n v="36"/>
    <s v="On Time"/>
    <n v="185367.42"/>
    <s v="Jan"/>
    <n v="2025"/>
    <n v="185367.41999999998"/>
    <s v="Moderate Delay"/>
  </r>
  <r>
    <n v="4121"/>
    <d v="2025-10-20T00:00:00"/>
    <x v="5"/>
    <x v="8"/>
    <s v="PUS"/>
    <s v="Premium Economy"/>
    <n v="117"/>
    <n v="142.47999999999999"/>
    <n v="0"/>
    <s v="On Time"/>
    <n v="16670.16"/>
    <s v="Oct"/>
    <n v="2025"/>
    <n v="16670.16"/>
    <s v="On Time"/>
  </r>
  <r>
    <n v="4122"/>
    <d v="2025-01-28T00:00:00"/>
    <x v="1"/>
    <x v="4"/>
    <s v="GMP"/>
    <s v="Economy"/>
    <n v="95"/>
    <n v="524.92999999999995"/>
    <n v="0"/>
    <s v="On Time"/>
    <n v="49868.35"/>
    <s v="Jan"/>
    <n v="2025"/>
    <n v="49868.35"/>
    <s v="On Time"/>
  </r>
  <r>
    <n v="4123"/>
    <d v="2025-12-16T00:00:00"/>
    <x v="5"/>
    <x v="8"/>
    <s v="GMP"/>
    <s v="Premium Economy"/>
    <n v="79"/>
    <n v="349.89"/>
    <n v="39"/>
    <s v="Delayed"/>
    <n v="27641.31"/>
    <s v="Dec"/>
    <n v="2025"/>
    <n v="27641.309999999998"/>
    <s v="Moderate Delay"/>
  </r>
  <r>
    <n v="4124"/>
    <d v="2025-04-14T00:00:00"/>
    <x v="5"/>
    <x v="8"/>
    <s v="SIN"/>
    <s v="Economy"/>
    <n v="110"/>
    <n v="698.65"/>
    <n v="17"/>
    <s v="On Time"/>
    <n v="76851.5"/>
    <s v="Apr"/>
    <n v="2025"/>
    <n v="76851.5"/>
    <s v="Minor Delay"/>
  </r>
  <r>
    <n v="4125"/>
    <d v="2025-05-09T00:00:00"/>
    <x v="0"/>
    <x v="0"/>
    <s v="KIX"/>
    <s v="Premium Economy"/>
    <n v="164"/>
    <n v="698.04"/>
    <n v="0"/>
    <s v="On Time"/>
    <n v="114478.56"/>
    <s v="May"/>
    <n v="2025"/>
    <n v="114478.56"/>
    <s v="On Time"/>
  </r>
  <r>
    <n v="4126"/>
    <d v="2025-01-12T00:00:00"/>
    <x v="4"/>
    <x v="2"/>
    <s v="BKK"/>
    <s v="Business"/>
    <n v="243"/>
    <n v="628.72"/>
    <n v="48"/>
    <s v="On Time"/>
    <n v="152778.96"/>
    <s v="Jan"/>
    <n v="2025"/>
    <n v="152778.96000000002"/>
    <s v="Moderate Delay"/>
  </r>
  <r>
    <n v="4127"/>
    <d v="2025-04-06T00:00:00"/>
    <x v="2"/>
    <x v="1"/>
    <s v="ICN"/>
    <s v="Economy"/>
    <n v="235"/>
    <n v="358.58"/>
    <n v="0"/>
    <s v="On Time"/>
    <n v="84266.3"/>
    <s v="Apr"/>
    <n v="2025"/>
    <n v="84266.3"/>
    <s v="On Time"/>
  </r>
  <r>
    <n v="4128"/>
    <d v="2025-02-13T00:00:00"/>
    <x v="3"/>
    <x v="5"/>
    <s v="SIN"/>
    <s v="Business"/>
    <n v="188"/>
    <n v="563.35"/>
    <n v="16"/>
    <s v="On Time"/>
    <n v="105909.8"/>
    <s v="Feb"/>
    <n v="2025"/>
    <n v="105909.8"/>
    <s v="Minor Delay"/>
  </r>
  <r>
    <n v="4129"/>
    <d v="2025-05-03T00:00:00"/>
    <x v="3"/>
    <x v="7"/>
    <s v="PUS"/>
    <s v="Premium Economy"/>
    <n v="286"/>
    <n v="130.19"/>
    <n v="22"/>
    <s v="On Time"/>
    <n v="37234.339999999997"/>
    <s v="May"/>
    <n v="2025"/>
    <n v="37234.339999999997"/>
    <s v="Minor Delay"/>
  </r>
  <r>
    <n v="4130"/>
    <d v="2025-07-06T00:00:00"/>
    <x v="5"/>
    <x v="8"/>
    <s v="NRT"/>
    <s v="Business"/>
    <n v="200"/>
    <n v="445.48"/>
    <n v="31"/>
    <s v="On Time"/>
    <n v="89096"/>
    <s v="Jul"/>
    <n v="2025"/>
    <n v="89096"/>
    <s v="Moderate Delay"/>
  </r>
  <r>
    <n v="4131"/>
    <d v="2025-05-08T00:00:00"/>
    <x v="2"/>
    <x v="0"/>
    <s v="NRT"/>
    <s v="Premium Economy"/>
    <n v="289"/>
    <n v="430.41"/>
    <n v="75"/>
    <s v="On Time"/>
    <n v="124388.49"/>
    <s v="May"/>
    <n v="2025"/>
    <n v="124388.49"/>
    <s v="Major Delay"/>
  </r>
  <r>
    <n v="4132"/>
    <d v="2025-10-24T00:00:00"/>
    <x v="1"/>
    <x v="5"/>
    <s v="SIN"/>
    <s v="Economy"/>
    <n v="210"/>
    <n v="653.96"/>
    <n v="23"/>
    <s v="On Time"/>
    <n v="137331.6"/>
    <s v="Oct"/>
    <n v="2025"/>
    <n v="137331.6"/>
    <s v="Minor Delay"/>
  </r>
  <r>
    <n v="4133"/>
    <d v="2025-01-16T00:00:00"/>
    <x v="2"/>
    <x v="3"/>
    <s v="GMP"/>
    <s v="Premium Economy"/>
    <n v="60"/>
    <n v="427.01"/>
    <n v="49"/>
    <s v="On Time"/>
    <n v="25620.6"/>
    <s v="Jan"/>
    <n v="2025"/>
    <n v="25620.6"/>
    <s v="Moderate Delay"/>
  </r>
  <r>
    <n v="4134"/>
    <d v="2025-09-29T00:00:00"/>
    <x v="3"/>
    <x v="4"/>
    <s v="SIN"/>
    <s v="Premium Economy"/>
    <n v="181"/>
    <n v="777.05"/>
    <n v="13"/>
    <s v="Delayed"/>
    <n v="140646.04999999999"/>
    <s v="Sep"/>
    <n v="2025"/>
    <n v="140646.04999999999"/>
    <s v="Minor Delay"/>
  </r>
  <r>
    <n v="4135"/>
    <d v="2025-09-22T00:00:00"/>
    <x v="4"/>
    <x v="2"/>
    <s v="KIX"/>
    <s v="Premium Economy"/>
    <n v="104"/>
    <n v="380.32"/>
    <n v="44"/>
    <s v="On Time"/>
    <n v="39553.279999999999"/>
    <s v="Sep"/>
    <n v="2025"/>
    <n v="39553.279999999999"/>
    <s v="Moderate Delay"/>
  </r>
  <r>
    <n v="4136"/>
    <d v="2025-05-15T00:00:00"/>
    <x v="5"/>
    <x v="5"/>
    <s v="KIX"/>
    <s v="Economy"/>
    <n v="172"/>
    <n v="196.68"/>
    <n v="0"/>
    <s v="On Time"/>
    <n v="33828.959999999999"/>
    <s v="May"/>
    <n v="2025"/>
    <n v="33828.959999999999"/>
    <s v="On Time"/>
  </r>
  <r>
    <n v="4137"/>
    <d v="2025-03-02T00:00:00"/>
    <x v="2"/>
    <x v="5"/>
    <s v="NRT"/>
    <s v="Business"/>
    <n v="272"/>
    <n v="666.18"/>
    <n v="21"/>
    <s v="On Time"/>
    <n v="181200.96"/>
    <s v="Mar"/>
    <n v="2025"/>
    <n v="181200.96"/>
    <s v="Minor Delay"/>
  </r>
  <r>
    <n v="4138"/>
    <d v="2025-02-12T00:00:00"/>
    <x v="2"/>
    <x v="4"/>
    <s v="PUS"/>
    <s v="Premium Economy"/>
    <n v="240"/>
    <n v="444.25"/>
    <n v="56"/>
    <s v="On Time"/>
    <n v="106620"/>
    <s v="Feb"/>
    <n v="2025"/>
    <n v="106620"/>
    <s v="Moderate Delay"/>
  </r>
  <r>
    <n v="4139"/>
    <d v="2025-05-14T00:00:00"/>
    <x v="4"/>
    <x v="6"/>
    <s v="NRT"/>
    <s v="Economy"/>
    <n v="191"/>
    <n v="475.86"/>
    <n v="0"/>
    <s v="On Time"/>
    <n v="90889.26"/>
    <s v="May"/>
    <n v="2025"/>
    <n v="90889.260000000009"/>
    <s v="On Time"/>
  </r>
  <r>
    <n v="4140"/>
    <d v="2025-04-13T00:00:00"/>
    <x v="0"/>
    <x v="2"/>
    <s v="ICN"/>
    <s v="Business"/>
    <n v="58"/>
    <n v="401.26"/>
    <n v="10"/>
    <s v="Delayed"/>
    <n v="23273.08"/>
    <s v="Apr"/>
    <n v="2025"/>
    <n v="23273.079999999998"/>
    <s v="Minor Delay"/>
  </r>
  <r>
    <n v="4141"/>
    <d v="2025-06-25T00:00:00"/>
    <x v="0"/>
    <x v="1"/>
    <s v="ICN"/>
    <s v="Premium Economy"/>
    <n v="208"/>
    <n v="522.5"/>
    <n v="58"/>
    <s v="On Time"/>
    <n v="108680"/>
    <s v="Jun"/>
    <n v="2025"/>
    <n v="108680"/>
    <s v="Moderate Delay"/>
  </r>
  <r>
    <n v="4142"/>
    <d v="2025-11-07T00:00:00"/>
    <x v="5"/>
    <x v="5"/>
    <s v="PUS"/>
    <s v="Business"/>
    <n v="209"/>
    <n v="357.63"/>
    <n v="33"/>
    <s v="On Time"/>
    <n v="74744.67"/>
    <s v="Nov"/>
    <n v="2025"/>
    <n v="74744.67"/>
    <s v="Moderate Delay"/>
  </r>
  <r>
    <n v="4143"/>
    <d v="2025-05-06T00:00:00"/>
    <x v="4"/>
    <x v="5"/>
    <s v="PUS"/>
    <s v="Premium Economy"/>
    <n v="140"/>
    <n v="255.91"/>
    <n v="38"/>
    <s v="On Time"/>
    <n v="35827.4"/>
    <s v="May"/>
    <n v="2025"/>
    <n v="35827.4"/>
    <s v="Moderate Delay"/>
  </r>
  <r>
    <n v="4144"/>
    <d v="2025-05-21T00:00:00"/>
    <x v="1"/>
    <x v="0"/>
    <s v="BKK"/>
    <s v="Economy"/>
    <n v="224"/>
    <n v="402.55"/>
    <n v="20"/>
    <s v="Delayed"/>
    <n v="90171.199999999997"/>
    <s v="May"/>
    <n v="2025"/>
    <n v="90171.199999999997"/>
    <s v="Minor Delay"/>
  </r>
  <r>
    <n v="4145"/>
    <d v="2025-03-16T00:00:00"/>
    <x v="3"/>
    <x v="5"/>
    <s v="CJU"/>
    <s v="Business"/>
    <n v="141"/>
    <n v="219.1"/>
    <n v="0"/>
    <s v="On Time"/>
    <n v="30893.1"/>
    <s v="Mar"/>
    <n v="2025"/>
    <n v="30893.1"/>
    <s v="On Time"/>
  </r>
  <r>
    <n v="4146"/>
    <d v="2025-04-13T00:00:00"/>
    <x v="1"/>
    <x v="4"/>
    <s v="CJU"/>
    <s v="Business"/>
    <n v="292"/>
    <n v="453.46"/>
    <n v="0"/>
    <s v="On Time"/>
    <n v="132410.32"/>
    <s v="Apr"/>
    <n v="2025"/>
    <n v="132410.32"/>
    <s v="On Time"/>
  </r>
  <r>
    <n v="4147"/>
    <d v="2025-01-29T00:00:00"/>
    <x v="4"/>
    <x v="1"/>
    <s v="CJU"/>
    <s v="Business"/>
    <n v="273"/>
    <n v="152.09"/>
    <n v="8"/>
    <s v="Delayed"/>
    <n v="41520.57"/>
    <s v="Jan"/>
    <n v="2025"/>
    <n v="41520.57"/>
    <s v="Minor Delay"/>
  </r>
  <r>
    <n v="4148"/>
    <d v="2025-06-02T00:00:00"/>
    <x v="5"/>
    <x v="5"/>
    <s v="BKK"/>
    <s v="Premium Economy"/>
    <n v="231"/>
    <n v="391.73"/>
    <n v="0"/>
    <s v="Delayed"/>
    <n v="90489.63"/>
    <s v="Jun"/>
    <n v="2025"/>
    <n v="90489.63"/>
    <s v="On Time"/>
  </r>
  <r>
    <n v="4149"/>
    <d v="2025-09-06T00:00:00"/>
    <x v="5"/>
    <x v="3"/>
    <s v="SIN"/>
    <s v="Premium Economy"/>
    <n v="276"/>
    <n v="211.38"/>
    <n v="42"/>
    <s v="On Time"/>
    <n v="58340.88"/>
    <s v="Sep"/>
    <n v="2025"/>
    <n v="58340.88"/>
    <s v="Moderate Delay"/>
  </r>
  <r>
    <n v="4150"/>
    <d v="2025-05-02T00:00:00"/>
    <x v="5"/>
    <x v="3"/>
    <s v="BKK"/>
    <s v="Economy"/>
    <n v="145"/>
    <n v="694.94"/>
    <n v="0"/>
    <s v="On Time"/>
    <n v="100766.3"/>
    <s v="May"/>
    <n v="2025"/>
    <n v="100766.3"/>
    <s v="On Time"/>
  </r>
  <r>
    <n v="4151"/>
    <d v="2025-12-14T00:00:00"/>
    <x v="0"/>
    <x v="8"/>
    <s v="CJU"/>
    <s v="Business"/>
    <n v="272"/>
    <n v="162.18"/>
    <n v="64"/>
    <s v="On Time"/>
    <n v="44112.959999999999"/>
    <s v="Dec"/>
    <n v="2025"/>
    <n v="44112.959999999999"/>
    <s v="Major Delay"/>
  </r>
  <r>
    <n v="4152"/>
    <d v="2025-04-05T00:00:00"/>
    <x v="4"/>
    <x v="0"/>
    <s v="BKK"/>
    <s v="Premium Economy"/>
    <n v="215"/>
    <n v="405.61"/>
    <n v="0"/>
    <s v="On Time"/>
    <n v="87206.15"/>
    <s v="Apr"/>
    <n v="2025"/>
    <n v="87206.150000000009"/>
    <s v="On Time"/>
  </r>
  <r>
    <n v="4153"/>
    <d v="2025-06-22T00:00:00"/>
    <x v="4"/>
    <x v="6"/>
    <s v="GMP"/>
    <s v="Business"/>
    <n v="60"/>
    <n v="240.32"/>
    <n v="31"/>
    <s v="On Time"/>
    <n v="14419.2"/>
    <s v="Jun"/>
    <n v="2025"/>
    <n v="14419.199999999999"/>
    <s v="Moderate Delay"/>
  </r>
  <r>
    <n v="4154"/>
    <d v="2025-05-15T00:00:00"/>
    <x v="3"/>
    <x v="3"/>
    <s v="NRT"/>
    <s v="Business"/>
    <n v="166"/>
    <n v="346.88"/>
    <n v="15"/>
    <s v="On Time"/>
    <n v="57582.080000000002"/>
    <s v="May"/>
    <n v="2025"/>
    <n v="57582.080000000002"/>
    <s v="Minor Delay"/>
  </r>
  <r>
    <n v="4155"/>
    <d v="2025-12-29T00:00:00"/>
    <x v="4"/>
    <x v="3"/>
    <s v="ICN"/>
    <s v="Business"/>
    <n v="191"/>
    <n v="268.48"/>
    <n v="16"/>
    <s v="Delayed"/>
    <n v="51279.68"/>
    <s v="Dec"/>
    <n v="2025"/>
    <n v="51279.68"/>
    <s v="Minor Delay"/>
  </r>
  <r>
    <n v="4156"/>
    <d v="2025-12-02T00:00:00"/>
    <x v="4"/>
    <x v="5"/>
    <s v="PUS"/>
    <s v="Premium Economy"/>
    <n v="154"/>
    <n v="586.77"/>
    <n v="0"/>
    <s v="On Time"/>
    <n v="90362.58"/>
    <s v="Dec"/>
    <n v="2025"/>
    <n v="90362.58"/>
    <s v="On Time"/>
  </r>
  <r>
    <n v="4157"/>
    <d v="2025-08-16T00:00:00"/>
    <x v="2"/>
    <x v="3"/>
    <s v="ICN"/>
    <s v="Business"/>
    <n v="288"/>
    <n v="327.22000000000003"/>
    <n v="27"/>
    <s v="On Time"/>
    <n v="94239.360000000001"/>
    <s v="Aug"/>
    <n v="2025"/>
    <n v="94239.360000000015"/>
    <s v="Minor Delay"/>
  </r>
  <r>
    <n v="4158"/>
    <d v="2025-06-20T00:00:00"/>
    <x v="5"/>
    <x v="2"/>
    <s v="BKK"/>
    <s v="Business"/>
    <n v="69"/>
    <n v="695.51"/>
    <n v="0"/>
    <s v="On Time"/>
    <n v="47990.19"/>
    <s v="Jun"/>
    <n v="2025"/>
    <n v="47990.19"/>
    <s v="On Time"/>
  </r>
  <r>
    <n v="4159"/>
    <d v="2025-08-17T00:00:00"/>
    <x v="2"/>
    <x v="7"/>
    <s v="PUS"/>
    <s v="Premium Economy"/>
    <n v="126"/>
    <n v="390.8"/>
    <n v="38"/>
    <s v="Delayed"/>
    <n v="49240.800000000003"/>
    <s v="Aug"/>
    <n v="2025"/>
    <n v="49240.800000000003"/>
    <s v="Moderate Delay"/>
  </r>
  <r>
    <n v="4160"/>
    <d v="2025-10-22T00:00:00"/>
    <x v="0"/>
    <x v="4"/>
    <s v="BKK"/>
    <s v="Premium Economy"/>
    <n v="122"/>
    <n v="710.74"/>
    <n v="0"/>
    <s v="On Time"/>
    <n v="86710.28"/>
    <s v="Oct"/>
    <n v="2025"/>
    <n v="86710.28"/>
    <s v="On Time"/>
  </r>
  <r>
    <n v="4161"/>
    <d v="2025-03-17T00:00:00"/>
    <x v="4"/>
    <x v="2"/>
    <s v="SIN"/>
    <s v="Business"/>
    <n v="200"/>
    <n v="661.05"/>
    <n v="20"/>
    <s v="On Time"/>
    <n v="132210"/>
    <s v="Mar"/>
    <n v="2025"/>
    <n v="132210"/>
    <s v="Minor Delay"/>
  </r>
  <r>
    <n v="4162"/>
    <d v="2025-02-01T00:00:00"/>
    <x v="3"/>
    <x v="5"/>
    <s v="SIN"/>
    <s v="Premium Economy"/>
    <n v="273"/>
    <n v="304.89"/>
    <n v="53"/>
    <s v="On Time"/>
    <n v="83234.97"/>
    <s v="Feb"/>
    <n v="2025"/>
    <n v="83234.97"/>
    <s v="Moderate Delay"/>
  </r>
  <r>
    <n v="4163"/>
    <d v="2025-10-19T00:00:00"/>
    <x v="3"/>
    <x v="4"/>
    <s v="KIX"/>
    <s v="Business"/>
    <n v="156"/>
    <n v="401.77"/>
    <n v="16"/>
    <s v="Delayed"/>
    <n v="62676.12"/>
    <s v="Oct"/>
    <n v="2025"/>
    <n v="62676.119999999995"/>
    <s v="Minor Delay"/>
  </r>
  <r>
    <n v="4164"/>
    <d v="2025-03-09T00:00:00"/>
    <x v="0"/>
    <x v="1"/>
    <s v="MNL"/>
    <s v="Business"/>
    <n v="194"/>
    <n v="312.27999999999997"/>
    <n v="59"/>
    <s v="On Time"/>
    <n v="60582.32"/>
    <s v="Mar"/>
    <n v="2025"/>
    <n v="60582.319999999992"/>
    <s v="Moderate Delay"/>
  </r>
  <r>
    <n v="4165"/>
    <d v="2025-03-20T00:00:00"/>
    <x v="4"/>
    <x v="8"/>
    <s v="GMP"/>
    <s v="Premium Economy"/>
    <n v="200"/>
    <n v="223.54"/>
    <n v="67"/>
    <s v="On Time"/>
    <n v="44708"/>
    <s v="Mar"/>
    <n v="2025"/>
    <n v="44708"/>
    <s v="Major Delay"/>
  </r>
  <r>
    <n v="4166"/>
    <d v="2025-05-15T00:00:00"/>
    <x v="5"/>
    <x v="1"/>
    <s v="SIN"/>
    <s v="Business"/>
    <n v="252"/>
    <n v="75.41"/>
    <n v="0"/>
    <s v="On Time"/>
    <n v="19003.32"/>
    <s v="May"/>
    <n v="2025"/>
    <n v="19003.32"/>
    <s v="On Time"/>
  </r>
  <r>
    <n v="4167"/>
    <d v="2025-09-09T00:00:00"/>
    <x v="0"/>
    <x v="7"/>
    <s v="PUS"/>
    <s v="Business"/>
    <n v="173"/>
    <n v="354"/>
    <n v="22"/>
    <s v="On Time"/>
    <n v="61242"/>
    <s v="Sep"/>
    <n v="2025"/>
    <n v="61242"/>
    <s v="Minor Delay"/>
  </r>
  <r>
    <n v="4168"/>
    <d v="2025-12-22T00:00:00"/>
    <x v="3"/>
    <x v="3"/>
    <s v="GMP"/>
    <s v="Economy"/>
    <n v="120"/>
    <n v="136.38"/>
    <n v="28"/>
    <s v="Delayed"/>
    <n v="16365.6"/>
    <s v="Dec"/>
    <n v="2025"/>
    <n v="16365.599999999999"/>
    <s v="Minor Delay"/>
  </r>
  <r>
    <n v="4169"/>
    <d v="2025-06-23T00:00:00"/>
    <x v="4"/>
    <x v="5"/>
    <s v="GMP"/>
    <s v="Premium Economy"/>
    <n v="136"/>
    <n v="471.21"/>
    <n v="25"/>
    <s v="On Time"/>
    <n v="64084.56"/>
    <s v="Jun"/>
    <n v="2025"/>
    <n v="64084.56"/>
    <s v="Minor Delay"/>
  </r>
  <r>
    <n v="4170"/>
    <d v="2025-08-11T00:00:00"/>
    <x v="0"/>
    <x v="3"/>
    <s v="BKK"/>
    <s v="Economy"/>
    <n v="158"/>
    <n v="794.16"/>
    <n v="0"/>
    <s v="Delayed"/>
    <n v="125477.28"/>
    <s v="Aug"/>
    <n v="2025"/>
    <n v="125477.28"/>
    <s v="On Time"/>
  </r>
  <r>
    <n v="4171"/>
    <d v="2025-07-10T00:00:00"/>
    <x v="3"/>
    <x v="2"/>
    <s v="NRT"/>
    <s v="Premium Economy"/>
    <n v="229"/>
    <n v="778.2"/>
    <n v="22"/>
    <s v="On Time"/>
    <n v="178207.8"/>
    <s v="Jul"/>
    <n v="2025"/>
    <n v="178207.80000000002"/>
    <s v="Minor Delay"/>
  </r>
  <r>
    <n v="4172"/>
    <d v="2025-06-04T00:00:00"/>
    <x v="3"/>
    <x v="3"/>
    <s v="ICN"/>
    <s v="Business"/>
    <n v="73"/>
    <n v="82.18"/>
    <n v="0"/>
    <s v="On Time"/>
    <n v="5999.14"/>
    <s v="Jun"/>
    <n v="2025"/>
    <n v="5999.14"/>
    <s v="On Time"/>
  </r>
  <r>
    <n v="4173"/>
    <d v="2025-04-13T00:00:00"/>
    <x v="1"/>
    <x v="5"/>
    <s v="KIX"/>
    <s v="Premium Economy"/>
    <n v="72"/>
    <n v="334.21"/>
    <n v="6"/>
    <s v="On Time"/>
    <n v="24063.119999999999"/>
    <s v="Apr"/>
    <n v="2025"/>
    <n v="24063.119999999999"/>
    <s v="Minor Delay"/>
  </r>
  <r>
    <n v="4174"/>
    <d v="2025-11-17T00:00:00"/>
    <x v="3"/>
    <x v="7"/>
    <s v="GMP"/>
    <s v="Business"/>
    <n v="166"/>
    <n v="491.47"/>
    <n v="44"/>
    <s v="On Time"/>
    <n v="81584.02"/>
    <s v="Nov"/>
    <n v="2025"/>
    <n v="81584.02"/>
    <s v="Moderate Delay"/>
  </r>
  <r>
    <n v="4175"/>
    <d v="2025-01-24T00:00:00"/>
    <x v="5"/>
    <x v="6"/>
    <s v="BKK"/>
    <s v="Business"/>
    <n v="297"/>
    <n v="239.5"/>
    <n v="54"/>
    <s v="On Time"/>
    <n v="71131.5"/>
    <s v="Jan"/>
    <n v="2025"/>
    <n v="71131.5"/>
    <s v="Moderate Delay"/>
  </r>
  <r>
    <n v="4176"/>
    <d v="2025-11-27T00:00:00"/>
    <x v="3"/>
    <x v="6"/>
    <s v="KIX"/>
    <s v="Economy"/>
    <n v="300"/>
    <n v="125.12"/>
    <n v="35"/>
    <s v="On Time"/>
    <n v="37536"/>
    <s v="Nov"/>
    <n v="2025"/>
    <n v="37536"/>
    <s v="Moderate Delay"/>
  </r>
  <r>
    <n v="4177"/>
    <d v="2025-11-02T00:00:00"/>
    <x v="1"/>
    <x v="6"/>
    <s v="PUS"/>
    <s v="Economy"/>
    <n v="77"/>
    <n v="333.37"/>
    <n v="22"/>
    <s v="On Time"/>
    <n v="25669.49"/>
    <s v="Nov"/>
    <n v="2025"/>
    <n v="25669.49"/>
    <s v="Minor Delay"/>
  </r>
  <r>
    <n v="4178"/>
    <d v="2025-11-09T00:00:00"/>
    <x v="3"/>
    <x v="5"/>
    <s v="GMP"/>
    <s v="Economy"/>
    <n v="225"/>
    <n v="561.62"/>
    <n v="27"/>
    <s v="On Time"/>
    <n v="126364.5"/>
    <s v="Nov"/>
    <n v="2025"/>
    <n v="126364.5"/>
    <s v="Minor Delay"/>
  </r>
  <r>
    <n v="4179"/>
    <d v="2025-05-05T00:00:00"/>
    <x v="2"/>
    <x v="2"/>
    <s v="MNL"/>
    <s v="Business"/>
    <n v="60"/>
    <n v="196.86"/>
    <n v="57"/>
    <s v="On Time"/>
    <n v="11811.6"/>
    <s v="May"/>
    <n v="2025"/>
    <n v="11811.6"/>
    <s v="Moderate Delay"/>
  </r>
  <r>
    <n v="4180"/>
    <d v="2025-09-23T00:00:00"/>
    <x v="0"/>
    <x v="6"/>
    <s v="MNL"/>
    <s v="Business"/>
    <n v="293"/>
    <n v="106.46"/>
    <n v="20"/>
    <s v="On Time"/>
    <n v="31192.78"/>
    <s v="Sep"/>
    <n v="2025"/>
    <n v="31192.78"/>
    <s v="Minor Delay"/>
  </r>
  <r>
    <n v="4181"/>
    <d v="2025-05-26T00:00:00"/>
    <x v="2"/>
    <x v="2"/>
    <s v="KIX"/>
    <s v="Business"/>
    <n v="75"/>
    <n v="616.99"/>
    <n v="0"/>
    <s v="On Time"/>
    <n v="46274.25"/>
    <s v="May"/>
    <n v="2025"/>
    <n v="46274.25"/>
    <s v="On Time"/>
  </r>
  <r>
    <n v="4182"/>
    <d v="2025-01-05T00:00:00"/>
    <x v="5"/>
    <x v="4"/>
    <s v="CJU"/>
    <s v="Economy"/>
    <n v="126"/>
    <n v="439.25"/>
    <n v="34"/>
    <s v="On Time"/>
    <n v="55345.5"/>
    <s v="Jan"/>
    <n v="2025"/>
    <n v="55345.5"/>
    <s v="Moderate Delay"/>
  </r>
  <r>
    <n v="4183"/>
    <d v="2025-07-27T00:00:00"/>
    <x v="2"/>
    <x v="4"/>
    <s v="CJU"/>
    <s v="Premium Economy"/>
    <n v="173"/>
    <n v="265.79000000000002"/>
    <n v="16"/>
    <s v="On Time"/>
    <n v="45981.67"/>
    <s v="Jul"/>
    <n v="2025"/>
    <n v="45981.670000000006"/>
    <s v="Minor Delay"/>
  </r>
  <r>
    <n v="4184"/>
    <d v="2025-08-26T00:00:00"/>
    <x v="3"/>
    <x v="5"/>
    <s v="KIX"/>
    <s v="Business"/>
    <n v="99"/>
    <n v="627.21"/>
    <n v="0"/>
    <s v="On Time"/>
    <n v="62093.79"/>
    <s v="Aug"/>
    <n v="2025"/>
    <n v="62093.79"/>
    <s v="On Time"/>
  </r>
  <r>
    <n v="4185"/>
    <d v="2025-07-28T00:00:00"/>
    <x v="0"/>
    <x v="8"/>
    <s v="BKK"/>
    <s v="Premium Economy"/>
    <n v="202"/>
    <n v="640.82000000000005"/>
    <n v="14"/>
    <s v="On Time"/>
    <n v="129445.64"/>
    <s v="Jul"/>
    <n v="2025"/>
    <n v="129445.64000000001"/>
    <s v="Minor Delay"/>
  </r>
  <r>
    <n v="4186"/>
    <d v="2025-06-04T00:00:00"/>
    <x v="4"/>
    <x v="8"/>
    <s v="SIN"/>
    <s v="Business"/>
    <n v="195"/>
    <n v="184.89"/>
    <n v="29"/>
    <s v="On Time"/>
    <n v="36053.550000000003"/>
    <s v="Jun"/>
    <n v="2025"/>
    <n v="36053.549999999996"/>
    <s v="Minor Delay"/>
  </r>
  <r>
    <n v="4187"/>
    <d v="2025-06-06T00:00:00"/>
    <x v="4"/>
    <x v="8"/>
    <s v="GMP"/>
    <s v="Premium Economy"/>
    <n v="258"/>
    <n v="511.3"/>
    <n v="52"/>
    <s v="On Time"/>
    <n v="131915.4"/>
    <s v="Jun"/>
    <n v="2025"/>
    <n v="131915.4"/>
    <s v="Moderate Delay"/>
  </r>
  <r>
    <n v="4188"/>
    <d v="2025-06-17T00:00:00"/>
    <x v="4"/>
    <x v="2"/>
    <s v="GMP"/>
    <s v="Premium Economy"/>
    <n v="153"/>
    <n v="290.10000000000002"/>
    <n v="16"/>
    <s v="On Time"/>
    <n v="44385.3"/>
    <s v="Jun"/>
    <n v="2025"/>
    <n v="44385.3"/>
    <s v="Minor Delay"/>
  </r>
  <r>
    <n v="4189"/>
    <d v="2025-03-20T00:00:00"/>
    <x v="3"/>
    <x v="4"/>
    <s v="ICN"/>
    <s v="Premium Economy"/>
    <n v="252"/>
    <n v="647.51"/>
    <n v="22"/>
    <s v="Delayed"/>
    <n v="163172.51999999999"/>
    <s v="Mar"/>
    <n v="2025"/>
    <n v="163172.51999999999"/>
    <s v="Minor Delay"/>
  </r>
  <r>
    <n v="4190"/>
    <d v="2025-10-29T00:00:00"/>
    <x v="2"/>
    <x v="1"/>
    <s v="NRT"/>
    <s v="Premium Economy"/>
    <n v="157"/>
    <n v="554.08000000000004"/>
    <n v="0"/>
    <s v="Delayed"/>
    <n v="86990.56"/>
    <s v="Oct"/>
    <n v="2025"/>
    <n v="86990.560000000012"/>
    <s v="On Time"/>
  </r>
  <r>
    <n v="4191"/>
    <d v="2025-12-05T00:00:00"/>
    <x v="5"/>
    <x v="0"/>
    <s v="CJU"/>
    <s v="Economy"/>
    <n v="264"/>
    <n v="162.94"/>
    <n v="22"/>
    <s v="On Time"/>
    <n v="43016.160000000003"/>
    <s v="Dec"/>
    <n v="2025"/>
    <n v="43016.159999999996"/>
    <s v="Minor Delay"/>
  </r>
  <r>
    <n v="4192"/>
    <d v="2025-07-16T00:00:00"/>
    <x v="5"/>
    <x v="7"/>
    <s v="KIX"/>
    <s v="Premium Economy"/>
    <n v="85"/>
    <n v="197.45"/>
    <n v="6"/>
    <s v="On Time"/>
    <n v="16783.25"/>
    <s v="Jul"/>
    <n v="2025"/>
    <n v="16783.25"/>
    <s v="Minor Delay"/>
  </r>
  <r>
    <n v="4193"/>
    <d v="2025-04-28T00:00:00"/>
    <x v="2"/>
    <x v="8"/>
    <s v="PUS"/>
    <s v="Business"/>
    <n v="192"/>
    <n v="632.41999999999996"/>
    <n v="43"/>
    <s v="On Time"/>
    <n v="121424.64"/>
    <s v="Apr"/>
    <n v="2025"/>
    <n v="121424.63999999998"/>
    <s v="Moderate Delay"/>
  </r>
  <r>
    <n v="4194"/>
    <d v="2025-09-09T00:00:00"/>
    <x v="4"/>
    <x v="2"/>
    <s v="MNL"/>
    <s v="Business"/>
    <n v="276"/>
    <n v="792.13"/>
    <n v="28"/>
    <s v="Delayed"/>
    <n v="218627.88"/>
    <s v="Sep"/>
    <n v="2025"/>
    <n v="218627.88"/>
    <s v="Minor Delay"/>
  </r>
  <r>
    <n v="4195"/>
    <d v="2025-01-27T00:00:00"/>
    <x v="4"/>
    <x v="8"/>
    <s v="PUS"/>
    <s v="Premium Economy"/>
    <n v="133"/>
    <n v="492.25"/>
    <n v="0"/>
    <s v="On Time"/>
    <n v="65469.25"/>
    <s v="Jan"/>
    <n v="2025"/>
    <n v="65469.25"/>
    <s v="On Time"/>
  </r>
  <r>
    <n v="4196"/>
    <d v="2025-11-30T00:00:00"/>
    <x v="3"/>
    <x v="8"/>
    <s v="BKK"/>
    <s v="Premium Economy"/>
    <n v="261"/>
    <n v="652.84"/>
    <n v="0"/>
    <s v="On Time"/>
    <n v="170391.24"/>
    <s v="Nov"/>
    <n v="2025"/>
    <n v="170391.24000000002"/>
    <s v="On Time"/>
  </r>
  <r>
    <n v="4197"/>
    <d v="2025-01-28T00:00:00"/>
    <x v="4"/>
    <x v="6"/>
    <s v="ICN"/>
    <s v="Premium Economy"/>
    <n v="67"/>
    <n v="688.8"/>
    <n v="36"/>
    <s v="On Time"/>
    <n v="46149.599999999999"/>
    <s v="Jan"/>
    <n v="2025"/>
    <n v="46149.599999999999"/>
    <s v="Moderate Delay"/>
  </r>
  <r>
    <n v="4198"/>
    <d v="2025-11-24T00:00:00"/>
    <x v="4"/>
    <x v="1"/>
    <s v="NRT"/>
    <s v="Business"/>
    <n v="117"/>
    <n v="218.98"/>
    <n v="38"/>
    <s v="On Time"/>
    <n v="25620.66"/>
    <s v="Nov"/>
    <n v="2025"/>
    <n v="25620.66"/>
    <s v="Moderate Delay"/>
  </r>
  <r>
    <n v="4199"/>
    <d v="2025-08-28T00:00:00"/>
    <x v="1"/>
    <x v="2"/>
    <s v="CJU"/>
    <s v="Premium Economy"/>
    <n v="155"/>
    <n v="139.44999999999999"/>
    <n v="42"/>
    <s v="Delayed"/>
    <n v="21614.75"/>
    <s v="Aug"/>
    <n v="2025"/>
    <n v="21614.75"/>
    <s v="Moderate Delay"/>
  </r>
  <r>
    <n v="4200"/>
    <d v="2025-01-22T00:00:00"/>
    <x v="1"/>
    <x v="4"/>
    <s v="CJU"/>
    <s v="Premium Economy"/>
    <n v="88"/>
    <n v="124.96"/>
    <n v="14"/>
    <s v="On Time"/>
    <n v="10996.48"/>
    <s v="Jan"/>
    <n v="2025"/>
    <n v="10996.48"/>
    <s v="Minor Delay"/>
  </r>
  <r>
    <n v="4201"/>
    <d v="2025-05-09T00:00:00"/>
    <x v="2"/>
    <x v="1"/>
    <s v="SIN"/>
    <s v="Business"/>
    <n v="75"/>
    <n v="700.44"/>
    <n v="32"/>
    <s v="On Time"/>
    <n v="52533"/>
    <s v="May"/>
    <n v="2025"/>
    <n v="52533.000000000007"/>
    <s v="Moderate Delay"/>
  </r>
  <r>
    <n v="4202"/>
    <d v="2025-12-10T00:00:00"/>
    <x v="3"/>
    <x v="0"/>
    <s v="BKK"/>
    <s v="Economy"/>
    <n v="255"/>
    <n v="311.85000000000002"/>
    <n v="34"/>
    <s v="On Time"/>
    <n v="79521.75"/>
    <s v="Dec"/>
    <n v="2025"/>
    <n v="79521.75"/>
    <s v="Moderate Delay"/>
  </r>
  <r>
    <n v="4203"/>
    <d v="2025-04-25T00:00:00"/>
    <x v="4"/>
    <x v="0"/>
    <s v="NRT"/>
    <s v="Business"/>
    <n v="131"/>
    <n v="96.75"/>
    <n v="36"/>
    <s v="On Time"/>
    <n v="12674.25"/>
    <s v="Apr"/>
    <n v="2025"/>
    <n v="12674.25"/>
    <s v="Moderate Delay"/>
  </r>
  <r>
    <n v="4204"/>
    <d v="2025-12-30T00:00:00"/>
    <x v="5"/>
    <x v="7"/>
    <s v="PUS"/>
    <s v="Business"/>
    <n v="272"/>
    <n v="747.56"/>
    <n v="30"/>
    <s v="Delayed"/>
    <n v="203336.32000000001"/>
    <s v="Dec"/>
    <n v="2025"/>
    <n v="203336.31999999998"/>
    <s v="Minor Delay"/>
  </r>
  <r>
    <n v="4205"/>
    <d v="2025-04-06T00:00:00"/>
    <x v="2"/>
    <x v="1"/>
    <s v="PUS"/>
    <s v="Business"/>
    <n v="201"/>
    <n v="571.96"/>
    <n v="39"/>
    <s v="On Time"/>
    <n v="114963.96"/>
    <s v="Apr"/>
    <n v="2025"/>
    <n v="114963.96"/>
    <s v="Moderate Delay"/>
  </r>
  <r>
    <n v="4206"/>
    <d v="2025-01-01T00:00:00"/>
    <x v="2"/>
    <x v="6"/>
    <s v="GMP"/>
    <s v="Economy"/>
    <n v="285"/>
    <n v="786.46"/>
    <n v="25"/>
    <s v="Delayed"/>
    <n v="224141.1"/>
    <s v="Jan"/>
    <n v="2025"/>
    <n v="224141.1"/>
    <s v="Minor Delay"/>
  </r>
  <r>
    <n v="4207"/>
    <d v="2025-01-23T00:00:00"/>
    <x v="1"/>
    <x v="0"/>
    <s v="SIN"/>
    <s v="Premium Economy"/>
    <n v="88"/>
    <n v="153.91"/>
    <n v="37"/>
    <s v="On Time"/>
    <n v="13544.08"/>
    <s v="Jan"/>
    <n v="2025"/>
    <n v="13544.08"/>
    <s v="Moderate Delay"/>
  </r>
  <r>
    <n v="4208"/>
    <d v="2025-07-05T00:00:00"/>
    <x v="5"/>
    <x v="4"/>
    <s v="MNL"/>
    <s v="Business"/>
    <n v="55"/>
    <n v="306.98"/>
    <n v="29"/>
    <s v="On Time"/>
    <n v="16883.900000000001"/>
    <s v="Jul"/>
    <n v="2025"/>
    <n v="16883.900000000001"/>
    <s v="Minor Delay"/>
  </r>
  <r>
    <n v="4209"/>
    <d v="2025-06-29T00:00:00"/>
    <x v="5"/>
    <x v="5"/>
    <s v="PUS"/>
    <s v="Business"/>
    <n v="159"/>
    <n v="130.81"/>
    <n v="35"/>
    <s v="On Time"/>
    <n v="20798.79"/>
    <s v="Jun"/>
    <n v="2025"/>
    <n v="20798.79"/>
    <s v="Moderate Delay"/>
  </r>
  <r>
    <n v="4210"/>
    <d v="2025-01-23T00:00:00"/>
    <x v="4"/>
    <x v="6"/>
    <s v="PUS"/>
    <s v="Economy"/>
    <n v="210"/>
    <n v="418.15"/>
    <n v="33"/>
    <s v="On Time"/>
    <n v="87811.5"/>
    <s v="Jan"/>
    <n v="2025"/>
    <n v="87811.5"/>
    <s v="Moderate Delay"/>
  </r>
  <r>
    <n v="4211"/>
    <d v="2025-04-24T00:00:00"/>
    <x v="1"/>
    <x v="3"/>
    <s v="GMP"/>
    <s v="Premium Economy"/>
    <n v="69"/>
    <n v="68.02"/>
    <n v="20"/>
    <s v="Delayed"/>
    <n v="4693.38"/>
    <s v="Apr"/>
    <n v="2025"/>
    <n v="4693.38"/>
    <s v="Minor Delay"/>
  </r>
  <r>
    <n v="4212"/>
    <d v="2025-10-09T00:00:00"/>
    <x v="5"/>
    <x v="0"/>
    <s v="MNL"/>
    <s v="Premium Economy"/>
    <n v="123"/>
    <n v="310.97000000000003"/>
    <n v="0"/>
    <s v="Delayed"/>
    <n v="38249.31"/>
    <s v="Oct"/>
    <n v="2025"/>
    <n v="38249.310000000005"/>
    <s v="On Time"/>
  </r>
  <r>
    <n v="4213"/>
    <d v="2025-05-25T00:00:00"/>
    <x v="2"/>
    <x v="8"/>
    <s v="GMP"/>
    <s v="Economy"/>
    <n v="297"/>
    <n v="677.44"/>
    <n v="38"/>
    <s v="On Time"/>
    <n v="201199.68"/>
    <s v="May"/>
    <n v="2025"/>
    <n v="201199.68000000002"/>
    <s v="Moderate Delay"/>
  </r>
  <r>
    <n v="4214"/>
    <d v="2025-05-08T00:00:00"/>
    <x v="1"/>
    <x v="8"/>
    <s v="NRT"/>
    <s v="Economy"/>
    <n v="155"/>
    <n v="374.49"/>
    <n v="25"/>
    <s v="On Time"/>
    <n v="58045.95"/>
    <s v="May"/>
    <n v="2025"/>
    <n v="58045.950000000004"/>
    <s v="Minor Delay"/>
  </r>
  <r>
    <n v="4215"/>
    <d v="2025-04-24T00:00:00"/>
    <x v="0"/>
    <x v="5"/>
    <s v="PUS"/>
    <s v="Premium Economy"/>
    <n v="72"/>
    <n v="729.2"/>
    <n v="42"/>
    <s v="On Time"/>
    <n v="52502.400000000001"/>
    <s v="Apr"/>
    <n v="2025"/>
    <n v="52502.400000000001"/>
    <s v="Moderate Delay"/>
  </r>
  <r>
    <n v="4216"/>
    <d v="2025-08-21T00:00:00"/>
    <x v="4"/>
    <x v="7"/>
    <s v="KIX"/>
    <s v="Premium Economy"/>
    <n v="136"/>
    <n v="170.85"/>
    <n v="15"/>
    <s v="On Time"/>
    <n v="23235.599999999999"/>
    <s v="Aug"/>
    <n v="2025"/>
    <n v="23235.599999999999"/>
    <s v="Minor Delay"/>
  </r>
  <r>
    <n v="4217"/>
    <d v="2025-12-12T00:00:00"/>
    <x v="0"/>
    <x v="7"/>
    <s v="ICN"/>
    <s v="Premium Economy"/>
    <n v="211"/>
    <n v="719.82"/>
    <n v="19"/>
    <s v="On Time"/>
    <n v="151882.01999999999"/>
    <s v="Dec"/>
    <n v="2025"/>
    <n v="151882.02000000002"/>
    <s v="Minor Delay"/>
  </r>
  <r>
    <n v="4218"/>
    <d v="2025-01-04T00:00:00"/>
    <x v="4"/>
    <x v="0"/>
    <s v="ICN"/>
    <s v="Business"/>
    <n v="266"/>
    <n v="683.06"/>
    <n v="6"/>
    <s v="On Time"/>
    <n v="181693.96"/>
    <s v="Jan"/>
    <n v="2025"/>
    <n v="181693.96"/>
    <s v="Minor Delay"/>
  </r>
  <r>
    <n v="4219"/>
    <d v="2025-01-22T00:00:00"/>
    <x v="2"/>
    <x v="1"/>
    <s v="SIN"/>
    <s v="Business"/>
    <n v="50"/>
    <n v="296.20999999999998"/>
    <n v="61"/>
    <s v="Delayed"/>
    <n v="14810.5"/>
    <s v="Jan"/>
    <n v="2025"/>
    <n v="14810.499999999998"/>
    <s v="Major Delay"/>
  </r>
  <r>
    <n v="4220"/>
    <d v="2025-07-16T00:00:00"/>
    <x v="2"/>
    <x v="0"/>
    <s v="CJU"/>
    <s v="Business"/>
    <n v="203"/>
    <n v="209.93"/>
    <n v="8"/>
    <s v="On Time"/>
    <n v="42615.79"/>
    <s v="Jul"/>
    <n v="2025"/>
    <n v="42615.79"/>
    <s v="Minor Delay"/>
  </r>
  <r>
    <n v="4221"/>
    <d v="2025-04-07T00:00:00"/>
    <x v="5"/>
    <x v="2"/>
    <s v="BKK"/>
    <s v="Economy"/>
    <n v="244"/>
    <n v="575.23"/>
    <n v="24"/>
    <s v="On Time"/>
    <n v="140356.12"/>
    <s v="Apr"/>
    <n v="2025"/>
    <n v="140356.12"/>
    <s v="Minor Delay"/>
  </r>
  <r>
    <n v="4222"/>
    <d v="2025-10-26T00:00:00"/>
    <x v="3"/>
    <x v="6"/>
    <s v="NRT"/>
    <s v="Premium Economy"/>
    <n v="297"/>
    <n v="120.61"/>
    <n v="54"/>
    <s v="Delayed"/>
    <n v="35821.17"/>
    <s v="Oct"/>
    <n v="2025"/>
    <n v="35821.17"/>
    <s v="Moderate Delay"/>
  </r>
  <r>
    <n v="4223"/>
    <d v="2025-01-29T00:00:00"/>
    <x v="2"/>
    <x v="3"/>
    <s v="SIN"/>
    <s v="Business"/>
    <n v="125"/>
    <n v="199.38"/>
    <n v="45"/>
    <s v="On Time"/>
    <n v="24922.5"/>
    <s v="Jan"/>
    <n v="2025"/>
    <n v="24922.5"/>
    <s v="Moderate Delay"/>
  </r>
  <r>
    <n v="4224"/>
    <d v="2025-04-01T00:00:00"/>
    <x v="2"/>
    <x v="7"/>
    <s v="KIX"/>
    <s v="Business"/>
    <n v="117"/>
    <n v="365.08"/>
    <n v="0"/>
    <s v="On Time"/>
    <n v="42714.36"/>
    <s v="Apr"/>
    <n v="2025"/>
    <n v="42714.36"/>
    <s v="On Time"/>
  </r>
  <r>
    <n v="4225"/>
    <d v="2025-02-26T00:00:00"/>
    <x v="5"/>
    <x v="3"/>
    <s v="BKK"/>
    <s v="Economy"/>
    <n v="86"/>
    <n v="593.35"/>
    <n v="3"/>
    <s v="On Time"/>
    <n v="51028.1"/>
    <s v="Feb"/>
    <n v="2025"/>
    <n v="51028.1"/>
    <s v="Minor Delay"/>
  </r>
  <r>
    <n v="4226"/>
    <d v="2025-12-30T00:00:00"/>
    <x v="4"/>
    <x v="0"/>
    <s v="BKK"/>
    <s v="Business"/>
    <n v="179"/>
    <n v="84.26"/>
    <n v="66"/>
    <s v="On Time"/>
    <n v="15082.54"/>
    <s v="Dec"/>
    <n v="2025"/>
    <n v="15082.54"/>
    <s v="Major Delay"/>
  </r>
  <r>
    <n v="4227"/>
    <d v="2025-04-08T00:00:00"/>
    <x v="4"/>
    <x v="5"/>
    <s v="NRT"/>
    <s v="Premium Economy"/>
    <n v="248"/>
    <n v="330.12"/>
    <n v="20"/>
    <s v="On Time"/>
    <n v="81869.759999999995"/>
    <s v="Apr"/>
    <n v="2025"/>
    <n v="81869.759999999995"/>
    <s v="Minor Delay"/>
  </r>
  <r>
    <n v="4228"/>
    <d v="2025-06-11T00:00:00"/>
    <x v="2"/>
    <x v="2"/>
    <s v="ICN"/>
    <s v="Business"/>
    <n v="247"/>
    <n v="332.55"/>
    <n v="90"/>
    <s v="On Time"/>
    <n v="82139.850000000006"/>
    <s v="Jun"/>
    <n v="2025"/>
    <n v="82139.850000000006"/>
    <s v="Major Delay"/>
  </r>
  <r>
    <n v="4229"/>
    <d v="2025-01-02T00:00:00"/>
    <x v="5"/>
    <x v="8"/>
    <s v="ICN"/>
    <s v="Business"/>
    <n v="280"/>
    <n v="268.54000000000002"/>
    <n v="0"/>
    <s v="On Time"/>
    <n v="75191.199999999997"/>
    <s v="Jan"/>
    <n v="2025"/>
    <n v="75191.200000000012"/>
    <s v="On Time"/>
  </r>
  <r>
    <n v="4230"/>
    <d v="2025-11-24T00:00:00"/>
    <x v="3"/>
    <x v="8"/>
    <s v="ICN"/>
    <s v="Economy"/>
    <n v="74"/>
    <n v="641.85"/>
    <n v="62"/>
    <s v="On Time"/>
    <n v="47496.9"/>
    <s v="Nov"/>
    <n v="2025"/>
    <n v="47496.9"/>
    <s v="Major Delay"/>
  </r>
  <r>
    <n v="4231"/>
    <d v="2025-02-01T00:00:00"/>
    <x v="1"/>
    <x v="4"/>
    <s v="SIN"/>
    <s v="Economy"/>
    <n v="137"/>
    <n v="580.79"/>
    <n v="30"/>
    <s v="Delayed"/>
    <n v="79568.23"/>
    <s v="Feb"/>
    <n v="2025"/>
    <n v="79568.23"/>
    <s v="Minor Delay"/>
  </r>
  <r>
    <n v="4232"/>
    <d v="2025-11-18T00:00:00"/>
    <x v="5"/>
    <x v="2"/>
    <s v="NRT"/>
    <s v="Business"/>
    <n v="170"/>
    <n v="128.47999999999999"/>
    <n v="9"/>
    <s v="On Time"/>
    <n v="21841.599999999999"/>
    <s v="Nov"/>
    <n v="2025"/>
    <n v="21841.599999999999"/>
    <s v="Minor Delay"/>
  </r>
  <r>
    <n v="4233"/>
    <d v="2025-07-14T00:00:00"/>
    <x v="5"/>
    <x v="6"/>
    <s v="KIX"/>
    <s v="Economy"/>
    <n v="166"/>
    <n v="340.16"/>
    <n v="13"/>
    <s v="On Time"/>
    <n v="56466.559999999998"/>
    <s v="Jul"/>
    <n v="2025"/>
    <n v="56466.560000000005"/>
    <s v="Minor Delay"/>
  </r>
  <r>
    <n v="4234"/>
    <d v="2025-12-19T00:00:00"/>
    <x v="5"/>
    <x v="8"/>
    <s v="PUS"/>
    <s v="Economy"/>
    <n v="57"/>
    <n v="624.97"/>
    <n v="22"/>
    <s v="On Time"/>
    <n v="35623.29"/>
    <s v="Dec"/>
    <n v="2025"/>
    <n v="35623.29"/>
    <s v="Minor Delay"/>
  </r>
  <r>
    <n v="4235"/>
    <d v="2025-07-05T00:00:00"/>
    <x v="5"/>
    <x v="5"/>
    <s v="BKK"/>
    <s v="Economy"/>
    <n v="248"/>
    <n v="340.03"/>
    <n v="21"/>
    <s v="On Time"/>
    <n v="84327.44"/>
    <s v="Jul"/>
    <n v="2025"/>
    <n v="84327.439999999988"/>
    <s v="Minor Delay"/>
  </r>
  <r>
    <n v="4236"/>
    <d v="2025-10-29T00:00:00"/>
    <x v="0"/>
    <x v="0"/>
    <s v="SIN"/>
    <s v="Premium Economy"/>
    <n v="123"/>
    <n v="536.25"/>
    <n v="3"/>
    <s v="On Time"/>
    <n v="65958.75"/>
    <s v="Oct"/>
    <n v="2025"/>
    <n v="65958.75"/>
    <s v="Minor Delay"/>
  </r>
  <r>
    <n v="4237"/>
    <d v="2025-01-23T00:00:00"/>
    <x v="2"/>
    <x v="4"/>
    <s v="KIX"/>
    <s v="Premium Economy"/>
    <n v="230"/>
    <n v="590.86"/>
    <n v="0"/>
    <s v="Delayed"/>
    <n v="135897.79999999999"/>
    <s v="Jan"/>
    <n v="2025"/>
    <n v="135897.80000000002"/>
    <s v="On Time"/>
  </r>
  <r>
    <n v="4238"/>
    <d v="2025-10-20T00:00:00"/>
    <x v="0"/>
    <x v="7"/>
    <s v="BKK"/>
    <s v="Premium Economy"/>
    <n v="169"/>
    <n v="75.88"/>
    <n v="0"/>
    <s v="On Time"/>
    <n v="12823.72"/>
    <s v="Oct"/>
    <n v="2025"/>
    <n v="12823.72"/>
    <s v="On Time"/>
  </r>
  <r>
    <n v="4239"/>
    <d v="2025-01-04T00:00:00"/>
    <x v="5"/>
    <x v="1"/>
    <s v="KIX"/>
    <s v="Premium Economy"/>
    <n v="150"/>
    <n v="193.15"/>
    <n v="50"/>
    <s v="On Time"/>
    <n v="28972.5"/>
    <s v="Jan"/>
    <n v="2025"/>
    <n v="28972.5"/>
    <s v="Moderate Delay"/>
  </r>
  <r>
    <n v="4240"/>
    <d v="2025-12-01T00:00:00"/>
    <x v="3"/>
    <x v="1"/>
    <s v="CJU"/>
    <s v="Economy"/>
    <n v="165"/>
    <n v="141.88999999999999"/>
    <n v="22"/>
    <s v="On Time"/>
    <n v="23411.85"/>
    <s v="Dec"/>
    <n v="2025"/>
    <n v="23411.85"/>
    <s v="Minor Delay"/>
  </r>
  <r>
    <n v="4241"/>
    <d v="2025-01-14T00:00:00"/>
    <x v="0"/>
    <x v="7"/>
    <s v="MNL"/>
    <s v="Business"/>
    <n v="218"/>
    <n v="343.44"/>
    <n v="15"/>
    <s v="On Time"/>
    <n v="74869.919999999998"/>
    <s v="Jan"/>
    <n v="2025"/>
    <n v="74869.919999999998"/>
    <s v="Minor Delay"/>
  </r>
  <r>
    <n v="4242"/>
    <d v="2025-03-02T00:00:00"/>
    <x v="1"/>
    <x v="1"/>
    <s v="ICN"/>
    <s v="Business"/>
    <n v="276"/>
    <n v="755.08"/>
    <n v="0"/>
    <s v="On Time"/>
    <n v="208402.08"/>
    <s v="Mar"/>
    <n v="2025"/>
    <n v="208402.08000000002"/>
    <s v="On Time"/>
  </r>
  <r>
    <n v="4243"/>
    <d v="2025-10-29T00:00:00"/>
    <x v="4"/>
    <x v="5"/>
    <s v="CJU"/>
    <s v="Business"/>
    <n v="50"/>
    <n v="662.79"/>
    <n v="45"/>
    <s v="On Time"/>
    <n v="33139.5"/>
    <s v="Oct"/>
    <n v="2025"/>
    <n v="33139.5"/>
    <s v="Moderate Delay"/>
  </r>
  <r>
    <n v="4244"/>
    <d v="2025-09-13T00:00:00"/>
    <x v="3"/>
    <x v="2"/>
    <s v="CJU"/>
    <s v="Premium Economy"/>
    <n v="220"/>
    <n v="184.39"/>
    <n v="31"/>
    <s v="On Time"/>
    <n v="40565.800000000003"/>
    <s v="Sep"/>
    <n v="2025"/>
    <n v="40565.799999999996"/>
    <s v="Moderate Delay"/>
  </r>
  <r>
    <n v="4245"/>
    <d v="2025-08-27T00:00:00"/>
    <x v="2"/>
    <x v="6"/>
    <s v="MNL"/>
    <s v="Premium Economy"/>
    <n v="250"/>
    <n v="96.82"/>
    <n v="14"/>
    <s v="On Time"/>
    <n v="24205"/>
    <s v="Aug"/>
    <n v="2025"/>
    <n v="24205"/>
    <s v="Minor Delay"/>
  </r>
  <r>
    <n v="4246"/>
    <d v="2025-02-21T00:00:00"/>
    <x v="1"/>
    <x v="1"/>
    <s v="CJU"/>
    <s v="Business"/>
    <n v="135"/>
    <n v="375.83"/>
    <n v="52"/>
    <s v="On Time"/>
    <n v="50737.05"/>
    <s v="Feb"/>
    <n v="2025"/>
    <n v="50737.049999999996"/>
    <s v="Moderate Delay"/>
  </r>
  <r>
    <n v="4247"/>
    <d v="2025-08-11T00:00:00"/>
    <x v="1"/>
    <x v="1"/>
    <s v="NRT"/>
    <s v="Premium Economy"/>
    <n v="165"/>
    <n v="209.69"/>
    <n v="6"/>
    <s v="On Time"/>
    <n v="34598.85"/>
    <s v="Aug"/>
    <n v="2025"/>
    <n v="34598.85"/>
    <s v="Minor Delay"/>
  </r>
  <r>
    <n v="4248"/>
    <d v="2025-03-18T00:00:00"/>
    <x v="1"/>
    <x v="0"/>
    <s v="PUS"/>
    <s v="Premium Economy"/>
    <n v="271"/>
    <n v="663.81"/>
    <n v="50"/>
    <s v="Delayed"/>
    <n v="179892.51"/>
    <s v="Mar"/>
    <n v="2025"/>
    <n v="179892.50999999998"/>
    <s v="Moderate Delay"/>
  </r>
  <r>
    <n v="4249"/>
    <d v="2025-07-25T00:00:00"/>
    <x v="0"/>
    <x v="2"/>
    <s v="BKK"/>
    <s v="Business"/>
    <n v="263"/>
    <n v="481.01"/>
    <n v="18"/>
    <s v="On Time"/>
    <n v="126505.63"/>
    <s v="Jul"/>
    <n v="2025"/>
    <n v="126505.63"/>
    <s v="Minor Delay"/>
  </r>
  <r>
    <n v="4250"/>
    <d v="2025-06-30T00:00:00"/>
    <x v="1"/>
    <x v="6"/>
    <s v="CJU"/>
    <s v="Economy"/>
    <n v="176"/>
    <n v="324.12"/>
    <n v="0"/>
    <s v="On Time"/>
    <n v="57045.120000000003"/>
    <s v="Jun"/>
    <n v="2025"/>
    <n v="57045.120000000003"/>
    <s v="On Time"/>
  </r>
  <r>
    <n v="4251"/>
    <d v="2025-11-24T00:00:00"/>
    <x v="2"/>
    <x v="4"/>
    <s v="MNL"/>
    <s v="Economy"/>
    <n v="142"/>
    <n v="460.59"/>
    <n v="0"/>
    <s v="On Time"/>
    <n v="65403.78"/>
    <s v="Nov"/>
    <n v="2025"/>
    <n v="65403.78"/>
    <s v="On Time"/>
  </r>
  <r>
    <n v="4252"/>
    <d v="2025-09-18T00:00:00"/>
    <x v="2"/>
    <x v="8"/>
    <s v="NRT"/>
    <s v="Premium Economy"/>
    <n v="177"/>
    <n v="393.83"/>
    <n v="7"/>
    <s v="On Time"/>
    <n v="69707.91"/>
    <s v="Sep"/>
    <n v="2025"/>
    <n v="69707.91"/>
    <s v="Minor Delay"/>
  </r>
  <r>
    <n v="4253"/>
    <d v="2025-04-21T00:00:00"/>
    <x v="5"/>
    <x v="3"/>
    <s v="NRT"/>
    <s v="Economy"/>
    <n v="145"/>
    <n v="346.11"/>
    <n v="0"/>
    <s v="On Time"/>
    <n v="50185.95"/>
    <s v="Apr"/>
    <n v="2025"/>
    <n v="50185.950000000004"/>
    <s v="On Time"/>
  </r>
  <r>
    <n v="4254"/>
    <d v="2025-01-19T00:00:00"/>
    <x v="1"/>
    <x v="3"/>
    <s v="CJU"/>
    <s v="Business"/>
    <n v="101"/>
    <n v="105.57"/>
    <n v="6"/>
    <s v="On Time"/>
    <n v="10662.57"/>
    <s v="Jan"/>
    <n v="2025"/>
    <n v="10662.57"/>
    <s v="Minor Delay"/>
  </r>
  <r>
    <n v="4255"/>
    <d v="2025-11-24T00:00:00"/>
    <x v="5"/>
    <x v="4"/>
    <s v="MNL"/>
    <s v="Economy"/>
    <n v="88"/>
    <n v="342.33"/>
    <n v="0"/>
    <s v="On Time"/>
    <n v="30125.040000000001"/>
    <s v="Nov"/>
    <n v="2025"/>
    <n v="30125.039999999997"/>
    <s v="On Time"/>
  </r>
  <r>
    <n v="4256"/>
    <d v="2025-07-09T00:00:00"/>
    <x v="0"/>
    <x v="2"/>
    <s v="NRT"/>
    <s v="Business"/>
    <n v="59"/>
    <n v="217.54"/>
    <n v="21"/>
    <s v="On Time"/>
    <n v="12834.86"/>
    <s v="Jul"/>
    <n v="2025"/>
    <n v="12834.859999999999"/>
    <s v="Minor Delay"/>
  </r>
  <r>
    <n v="4257"/>
    <d v="2025-10-13T00:00:00"/>
    <x v="0"/>
    <x v="6"/>
    <s v="MNL"/>
    <s v="Economy"/>
    <n v="132"/>
    <n v="534.63"/>
    <n v="0"/>
    <s v="On Time"/>
    <n v="70571.16"/>
    <s v="Oct"/>
    <n v="2025"/>
    <n v="70571.16"/>
    <s v="On Time"/>
  </r>
  <r>
    <n v="4258"/>
    <d v="2025-04-29T00:00:00"/>
    <x v="0"/>
    <x v="8"/>
    <s v="KIX"/>
    <s v="Premium Economy"/>
    <n v="265"/>
    <n v="305.3"/>
    <n v="14"/>
    <s v="On Time"/>
    <n v="80904.5"/>
    <s v="Apr"/>
    <n v="2025"/>
    <n v="80904.5"/>
    <s v="Minor Delay"/>
  </r>
  <r>
    <n v="4259"/>
    <d v="2025-03-11T00:00:00"/>
    <x v="5"/>
    <x v="7"/>
    <s v="ICN"/>
    <s v="Business"/>
    <n v="120"/>
    <n v="633.91"/>
    <n v="38"/>
    <s v="On Time"/>
    <n v="76069.2"/>
    <s v="Mar"/>
    <n v="2025"/>
    <n v="76069.2"/>
    <s v="Moderate Delay"/>
  </r>
  <r>
    <n v="4260"/>
    <d v="2025-10-13T00:00:00"/>
    <x v="0"/>
    <x v="0"/>
    <s v="PUS"/>
    <s v="Premium Economy"/>
    <n v="201"/>
    <n v="692.33"/>
    <n v="14"/>
    <s v="On Time"/>
    <n v="139158.32999999999"/>
    <s v="Oct"/>
    <n v="2025"/>
    <n v="139158.33000000002"/>
    <s v="Minor Delay"/>
  </r>
  <r>
    <n v="4261"/>
    <d v="2025-03-04T00:00:00"/>
    <x v="2"/>
    <x v="4"/>
    <s v="BKK"/>
    <s v="Economy"/>
    <n v="196"/>
    <n v="780.43"/>
    <n v="24"/>
    <s v="On Time"/>
    <n v="152964.28"/>
    <s v="Mar"/>
    <n v="2025"/>
    <n v="152964.28"/>
    <s v="Minor Delay"/>
  </r>
  <r>
    <n v="4262"/>
    <d v="2025-09-19T00:00:00"/>
    <x v="2"/>
    <x v="8"/>
    <s v="SIN"/>
    <s v="Premium Economy"/>
    <n v="281"/>
    <n v="750.2"/>
    <n v="7"/>
    <s v="On Time"/>
    <n v="210806.2"/>
    <s v="Sep"/>
    <n v="2025"/>
    <n v="210806.2"/>
    <s v="Minor Delay"/>
  </r>
  <r>
    <n v="4263"/>
    <d v="2025-07-11T00:00:00"/>
    <x v="3"/>
    <x v="4"/>
    <s v="SIN"/>
    <s v="Business"/>
    <n v="64"/>
    <n v="294.04000000000002"/>
    <n v="57"/>
    <s v="On Time"/>
    <n v="18818.560000000001"/>
    <s v="Jul"/>
    <n v="2025"/>
    <n v="18818.560000000001"/>
    <s v="Moderate Delay"/>
  </r>
  <r>
    <n v="4264"/>
    <d v="2025-08-23T00:00:00"/>
    <x v="4"/>
    <x v="8"/>
    <s v="GMP"/>
    <s v="Economy"/>
    <n v="68"/>
    <n v="736.82"/>
    <n v="11"/>
    <s v="On Time"/>
    <n v="50103.76"/>
    <s v="Aug"/>
    <n v="2025"/>
    <n v="50103.76"/>
    <s v="Minor Delay"/>
  </r>
  <r>
    <n v="4265"/>
    <d v="2025-11-25T00:00:00"/>
    <x v="4"/>
    <x v="2"/>
    <s v="KIX"/>
    <s v="Economy"/>
    <n v="139"/>
    <n v="243.25"/>
    <n v="28"/>
    <s v="On Time"/>
    <n v="33811.75"/>
    <s v="Nov"/>
    <n v="2025"/>
    <n v="33811.75"/>
    <s v="Minor Delay"/>
  </r>
  <r>
    <n v="4266"/>
    <d v="2025-01-17T00:00:00"/>
    <x v="5"/>
    <x v="8"/>
    <s v="KIX"/>
    <s v="Economy"/>
    <n v="280"/>
    <n v="776.83"/>
    <n v="15"/>
    <s v="On Time"/>
    <n v="217512.4"/>
    <s v="Jan"/>
    <n v="2025"/>
    <n v="217512.40000000002"/>
    <s v="Minor Delay"/>
  </r>
  <r>
    <n v="4267"/>
    <d v="2025-04-07T00:00:00"/>
    <x v="2"/>
    <x v="4"/>
    <s v="ICN"/>
    <s v="Business"/>
    <n v="229"/>
    <n v="692.44"/>
    <n v="0"/>
    <s v="On Time"/>
    <n v="158568.76"/>
    <s v="Apr"/>
    <n v="2025"/>
    <n v="158568.76"/>
    <s v="On Time"/>
  </r>
  <r>
    <n v="4268"/>
    <d v="2025-04-13T00:00:00"/>
    <x v="5"/>
    <x v="4"/>
    <s v="PUS"/>
    <s v="Economy"/>
    <n v="154"/>
    <n v="456.52"/>
    <n v="27"/>
    <s v="Delayed"/>
    <n v="70304.08"/>
    <s v="Apr"/>
    <n v="2025"/>
    <n v="70304.08"/>
    <s v="Minor Delay"/>
  </r>
  <r>
    <n v="4269"/>
    <d v="2025-09-24T00:00:00"/>
    <x v="5"/>
    <x v="8"/>
    <s v="ICN"/>
    <s v="Premium Economy"/>
    <n v="133"/>
    <n v="72.260000000000005"/>
    <n v="2"/>
    <s v="On Time"/>
    <n v="9610.58"/>
    <s v="Sep"/>
    <n v="2025"/>
    <n v="9610.58"/>
    <s v="Minor Delay"/>
  </r>
  <r>
    <n v="4270"/>
    <d v="2025-02-24T00:00:00"/>
    <x v="1"/>
    <x v="4"/>
    <s v="KIX"/>
    <s v="Business"/>
    <n v="67"/>
    <n v="71.569999999999993"/>
    <n v="11"/>
    <s v="On Time"/>
    <n v="4795.1899999999996"/>
    <s v="Feb"/>
    <n v="2025"/>
    <n v="4795.1899999999996"/>
    <s v="Minor Delay"/>
  </r>
  <r>
    <n v="4271"/>
    <d v="2025-05-14T00:00:00"/>
    <x v="5"/>
    <x v="8"/>
    <s v="SIN"/>
    <s v="Economy"/>
    <n v="139"/>
    <n v="266.02"/>
    <n v="9"/>
    <s v="Delayed"/>
    <n v="36976.78"/>
    <s v="May"/>
    <n v="2025"/>
    <n v="36976.78"/>
    <s v="Minor Delay"/>
  </r>
  <r>
    <n v="4272"/>
    <d v="2025-09-16T00:00:00"/>
    <x v="5"/>
    <x v="0"/>
    <s v="CJU"/>
    <s v="Business"/>
    <n v="207"/>
    <n v="367.59"/>
    <n v="13"/>
    <s v="Delayed"/>
    <n v="76091.13"/>
    <s v="Sep"/>
    <n v="2025"/>
    <n v="76091.12999999999"/>
    <s v="Minor Delay"/>
  </r>
  <r>
    <n v="4273"/>
    <d v="2025-03-21T00:00:00"/>
    <x v="3"/>
    <x v="0"/>
    <s v="NRT"/>
    <s v="Business"/>
    <n v="112"/>
    <n v="333.59"/>
    <n v="41"/>
    <s v="On Time"/>
    <n v="37362.080000000002"/>
    <s v="Mar"/>
    <n v="2025"/>
    <n v="37362.079999999994"/>
    <s v="Moderate Delay"/>
  </r>
  <r>
    <n v="4274"/>
    <d v="2025-02-21T00:00:00"/>
    <x v="1"/>
    <x v="6"/>
    <s v="GMP"/>
    <s v="Premium Economy"/>
    <n v="233"/>
    <n v="429.62"/>
    <n v="16"/>
    <s v="Delayed"/>
    <n v="100101.46"/>
    <s v="Feb"/>
    <n v="2025"/>
    <n v="100101.46"/>
    <s v="Minor Delay"/>
  </r>
  <r>
    <n v="4275"/>
    <d v="2025-07-09T00:00:00"/>
    <x v="2"/>
    <x v="4"/>
    <s v="SIN"/>
    <s v="Economy"/>
    <n v="214"/>
    <n v="128.46"/>
    <n v="45"/>
    <s v="Delayed"/>
    <n v="27490.44"/>
    <s v="Jul"/>
    <n v="2025"/>
    <n v="27490.440000000002"/>
    <s v="Moderate Delay"/>
  </r>
  <r>
    <n v="4276"/>
    <d v="2025-04-06T00:00:00"/>
    <x v="4"/>
    <x v="7"/>
    <s v="MNL"/>
    <s v="Premium Economy"/>
    <n v="282"/>
    <n v="299.27"/>
    <n v="16"/>
    <s v="On Time"/>
    <n v="84394.14"/>
    <s v="Apr"/>
    <n v="2025"/>
    <n v="84394.14"/>
    <s v="Minor Delay"/>
  </r>
  <r>
    <n v="4277"/>
    <d v="2025-04-02T00:00:00"/>
    <x v="1"/>
    <x v="7"/>
    <s v="ICN"/>
    <s v="Economy"/>
    <n v="137"/>
    <n v="584.70000000000005"/>
    <n v="29"/>
    <s v="On Time"/>
    <n v="80103.899999999994"/>
    <s v="Apr"/>
    <n v="2025"/>
    <n v="80103.900000000009"/>
    <s v="Minor Delay"/>
  </r>
  <r>
    <n v="4278"/>
    <d v="2025-10-19T00:00:00"/>
    <x v="4"/>
    <x v="7"/>
    <s v="NRT"/>
    <s v="Economy"/>
    <n v="175"/>
    <n v="679.03"/>
    <n v="0"/>
    <s v="On Time"/>
    <n v="118830.25"/>
    <s v="Oct"/>
    <n v="2025"/>
    <n v="118830.25"/>
    <s v="On Time"/>
  </r>
  <r>
    <n v="4279"/>
    <d v="2025-12-08T00:00:00"/>
    <x v="4"/>
    <x v="8"/>
    <s v="PUS"/>
    <s v="Economy"/>
    <n v="120"/>
    <n v="344.84"/>
    <n v="67"/>
    <s v="Delayed"/>
    <n v="41380.800000000003"/>
    <s v="Dec"/>
    <n v="2025"/>
    <n v="41380.799999999996"/>
    <s v="Major Delay"/>
  </r>
  <r>
    <n v="4280"/>
    <d v="2025-08-30T00:00:00"/>
    <x v="3"/>
    <x v="3"/>
    <s v="NRT"/>
    <s v="Economy"/>
    <n v="234"/>
    <n v="549.87"/>
    <n v="0"/>
    <s v="On Time"/>
    <n v="128669.58"/>
    <s v="Aug"/>
    <n v="2025"/>
    <n v="128669.58"/>
    <s v="On Time"/>
  </r>
  <r>
    <n v="4281"/>
    <d v="2025-01-27T00:00:00"/>
    <x v="2"/>
    <x v="2"/>
    <s v="GMP"/>
    <s v="Business"/>
    <n v="248"/>
    <n v="324.52999999999997"/>
    <n v="2"/>
    <s v="On Time"/>
    <n v="80483.44"/>
    <s v="Jan"/>
    <n v="2025"/>
    <n v="80483.439999999988"/>
    <s v="Minor Delay"/>
  </r>
  <r>
    <n v="4282"/>
    <d v="2025-01-01T00:00:00"/>
    <x v="0"/>
    <x v="0"/>
    <s v="PUS"/>
    <s v="Economy"/>
    <n v="124"/>
    <n v="528.5"/>
    <n v="34"/>
    <s v="On Time"/>
    <n v="65534"/>
    <s v="Jan"/>
    <n v="2025"/>
    <n v="65534"/>
    <s v="Moderate Delay"/>
  </r>
  <r>
    <n v="4283"/>
    <d v="2025-07-16T00:00:00"/>
    <x v="5"/>
    <x v="1"/>
    <s v="GMP"/>
    <s v="Economy"/>
    <n v="281"/>
    <n v="509.46"/>
    <n v="0"/>
    <s v="On Time"/>
    <n v="143158.26"/>
    <s v="Jul"/>
    <n v="2025"/>
    <n v="143158.25999999998"/>
    <s v="On Time"/>
  </r>
  <r>
    <n v="4284"/>
    <d v="2025-03-04T00:00:00"/>
    <x v="0"/>
    <x v="3"/>
    <s v="NRT"/>
    <s v="Economy"/>
    <n v="222"/>
    <n v="205.82"/>
    <n v="34"/>
    <s v="On Time"/>
    <n v="45692.04"/>
    <s v="Mar"/>
    <n v="2025"/>
    <n v="45692.04"/>
    <s v="Moderate Delay"/>
  </r>
  <r>
    <n v="4285"/>
    <d v="2025-09-23T00:00:00"/>
    <x v="4"/>
    <x v="5"/>
    <s v="PUS"/>
    <s v="Business"/>
    <n v="254"/>
    <n v="741.56"/>
    <n v="7"/>
    <s v="On Time"/>
    <n v="188356.24"/>
    <s v="Sep"/>
    <n v="2025"/>
    <n v="188356.24"/>
    <s v="Minor Delay"/>
  </r>
  <r>
    <n v="4286"/>
    <d v="2025-08-13T00:00:00"/>
    <x v="3"/>
    <x v="3"/>
    <s v="GMP"/>
    <s v="Business"/>
    <n v="75"/>
    <n v="553.57000000000005"/>
    <n v="43"/>
    <s v="On Time"/>
    <n v="41517.75"/>
    <s v="Aug"/>
    <n v="2025"/>
    <n v="41517.750000000007"/>
    <s v="Moderate Delay"/>
  </r>
  <r>
    <n v="4287"/>
    <d v="2025-10-17T00:00:00"/>
    <x v="1"/>
    <x v="6"/>
    <s v="CJU"/>
    <s v="Business"/>
    <n v="134"/>
    <n v="191.48"/>
    <n v="30"/>
    <s v="On Time"/>
    <n v="25658.32"/>
    <s v="Oct"/>
    <n v="2025"/>
    <n v="25658.32"/>
    <s v="Minor Delay"/>
  </r>
  <r>
    <n v="4288"/>
    <d v="2025-11-30T00:00:00"/>
    <x v="4"/>
    <x v="0"/>
    <s v="CJU"/>
    <s v="Economy"/>
    <n v="196"/>
    <n v="491.34"/>
    <n v="0"/>
    <s v="On Time"/>
    <n v="96302.64"/>
    <s v="Nov"/>
    <n v="2025"/>
    <n v="96302.64"/>
    <s v="On Time"/>
  </r>
  <r>
    <n v="4289"/>
    <d v="2025-05-29T00:00:00"/>
    <x v="1"/>
    <x v="6"/>
    <s v="GMP"/>
    <s v="Premium Economy"/>
    <n v="51"/>
    <n v="615.79999999999995"/>
    <n v="26"/>
    <s v="On Time"/>
    <n v="31405.8"/>
    <s v="May"/>
    <n v="2025"/>
    <n v="31405.8"/>
    <s v="Minor Delay"/>
  </r>
  <r>
    <n v="4290"/>
    <d v="2025-10-25T00:00:00"/>
    <x v="1"/>
    <x v="1"/>
    <s v="PUS"/>
    <s v="Premium Economy"/>
    <n v="268"/>
    <n v="184.62"/>
    <n v="49"/>
    <s v="On Time"/>
    <n v="49478.16"/>
    <s v="Oct"/>
    <n v="2025"/>
    <n v="49478.16"/>
    <s v="Moderate Delay"/>
  </r>
  <r>
    <n v="4291"/>
    <d v="2025-03-25T00:00:00"/>
    <x v="3"/>
    <x v="5"/>
    <s v="CJU"/>
    <s v="Economy"/>
    <n v="77"/>
    <n v="393.17"/>
    <n v="31"/>
    <s v="On Time"/>
    <n v="30274.09"/>
    <s v="Mar"/>
    <n v="2025"/>
    <n v="30274.09"/>
    <s v="Moderate Delay"/>
  </r>
  <r>
    <n v="4292"/>
    <d v="2025-12-26T00:00:00"/>
    <x v="4"/>
    <x v="6"/>
    <s v="NRT"/>
    <s v="Premium Economy"/>
    <n v="208"/>
    <n v="784.97"/>
    <n v="10"/>
    <s v="On Time"/>
    <n v="163273.76"/>
    <s v="Dec"/>
    <n v="2025"/>
    <n v="163273.76"/>
    <s v="Minor Delay"/>
  </r>
  <r>
    <n v="4293"/>
    <d v="2025-07-26T00:00:00"/>
    <x v="4"/>
    <x v="6"/>
    <s v="BKK"/>
    <s v="Business"/>
    <n v="126"/>
    <n v="462.38"/>
    <n v="14"/>
    <s v="On Time"/>
    <n v="58259.88"/>
    <s v="Jul"/>
    <n v="2025"/>
    <n v="58259.88"/>
    <s v="Minor Delay"/>
  </r>
  <r>
    <n v="4294"/>
    <d v="2025-12-05T00:00:00"/>
    <x v="2"/>
    <x v="0"/>
    <s v="NRT"/>
    <s v="Premium Economy"/>
    <n v="277"/>
    <n v="554.34"/>
    <n v="6"/>
    <s v="Delayed"/>
    <n v="153552.18"/>
    <s v="Dec"/>
    <n v="2025"/>
    <n v="153552.18000000002"/>
    <s v="Minor Delay"/>
  </r>
  <r>
    <n v="4295"/>
    <d v="2025-06-09T00:00:00"/>
    <x v="4"/>
    <x v="0"/>
    <s v="MNL"/>
    <s v="Business"/>
    <n v="213"/>
    <n v="486.77"/>
    <n v="85"/>
    <s v="On Time"/>
    <n v="103682.01"/>
    <s v="Jun"/>
    <n v="2025"/>
    <n v="103682.01"/>
    <s v="Major Delay"/>
  </r>
  <r>
    <n v="4296"/>
    <d v="2025-10-14T00:00:00"/>
    <x v="3"/>
    <x v="7"/>
    <s v="GMP"/>
    <s v="Economy"/>
    <n v="278"/>
    <n v="130.38"/>
    <n v="18"/>
    <s v="On Time"/>
    <n v="36245.64"/>
    <s v="Oct"/>
    <n v="2025"/>
    <n v="36245.64"/>
    <s v="Minor Delay"/>
  </r>
  <r>
    <n v="4297"/>
    <d v="2025-03-12T00:00:00"/>
    <x v="0"/>
    <x v="6"/>
    <s v="KIX"/>
    <s v="Economy"/>
    <n v="141"/>
    <n v="357.96"/>
    <n v="50"/>
    <s v="Delayed"/>
    <n v="50472.36"/>
    <s v="Mar"/>
    <n v="2025"/>
    <n v="50472.36"/>
    <s v="Moderate Delay"/>
  </r>
  <r>
    <n v="4298"/>
    <d v="2025-04-04T00:00:00"/>
    <x v="5"/>
    <x v="2"/>
    <s v="KIX"/>
    <s v="Premium Economy"/>
    <n v="289"/>
    <n v="589.29999999999995"/>
    <n v="0"/>
    <s v="On Time"/>
    <n v="170307.7"/>
    <s v="Apr"/>
    <n v="2025"/>
    <n v="170307.69999999998"/>
    <s v="On Time"/>
  </r>
  <r>
    <n v="4299"/>
    <d v="2025-05-09T00:00:00"/>
    <x v="2"/>
    <x v="7"/>
    <s v="PUS"/>
    <s v="Economy"/>
    <n v="291"/>
    <n v="350.87"/>
    <n v="37"/>
    <s v="Cancelled"/>
    <n v="102103.17"/>
    <s v="May"/>
    <n v="2025"/>
    <n v="102103.17"/>
    <s v="Moderate Delay"/>
  </r>
  <r>
    <n v="4300"/>
    <d v="2025-03-13T00:00:00"/>
    <x v="4"/>
    <x v="7"/>
    <s v="ICN"/>
    <s v="Economy"/>
    <n v="289"/>
    <n v="677.92"/>
    <n v="0"/>
    <s v="On Time"/>
    <n v="195918.88"/>
    <s v="Mar"/>
    <n v="2025"/>
    <n v="195918.87999999998"/>
    <s v="On Time"/>
  </r>
  <r>
    <n v="4301"/>
    <d v="2025-05-04T00:00:00"/>
    <x v="5"/>
    <x v="4"/>
    <s v="CJU"/>
    <s v="Premium Economy"/>
    <n v="162"/>
    <n v="651.88"/>
    <n v="31"/>
    <s v="On Time"/>
    <n v="105604.56"/>
    <s v="May"/>
    <n v="2025"/>
    <n v="105604.56"/>
    <s v="Moderate Delay"/>
  </r>
  <r>
    <n v="4302"/>
    <d v="2025-11-30T00:00:00"/>
    <x v="3"/>
    <x v="7"/>
    <s v="NRT"/>
    <s v="Business"/>
    <n v="219"/>
    <n v="496.63"/>
    <n v="0"/>
    <s v="On Time"/>
    <n v="108761.97"/>
    <s v="Nov"/>
    <n v="2025"/>
    <n v="108761.97"/>
    <s v="On Time"/>
  </r>
  <r>
    <n v="4303"/>
    <d v="2025-08-29T00:00:00"/>
    <x v="4"/>
    <x v="1"/>
    <s v="MNL"/>
    <s v="Economy"/>
    <n v="298"/>
    <n v="458.92"/>
    <n v="55"/>
    <s v="On Time"/>
    <n v="136758.16"/>
    <s v="Aug"/>
    <n v="2025"/>
    <n v="136758.16"/>
    <s v="Moderate Delay"/>
  </r>
  <r>
    <n v="4304"/>
    <d v="2025-01-21T00:00:00"/>
    <x v="2"/>
    <x v="7"/>
    <s v="GMP"/>
    <s v="Business"/>
    <n v="136"/>
    <n v="192.07"/>
    <n v="0"/>
    <s v="On Time"/>
    <n v="26121.52"/>
    <s v="Jan"/>
    <n v="2025"/>
    <n v="26121.52"/>
    <s v="On Time"/>
  </r>
  <r>
    <n v="4305"/>
    <d v="2025-05-04T00:00:00"/>
    <x v="0"/>
    <x v="5"/>
    <s v="GMP"/>
    <s v="Business"/>
    <n v="59"/>
    <n v="713.03"/>
    <n v="13"/>
    <s v="On Time"/>
    <n v="42068.77"/>
    <s v="May"/>
    <n v="2025"/>
    <n v="42068.77"/>
    <s v="Minor Delay"/>
  </r>
  <r>
    <n v="4306"/>
    <d v="2025-05-26T00:00:00"/>
    <x v="2"/>
    <x v="8"/>
    <s v="CJU"/>
    <s v="Economy"/>
    <n v="138"/>
    <n v="264.62"/>
    <n v="27"/>
    <s v="On Time"/>
    <n v="36517.56"/>
    <s v="May"/>
    <n v="2025"/>
    <n v="36517.56"/>
    <s v="Minor Delay"/>
  </r>
  <r>
    <n v="4307"/>
    <d v="2025-08-12T00:00:00"/>
    <x v="3"/>
    <x v="4"/>
    <s v="GMP"/>
    <s v="Business"/>
    <n v="186"/>
    <n v="498.53"/>
    <n v="24"/>
    <s v="Cancelled"/>
    <n v="92726.58"/>
    <s v="Aug"/>
    <n v="2025"/>
    <n v="92726.58"/>
    <s v="Minor Delay"/>
  </r>
  <r>
    <n v="4308"/>
    <d v="2025-10-25T00:00:00"/>
    <x v="5"/>
    <x v="1"/>
    <s v="PUS"/>
    <s v="Premium Economy"/>
    <n v="229"/>
    <n v="197.11"/>
    <n v="35"/>
    <s v="On Time"/>
    <n v="45138.19"/>
    <s v="Oct"/>
    <n v="2025"/>
    <n v="45138.19"/>
    <s v="Moderate Delay"/>
  </r>
  <r>
    <n v="4309"/>
    <d v="2025-09-19T00:00:00"/>
    <x v="5"/>
    <x v="0"/>
    <s v="PUS"/>
    <s v="Economy"/>
    <n v="282"/>
    <n v="342.18"/>
    <n v="33"/>
    <s v="On Time"/>
    <n v="96494.76"/>
    <s v="Sep"/>
    <n v="2025"/>
    <n v="96494.76"/>
    <s v="Moderate Delay"/>
  </r>
  <r>
    <n v="4310"/>
    <d v="2025-09-22T00:00:00"/>
    <x v="1"/>
    <x v="8"/>
    <s v="BKK"/>
    <s v="Premium Economy"/>
    <n v="276"/>
    <n v="788.01"/>
    <n v="54"/>
    <s v="Delayed"/>
    <n v="217490.76"/>
    <s v="Sep"/>
    <n v="2025"/>
    <n v="217490.76"/>
    <s v="Moderate Delay"/>
  </r>
  <r>
    <n v="4311"/>
    <d v="2025-11-30T00:00:00"/>
    <x v="0"/>
    <x v="4"/>
    <s v="CJU"/>
    <s v="Premium Economy"/>
    <n v="281"/>
    <n v="736.42"/>
    <n v="22"/>
    <s v="On Time"/>
    <n v="206934.02"/>
    <s v="Nov"/>
    <n v="2025"/>
    <n v="206934.02"/>
    <s v="Minor Delay"/>
  </r>
  <r>
    <n v="4312"/>
    <d v="2025-02-06T00:00:00"/>
    <x v="1"/>
    <x v="3"/>
    <s v="PUS"/>
    <s v="Business"/>
    <n v="159"/>
    <n v="564.45000000000005"/>
    <n v="2"/>
    <s v="On Time"/>
    <n v="89747.55"/>
    <s v="Feb"/>
    <n v="2025"/>
    <n v="89747.55"/>
    <s v="Minor Delay"/>
  </r>
  <r>
    <n v="4313"/>
    <d v="2025-06-13T00:00:00"/>
    <x v="0"/>
    <x v="0"/>
    <s v="NRT"/>
    <s v="Premium Economy"/>
    <n v="231"/>
    <n v="406.01"/>
    <n v="22"/>
    <s v="On Time"/>
    <n v="93788.31"/>
    <s v="Jun"/>
    <n v="2025"/>
    <n v="93788.31"/>
    <s v="Minor Delay"/>
  </r>
  <r>
    <n v="4314"/>
    <d v="2025-09-03T00:00:00"/>
    <x v="4"/>
    <x v="5"/>
    <s v="SIN"/>
    <s v="Economy"/>
    <n v="235"/>
    <n v="473.36"/>
    <n v="21"/>
    <s v="Delayed"/>
    <n v="111239.6"/>
    <s v="Sep"/>
    <n v="2025"/>
    <n v="111239.6"/>
    <s v="Minor Delay"/>
  </r>
  <r>
    <n v="4315"/>
    <d v="2025-12-04T00:00:00"/>
    <x v="5"/>
    <x v="4"/>
    <s v="KIX"/>
    <s v="Business"/>
    <n v="206"/>
    <n v="646.35"/>
    <n v="0"/>
    <s v="On Time"/>
    <n v="133148.1"/>
    <s v="Dec"/>
    <n v="2025"/>
    <n v="133148.1"/>
    <s v="On Time"/>
  </r>
  <r>
    <n v="4316"/>
    <d v="2025-12-27T00:00:00"/>
    <x v="2"/>
    <x v="6"/>
    <s v="BKK"/>
    <s v="Economy"/>
    <n v="246"/>
    <n v="112.31"/>
    <n v="45"/>
    <s v="On Time"/>
    <n v="27628.26"/>
    <s v="Dec"/>
    <n v="2025"/>
    <n v="27628.260000000002"/>
    <s v="Moderate Delay"/>
  </r>
  <r>
    <n v="4317"/>
    <d v="2025-10-24T00:00:00"/>
    <x v="4"/>
    <x v="5"/>
    <s v="BKK"/>
    <s v="Economy"/>
    <n v="206"/>
    <n v="638.04999999999995"/>
    <n v="19"/>
    <s v="On Time"/>
    <n v="131438.29999999999"/>
    <s v="Oct"/>
    <n v="2025"/>
    <n v="131438.29999999999"/>
    <s v="Minor Delay"/>
  </r>
  <r>
    <n v="4318"/>
    <d v="2025-07-09T00:00:00"/>
    <x v="5"/>
    <x v="7"/>
    <s v="PUS"/>
    <s v="Premium Economy"/>
    <n v="136"/>
    <n v="134.61000000000001"/>
    <n v="40"/>
    <s v="Delayed"/>
    <n v="18306.96"/>
    <s v="Jul"/>
    <n v="2025"/>
    <n v="18306.960000000003"/>
    <s v="Moderate Delay"/>
  </r>
  <r>
    <n v="4319"/>
    <d v="2025-06-17T00:00:00"/>
    <x v="5"/>
    <x v="2"/>
    <s v="ICN"/>
    <s v="Economy"/>
    <n v="139"/>
    <n v="277.67"/>
    <n v="5"/>
    <s v="On Time"/>
    <n v="38596.129999999997"/>
    <s v="Jun"/>
    <n v="2025"/>
    <n v="38596.130000000005"/>
    <s v="Minor Delay"/>
  </r>
  <r>
    <n v="4320"/>
    <d v="2025-01-14T00:00:00"/>
    <x v="5"/>
    <x v="0"/>
    <s v="CJU"/>
    <s v="Premium Economy"/>
    <n v="177"/>
    <n v="288.38"/>
    <n v="11"/>
    <s v="On Time"/>
    <n v="51043.26"/>
    <s v="Jan"/>
    <n v="2025"/>
    <n v="51043.26"/>
    <s v="Minor Delay"/>
  </r>
  <r>
    <n v="4321"/>
    <d v="2025-04-28T00:00:00"/>
    <x v="2"/>
    <x v="2"/>
    <s v="MNL"/>
    <s v="Premium Economy"/>
    <n v="237"/>
    <n v="508"/>
    <n v="41"/>
    <s v="On Time"/>
    <n v="120396"/>
    <s v="Apr"/>
    <n v="2025"/>
    <n v="120396"/>
    <s v="Moderate Delay"/>
  </r>
  <r>
    <n v="4322"/>
    <d v="2025-05-02T00:00:00"/>
    <x v="2"/>
    <x v="0"/>
    <s v="SIN"/>
    <s v="Economy"/>
    <n v="86"/>
    <n v="235.57"/>
    <n v="12"/>
    <s v="On Time"/>
    <n v="20259.02"/>
    <s v="May"/>
    <n v="2025"/>
    <n v="20259.02"/>
    <s v="Minor Delay"/>
  </r>
  <r>
    <n v="4323"/>
    <d v="2025-01-21T00:00:00"/>
    <x v="3"/>
    <x v="8"/>
    <s v="SIN"/>
    <s v="Economy"/>
    <n v="276"/>
    <n v="767.32"/>
    <n v="12"/>
    <s v="Delayed"/>
    <n v="211780.32"/>
    <s v="Jan"/>
    <n v="2025"/>
    <n v="211780.32"/>
    <s v="Minor Delay"/>
  </r>
  <r>
    <n v="4324"/>
    <d v="2025-09-22T00:00:00"/>
    <x v="1"/>
    <x v="0"/>
    <s v="PUS"/>
    <s v="Premium Economy"/>
    <n v="66"/>
    <n v="716.26"/>
    <n v="4"/>
    <s v="Delayed"/>
    <n v="47273.16"/>
    <s v="Sep"/>
    <n v="2025"/>
    <n v="47273.159999999996"/>
    <s v="Minor Delay"/>
  </r>
  <r>
    <n v="4325"/>
    <d v="2025-06-07T00:00:00"/>
    <x v="3"/>
    <x v="2"/>
    <s v="BKK"/>
    <s v="Premium Economy"/>
    <n v="239"/>
    <n v="564.66999999999996"/>
    <n v="19"/>
    <s v="Delayed"/>
    <n v="134956.13"/>
    <s v="Jun"/>
    <n v="2025"/>
    <n v="134956.13"/>
    <s v="Minor Delay"/>
  </r>
  <r>
    <n v="4326"/>
    <d v="2025-03-24T00:00:00"/>
    <x v="2"/>
    <x v="0"/>
    <s v="CJU"/>
    <s v="Business"/>
    <n v="131"/>
    <n v="761.51"/>
    <n v="0"/>
    <s v="On Time"/>
    <n v="99757.81"/>
    <s v="Mar"/>
    <n v="2025"/>
    <n v="99757.81"/>
    <s v="On Time"/>
  </r>
  <r>
    <n v="4327"/>
    <d v="2025-02-06T00:00:00"/>
    <x v="1"/>
    <x v="8"/>
    <s v="PUS"/>
    <s v="Premium Economy"/>
    <n v="205"/>
    <n v="682.53"/>
    <n v="40"/>
    <s v="On Time"/>
    <n v="139918.65"/>
    <s v="Feb"/>
    <n v="2025"/>
    <n v="139918.65"/>
    <s v="Moderate Delay"/>
  </r>
  <r>
    <n v="4328"/>
    <d v="2025-03-24T00:00:00"/>
    <x v="0"/>
    <x v="5"/>
    <s v="MNL"/>
    <s v="Economy"/>
    <n v="259"/>
    <n v="379.67"/>
    <n v="93"/>
    <s v="On Time"/>
    <n v="98334.53"/>
    <s v="Mar"/>
    <n v="2025"/>
    <n v="98334.53"/>
    <s v="Major Delay"/>
  </r>
  <r>
    <n v="4329"/>
    <d v="2025-01-14T00:00:00"/>
    <x v="0"/>
    <x v="4"/>
    <s v="ICN"/>
    <s v="Business"/>
    <n v="74"/>
    <n v="436.98"/>
    <n v="58"/>
    <s v="On Time"/>
    <n v="32336.52"/>
    <s v="Jan"/>
    <n v="2025"/>
    <n v="32336.52"/>
    <s v="Moderate Delay"/>
  </r>
  <r>
    <n v="4330"/>
    <d v="2025-12-13T00:00:00"/>
    <x v="1"/>
    <x v="3"/>
    <s v="GMP"/>
    <s v="Economy"/>
    <n v="83"/>
    <n v="110.11"/>
    <n v="24"/>
    <s v="On Time"/>
    <n v="9139.1299999999992"/>
    <s v="Dec"/>
    <n v="2025"/>
    <n v="9139.1299999999992"/>
    <s v="Minor Delay"/>
  </r>
  <r>
    <n v="4331"/>
    <d v="2025-01-13T00:00:00"/>
    <x v="5"/>
    <x v="0"/>
    <s v="KIX"/>
    <s v="Economy"/>
    <n v="164"/>
    <n v="93.7"/>
    <n v="0"/>
    <s v="On Time"/>
    <n v="15366.8"/>
    <s v="Jan"/>
    <n v="2025"/>
    <n v="15366.800000000001"/>
    <s v="On Time"/>
  </r>
  <r>
    <n v="4332"/>
    <d v="2025-09-30T00:00:00"/>
    <x v="2"/>
    <x v="6"/>
    <s v="MNL"/>
    <s v="Business"/>
    <n v="252"/>
    <n v="527.92999999999995"/>
    <n v="12"/>
    <s v="On Time"/>
    <n v="133038.35999999999"/>
    <s v="Sep"/>
    <n v="2025"/>
    <n v="133038.35999999999"/>
    <s v="Minor Delay"/>
  </r>
  <r>
    <n v="4333"/>
    <d v="2025-10-18T00:00:00"/>
    <x v="5"/>
    <x v="0"/>
    <s v="KIX"/>
    <s v="Business"/>
    <n v="172"/>
    <n v="697.79"/>
    <n v="30"/>
    <s v="On Time"/>
    <n v="120019.88"/>
    <s v="Oct"/>
    <n v="2025"/>
    <n v="120019.87999999999"/>
    <s v="Minor Delay"/>
  </r>
  <r>
    <n v="4334"/>
    <d v="2025-04-07T00:00:00"/>
    <x v="3"/>
    <x v="5"/>
    <s v="KIX"/>
    <s v="Premium Economy"/>
    <n v="220"/>
    <n v="426.73"/>
    <n v="6"/>
    <s v="On Time"/>
    <n v="93880.6"/>
    <s v="Apr"/>
    <n v="2025"/>
    <n v="93880.6"/>
    <s v="Minor Delay"/>
  </r>
  <r>
    <n v="4335"/>
    <d v="2025-06-06T00:00:00"/>
    <x v="0"/>
    <x v="2"/>
    <s v="KIX"/>
    <s v="Economy"/>
    <n v="61"/>
    <n v="364.41"/>
    <n v="26"/>
    <s v="On Time"/>
    <n v="22229.01"/>
    <s v="Jun"/>
    <n v="2025"/>
    <n v="22229.010000000002"/>
    <s v="Minor Delay"/>
  </r>
  <r>
    <n v="4336"/>
    <d v="2025-02-03T00:00:00"/>
    <x v="1"/>
    <x v="1"/>
    <s v="ICN"/>
    <s v="Business"/>
    <n v="124"/>
    <n v="141.79"/>
    <n v="23"/>
    <s v="On Time"/>
    <n v="17581.96"/>
    <s v="Feb"/>
    <n v="2025"/>
    <n v="17581.96"/>
    <s v="Minor Delay"/>
  </r>
  <r>
    <n v="4337"/>
    <d v="2025-06-20T00:00:00"/>
    <x v="3"/>
    <x v="3"/>
    <s v="BKK"/>
    <s v="Premium Economy"/>
    <n v="196"/>
    <n v="284.56"/>
    <n v="47"/>
    <s v="Delayed"/>
    <n v="55773.760000000002"/>
    <s v="Jun"/>
    <n v="2025"/>
    <n v="55773.760000000002"/>
    <s v="Moderate Delay"/>
  </r>
  <r>
    <n v="4338"/>
    <d v="2025-12-14T00:00:00"/>
    <x v="0"/>
    <x v="7"/>
    <s v="PUS"/>
    <s v="Business"/>
    <n v="295"/>
    <n v="324.43"/>
    <n v="28"/>
    <s v="On Time"/>
    <n v="95706.85"/>
    <s v="Dec"/>
    <n v="2025"/>
    <n v="95706.85"/>
    <s v="Minor Delay"/>
  </r>
  <r>
    <n v="4339"/>
    <d v="2025-12-03T00:00:00"/>
    <x v="1"/>
    <x v="8"/>
    <s v="CJU"/>
    <s v="Premium Economy"/>
    <n v="146"/>
    <n v="648.23"/>
    <n v="46"/>
    <s v="On Time"/>
    <n v="94641.58"/>
    <s v="Dec"/>
    <n v="2025"/>
    <n v="94641.58"/>
    <s v="Moderate Delay"/>
  </r>
  <r>
    <n v="4340"/>
    <d v="2025-10-11T00:00:00"/>
    <x v="2"/>
    <x v="6"/>
    <s v="MNL"/>
    <s v="Premium Economy"/>
    <n v="158"/>
    <n v="412.33"/>
    <n v="34"/>
    <s v="On Time"/>
    <n v="65148.14"/>
    <s v="Oct"/>
    <n v="2025"/>
    <n v="65148.14"/>
    <s v="Moderate Delay"/>
  </r>
  <r>
    <n v="4341"/>
    <d v="2025-04-22T00:00:00"/>
    <x v="5"/>
    <x v="3"/>
    <s v="GMP"/>
    <s v="Premium Economy"/>
    <n v="168"/>
    <n v="545.65"/>
    <n v="31"/>
    <s v="On Time"/>
    <n v="91669.2"/>
    <s v="Apr"/>
    <n v="2025"/>
    <n v="91669.2"/>
    <s v="Moderate Delay"/>
  </r>
  <r>
    <n v="4342"/>
    <d v="2025-11-11T00:00:00"/>
    <x v="2"/>
    <x v="6"/>
    <s v="PUS"/>
    <s v="Business"/>
    <n v="212"/>
    <n v="651.91"/>
    <n v="32"/>
    <s v="On Time"/>
    <n v="138204.92000000001"/>
    <s v="Nov"/>
    <n v="2025"/>
    <n v="138204.91999999998"/>
    <s v="Moderate Delay"/>
  </r>
  <r>
    <n v="4343"/>
    <d v="2025-04-26T00:00:00"/>
    <x v="1"/>
    <x v="6"/>
    <s v="MNL"/>
    <s v="Premium Economy"/>
    <n v="142"/>
    <n v="146.51"/>
    <n v="19"/>
    <s v="On Time"/>
    <n v="20804.419999999998"/>
    <s v="Apr"/>
    <n v="2025"/>
    <n v="20804.419999999998"/>
    <s v="Minor Delay"/>
  </r>
  <r>
    <n v="4344"/>
    <d v="2025-11-27T00:00:00"/>
    <x v="3"/>
    <x v="6"/>
    <s v="GMP"/>
    <s v="Premium Economy"/>
    <n v="262"/>
    <n v="595.9"/>
    <n v="42"/>
    <s v="On Time"/>
    <n v="156125.79999999999"/>
    <s v="Nov"/>
    <n v="2025"/>
    <n v="156125.79999999999"/>
    <s v="Moderate Delay"/>
  </r>
  <r>
    <n v="4345"/>
    <d v="2025-09-13T00:00:00"/>
    <x v="5"/>
    <x v="6"/>
    <s v="ICN"/>
    <s v="Business"/>
    <n v="153"/>
    <n v="636.36"/>
    <n v="19"/>
    <s v="On Time"/>
    <n v="97363.08"/>
    <s v="Sep"/>
    <n v="2025"/>
    <n v="97363.08"/>
    <s v="Minor Delay"/>
  </r>
  <r>
    <n v="4346"/>
    <d v="2025-09-06T00:00:00"/>
    <x v="4"/>
    <x v="0"/>
    <s v="BKK"/>
    <s v="Business"/>
    <n v="134"/>
    <n v="518.66"/>
    <n v="12"/>
    <s v="Delayed"/>
    <n v="69500.44"/>
    <s v="Sep"/>
    <n v="2025"/>
    <n v="69500.44"/>
    <s v="Minor Delay"/>
  </r>
  <r>
    <n v="4347"/>
    <d v="2025-05-03T00:00:00"/>
    <x v="3"/>
    <x v="0"/>
    <s v="BKK"/>
    <s v="Premium Economy"/>
    <n v="234"/>
    <n v="163.75"/>
    <n v="6"/>
    <s v="On Time"/>
    <n v="38317.5"/>
    <s v="May"/>
    <n v="2025"/>
    <n v="38317.5"/>
    <s v="Minor Delay"/>
  </r>
  <r>
    <n v="4348"/>
    <d v="2025-10-26T00:00:00"/>
    <x v="0"/>
    <x v="2"/>
    <s v="NRT"/>
    <s v="Premium Economy"/>
    <n v="70"/>
    <n v="558.96"/>
    <n v="35"/>
    <s v="On Time"/>
    <n v="39127.199999999997"/>
    <s v="Oct"/>
    <n v="2025"/>
    <n v="39127.200000000004"/>
    <s v="Moderate Delay"/>
  </r>
  <r>
    <n v="4349"/>
    <d v="2025-04-27T00:00:00"/>
    <x v="5"/>
    <x v="5"/>
    <s v="MNL"/>
    <s v="Premium Economy"/>
    <n v="266"/>
    <n v="371.15"/>
    <n v="6"/>
    <s v="On Time"/>
    <n v="98725.9"/>
    <s v="Apr"/>
    <n v="2025"/>
    <n v="98725.9"/>
    <s v="Minor Delay"/>
  </r>
  <r>
    <n v="4350"/>
    <d v="2025-07-01T00:00:00"/>
    <x v="0"/>
    <x v="8"/>
    <s v="GMP"/>
    <s v="Premium Economy"/>
    <n v="193"/>
    <n v="545.98"/>
    <n v="23"/>
    <s v="On Time"/>
    <n v="105374.14"/>
    <s v="Jul"/>
    <n v="2025"/>
    <n v="105374.14"/>
    <s v="Minor Delay"/>
  </r>
  <r>
    <n v="4351"/>
    <d v="2025-12-16T00:00:00"/>
    <x v="3"/>
    <x v="3"/>
    <s v="BKK"/>
    <s v="Premium Economy"/>
    <n v="234"/>
    <n v="309.07"/>
    <n v="24"/>
    <s v="On Time"/>
    <n v="72322.38"/>
    <s v="Dec"/>
    <n v="2025"/>
    <n v="72322.38"/>
    <s v="Minor Delay"/>
  </r>
  <r>
    <n v="4352"/>
    <d v="2025-09-22T00:00:00"/>
    <x v="3"/>
    <x v="5"/>
    <s v="SIN"/>
    <s v="Business"/>
    <n v="223"/>
    <n v="365.75"/>
    <n v="41"/>
    <s v="On Time"/>
    <n v="81562.25"/>
    <s v="Sep"/>
    <n v="2025"/>
    <n v="81562.25"/>
    <s v="Moderate Delay"/>
  </r>
  <r>
    <n v="4353"/>
    <d v="2025-11-26T00:00:00"/>
    <x v="3"/>
    <x v="6"/>
    <s v="CJU"/>
    <s v="Business"/>
    <n v="84"/>
    <n v="781.47"/>
    <n v="32"/>
    <s v="On Time"/>
    <n v="65643.48"/>
    <s v="Nov"/>
    <n v="2025"/>
    <n v="65643.48"/>
    <s v="Moderate Delay"/>
  </r>
  <r>
    <n v="4354"/>
    <d v="2025-03-13T00:00:00"/>
    <x v="3"/>
    <x v="5"/>
    <s v="SIN"/>
    <s v="Business"/>
    <n v="52"/>
    <n v="744.92"/>
    <n v="0"/>
    <s v="On Time"/>
    <n v="38735.839999999997"/>
    <s v="Mar"/>
    <n v="2025"/>
    <n v="38735.839999999997"/>
    <s v="On Time"/>
  </r>
  <r>
    <n v="4355"/>
    <d v="2025-02-04T00:00:00"/>
    <x v="1"/>
    <x v="4"/>
    <s v="SIN"/>
    <s v="Economy"/>
    <n v="125"/>
    <n v="357.87"/>
    <n v="10"/>
    <s v="On Time"/>
    <n v="44733.75"/>
    <s v="Feb"/>
    <n v="2025"/>
    <n v="44733.75"/>
    <s v="Minor Delay"/>
  </r>
  <r>
    <n v="4356"/>
    <d v="2025-02-18T00:00:00"/>
    <x v="1"/>
    <x v="5"/>
    <s v="KIX"/>
    <s v="Business"/>
    <n v="129"/>
    <n v="468.44"/>
    <n v="0"/>
    <s v="On Time"/>
    <n v="60428.76"/>
    <s v="Feb"/>
    <n v="2025"/>
    <n v="60428.76"/>
    <s v="On Time"/>
  </r>
  <r>
    <n v="4357"/>
    <d v="2025-05-12T00:00:00"/>
    <x v="4"/>
    <x v="0"/>
    <s v="MNL"/>
    <s v="Economy"/>
    <n v="295"/>
    <n v="380.72"/>
    <n v="22"/>
    <s v="Delayed"/>
    <n v="112312.4"/>
    <s v="May"/>
    <n v="2025"/>
    <n v="112312.40000000001"/>
    <s v="Minor Delay"/>
  </r>
  <r>
    <n v="4358"/>
    <d v="2025-12-23T00:00:00"/>
    <x v="4"/>
    <x v="8"/>
    <s v="ICN"/>
    <s v="Business"/>
    <n v="190"/>
    <n v="366.68"/>
    <n v="0"/>
    <s v="On Time"/>
    <n v="69669.2"/>
    <s v="Dec"/>
    <n v="2025"/>
    <n v="69669.2"/>
    <s v="On Time"/>
  </r>
  <r>
    <n v="4359"/>
    <d v="2025-09-15T00:00:00"/>
    <x v="2"/>
    <x v="5"/>
    <s v="CJU"/>
    <s v="Premium Economy"/>
    <n v="249"/>
    <n v="70.2"/>
    <n v="21"/>
    <s v="On Time"/>
    <n v="17479.8"/>
    <s v="Sep"/>
    <n v="2025"/>
    <n v="17479.8"/>
    <s v="Minor Delay"/>
  </r>
  <r>
    <n v="4360"/>
    <d v="2025-04-25T00:00:00"/>
    <x v="1"/>
    <x v="4"/>
    <s v="KIX"/>
    <s v="Premium Economy"/>
    <n v="112"/>
    <n v="159.61000000000001"/>
    <n v="42"/>
    <s v="Delayed"/>
    <n v="17876.32"/>
    <s v="Apr"/>
    <n v="2025"/>
    <n v="17876.32"/>
    <s v="Moderate Delay"/>
  </r>
  <r>
    <n v="4361"/>
    <d v="2025-12-03T00:00:00"/>
    <x v="4"/>
    <x v="1"/>
    <s v="SIN"/>
    <s v="Business"/>
    <n v="257"/>
    <n v="660.05"/>
    <n v="36"/>
    <s v="On Time"/>
    <n v="169632.85"/>
    <s v="Dec"/>
    <n v="2025"/>
    <n v="169632.84999999998"/>
    <s v="Moderate Delay"/>
  </r>
  <r>
    <n v="4362"/>
    <d v="2025-09-20T00:00:00"/>
    <x v="1"/>
    <x v="4"/>
    <s v="PUS"/>
    <s v="Premium Economy"/>
    <n v="163"/>
    <n v="522"/>
    <n v="26"/>
    <s v="Delayed"/>
    <n v="85086"/>
    <s v="Sep"/>
    <n v="2025"/>
    <n v="85086"/>
    <s v="Minor Delay"/>
  </r>
  <r>
    <n v="4363"/>
    <d v="2025-05-14T00:00:00"/>
    <x v="2"/>
    <x v="6"/>
    <s v="CJU"/>
    <s v="Business"/>
    <n v="91"/>
    <n v="269.89"/>
    <n v="68"/>
    <s v="On Time"/>
    <n v="24559.99"/>
    <s v="May"/>
    <n v="2025"/>
    <n v="24559.989999999998"/>
    <s v="Major Delay"/>
  </r>
  <r>
    <n v="4364"/>
    <d v="2025-02-17T00:00:00"/>
    <x v="5"/>
    <x v="2"/>
    <s v="ICN"/>
    <s v="Premium Economy"/>
    <n v="246"/>
    <n v="783.42"/>
    <n v="26"/>
    <s v="On Time"/>
    <n v="192721.32"/>
    <s v="Feb"/>
    <n v="2025"/>
    <n v="192721.31999999998"/>
    <s v="Minor Delay"/>
  </r>
  <r>
    <n v="4365"/>
    <d v="2025-05-16T00:00:00"/>
    <x v="4"/>
    <x v="2"/>
    <s v="GMP"/>
    <s v="Business"/>
    <n v="147"/>
    <n v="663.54"/>
    <n v="56"/>
    <s v="On Time"/>
    <n v="97540.38"/>
    <s v="May"/>
    <n v="2025"/>
    <n v="97540.37999999999"/>
    <s v="Moderate Delay"/>
  </r>
  <r>
    <n v="4366"/>
    <d v="2025-09-01T00:00:00"/>
    <x v="1"/>
    <x v="3"/>
    <s v="GMP"/>
    <s v="Economy"/>
    <n v="112"/>
    <n v="260.70999999999998"/>
    <n v="45"/>
    <s v="Delayed"/>
    <n v="29199.52"/>
    <s v="Sep"/>
    <n v="2025"/>
    <n v="29199.519999999997"/>
    <s v="Moderate Delay"/>
  </r>
  <r>
    <n v="4367"/>
    <d v="2025-04-12T00:00:00"/>
    <x v="3"/>
    <x v="8"/>
    <s v="NRT"/>
    <s v="Economy"/>
    <n v="140"/>
    <n v="717.34"/>
    <n v="29"/>
    <s v="On Time"/>
    <n v="100427.6"/>
    <s v="Apr"/>
    <n v="2025"/>
    <n v="100427.6"/>
    <s v="Minor Delay"/>
  </r>
  <r>
    <n v="4368"/>
    <d v="2025-07-14T00:00:00"/>
    <x v="0"/>
    <x v="3"/>
    <s v="PUS"/>
    <s v="Premium Economy"/>
    <n v="73"/>
    <n v="707.75"/>
    <n v="0"/>
    <s v="On Time"/>
    <n v="51665.75"/>
    <s v="Jul"/>
    <n v="2025"/>
    <n v="51665.75"/>
    <s v="On Time"/>
  </r>
  <r>
    <n v="4369"/>
    <d v="2025-02-07T00:00:00"/>
    <x v="4"/>
    <x v="2"/>
    <s v="GMP"/>
    <s v="Premium Economy"/>
    <n v="77"/>
    <n v="531.37"/>
    <n v="55"/>
    <s v="Delayed"/>
    <n v="40915.49"/>
    <s v="Feb"/>
    <n v="2025"/>
    <n v="40915.49"/>
    <s v="Moderate Delay"/>
  </r>
  <r>
    <n v="4370"/>
    <d v="2025-07-14T00:00:00"/>
    <x v="1"/>
    <x v="7"/>
    <s v="ICN"/>
    <s v="Premium Economy"/>
    <n v="76"/>
    <n v="243.41"/>
    <n v="51"/>
    <s v="On Time"/>
    <n v="18499.16"/>
    <s v="Jul"/>
    <n v="2025"/>
    <n v="18499.16"/>
    <s v="Moderate Delay"/>
  </r>
  <r>
    <n v="4371"/>
    <d v="2025-01-17T00:00:00"/>
    <x v="4"/>
    <x v="2"/>
    <s v="ICN"/>
    <s v="Economy"/>
    <n v="95"/>
    <n v="115.79"/>
    <n v="11"/>
    <s v="On Time"/>
    <n v="11000.05"/>
    <s v="Jan"/>
    <n v="2025"/>
    <n v="11000.050000000001"/>
    <s v="Minor Delay"/>
  </r>
  <r>
    <n v="4372"/>
    <d v="2025-12-01T00:00:00"/>
    <x v="0"/>
    <x v="1"/>
    <s v="SIN"/>
    <s v="Business"/>
    <n v="243"/>
    <n v="330.5"/>
    <n v="2"/>
    <s v="On Time"/>
    <n v="80311.5"/>
    <s v="Dec"/>
    <n v="2025"/>
    <n v="80311.5"/>
    <s v="Minor Delay"/>
  </r>
  <r>
    <n v="4373"/>
    <d v="2025-06-11T00:00:00"/>
    <x v="2"/>
    <x v="4"/>
    <s v="CJU"/>
    <s v="Economy"/>
    <n v="81"/>
    <n v="676.06"/>
    <n v="49"/>
    <s v="On Time"/>
    <n v="54760.86"/>
    <s v="Jun"/>
    <n v="2025"/>
    <n v="54760.859999999993"/>
    <s v="Moderate Delay"/>
  </r>
  <r>
    <n v="4374"/>
    <d v="2025-03-14T00:00:00"/>
    <x v="2"/>
    <x v="4"/>
    <s v="KIX"/>
    <s v="Business"/>
    <n v="71"/>
    <n v="455.11"/>
    <n v="43"/>
    <s v="Delayed"/>
    <n v="32312.81"/>
    <s v="Mar"/>
    <n v="2025"/>
    <n v="32312.81"/>
    <s v="Moderate Delay"/>
  </r>
  <r>
    <n v="4375"/>
    <d v="2025-04-18T00:00:00"/>
    <x v="2"/>
    <x v="3"/>
    <s v="BKK"/>
    <s v="Premium Economy"/>
    <n v="187"/>
    <n v="778.71"/>
    <n v="9"/>
    <s v="On Time"/>
    <n v="145618.76999999999"/>
    <s v="Apr"/>
    <n v="2025"/>
    <n v="145618.77000000002"/>
    <s v="Minor Delay"/>
  </r>
  <r>
    <n v="4376"/>
    <d v="2025-10-01T00:00:00"/>
    <x v="1"/>
    <x v="3"/>
    <s v="ICN"/>
    <s v="Premium Economy"/>
    <n v="267"/>
    <n v="512.91"/>
    <n v="27"/>
    <s v="Delayed"/>
    <n v="136946.97"/>
    <s v="Oct"/>
    <n v="2025"/>
    <n v="136946.97"/>
    <s v="Minor Delay"/>
  </r>
  <r>
    <n v="4377"/>
    <d v="2025-04-04T00:00:00"/>
    <x v="0"/>
    <x v="4"/>
    <s v="ICN"/>
    <s v="Economy"/>
    <n v="99"/>
    <n v="317.02999999999997"/>
    <n v="7"/>
    <s v="On Time"/>
    <n v="31385.97"/>
    <s v="Apr"/>
    <n v="2025"/>
    <n v="31385.969999999998"/>
    <s v="Minor Delay"/>
  </r>
  <r>
    <n v="4378"/>
    <d v="2025-12-09T00:00:00"/>
    <x v="3"/>
    <x v="5"/>
    <s v="NRT"/>
    <s v="Business"/>
    <n v="135"/>
    <n v="708.16"/>
    <n v="33"/>
    <s v="On Time"/>
    <n v="95601.600000000006"/>
    <s v="Dec"/>
    <n v="2025"/>
    <n v="95601.599999999991"/>
    <s v="Moderate Delay"/>
  </r>
  <r>
    <n v="4379"/>
    <d v="2025-06-22T00:00:00"/>
    <x v="1"/>
    <x v="6"/>
    <s v="ICN"/>
    <s v="Premium Economy"/>
    <n v="130"/>
    <n v="93.72"/>
    <n v="0"/>
    <s v="On Time"/>
    <n v="12183.6"/>
    <s v="Jun"/>
    <n v="2025"/>
    <n v="12183.6"/>
    <s v="On Time"/>
  </r>
  <r>
    <n v="4380"/>
    <d v="2025-07-04T00:00:00"/>
    <x v="4"/>
    <x v="8"/>
    <s v="PUS"/>
    <s v="Premium Economy"/>
    <n v="283"/>
    <n v="157.32"/>
    <n v="20"/>
    <s v="On Time"/>
    <n v="44521.56"/>
    <s v="Jul"/>
    <n v="2025"/>
    <n v="44521.56"/>
    <s v="Minor Delay"/>
  </r>
  <r>
    <n v="4381"/>
    <d v="2025-09-08T00:00:00"/>
    <x v="2"/>
    <x v="8"/>
    <s v="SIN"/>
    <s v="Premium Economy"/>
    <n v="123"/>
    <n v="636.16999999999996"/>
    <n v="16"/>
    <s v="On Time"/>
    <n v="78248.91"/>
    <s v="Sep"/>
    <n v="2025"/>
    <n v="78248.909999999989"/>
    <s v="Minor Delay"/>
  </r>
  <r>
    <n v="4382"/>
    <d v="2025-06-06T00:00:00"/>
    <x v="2"/>
    <x v="2"/>
    <s v="ICN"/>
    <s v="Premium Economy"/>
    <n v="256"/>
    <n v="99.12"/>
    <n v="44"/>
    <s v="On Time"/>
    <n v="25374.720000000001"/>
    <s v="Jun"/>
    <n v="2025"/>
    <n v="25374.720000000001"/>
    <s v="Moderate Delay"/>
  </r>
  <r>
    <n v="4383"/>
    <d v="2025-07-19T00:00:00"/>
    <x v="4"/>
    <x v="1"/>
    <s v="CJU"/>
    <s v="Business"/>
    <n v="161"/>
    <n v="153.16999999999999"/>
    <n v="18"/>
    <s v="Delayed"/>
    <n v="24660.37"/>
    <s v="Jul"/>
    <n v="2025"/>
    <n v="24660.37"/>
    <s v="Minor Delay"/>
  </r>
  <r>
    <n v="4384"/>
    <d v="2025-08-25T00:00:00"/>
    <x v="5"/>
    <x v="2"/>
    <s v="SIN"/>
    <s v="Economy"/>
    <n v="251"/>
    <n v="715.62"/>
    <n v="0"/>
    <s v="Cancelled"/>
    <n v="179620.62"/>
    <s v="Aug"/>
    <n v="2025"/>
    <n v="179620.62"/>
    <s v="On Time"/>
  </r>
  <r>
    <n v="4385"/>
    <d v="2025-12-01T00:00:00"/>
    <x v="2"/>
    <x v="3"/>
    <s v="NRT"/>
    <s v="Economy"/>
    <n v="199"/>
    <n v="134.5"/>
    <n v="57"/>
    <s v="On Time"/>
    <n v="26765.5"/>
    <s v="Dec"/>
    <n v="2025"/>
    <n v="26765.5"/>
    <s v="Moderate Delay"/>
  </r>
  <r>
    <n v="4386"/>
    <d v="2025-07-04T00:00:00"/>
    <x v="4"/>
    <x v="8"/>
    <s v="CJU"/>
    <s v="Premium Economy"/>
    <n v="237"/>
    <n v="206.61"/>
    <n v="55"/>
    <s v="On Time"/>
    <n v="48966.57"/>
    <s v="Jul"/>
    <n v="2025"/>
    <n v="48966.57"/>
    <s v="Moderate Delay"/>
  </r>
  <r>
    <n v="4387"/>
    <d v="2025-01-31T00:00:00"/>
    <x v="5"/>
    <x v="0"/>
    <s v="MNL"/>
    <s v="Business"/>
    <n v="268"/>
    <n v="789.81"/>
    <n v="28"/>
    <s v="On Time"/>
    <n v="211669.08"/>
    <s v="Jan"/>
    <n v="2025"/>
    <n v="211669.08"/>
    <s v="Minor Delay"/>
  </r>
  <r>
    <n v="4388"/>
    <d v="2025-08-14T00:00:00"/>
    <x v="5"/>
    <x v="8"/>
    <s v="ICN"/>
    <s v="Economy"/>
    <n v="151"/>
    <n v="764.63"/>
    <n v="67"/>
    <s v="On Time"/>
    <n v="115459.13"/>
    <s v="Aug"/>
    <n v="2025"/>
    <n v="115459.13"/>
    <s v="Major Delay"/>
  </r>
  <r>
    <n v="4389"/>
    <d v="2025-06-01T00:00:00"/>
    <x v="0"/>
    <x v="0"/>
    <s v="SIN"/>
    <s v="Economy"/>
    <n v="225"/>
    <n v="351.74"/>
    <n v="32"/>
    <s v="On Time"/>
    <n v="79141.5"/>
    <s v="Jun"/>
    <n v="2025"/>
    <n v="79141.5"/>
    <s v="Moderate Delay"/>
  </r>
  <r>
    <n v="4390"/>
    <d v="2025-05-07T00:00:00"/>
    <x v="3"/>
    <x v="2"/>
    <s v="KIX"/>
    <s v="Business"/>
    <n v="202"/>
    <n v="436.3"/>
    <n v="24"/>
    <s v="On Time"/>
    <n v="88132.6"/>
    <s v="May"/>
    <n v="2025"/>
    <n v="88132.6"/>
    <s v="Minor Delay"/>
  </r>
  <r>
    <n v="4391"/>
    <d v="2025-08-24T00:00:00"/>
    <x v="5"/>
    <x v="4"/>
    <s v="CJU"/>
    <s v="Business"/>
    <n v="141"/>
    <n v="174.92"/>
    <n v="43"/>
    <s v="On Time"/>
    <n v="24663.72"/>
    <s v="Aug"/>
    <n v="2025"/>
    <n v="24663.719999999998"/>
    <s v="Moderate Delay"/>
  </r>
  <r>
    <n v="4392"/>
    <d v="2025-10-19T00:00:00"/>
    <x v="2"/>
    <x v="8"/>
    <s v="NRT"/>
    <s v="Business"/>
    <n v="117"/>
    <n v="308.73"/>
    <n v="7"/>
    <s v="On Time"/>
    <n v="36121.410000000003"/>
    <s v="Oct"/>
    <n v="2025"/>
    <n v="36121.410000000003"/>
    <s v="Minor Delay"/>
  </r>
  <r>
    <n v="4393"/>
    <d v="2025-08-22T00:00:00"/>
    <x v="3"/>
    <x v="3"/>
    <s v="BKK"/>
    <s v="Business"/>
    <n v="274"/>
    <n v="145.82"/>
    <n v="4"/>
    <s v="On Time"/>
    <n v="39954.68"/>
    <s v="Aug"/>
    <n v="2025"/>
    <n v="39954.68"/>
    <s v="Minor Delay"/>
  </r>
  <r>
    <n v="4394"/>
    <d v="2025-08-13T00:00:00"/>
    <x v="3"/>
    <x v="4"/>
    <s v="CJU"/>
    <s v="Economy"/>
    <n v="185"/>
    <n v="229.15"/>
    <n v="25"/>
    <s v="Delayed"/>
    <n v="42392.75"/>
    <s v="Aug"/>
    <n v="2025"/>
    <n v="42392.75"/>
    <s v="Minor Delay"/>
  </r>
  <r>
    <n v="4395"/>
    <d v="2025-03-24T00:00:00"/>
    <x v="0"/>
    <x v="4"/>
    <s v="ICN"/>
    <s v="Business"/>
    <n v="297"/>
    <n v="214.41"/>
    <n v="55"/>
    <s v="On Time"/>
    <n v="63679.77"/>
    <s v="Mar"/>
    <n v="2025"/>
    <n v="63679.77"/>
    <s v="Moderate Delay"/>
  </r>
  <r>
    <n v="4396"/>
    <d v="2025-07-29T00:00:00"/>
    <x v="4"/>
    <x v="0"/>
    <s v="SIN"/>
    <s v="Business"/>
    <n v="57"/>
    <n v="627.16999999999996"/>
    <n v="0"/>
    <s v="On Time"/>
    <n v="35748.69"/>
    <s v="Jul"/>
    <n v="2025"/>
    <n v="35748.689999999995"/>
    <s v="On Time"/>
  </r>
  <r>
    <n v="4397"/>
    <d v="2025-07-19T00:00:00"/>
    <x v="4"/>
    <x v="5"/>
    <s v="KIX"/>
    <s v="Business"/>
    <n v="143"/>
    <n v="133.47999999999999"/>
    <n v="32"/>
    <s v="On Time"/>
    <n v="19087.64"/>
    <s v="Jul"/>
    <n v="2025"/>
    <n v="19087.64"/>
    <s v="Moderate Delay"/>
  </r>
  <r>
    <n v="4398"/>
    <d v="2025-06-29T00:00:00"/>
    <x v="1"/>
    <x v="0"/>
    <s v="ICN"/>
    <s v="Economy"/>
    <n v="231"/>
    <n v="703.39"/>
    <n v="40"/>
    <s v="On Time"/>
    <n v="162483.09"/>
    <s v="Jun"/>
    <n v="2025"/>
    <n v="162483.09"/>
    <s v="Moderate Delay"/>
  </r>
  <r>
    <n v="4399"/>
    <d v="2025-09-02T00:00:00"/>
    <x v="3"/>
    <x v="7"/>
    <s v="ICN"/>
    <s v="Premium Economy"/>
    <n v="223"/>
    <n v="530.96"/>
    <n v="7"/>
    <s v="Delayed"/>
    <n v="118404.08"/>
    <s v="Sep"/>
    <n v="2025"/>
    <n v="118404.08"/>
    <s v="Minor Delay"/>
  </r>
  <r>
    <n v="4400"/>
    <d v="2025-08-15T00:00:00"/>
    <x v="2"/>
    <x v="6"/>
    <s v="CJU"/>
    <s v="Premium Economy"/>
    <n v="173"/>
    <n v="648"/>
    <n v="12"/>
    <s v="On Time"/>
    <n v="112104"/>
    <s v="Aug"/>
    <n v="2025"/>
    <n v="112104"/>
    <s v="Minor Delay"/>
  </r>
  <r>
    <n v="4401"/>
    <d v="2025-12-24T00:00:00"/>
    <x v="4"/>
    <x v="2"/>
    <s v="BKK"/>
    <s v="Economy"/>
    <n v="283"/>
    <n v="616.49"/>
    <n v="54"/>
    <s v="On Time"/>
    <n v="174466.67"/>
    <s v="Dec"/>
    <n v="2025"/>
    <n v="174466.67"/>
    <s v="Moderate Delay"/>
  </r>
  <r>
    <n v="4402"/>
    <d v="2025-09-24T00:00:00"/>
    <x v="0"/>
    <x v="7"/>
    <s v="SIN"/>
    <s v="Business"/>
    <n v="157"/>
    <n v="629.61"/>
    <n v="0"/>
    <s v="On Time"/>
    <n v="98848.77"/>
    <s v="Sep"/>
    <n v="2025"/>
    <n v="98848.77"/>
    <s v="On Time"/>
  </r>
  <r>
    <n v="4403"/>
    <d v="2025-03-03T00:00:00"/>
    <x v="1"/>
    <x v="0"/>
    <s v="BKK"/>
    <s v="Economy"/>
    <n v="85"/>
    <n v="340.72"/>
    <n v="0"/>
    <s v="On Time"/>
    <n v="28961.200000000001"/>
    <s v="Mar"/>
    <n v="2025"/>
    <n v="28961.200000000001"/>
    <s v="On Time"/>
  </r>
  <r>
    <n v="4404"/>
    <d v="2025-12-23T00:00:00"/>
    <x v="5"/>
    <x v="2"/>
    <s v="KIX"/>
    <s v="Premium Economy"/>
    <n v="294"/>
    <n v="709.13"/>
    <n v="22"/>
    <s v="On Time"/>
    <n v="208484.22"/>
    <s v="Dec"/>
    <n v="2025"/>
    <n v="208484.22"/>
    <s v="Minor Delay"/>
  </r>
  <r>
    <n v="4405"/>
    <d v="2025-04-21T00:00:00"/>
    <x v="2"/>
    <x v="1"/>
    <s v="KIX"/>
    <s v="Economy"/>
    <n v="142"/>
    <n v="727.93"/>
    <n v="7"/>
    <s v="On Time"/>
    <n v="103366.06"/>
    <s v="Apr"/>
    <n v="2025"/>
    <n v="103366.06"/>
    <s v="Minor Delay"/>
  </r>
  <r>
    <n v="4406"/>
    <d v="2025-10-14T00:00:00"/>
    <x v="5"/>
    <x v="7"/>
    <s v="ICN"/>
    <s v="Business"/>
    <n v="99"/>
    <n v="108.47"/>
    <n v="21"/>
    <s v="On Time"/>
    <n v="10738.53"/>
    <s v="Oct"/>
    <n v="2025"/>
    <n v="10738.53"/>
    <s v="Minor Delay"/>
  </r>
  <r>
    <n v="4407"/>
    <d v="2025-01-27T00:00:00"/>
    <x v="2"/>
    <x v="5"/>
    <s v="BKK"/>
    <s v="Business"/>
    <n v="103"/>
    <n v="682.56"/>
    <n v="0"/>
    <s v="Delayed"/>
    <n v="70303.679999999993"/>
    <s v="Jan"/>
    <n v="2025"/>
    <n v="70303.679999999993"/>
    <s v="On Time"/>
  </r>
  <r>
    <n v="4408"/>
    <d v="2025-11-10T00:00:00"/>
    <x v="2"/>
    <x v="0"/>
    <s v="PUS"/>
    <s v="Economy"/>
    <n v="277"/>
    <n v="760.41"/>
    <n v="30"/>
    <s v="Delayed"/>
    <n v="210633.57"/>
    <s v="Nov"/>
    <n v="2025"/>
    <n v="210633.56999999998"/>
    <s v="Minor Delay"/>
  </r>
  <r>
    <n v="4409"/>
    <d v="2025-01-27T00:00:00"/>
    <x v="0"/>
    <x v="4"/>
    <s v="BKK"/>
    <s v="Business"/>
    <n v="226"/>
    <n v="395.86"/>
    <n v="40"/>
    <s v="On Time"/>
    <n v="89464.36"/>
    <s v="Jan"/>
    <n v="2025"/>
    <n v="89464.36"/>
    <s v="Moderate Delay"/>
  </r>
  <r>
    <n v="4410"/>
    <d v="2025-07-30T00:00:00"/>
    <x v="5"/>
    <x v="5"/>
    <s v="PUS"/>
    <s v="Business"/>
    <n v="54"/>
    <n v="60.19"/>
    <n v="7"/>
    <s v="On Time"/>
    <n v="3250.26"/>
    <s v="Jul"/>
    <n v="2025"/>
    <n v="3250.2599999999998"/>
    <s v="Minor Delay"/>
  </r>
  <r>
    <n v="4411"/>
    <d v="2025-01-15T00:00:00"/>
    <x v="5"/>
    <x v="7"/>
    <s v="PUS"/>
    <s v="Business"/>
    <n v="210"/>
    <n v="413.42"/>
    <n v="61"/>
    <s v="On Time"/>
    <n v="86818.2"/>
    <s v="Jan"/>
    <n v="2025"/>
    <n v="86818.2"/>
    <s v="Major Delay"/>
  </r>
  <r>
    <n v="4412"/>
    <d v="2025-04-03T00:00:00"/>
    <x v="0"/>
    <x v="4"/>
    <s v="BKK"/>
    <s v="Business"/>
    <n v="214"/>
    <n v="577.76"/>
    <n v="0"/>
    <s v="On Time"/>
    <n v="123640.64"/>
    <s v="Apr"/>
    <n v="2025"/>
    <n v="123640.64"/>
    <s v="On Time"/>
  </r>
  <r>
    <n v="4413"/>
    <d v="2025-05-01T00:00:00"/>
    <x v="0"/>
    <x v="5"/>
    <s v="PUS"/>
    <s v="Economy"/>
    <n v="258"/>
    <n v="302.61"/>
    <n v="0"/>
    <s v="On Time"/>
    <n v="78073.38"/>
    <s v="May"/>
    <n v="2025"/>
    <n v="78073.38"/>
    <s v="On Time"/>
  </r>
  <r>
    <n v="4414"/>
    <d v="2025-02-28T00:00:00"/>
    <x v="2"/>
    <x v="8"/>
    <s v="KIX"/>
    <s v="Premium Economy"/>
    <n v="164"/>
    <n v="644.27"/>
    <n v="0"/>
    <s v="On Time"/>
    <n v="105660.28"/>
    <s v="Feb"/>
    <n v="2025"/>
    <n v="105660.28"/>
    <s v="On Time"/>
  </r>
  <r>
    <n v="4415"/>
    <d v="2025-01-08T00:00:00"/>
    <x v="5"/>
    <x v="7"/>
    <s v="NRT"/>
    <s v="Business"/>
    <n v="187"/>
    <n v="101.95"/>
    <n v="18"/>
    <s v="On Time"/>
    <n v="19064.650000000001"/>
    <s v="Jan"/>
    <n v="2025"/>
    <n v="19064.650000000001"/>
    <s v="Minor Delay"/>
  </r>
  <r>
    <n v="4416"/>
    <d v="2025-06-22T00:00:00"/>
    <x v="1"/>
    <x v="0"/>
    <s v="SIN"/>
    <s v="Economy"/>
    <n v="294"/>
    <n v="648.52"/>
    <n v="20"/>
    <s v="On Time"/>
    <n v="190664.88"/>
    <s v="Jun"/>
    <n v="2025"/>
    <n v="190664.88"/>
    <s v="Minor Delay"/>
  </r>
  <r>
    <n v="4417"/>
    <d v="2025-01-25T00:00:00"/>
    <x v="2"/>
    <x v="2"/>
    <s v="ICN"/>
    <s v="Business"/>
    <n v="210"/>
    <n v="464.23"/>
    <n v="0"/>
    <s v="On Time"/>
    <n v="97488.3"/>
    <s v="Jan"/>
    <n v="2025"/>
    <n v="97488.3"/>
    <s v="On Time"/>
  </r>
  <r>
    <n v="4418"/>
    <d v="2025-06-24T00:00:00"/>
    <x v="3"/>
    <x v="8"/>
    <s v="KIX"/>
    <s v="Business"/>
    <n v="136"/>
    <n v="762.62"/>
    <n v="20"/>
    <s v="On Time"/>
    <n v="103716.32"/>
    <s v="Jun"/>
    <n v="2025"/>
    <n v="103716.32"/>
    <s v="Minor Delay"/>
  </r>
  <r>
    <n v="4419"/>
    <d v="2025-06-05T00:00:00"/>
    <x v="4"/>
    <x v="3"/>
    <s v="GMP"/>
    <s v="Economy"/>
    <n v="125"/>
    <n v="517.77"/>
    <n v="33"/>
    <s v="On Time"/>
    <n v="64721.25"/>
    <s v="Jun"/>
    <n v="2025"/>
    <n v="64721.25"/>
    <s v="Moderate Delay"/>
  </r>
  <r>
    <n v="4420"/>
    <d v="2025-12-13T00:00:00"/>
    <x v="2"/>
    <x v="1"/>
    <s v="NRT"/>
    <s v="Economy"/>
    <n v="164"/>
    <n v="191.71"/>
    <n v="11"/>
    <s v="On Time"/>
    <n v="31440.44"/>
    <s v="Dec"/>
    <n v="2025"/>
    <n v="31440.440000000002"/>
    <s v="Minor Delay"/>
  </r>
  <r>
    <n v="4421"/>
    <d v="2025-10-04T00:00:00"/>
    <x v="1"/>
    <x v="3"/>
    <s v="GMP"/>
    <s v="Premium Economy"/>
    <n v="246"/>
    <n v="570.45000000000005"/>
    <n v="63"/>
    <s v="Delayed"/>
    <n v="140330.70000000001"/>
    <s v="Oct"/>
    <n v="2025"/>
    <n v="140330.70000000001"/>
    <s v="Major Delay"/>
  </r>
  <r>
    <n v="4422"/>
    <d v="2025-12-06T00:00:00"/>
    <x v="4"/>
    <x v="6"/>
    <s v="NRT"/>
    <s v="Economy"/>
    <n v="224"/>
    <n v="766.28"/>
    <n v="30"/>
    <s v="On Time"/>
    <n v="171646.72"/>
    <s v="Dec"/>
    <n v="2025"/>
    <n v="171646.72"/>
    <s v="Minor Delay"/>
  </r>
  <r>
    <n v="4423"/>
    <d v="2025-02-24T00:00:00"/>
    <x v="2"/>
    <x v="1"/>
    <s v="CJU"/>
    <s v="Premium Economy"/>
    <n v="116"/>
    <n v="550.17999999999995"/>
    <n v="50"/>
    <s v="On Time"/>
    <n v="63820.88"/>
    <s v="Feb"/>
    <n v="2025"/>
    <n v="63820.88"/>
    <s v="Moderate Delay"/>
  </r>
  <r>
    <n v="4424"/>
    <d v="2025-08-06T00:00:00"/>
    <x v="3"/>
    <x v="4"/>
    <s v="GMP"/>
    <s v="Premium Economy"/>
    <n v="164"/>
    <n v="249.74"/>
    <n v="5"/>
    <s v="On Time"/>
    <n v="40957.360000000001"/>
    <s v="Aug"/>
    <n v="2025"/>
    <n v="40957.360000000001"/>
    <s v="Minor Delay"/>
  </r>
  <r>
    <n v="4425"/>
    <d v="2025-10-16T00:00:00"/>
    <x v="5"/>
    <x v="6"/>
    <s v="BKK"/>
    <s v="Business"/>
    <n v="263"/>
    <n v="700.02"/>
    <n v="4"/>
    <s v="On Time"/>
    <n v="184105.26"/>
    <s v="Oct"/>
    <n v="2025"/>
    <n v="184105.26"/>
    <s v="Minor Delay"/>
  </r>
  <r>
    <n v="4426"/>
    <d v="2025-05-19T00:00:00"/>
    <x v="5"/>
    <x v="3"/>
    <s v="SIN"/>
    <s v="Economy"/>
    <n v="295"/>
    <n v="616.05999999999995"/>
    <n v="0"/>
    <s v="On Time"/>
    <n v="181737.7"/>
    <s v="May"/>
    <n v="2025"/>
    <n v="181737.69999999998"/>
    <s v="On Time"/>
  </r>
  <r>
    <n v="4427"/>
    <d v="2025-11-25T00:00:00"/>
    <x v="0"/>
    <x v="1"/>
    <s v="SIN"/>
    <s v="Premium Economy"/>
    <n v="124"/>
    <n v="762.72"/>
    <n v="0"/>
    <s v="On Time"/>
    <n v="94577.279999999999"/>
    <s v="Nov"/>
    <n v="2025"/>
    <n v="94577.279999999999"/>
    <s v="On Time"/>
  </r>
  <r>
    <n v="4428"/>
    <d v="2025-04-21T00:00:00"/>
    <x v="2"/>
    <x v="8"/>
    <s v="KIX"/>
    <s v="Premium Economy"/>
    <n v="63"/>
    <n v="113.63"/>
    <n v="19"/>
    <s v="On Time"/>
    <n v="7158.69"/>
    <s v="Apr"/>
    <n v="2025"/>
    <n v="7158.69"/>
    <s v="Minor Delay"/>
  </r>
  <r>
    <n v="4429"/>
    <d v="2025-08-09T00:00:00"/>
    <x v="3"/>
    <x v="2"/>
    <s v="GMP"/>
    <s v="Premium Economy"/>
    <n v="141"/>
    <n v="560.08000000000004"/>
    <n v="0"/>
    <s v="Delayed"/>
    <n v="78971.28"/>
    <s v="Aug"/>
    <n v="2025"/>
    <n v="78971.28"/>
    <s v="On Time"/>
  </r>
  <r>
    <n v="4430"/>
    <d v="2025-08-13T00:00:00"/>
    <x v="5"/>
    <x v="4"/>
    <s v="PUS"/>
    <s v="Economy"/>
    <n v="119"/>
    <n v="385.89"/>
    <n v="0"/>
    <s v="On Time"/>
    <n v="45920.91"/>
    <s v="Aug"/>
    <n v="2025"/>
    <n v="45920.909999999996"/>
    <s v="On Time"/>
  </r>
  <r>
    <n v="4431"/>
    <d v="2025-07-19T00:00:00"/>
    <x v="4"/>
    <x v="8"/>
    <s v="PUS"/>
    <s v="Economy"/>
    <n v="255"/>
    <n v="436.63"/>
    <n v="0"/>
    <s v="On Time"/>
    <n v="111340.65"/>
    <s v="Jul"/>
    <n v="2025"/>
    <n v="111340.65"/>
    <s v="On Time"/>
  </r>
  <r>
    <n v="4432"/>
    <d v="2025-01-26T00:00:00"/>
    <x v="0"/>
    <x v="1"/>
    <s v="CJU"/>
    <s v="Business"/>
    <n v="298"/>
    <n v="761.93"/>
    <n v="28"/>
    <s v="On Time"/>
    <n v="227055.14"/>
    <s v="Jan"/>
    <n v="2025"/>
    <n v="227055.13999999998"/>
    <s v="Minor Delay"/>
  </r>
  <r>
    <n v="4433"/>
    <d v="2025-09-12T00:00:00"/>
    <x v="1"/>
    <x v="2"/>
    <s v="BKK"/>
    <s v="Economy"/>
    <n v="143"/>
    <n v="348.15"/>
    <n v="4"/>
    <s v="On Time"/>
    <n v="49785.45"/>
    <s v="Sep"/>
    <n v="2025"/>
    <n v="49785.45"/>
    <s v="Minor Delay"/>
  </r>
  <r>
    <n v="4434"/>
    <d v="2025-01-14T00:00:00"/>
    <x v="5"/>
    <x v="2"/>
    <s v="ICN"/>
    <s v="Premium Economy"/>
    <n v="167"/>
    <n v="548.20000000000005"/>
    <n v="21"/>
    <s v="Delayed"/>
    <n v="91549.4"/>
    <s v="Jan"/>
    <n v="2025"/>
    <n v="91549.400000000009"/>
    <s v="Minor Delay"/>
  </r>
  <r>
    <n v="4435"/>
    <d v="2025-07-08T00:00:00"/>
    <x v="0"/>
    <x v="3"/>
    <s v="GMP"/>
    <s v="Economy"/>
    <n v="230"/>
    <n v="285.64999999999998"/>
    <n v="6"/>
    <s v="On Time"/>
    <n v="65699.5"/>
    <s v="Jul"/>
    <n v="2025"/>
    <n v="65699.5"/>
    <s v="Minor Delay"/>
  </r>
  <r>
    <n v="4436"/>
    <d v="2025-06-20T00:00:00"/>
    <x v="2"/>
    <x v="6"/>
    <s v="ICN"/>
    <s v="Business"/>
    <n v="104"/>
    <n v="361.38"/>
    <n v="40"/>
    <s v="On Time"/>
    <n v="37583.519999999997"/>
    <s v="Jun"/>
    <n v="2025"/>
    <n v="37583.519999999997"/>
    <s v="Moderate Delay"/>
  </r>
  <r>
    <n v="4437"/>
    <d v="2025-04-14T00:00:00"/>
    <x v="4"/>
    <x v="2"/>
    <s v="ICN"/>
    <s v="Economy"/>
    <n v="260"/>
    <n v="733.56"/>
    <n v="20"/>
    <s v="On Time"/>
    <n v="190725.6"/>
    <s v="Apr"/>
    <n v="2025"/>
    <n v="190725.59999999998"/>
    <s v="Minor Delay"/>
  </r>
  <r>
    <n v="4438"/>
    <d v="2025-10-29T00:00:00"/>
    <x v="5"/>
    <x v="2"/>
    <s v="CJU"/>
    <s v="Premium Economy"/>
    <n v="161"/>
    <n v="601.88"/>
    <n v="55"/>
    <s v="On Time"/>
    <n v="96902.68"/>
    <s v="Oct"/>
    <n v="2025"/>
    <n v="96902.68"/>
    <s v="Moderate Delay"/>
  </r>
  <r>
    <n v="4439"/>
    <d v="2025-01-15T00:00:00"/>
    <x v="3"/>
    <x v="8"/>
    <s v="SIN"/>
    <s v="Premium Economy"/>
    <n v="255"/>
    <n v="92.2"/>
    <n v="48"/>
    <s v="Delayed"/>
    <n v="23511"/>
    <s v="Jan"/>
    <n v="2025"/>
    <n v="23511"/>
    <s v="Moderate Delay"/>
  </r>
  <r>
    <n v="4440"/>
    <d v="2025-05-03T00:00:00"/>
    <x v="0"/>
    <x v="0"/>
    <s v="KIX"/>
    <s v="Premium Economy"/>
    <n v="58"/>
    <n v="794.72"/>
    <n v="28"/>
    <s v="On Time"/>
    <n v="46093.760000000002"/>
    <s v="May"/>
    <n v="2025"/>
    <n v="46093.760000000002"/>
    <s v="Minor Delay"/>
  </r>
  <r>
    <n v="4441"/>
    <d v="2025-06-08T00:00:00"/>
    <x v="4"/>
    <x v="0"/>
    <s v="SIN"/>
    <s v="Economy"/>
    <n v="149"/>
    <n v="474.27"/>
    <n v="55"/>
    <s v="Delayed"/>
    <n v="70666.23"/>
    <s v="Jun"/>
    <n v="2025"/>
    <n v="70666.23"/>
    <s v="Moderate Delay"/>
  </r>
  <r>
    <n v="4442"/>
    <d v="2025-09-15T00:00:00"/>
    <x v="3"/>
    <x v="1"/>
    <s v="PUS"/>
    <s v="Premium Economy"/>
    <n v="161"/>
    <n v="197.98"/>
    <n v="39"/>
    <s v="On Time"/>
    <n v="31874.78"/>
    <s v="Sep"/>
    <n v="2025"/>
    <n v="31874.78"/>
    <s v="Moderate Delay"/>
  </r>
  <r>
    <n v="4443"/>
    <d v="2025-12-29T00:00:00"/>
    <x v="2"/>
    <x v="3"/>
    <s v="SIN"/>
    <s v="Premium Economy"/>
    <n v="263"/>
    <n v="64.599999999999994"/>
    <n v="0"/>
    <s v="Delayed"/>
    <n v="16989.8"/>
    <s v="Dec"/>
    <n v="2025"/>
    <n v="16989.8"/>
    <s v="On Time"/>
  </r>
  <r>
    <n v="4444"/>
    <d v="2025-03-04T00:00:00"/>
    <x v="5"/>
    <x v="1"/>
    <s v="MNL"/>
    <s v="Economy"/>
    <n v="124"/>
    <n v="622.63"/>
    <n v="79"/>
    <s v="On Time"/>
    <n v="77206.12"/>
    <s v="Mar"/>
    <n v="2025"/>
    <n v="77206.12"/>
    <s v="Major Delay"/>
  </r>
  <r>
    <n v="4445"/>
    <d v="2025-05-21T00:00:00"/>
    <x v="0"/>
    <x v="4"/>
    <s v="GMP"/>
    <s v="Premium Economy"/>
    <n v="179"/>
    <n v="327.55"/>
    <n v="20"/>
    <s v="On Time"/>
    <n v="58631.45"/>
    <s v="May"/>
    <n v="2025"/>
    <n v="58631.450000000004"/>
    <s v="Minor Delay"/>
  </r>
  <r>
    <n v="4446"/>
    <d v="2025-03-30T00:00:00"/>
    <x v="2"/>
    <x v="6"/>
    <s v="MNL"/>
    <s v="Economy"/>
    <n v="231"/>
    <n v="251.1"/>
    <n v="29"/>
    <s v="On Time"/>
    <n v="58004.1"/>
    <s v="Mar"/>
    <n v="2025"/>
    <n v="58004.1"/>
    <s v="Minor Delay"/>
  </r>
  <r>
    <n v="4447"/>
    <d v="2025-03-11T00:00:00"/>
    <x v="0"/>
    <x v="0"/>
    <s v="PUS"/>
    <s v="Business"/>
    <n v="106"/>
    <n v="486.42"/>
    <n v="0"/>
    <s v="Delayed"/>
    <n v="51560.52"/>
    <s v="Mar"/>
    <n v="2025"/>
    <n v="51560.520000000004"/>
    <s v="On Time"/>
  </r>
  <r>
    <n v="4448"/>
    <d v="2025-06-10T00:00:00"/>
    <x v="5"/>
    <x v="7"/>
    <s v="GMP"/>
    <s v="Economy"/>
    <n v="53"/>
    <n v="401.16"/>
    <n v="0"/>
    <s v="Delayed"/>
    <n v="21261.48"/>
    <s v="Jun"/>
    <n v="2025"/>
    <n v="21261.48"/>
    <s v="On Time"/>
  </r>
  <r>
    <n v="4449"/>
    <d v="2025-12-05T00:00:00"/>
    <x v="3"/>
    <x v="2"/>
    <s v="CJU"/>
    <s v="Economy"/>
    <n v="124"/>
    <n v="591.6"/>
    <n v="38"/>
    <s v="On Time"/>
    <n v="73358.399999999994"/>
    <s v="Dec"/>
    <n v="2025"/>
    <n v="73358.400000000009"/>
    <s v="Moderate Delay"/>
  </r>
  <r>
    <n v="4450"/>
    <d v="2025-09-05T00:00:00"/>
    <x v="1"/>
    <x v="1"/>
    <s v="SIN"/>
    <s v="Premium Economy"/>
    <n v="262"/>
    <n v="672.44"/>
    <n v="13"/>
    <s v="On Time"/>
    <n v="176179.28"/>
    <s v="Sep"/>
    <n v="2025"/>
    <n v="176179.28000000003"/>
    <s v="Minor Delay"/>
  </r>
  <r>
    <n v="4451"/>
    <d v="2025-07-19T00:00:00"/>
    <x v="1"/>
    <x v="8"/>
    <s v="BKK"/>
    <s v="Premium Economy"/>
    <n v="130"/>
    <n v="369.09"/>
    <n v="4"/>
    <s v="On Time"/>
    <n v="47981.7"/>
    <s v="Jul"/>
    <n v="2025"/>
    <n v="47981.7"/>
    <s v="Minor Delay"/>
  </r>
  <r>
    <n v="4452"/>
    <d v="2025-12-18T00:00:00"/>
    <x v="3"/>
    <x v="0"/>
    <s v="MNL"/>
    <s v="Premium Economy"/>
    <n v="144"/>
    <n v="385.73"/>
    <n v="10"/>
    <s v="On Time"/>
    <n v="55545.120000000003"/>
    <s v="Dec"/>
    <n v="2025"/>
    <n v="55545.120000000003"/>
    <s v="Minor Delay"/>
  </r>
  <r>
    <n v="4453"/>
    <d v="2025-07-10T00:00:00"/>
    <x v="2"/>
    <x v="8"/>
    <s v="BKK"/>
    <s v="Business"/>
    <n v="160"/>
    <n v="344.8"/>
    <n v="38"/>
    <s v="On Time"/>
    <n v="55168"/>
    <s v="Jul"/>
    <n v="2025"/>
    <n v="55168"/>
    <s v="Moderate Delay"/>
  </r>
  <r>
    <n v="4454"/>
    <d v="2025-03-06T00:00:00"/>
    <x v="1"/>
    <x v="6"/>
    <s v="KIX"/>
    <s v="Business"/>
    <n v="221"/>
    <n v="605.66999999999996"/>
    <n v="0"/>
    <s v="On Time"/>
    <n v="133853.07"/>
    <s v="Mar"/>
    <n v="2025"/>
    <n v="133853.06999999998"/>
    <s v="On Time"/>
  </r>
  <r>
    <n v="4455"/>
    <d v="2025-06-09T00:00:00"/>
    <x v="4"/>
    <x v="7"/>
    <s v="MNL"/>
    <s v="Premium Economy"/>
    <n v="287"/>
    <n v="196.93"/>
    <n v="11"/>
    <s v="On Time"/>
    <n v="56518.91"/>
    <s v="Jun"/>
    <n v="2025"/>
    <n v="56518.91"/>
    <s v="Minor Delay"/>
  </r>
  <r>
    <n v="4456"/>
    <d v="2025-09-28T00:00:00"/>
    <x v="0"/>
    <x v="6"/>
    <s v="MNL"/>
    <s v="Business"/>
    <n v="192"/>
    <n v="430.95"/>
    <n v="20"/>
    <s v="Cancelled"/>
    <n v="82742.399999999994"/>
    <s v="Sep"/>
    <n v="2025"/>
    <n v="82742.399999999994"/>
    <s v="Minor Delay"/>
  </r>
  <r>
    <n v="4457"/>
    <d v="2025-06-03T00:00:00"/>
    <x v="3"/>
    <x v="8"/>
    <s v="KIX"/>
    <s v="Premium Economy"/>
    <n v="86"/>
    <n v="183.29"/>
    <n v="0"/>
    <s v="On Time"/>
    <n v="15762.94"/>
    <s v="Jun"/>
    <n v="2025"/>
    <n v="15762.939999999999"/>
    <s v="On Time"/>
  </r>
  <r>
    <n v="4458"/>
    <d v="2025-11-07T00:00:00"/>
    <x v="0"/>
    <x v="5"/>
    <s v="MNL"/>
    <s v="Business"/>
    <n v="261"/>
    <n v="456.8"/>
    <n v="35"/>
    <s v="On Time"/>
    <n v="119224.8"/>
    <s v="Nov"/>
    <n v="2025"/>
    <n v="119224.8"/>
    <s v="Moderate Delay"/>
  </r>
  <r>
    <n v="4459"/>
    <d v="2025-12-18T00:00:00"/>
    <x v="4"/>
    <x v="2"/>
    <s v="MNL"/>
    <s v="Economy"/>
    <n v="65"/>
    <n v="341.13"/>
    <n v="0"/>
    <s v="Delayed"/>
    <n v="22173.45"/>
    <s v="Dec"/>
    <n v="2025"/>
    <n v="22173.45"/>
    <s v="On Time"/>
  </r>
  <r>
    <n v="4460"/>
    <d v="2025-10-27T00:00:00"/>
    <x v="1"/>
    <x v="1"/>
    <s v="PUS"/>
    <s v="Economy"/>
    <n v="91"/>
    <n v="652.07000000000005"/>
    <n v="22"/>
    <s v="On Time"/>
    <n v="59338.37"/>
    <s v="Oct"/>
    <n v="2025"/>
    <n v="59338.37"/>
    <s v="Minor Delay"/>
  </r>
  <r>
    <n v="4461"/>
    <d v="2025-04-10T00:00:00"/>
    <x v="1"/>
    <x v="2"/>
    <s v="ICN"/>
    <s v="Business"/>
    <n v="228"/>
    <n v="200.54"/>
    <n v="0"/>
    <s v="On Time"/>
    <n v="45723.12"/>
    <s v="Apr"/>
    <n v="2025"/>
    <n v="45723.119999999995"/>
    <s v="On Time"/>
  </r>
  <r>
    <n v="4462"/>
    <d v="2025-02-25T00:00:00"/>
    <x v="1"/>
    <x v="5"/>
    <s v="CJU"/>
    <s v="Business"/>
    <n v="117"/>
    <n v="554.75"/>
    <n v="0"/>
    <s v="On Time"/>
    <n v="64905.75"/>
    <s v="Feb"/>
    <n v="2025"/>
    <n v="64905.75"/>
    <s v="On Time"/>
  </r>
  <r>
    <n v="4463"/>
    <d v="2025-06-25T00:00:00"/>
    <x v="5"/>
    <x v="4"/>
    <s v="BKK"/>
    <s v="Premium Economy"/>
    <n v="131"/>
    <n v="334.93"/>
    <n v="12"/>
    <s v="On Time"/>
    <n v="43875.83"/>
    <s v="Jun"/>
    <n v="2025"/>
    <n v="43875.83"/>
    <s v="Minor Delay"/>
  </r>
  <r>
    <n v="4464"/>
    <d v="2025-02-08T00:00:00"/>
    <x v="4"/>
    <x v="0"/>
    <s v="BKK"/>
    <s v="Economy"/>
    <n v="155"/>
    <n v="510.37"/>
    <n v="0"/>
    <s v="Delayed"/>
    <n v="79107.350000000006"/>
    <s v="Feb"/>
    <n v="2025"/>
    <n v="79107.350000000006"/>
    <s v="On Time"/>
  </r>
  <r>
    <n v="4465"/>
    <d v="2025-12-29T00:00:00"/>
    <x v="5"/>
    <x v="3"/>
    <s v="SIN"/>
    <s v="Economy"/>
    <n v="131"/>
    <n v="113.91"/>
    <n v="0"/>
    <s v="On Time"/>
    <n v="14922.21"/>
    <s v="Dec"/>
    <n v="2025"/>
    <n v="14922.21"/>
    <s v="On Time"/>
  </r>
  <r>
    <n v="4466"/>
    <d v="2025-12-31T00:00:00"/>
    <x v="1"/>
    <x v="6"/>
    <s v="MNL"/>
    <s v="Business"/>
    <n v="111"/>
    <n v="302.85000000000002"/>
    <n v="29"/>
    <s v="Delayed"/>
    <n v="33616.35"/>
    <s v="Dec"/>
    <n v="2025"/>
    <n v="33616.350000000006"/>
    <s v="Minor Delay"/>
  </r>
  <r>
    <n v="4467"/>
    <d v="2025-05-07T00:00:00"/>
    <x v="3"/>
    <x v="1"/>
    <s v="MNL"/>
    <s v="Economy"/>
    <n v="256"/>
    <n v="682.32"/>
    <n v="12"/>
    <s v="On Time"/>
    <n v="174673.92000000001"/>
    <s v="May"/>
    <n v="2025"/>
    <n v="174673.92000000001"/>
    <s v="Minor Delay"/>
  </r>
  <r>
    <n v="4468"/>
    <d v="2025-12-07T00:00:00"/>
    <x v="4"/>
    <x v="6"/>
    <s v="BKK"/>
    <s v="Economy"/>
    <n v="168"/>
    <n v="543.46"/>
    <n v="0"/>
    <s v="Delayed"/>
    <n v="91301.28"/>
    <s v="Dec"/>
    <n v="2025"/>
    <n v="91301.28"/>
    <s v="On Time"/>
  </r>
  <r>
    <n v="4469"/>
    <d v="2025-01-24T00:00:00"/>
    <x v="3"/>
    <x v="3"/>
    <s v="MNL"/>
    <s v="Economy"/>
    <n v="203"/>
    <n v="514.9"/>
    <n v="9"/>
    <s v="Delayed"/>
    <n v="104524.7"/>
    <s v="Jan"/>
    <n v="2025"/>
    <n v="104524.7"/>
    <s v="Minor Delay"/>
  </r>
  <r>
    <n v="4470"/>
    <d v="2025-05-16T00:00:00"/>
    <x v="2"/>
    <x v="1"/>
    <s v="CJU"/>
    <s v="Business"/>
    <n v="128"/>
    <n v="529.03"/>
    <n v="13"/>
    <s v="On Time"/>
    <n v="67715.839999999997"/>
    <s v="May"/>
    <n v="2025"/>
    <n v="67715.839999999997"/>
    <s v="Minor Delay"/>
  </r>
  <r>
    <n v="4471"/>
    <d v="2025-07-21T00:00:00"/>
    <x v="3"/>
    <x v="7"/>
    <s v="NRT"/>
    <s v="Business"/>
    <n v="122"/>
    <n v="161.66999999999999"/>
    <n v="0"/>
    <s v="On Time"/>
    <n v="19723.740000000002"/>
    <s v="Jul"/>
    <n v="2025"/>
    <n v="19723.739999999998"/>
    <s v="On Time"/>
  </r>
  <r>
    <n v="4472"/>
    <d v="2025-08-11T00:00:00"/>
    <x v="2"/>
    <x v="8"/>
    <s v="PUS"/>
    <s v="Business"/>
    <n v="236"/>
    <n v="680.46"/>
    <n v="16"/>
    <s v="Delayed"/>
    <n v="160588.56"/>
    <s v="Aug"/>
    <n v="2025"/>
    <n v="160588.56"/>
    <s v="Minor Delay"/>
  </r>
  <r>
    <n v="4473"/>
    <d v="2025-01-03T00:00:00"/>
    <x v="0"/>
    <x v="5"/>
    <s v="CJU"/>
    <s v="Business"/>
    <n v="288"/>
    <n v="664.39"/>
    <n v="9"/>
    <s v="On Time"/>
    <n v="191344.32"/>
    <s v="Jan"/>
    <n v="2025"/>
    <n v="191344.32"/>
    <s v="Minor Delay"/>
  </r>
  <r>
    <n v="4474"/>
    <d v="2025-01-05T00:00:00"/>
    <x v="0"/>
    <x v="3"/>
    <s v="CJU"/>
    <s v="Business"/>
    <n v="294"/>
    <n v="548.70000000000005"/>
    <n v="20"/>
    <s v="On Time"/>
    <n v="161317.79999999999"/>
    <s v="Jan"/>
    <n v="2025"/>
    <n v="161317.80000000002"/>
    <s v="Minor Delay"/>
  </r>
  <r>
    <n v="4475"/>
    <d v="2025-07-07T00:00:00"/>
    <x v="3"/>
    <x v="7"/>
    <s v="GMP"/>
    <s v="Economy"/>
    <n v="196"/>
    <n v="90.68"/>
    <n v="16"/>
    <s v="On Time"/>
    <n v="17773.28"/>
    <s v="Jul"/>
    <n v="2025"/>
    <n v="17773.280000000002"/>
    <s v="Minor Delay"/>
  </r>
  <r>
    <n v="4476"/>
    <d v="2025-05-19T00:00:00"/>
    <x v="2"/>
    <x v="7"/>
    <s v="KIX"/>
    <s v="Business"/>
    <n v="96"/>
    <n v="171.37"/>
    <n v="43"/>
    <s v="On Time"/>
    <n v="16451.52"/>
    <s v="May"/>
    <n v="2025"/>
    <n v="16451.52"/>
    <s v="Moderate Delay"/>
  </r>
  <r>
    <n v="4477"/>
    <d v="2025-07-28T00:00:00"/>
    <x v="0"/>
    <x v="3"/>
    <s v="MNL"/>
    <s v="Business"/>
    <n v="252"/>
    <n v="234.51"/>
    <n v="28"/>
    <s v="On Time"/>
    <n v="59096.52"/>
    <s v="Jul"/>
    <n v="2025"/>
    <n v="59096.52"/>
    <s v="Minor Delay"/>
  </r>
  <r>
    <n v="4478"/>
    <d v="2025-04-07T00:00:00"/>
    <x v="3"/>
    <x v="7"/>
    <s v="KIX"/>
    <s v="Economy"/>
    <n v="148"/>
    <n v="154.88999999999999"/>
    <n v="56"/>
    <s v="On Time"/>
    <n v="22923.72"/>
    <s v="Apr"/>
    <n v="2025"/>
    <n v="22923.719999999998"/>
    <s v="Moderate Delay"/>
  </r>
  <r>
    <n v="4479"/>
    <d v="2025-05-22T00:00:00"/>
    <x v="1"/>
    <x v="6"/>
    <s v="GMP"/>
    <s v="Economy"/>
    <n v="63"/>
    <n v="535.97"/>
    <n v="0"/>
    <s v="On Time"/>
    <n v="33766.11"/>
    <s v="May"/>
    <n v="2025"/>
    <n v="33766.11"/>
    <s v="On Time"/>
  </r>
  <r>
    <n v="4480"/>
    <d v="2025-02-03T00:00:00"/>
    <x v="3"/>
    <x v="6"/>
    <s v="NRT"/>
    <s v="Premium Economy"/>
    <n v="278"/>
    <n v="178.12"/>
    <n v="75"/>
    <s v="On Time"/>
    <n v="49517.36"/>
    <s v="Feb"/>
    <n v="2025"/>
    <n v="49517.36"/>
    <s v="Major Delay"/>
  </r>
  <r>
    <n v="4481"/>
    <d v="2025-04-08T00:00:00"/>
    <x v="4"/>
    <x v="4"/>
    <s v="KIX"/>
    <s v="Economy"/>
    <n v="174"/>
    <n v="267.20999999999998"/>
    <n v="81"/>
    <s v="On Time"/>
    <n v="46494.54"/>
    <s v="Apr"/>
    <n v="2025"/>
    <n v="46494.539999999994"/>
    <s v="Major Delay"/>
  </r>
  <r>
    <n v="4482"/>
    <d v="2025-09-21T00:00:00"/>
    <x v="1"/>
    <x v="2"/>
    <s v="CJU"/>
    <s v="Business"/>
    <n v="213"/>
    <n v="755.79"/>
    <n v="25"/>
    <s v="On Time"/>
    <n v="160983.26999999999"/>
    <s v="Sep"/>
    <n v="2025"/>
    <n v="160983.26999999999"/>
    <s v="Minor Delay"/>
  </r>
  <r>
    <n v="4483"/>
    <d v="2025-03-13T00:00:00"/>
    <x v="4"/>
    <x v="8"/>
    <s v="ICN"/>
    <s v="Premium Economy"/>
    <n v="51"/>
    <n v="283.69"/>
    <n v="22"/>
    <s v="Delayed"/>
    <n v="14468.19"/>
    <s v="Mar"/>
    <n v="2025"/>
    <n v="14468.19"/>
    <s v="Minor Delay"/>
  </r>
  <r>
    <n v="4484"/>
    <d v="2025-09-05T00:00:00"/>
    <x v="1"/>
    <x v="5"/>
    <s v="SIN"/>
    <s v="Business"/>
    <n v="192"/>
    <n v="188.68"/>
    <n v="9"/>
    <s v="On Time"/>
    <n v="36226.559999999998"/>
    <s v="Sep"/>
    <n v="2025"/>
    <n v="36226.559999999998"/>
    <s v="Minor Delay"/>
  </r>
  <r>
    <n v="4485"/>
    <d v="2025-09-08T00:00:00"/>
    <x v="2"/>
    <x v="2"/>
    <s v="CJU"/>
    <s v="Business"/>
    <n v="214"/>
    <n v="223.25"/>
    <n v="0"/>
    <s v="On Time"/>
    <n v="47775.5"/>
    <s v="Sep"/>
    <n v="2025"/>
    <n v="47775.5"/>
    <s v="On Time"/>
  </r>
  <r>
    <n v="4486"/>
    <d v="2025-03-07T00:00:00"/>
    <x v="2"/>
    <x v="0"/>
    <s v="SIN"/>
    <s v="Premium Economy"/>
    <n v="171"/>
    <n v="760.79"/>
    <n v="28"/>
    <s v="On Time"/>
    <n v="130095.09"/>
    <s v="Mar"/>
    <n v="2025"/>
    <n v="130095.09"/>
    <s v="Minor Delay"/>
  </r>
  <r>
    <n v="4487"/>
    <d v="2025-05-28T00:00:00"/>
    <x v="2"/>
    <x v="4"/>
    <s v="GMP"/>
    <s v="Economy"/>
    <n v="96"/>
    <n v="732.76"/>
    <n v="10"/>
    <s v="Delayed"/>
    <n v="70344.960000000006"/>
    <s v="May"/>
    <n v="2025"/>
    <n v="70344.959999999992"/>
    <s v="Minor Delay"/>
  </r>
  <r>
    <n v="4488"/>
    <d v="2025-10-23T00:00:00"/>
    <x v="3"/>
    <x v="2"/>
    <s v="NRT"/>
    <s v="Economy"/>
    <n v="205"/>
    <n v="257.02999999999997"/>
    <n v="26"/>
    <s v="On Time"/>
    <n v="52691.15"/>
    <s v="Oct"/>
    <n v="2025"/>
    <n v="52691.149999999994"/>
    <s v="Minor Delay"/>
  </r>
  <r>
    <n v="4489"/>
    <d v="2025-02-05T00:00:00"/>
    <x v="4"/>
    <x v="5"/>
    <s v="PUS"/>
    <s v="Economy"/>
    <n v="289"/>
    <n v="534.83000000000004"/>
    <n v="25"/>
    <s v="Delayed"/>
    <n v="154565.87"/>
    <s v="Feb"/>
    <n v="2025"/>
    <n v="154565.87000000002"/>
    <s v="Minor Delay"/>
  </r>
  <r>
    <n v="4490"/>
    <d v="2025-08-12T00:00:00"/>
    <x v="0"/>
    <x v="2"/>
    <s v="ICN"/>
    <s v="Premium Economy"/>
    <n v="208"/>
    <n v="692.46"/>
    <n v="38"/>
    <s v="On Time"/>
    <n v="144031.67999999999"/>
    <s v="Aug"/>
    <n v="2025"/>
    <n v="144031.67999999999"/>
    <s v="Moderate Delay"/>
  </r>
  <r>
    <n v="4491"/>
    <d v="2025-05-28T00:00:00"/>
    <x v="2"/>
    <x v="3"/>
    <s v="CJU"/>
    <s v="Premium Economy"/>
    <n v="98"/>
    <n v="219.26"/>
    <n v="44"/>
    <s v="Delayed"/>
    <n v="21487.48"/>
    <s v="May"/>
    <n v="2025"/>
    <n v="21487.48"/>
    <s v="Moderate Delay"/>
  </r>
  <r>
    <n v="4492"/>
    <d v="2025-08-19T00:00:00"/>
    <x v="1"/>
    <x v="5"/>
    <s v="NRT"/>
    <s v="Business"/>
    <n v="203"/>
    <n v="141.13999999999999"/>
    <n v="0"/>
    <s v="Cancelled"/>
    <n v="28651.42"/>
    <s v="Aug"/>
    <n v="2025"/>
    <n v="28651.42"/>
    <s v="On Time"/>
  </r>
  <r>
    <n v="4493"/>
    <d v="2025-10-18T00:00:00"/>
    <x v="3"/>
    <x v="3"/>
    <s v="PUS"/>
    <s v="Premium Economy"/>
    <n v="130"/>
    <n v="401.85"/>
    <n v="73"/>
    <s v="Delayed"/>
    <n v="52240.5"/>
    <s v="Oct"/>
    <n v="2025"/>
    <n v="52240.5"/>
    <s v="Major Delay"/>
  </r>
  <r>
    <n v="4494"/>
    <d v="2025-08-04T00:00:00"/>
    <x v="3"/>
    <x v="0"/>
    <s v="CJU"/>
    <s v="Economy"/>
    <n v="95"/>
    <n v="84.86"/>
    <n v="0"/>
    <s v="Delayed"/>
    <n v="8061.7"/>
    <s v="Aug"/>
    <n v="2025"/>
    <n v="8061.7"/>
    <s v="On Time"/>
  </r>
  <r>
    <n v="4495"/>
    <d v="2025-11-03T00:00:00"/>
    <x v="1"/>
    <x v="1"/>
    <s v="KIX"/>
    <s v="Economy"/>
    <n v="50"/>
    <n v="590.67999999999995"/>
    <n v="28"/>
    <s v="On Time"/>
    <n v="29534"/>
    <s v="Nov"/>
    <n v="2025"/>
    <n v="29533.999999999996"/>
    <s v="Minor Delay"/>
  </r>
  <r>
    <n v="4496"/>
    <d v="2025-05-17T00:00:00"/>
    <x v="4"/>
    <x v="2"/>
    <s v="MNL"/>
    <s v="Premium Economy"/>
    <n v="103"/>
    <n v="669.55"/>
    <n v="6"/>
    <s v="On Time"/>
    <n v="68963.649999999994"/>
    <s v="May"/>
    <n v="2025"/>
    <n v="68963.649999999994"/>
    <s v="Minor Delay"/>
  </r>
  <r>
    <n v="4497"/>
    <d v="2025-05-10T00:00:00"/>
    <x v="0"/>
    <x v="1"/>
    <s v="GMP"/>
    <s v="Economy"/>
    <n v="226"/>
    <n v="622.51"/>
    <n v="22"/>
    <s v="On Time"/>
    <n v="140687.26"/>
    <s v="May"/>
    <n v="2025"/>
    <n v="140687.26"/>
    <s v="Minor Delay"/>
  </r>
  <r>
    <n v="4498"/>
    <d v="2025-08-15T00:00:00"/>
    <x v="2"/>
    <x v="7"/>
    <s v="PUS"/>
    <s v="Business"/>
    <n v="178"/>
    <n v="236.84"/>
    <n v="18"/>
    <s v="On Time"/>
    <n v="42157.52"/>
    <s v="Aug"/>
    <n v="2025"/>
    <n v="42157.520000000004"/>
    <s v="Minor Delay"/>
  </r>
  <r>
    <n v="4499"/>
    <d v="2025-11-18T00:00:00"/>
    <x v="5"/>
    <x v="6"/>
    <s v="ICN"/>
    <s v="Premium Economy"/>
    <n v="285"/>
    <n v="463.57"/>
    <n v="14"/>
    <s v="On Time"/>
    <n v="132117.45000000001"/>
    <s v="Nov"/>
    <n v="2025"/>
    <n v="132117.45000000001"/>
    <s v="Minor Delay"/>
  </r>
  <r>
    <n v="4500"/>
    <d v="2025-10-04T00:00:00"/>
    <x v="4"/>
    <x v="2"/>
    <s v="NRT"/>
    <s v="Economy"/>
    <n v="60"/>
    <n v="70.56"/>
    <n v="9"/>
    <s v="On Time"/>
    <n v="4233.6000000000004"/>
    <s v="Oct"/>
    <n v="2025"/>
    <n v="4233.6000000000004"/>
    <s v="Minor Delay"/>
  </r>
  <r>
    <n v="4501"/>
    <d v="2025-04-19T00:00:00"/>
    <x v="3"/>
    <x v="5"/>
    <s v="MNL"/>
    <s v="Economy"/>
    <n v="137"/>
    <n v="440.71"/>
    <n v="43"/>
    <s v="On Time"/>
    <n v="60377.27"/>
    <s v="Apr"/>
    <n v="2025"/>
    <n v="60377.27"/>
    <s v="Moderate Delay"/>
  </r>
  <r>
    <n v="4502"/>
    <d v="2025-05-26T00:00:00"/>
    <x v="2"/>
    <x v="8"/>
    <s v="KIX"/>
    <s v="Premium Economy"/>
    <n v="191"/>
    <n v="365.76"/>
    <n v="0"/>
    <s v="On Time"/>
    <n v="69860.160000000003"/>
    <s v="May"/>
    <n v="2025"/>
    <n v="69860.160000000003"/>
    <s v="On Time"/>
  </r>
  <r>
    <n v="4503"/>
    <d v="2025-08-25T00:00:00"/>
    <x v="3"/>
    <x v="6"/>
    <s v="NRT"/>
    <s v="Economy"/>
    <n v="111"/>
    <n v="274.08"/>
    <n v="31"/>
    <s v="On Time"/>
    <n v="30422.880000000001"/>
    <s v="Aug"/>
    <n v="2025"/>
    <n v="30422.879999999997"/>
    <s v="Moderate Delay"/>
  </r>
  <r>
    <n v="4504"/>
    <d v="2025-07-01T00:00:00"/>
    <x v="3"/>
    <x v="4"/>
    <s v="MNL"/>
    <s v="Business"/>
    <n v="155"/>
    <n v="693.2"/>
    <n v="0"/>
    <s v="On Time"/>
    <n v="107446"/>
    <s v="Jul"/>
    <n v="2025"/>
    <n v="107446"/>
    <s v="On Time"/>
  </r>
  <r>
    <n v="4505"/>
    <d v="2025-06-01T00:00:00"/>
    <x v="3"/>
    <x v="0"/>
    <s v="BKK"/>
    <s v="Premium Economy"/>
    <n v="238"/>
    <n v="208.52"/>
    <n v="35"/>
    <s v="On Time"/>
    <n v="49627.76"/>
    <s v="Jun"/>
    <n v="2025"/>
    <n v="49627.76"/>
    <s v="Moderate Delay"/>
  </r>
  <r>
    <n v="4506"/>
    <d v="2025-02-25T00:00:00"/>
    <x v="3"/>
    <x v="0"/>
    <s v="BKK"/>
    <s v="Premium Economy"/>
    <n v="151"/>
    <n v="480.97"/>
    <n v="34"/>
    <s v="On Time"/>
    <n v="72626.47"/>
    <s v="Feb"/>
    <n v="2025"/>
    <n v="72626.47"/>
    <s v="Moderate Delay"/>
  </r>
  <r>
    <n v="4507"/>
    <d v="2025-06-17T00:00:00"/>
    <x v="2"/>
    <x v="3"/>
    <s v="MNL"/>
    <s v="Economy"/>
    <n v="60"/>
    <n v="641.37"/>
    <n v="0"/>
    <s v="Delayed"/>
    <n v="38482.199999999997"/>
    <s v="Jun"/>
    <n v="2025"/>
    <n v="38482.199999999997"/>
    <s v="On Time"/>
  </r>
  <r>
    <n v="4508"/>
    <d v="2025-06-11T00:00:00"/>
    <x v="0"/>
    <x v="2"/>
    <s v="SIN"/>
    <s v="Economy"/>
    <n v="195"/>
    <n v="683.83"/>
    <n v="0"/>
    <s v="On Time"/>
    <n v="133346.85"/>
    <s v="Jun"/>
    <n v="2025"/>
    <n v="133346.85"/>
    <s v="On Time"/>
  </r>
  <r>
    <n v="4509"/>
    <d v="2025-11-23T00:00:00"/>
    <x v="0"/>
    <x v="6"/>
    <s v="NRT"/>
    <s v="Economy"/>
    <n v="52"/>
    <n v="477.33"/>
    <n v="41"/>
    <s v="On Time"/>
    <n v="24821.16"/>
    <s v="Nov"/>
    <n v="2025"/>
    <n v="24821.16"/>
    <s v="Moderate Delay"/>
  </r>
  <r>
    <n v="4510"/>
    <d v="2025-06-30T00:00:00"/>
    <x v="2"/>
    <x v="4"/>
    <s v="BKK"/>
    <s v="Business"/>
    <n v="212"/>
    <n v="332.52"/>
    <n v="67"/>
    <s v="On Time"/>
    <n v="70494.240000000005"/>
    <s v="Jun"/>
    <n v="2025"/>
    <n v="70494.239999999991"/>
    <s v="Major Delay"/>
  </r>
  <r>
    <n v="4511"/>
    <d v="2025-04-28T00:00:00"/>
    <x v="2"/>
    <x v="8"/>
    <s v="CJU"/>
    <s v="Premium Economy"/>
    <n v="155"/>
    <n v="93.35"/>
    <n v="32"/>
    <s v="On Time"/>
    <n v="14469.25"/>
    <s v="Apr"/>
    <n v="2025"/>
    <n v="14469.25"/>
    <s v="Moderate Delay"/>
  </r>
  <r>
    <n v="4512"/>
    <d v="2025-04-05T00:00:00"/>
    <x v="5"/>
    <x v="2"/>
    <s v="ICN"/>
    <s v="Premium Economy"/>
    <n v="61"/>
    <n v="463.39"/>
    <n v="25"/>
    <s v="On Time"/>
    <n v="28266.79"/>
    <s v="Apr"/>
    <n v="2025"/>
    <n v="28266.79"/>
    <s v="Minor Delay"/>
  </r>
  <r>
    <n v="4513"/>
    <d v="2025-04-02T00:00:00"/>
    <x v="5"/>
    <x v="8"/>
    <s v="CJU"/>
    <s v="Business"/>
    <n v="86"/>
    <n v="150.18"/>
    <n v="7"/>
    <s v="On Time"/>
    <n v="12915.48"/>
    <s v="Apr"/>
    <n v="2025"/>
    <n v="12915.480000000001"/>
    <s v="Minor Delay"/>
  </r>
  <r>
    <n v="4514"/>
    <d v="2025-12-10T00:00:00"/>
    <x v="0"/>
    <x v="7"/>
    <s v="KIX"/>
    <s v="Business"/>
    <n v="89"/>
    <n v="182.98"/>
    <n v="8"/>
    <s v="On Time"/>
    <n v="16285.22"/>
    <s v="Dec"/>
    <n v="2025"/>
    <n v="16285.22"/>
    <s v="Minor Delay"/>
  </r>
  <r>
    <n v="4515"/>
    <d v="2025-12-11T00:00:00"/>
    <x v="3"/>
    <x v="5"/>
    <s v="CJU"/>
    <s v="Premium Economy"/>
    <n v="195"/>
    <n v="351.65"/>
    <n v="33"/>
    <s v="On Time"/>
    <n v="68571.75"/>
    <s v="Dec"/>
    <n v="2025"/>
    <n v="68571.75"/>
    <s v="Moderate Delay"/>
  </r>
  <r>
    <n v="4516"/>
    <d v="2025-04-12T00:00:00"/>
    <x v="5"/>
    <x v="1"/>
    <s v="KIX"/>
    <s v="Economy"/>
    <n v="285"/>
    <n v="463.87"/>
    <n v="34"/>
    <s v="On Time"/>
    <n v="132202.95000000001"/>
    <s v="Apr"/>
    <n v="2025"/>
    <n v="132202.95000000001"/>
    <s v="Moderate Delay"/>
  </r>
  <r>
    <n v="4517"/>
    <d v="2025-09-13T00:00:00"/>
    <x v="2"/>
    <x v="2"/>
    <s v="KIX"/>
    <s v="Premium Economy"/>
    <n v="225"/>
    <n v="521.54"/>
    <n v="85"/>
    <s v="On Time"/>
    <n v="117346.5"/>
    <s v="Sep"/>
    <n v="2025"/>
    <n v="117346.49999999999"/>
    <s v="Major Delay"/>
  </r>
  <r>
    <n v="4518"/>
    <d v="2025-07-24T00:00:00"/>
    <x v="2"/>
    <x v="4"/>
    <s v="KIX"/>
    <s v="Premium Economy"/>
    <n v="146"/>
    <n v="509.6"/>
    <n v="41"/>
    <s v="On Time"/>
    <n v="74401.600000000006"/>
    <s v="Jul"/>
    <n v="2025"/>
    <n v="74401.600000000006"/>
    <s v="Moderate Delay"/>
  </r>
  <r>
    <n v="4519"/>
    <d v="2025-12-17T00:00:00"/>
    <x v="1"/>
    <x v="2"/>
    <s v="MNL"/>
    <s v="Business"/>
    <n v="297"/>
    <n v="478.15"/>
    <n v="9"/>
    <s v="On Time"/>
    <n v="142010.54999999999"/>
    <s v="Dec"/>
    <n v="2025"/>
    <n v="142010.54999999999"/>
    <s v="Minor Delay"/>
  </r>
  <r>
    <n v="4520"/>
    <d v="2025-09-29T00:00:00"/>
    <x v="4"/>
    <x v="3"/>
    <s v="ICN"/>
    <s v="Premium Economy"/>
    <n v="198"/>
    <n v="193.77"/>
    <n v="48"/>
    <s v="On Time"/>
    <n v="38366.46"/>
    <s v="Sep"/>
    <n v="2025"/>
    <n v="38366.46"/>
    <s v="Moderate Delay"/>
  </r>
  <r>
    <n v="4521"/>
    <d v="2025-10-20T00:00:00"/>
    <x v="2"/>
    <x v="1"/>
    <s v="CJU"/>
    <s v="Economy"/>
    <n v="146"/>
    <n v="341.44"/>
    <n v="20"/>
    <s v="Delayed"/>
    <n v="49850.239999999998"/>
    <s v="Oct"/>
    <n v="2025"/>
    <n v="49850.239999999998"/>
    <s v="Minor Delay"/>
  </r>
  <r>
    <n v="4522"/>
    <d v="2025-08-18T00:00:00"/>
    <x v="3"/>
    <x v="7"/>
    <s v="BKK"/>
    <s v="Economy"/>
    <n v="174"/>
    <n v="241.34"/>
    <n v="5"/>
    <s v="Delayed"/>
    <n v="41993.16"/>
    <s v="Aug"/>
    <n v="2025"/>
    <n v="41993.16"/>
    <s v="Minor Delay"/>
  </r>
  <r>
    <n v="4523"/>
    <d v="2025-08-31T00:00:00"/>
    <x v="1"/>
    <x v="1"/>
    <s v="CJU"/>
    <s v="Business"/>
    <n v="224"/>
    <n v="260.16000000000003"/>
    <n v="39"/>
    <s v="On Time"/>
    <n v="58275.839999999997"/>
    <s v="Aug"/>
    <n v="2025"/>
    <n v="58275.840000000004"/>
    <s v="Moderate Delay"/>
  </r>
  <r>
    <n v="4524"/>
    <d v="2025-08-09T00:00:00"/>
    <x v="2"/>
    <x v="4"/>
    <s v="KIX"/>
    <s v="Premium Economy"/>
    <n v="76"/>
    <n v="94.02"/>
    <n v="59"/>
    <s v="On Time"/>
    <n v="7145.52"/>
    <s v="Aug"/>
    <n v="2025"/>
    <n v="7145.5199999999995"/>
    <s v="Moderate Delay"/>
  </r>
  <r>
    <n v="4525"/>
    <d v="2025-02-14T00:00:00"/>
    <x v="5"/>
    <x v="4"/>
    <s v="MNL"/>
    <s v="Economy"/>
    <n v="300"/>
    <n v="340.04"/>
    <n v="4"/>
    <s v="Delayed"/>
    <n v="102012"/>
    <s v="Feb"/>
    <n v="2025"/>
    <n v="102012"/>
    <s v="Minor Delay"/>
  </r>
  <r>
    <n v="4526"/>
    <d v="2025-11-12T00:00:00"/>
    <x v="0"/>
    <x v="1"/>
    <s v="SIN"/>
    <s v="Premium Economy"/>
    <n v="298"/>
    <n v="245.43"/>
    <n v="18"/>
    <s v="Delayed"/>
    <n v="73138.14"/>
    <s v="Nov"/>
    <n v="2025"/>
    <n v="73138.14"/>
    <s v="Minor Delay"/>
  </r>
  <r>
    <n v="4527"/>
    <d v="2025-05-06T00:00:00"/>
    <x v="3"/>
    <x v="4"/>
    <s v="ICN"/>
    <s v="Business"/>
    <n v="223"/>
    <n v="732.72"/>
    <n v="0"/>
    <s v="On Time"/>
    <n v="163396.56"/>
    <s v="May"/>
    <n v="2025"/>
    <n v="163396.56"/>
    <s v="On Time"/>
  </r>
  <r>
    <n v="4528"/>
    <d v="2025-02-14T00:00:00"/>
    <x v="0"/>
    <x v="3"/>
    <s v="MNL"/>
    <s v="Business"/>
    <n v="126"/>
    <n v="262.07"/>
    <n v="43"/>
    <s v="Delayed"/>
    <n v="33020.82"/>
    <s v="Feb"/>
    <n v="2025"/>
    <n v="33020.82"/>
    <s v="Moderate Delay"/>
  </r>
  <r>
    <n v="4529"/>
    <d v="2025-12-23T00:00:00"/>
    <x v="3"/>
    <x v="6"/>
    <s v="PUS"/>
    <s v="Economy"/>
    <n v="272"/>
    <n v="135.11000000000001"/>
    <n v="20"/>
    <s v="On Time"/>
    <n v="36749.919999999998"/>
    <s v="Dec"/>
    <n v="2025"/>
    <n v="36749.920000000006"/>
    <s v="Minor Delay"/>
  </r>
  <r>
    <n v="4530"/>
    <d v="2025-08-29T00:00:00"/>
    <x v="2"/>
    <x v="2"/>
    <s v="KIX"/>
    <s v="Business"/>
    <n v="67"/>
    <n v="655.33000000000004"/>
    <n v="25"/>
    <s v="On Time"/>
    <n v="43907.11"/>
    <s v="Aug"/>
    <n v="2025"/>
    <n v="43907.11"/>
    <s v="Minor Delay"/>
  </r>
  <r>
    <n v="4531"/>
    <d v="2025-09-10T00:00:00"/>
    <x v="5"/>
    <x v="2"/>
    <s v="SIN"/>
    <s v="Economy"/>
    <n v="211"/>
    <n v="777.6"/>
    <n v="18"/>
    <s v="On Time"/>
    <n v="164073.60000000001"/>
    <s v="Sep"/>
    <n v="2025"/>
    <n v="164073.60000000001"/>
    <s v="Minor Delay"/>
  </r>
  <r>
    <n v="4532"/>
    <d v="2025-01-15T00:00:00"/>
    <x v="1"/>
    <x v="7"/>
    <s v="PUS"/>
    <s v="Premium Economy"/>
    <n v="105"/>
    <n v="130.88999999999999"/>
    <n v="19"/>
    <s v="On Time"/>
    <n v="13743.45"/>
    <s v="Jan"/>
    <n v="2025"/>
    <n v="13743.449999999999"/>
    <s v="Minor Delay"/>
  </r>
  <r>
    <n v="4533"/>
    <d v="2025-01-04T00:00:00"/>
    <x v="3"/>
    <x v="7"/>
    <s v="ICN"/>
    <s v="Economy"/>
    <n v="111"/>
    <n v="489.16"/>
    <n v="8"/>
    <s v="Delayed"/>
    <n v="54296.76"/>
    <s v="Jan"/>
    <n v="2025"/>
    <n v="54296.76"/>
    <s v="Minor Delay"/>
  </r>
  <r>
    <n v="4534"/>
    <d v="2025-11-23T00:00:00"/>
    <x v="3"/>
    <x v="2"/>
    <s v="MNL"/>
    <s v="Economy"/>
    <n v="223"/>
    <n v="109.26"/>
    <n v="33"/>
    <s v="On Time"/>
    <n v="24364.98"/>
    <s v="Nov"/>
    <n v="2025"/>
    <n v="24364.98"/>
    <s v="Moderate Delay"/>
  </r>
  <r>
    <n v="4535"/>
    <d v="2025-02-10T00:00:00"/>
    <x v="0"/>
    <x v="6"/>
    <s v="CJU"/>
    <s v="Premium Economy"/>
    <n v="61"/>
    <n v="195.86"/>
    <n v="44"/>
    <s v="On Time"/>
    <n v="11947.46"/>
    <s v="Feb"/>
    <n v="2025"/>
    <n v="11947.460000000001"/>
    <s v="Moderate Delay"/>
  </r>
  <r>
    <n v="4536"/>
    <d v="2025-02-27T00:00:00"/>
    <x v="0"/>
    <x v="7"/>
    <s v="ICN"/>
    <s v="Business"/>
    <n v="139"/>
    <n v="507.25"/>
    <n v="43"/>
    <s v="Delayed"/>
    <n v="70507.75"/>
    <s v="Feb"/>
    <n v="2025"/>
    <n v="70507.75"/>
    <s v="Moderate Delay"/>
  </r>
  <r>
    <n v="4537"/>
    <d v="2025-12-06T00:00:00"/>
    <x v="2"/>
    <x v="2"/>
    <s v="GMP"/>
    <s v="Premium Economy"/>
    <n v="212"/>
    <n v="296.95"/>
    <n v="51"/>
    <s v="On Time"/>
    <n v="62953.4"/>
    <s v="Dec"/>
    <n v="2025"/>
    <n v="62953.399999999994"/>
    <s v="Moderate Delay"/>
  </r>
  <r>
    <n v="4538"/>
    <d v="2025-12-02T00:00:00"/>
    <x v="5"/>
    <x v="5"/>
    <s v="CJU"/>
    <s v="Business"/>
    <n v="242"/>
    <n v="614.02"/>
    <n v="0"/>
    <s v="Delayed"/>
    <n v="148592.84"/>
    <s v="Dec"/>
    <n v="2025"/>
    <n v="148592.84"/>
    <s v="On Time"/>
  </r>
  <r>
    <n v="4539"/>
    <d v="2025-04-19T00:00:00"/>
    <x v="0"/>
    <x v="1"/>
    <s v="KIX"/>
    <s v="Premium Economy"/>
    <n v="267"/>
    <n v="288.58999999999997"/>
    <n v="25"/>
    <s v="On Time"/>
    <n v="77053.53"/>
    <s v="Apr"/>
    <n v="2025"/>
    <n v="77053.53"/>
    <s v="Minor Delay"/>
  </r>
  <r>
    <n v="4540"/>
    <d v="2025-02-28T00:00:00"/>
    <x v="4"/>
    <x v="6"/>
    <s v="MNL"/>
    <s v="Economy"/>
    <n v="130"/>
    <n v="270.66000000000003"/>
    <n v="96"/>
    <s v="On Time"/>
    <n v="35185.800000000003"/>
    <s v="Feb"/>
    <n v="2025"/>
    <n v="35185.800000000003"/>
    <s v="Major Delay"/>
  </r>
  <r>
    <n v="4541"/>
    <d v="2025-02-28T00:00:00"/>
    <x v="2"/>
    <x v="1"/>
    <s v="GMP"/>
    <s v="Business"/>
    <n v="64"/>
    <n v="724.45"/>
    <n v="9"/>
    <s v="On Time"/>
    <n v="46364.800000000003"/>
    <s v="Feb"/>
    <n v="2025"/>
    <n v="46364.800000000003"/>
    <s v="Minor Delay"/>
  </r>
  <r>
    <n v="4542"/>
    <d v="2025-01-17T00:00:00"/>
    <x v="4"/>
    <x v="7"/>
    <s v="PUS"/>
    <s v="Economy"/>
    <n v="61"/>
    <n v="521.20000000000005"/>
    <n v="0"/>
    <s v="On Time"/>
    <n v="31793.200000000001"/>
    <s v="Jan"/>
    <n v="2025"/>
    <n v="31793.200000000004"/>
    <s v="On Time"/>
  </r>
  <r>
    <n v="4543"/>
    <d v="2025-10-07T00:00:00"/>
    <x v="3"/>
    <x v="6"/>
    <s v="ICN"/>
    <s v="Economy"/>
    <n v="122"/>
    <n v="524.04999999999995"/>
    <n v="8"/>
    <s v="Delayed"/>
    <n v="63934.1"/>
    <s v="Oct"/>
    <n v="2025"/>
    <n v="63934.099999999991"/>
    <s v="Minor Delay"/>
  </r>
  <r>
    <n v="4544"/>
    <d v="2025-07-14T00:00:00"/>
    <x v="3"/>
    <x v="7"/>
    <s v="GMP"/>
    <s v="Business"/>
    <n v="53"/>
    <n v="78.510000000000005"/>
    <n v="14"/>
    <s v="Delayed"/>
    <n v="4161.03"/>
    <s v="Jul"/>
    <n v="2025"/>
    <n v="4161.0300000000007"/>
    <s v="Minor Delay"/>
  </r>
  <r>
    <n v="4545"/>
    <d v="2025-05-16T00:00:00"/>
    <x v="3"/>
    <x v="2"/>
    <s v="CJU"/>
    <s v="Economy"/>
    <n v="189"/>
    <n v="232.74"/>
    <n v="2"/>
    <s v="On Time"/>
    <n v="43987.86"/>
    <s v="May"/>
    <n v="2025"/>
    <n v="43987.86"/>
    <s v="Minor Delay"/>
  </r>
  <r>
    <n v="4546"/>
    <d v="2025-03-24T00:00:00"/>
    <x v="4"/>
    <x v="8"/>
    <s v="BKK"/>
    <s v="Economy"/>
    <n v="217"/>
    <n v="703.02"/>
    <n v="0"/>
    <s v="Delayed"/>
    <n v="152555.34"/>
    <s v="Mar"/>
    <n v="2025"/>
    <n v="152555.34"/>
    <s v="On Time"/>
  </r>
  <r>
    <n v="4547"/>
    <d v="2025-02-27T00:00:00"/>
    <x v="1"/>
    <x v="0"/>
    <s v="NRT"/>
    <s v="Premium Economy"/>
    <n v="169"/>
    <n v="477.36"/>
    <n v="17"/>
    <s v="Delayed"/>
    <n v="80673.84"/>
    <s v="Feb"/>
    <n v="2025"/>
    <n v="80673.84"/>
    <s v="Minor Delay"/>
  </r>
  <r>
    <n v="4548"/>
    <d v="2025-07-17T00:00:00"/>
    <x v="2"/>
    <x v="2"/>
    <s v="CJU"/>
    <s v="Business"/>
    <n v="56"/>
    <n v="135.12"/>
    <n v="5"/>
    <s v="On Time"/>
    <n v="7566.72"/>
    <s v="Jul"/>
    <n v="2025"/>
    <n v="7566.72"/>
    <s v="Minor Delay"/>
  </r>
  <r>
    <n v="4549"/>
    <d v="2025-09-16T00:00:00"/>
    <x v="1"/>
    <x v="1"/>
    <s v="SIN"/>
    <s v="Economy"/>
    <n v="255"/>
    <n v="380.42"/>
    <n v="59"/>
    <s v="On Time"/>
    <n v="97007.1"/>
    <s v="Sep"/>
    <n v="2025"/>
    <n v="97007.1"/>
    <s v="Moderate Delay"/>
  </r>
  <r>
    <n v="4550"/>
    <d v="2025-11-03T00:00:00"/>
    <x v="1"/>
    <x v="1"/>
    <s v="CJU"/>
    <s v="Economy"/>
    <n v="131"/>
    <n v="130.93"/>
    <n v="0"/>
    <s v="On Time"/>
    <n v="17151.830000000002"/>
    <s v="Nov"/>
    <n v="2025"/>
    <n v="17151.830000000002"/>
    <s v="On Time"/>
  </r>
  <r>
    <n v="4551"/>
    <d v="2025-03-28T00:00:00"/>
    <x v="2"/>
    <x v="1"/>
    <s v="NRT"/>
    <s v="Premium Economy"/>
    <n v="109"/>
    <n v="636.99"/>
    <n v="23"/>
    <s v="On Time"/>
    <n v="69431.91"/>
    <s v="Mar"/>
    <n v="2025"/>
    <n v="69431.91"/>
    <s v="Minor Delay"/>
  </r>
  <r>
    <n v="4552"/>
    <d v="2025-12-18T00:00:00"/>
    <x v="4"/>
    <x v="0"/>
    <s v="SIN"/>
    <s v="Economy"/>
    <n v="214"/>
    <n v="694.28"/>
    <n v="26"/>
    <s v="On Time"/>
    <n v="148575.92000000001"/>
    <s v="Dec"/>
    <n v="2025"/>
    <n v="148575.91999999998"/>
    <s v="Minor Delay"/>
  </r>
  <r>
    <n v="4553"/>
    <d v="2025-04-12T00:00:00"/>
    <x v="1"/>
    <x v="5"/>
    <s v="BKK"/>
    <s v="Business"/>
    <n v="183"/>
    <n v="267.95"/>
    <n v="53"/>
    <s v="On Time"/>
    <n v="49034.85"/>
    <s v="Apr"/>
    <n v="2025"/>
    <n v="49034.85"/>
    <s v="Moderate Delay"/>
  </r>
  <r>
    <n v="4554"/>
    <d v="2025-01-02T00:00:00"/>
    <x v="5"/>
    <x v="3"/>
    <s v="BKK"/>
    <s v="Premium Economy"/>
    <n v="178"/>
    <n v="296.73"/>
    <n v="36"/>
    <s v="On Time"/>
    <n v="52817.94"/>
    <s v="Jan"/>
    <n v="2025"/>
    <n v="52817.94"/>
    <s v="Moderate Delay"/>
  </r>
  <r>
    <n v="4555"/>
    <d v="2025-08-17T00:00:00"/>
    <x v="1"/>
    <x v="1"/>
    <s v="SIN"/>
    <s v="Economy"/>
    <n v="250"/>
    <n v="427.46"/>
    <n v="19"/>
    <s v="On Time"/>
    <n v="106865"/>
    <s v="Aug"/>
    <n v="2025"/>
    <n v="106865"/>
    <s v="Minor Delay"/>
  </r>
  <r>
    <n v="4556"/>
    <d v="2025-01-13T00:00:00"/>
    <x v="3"/>
    <x v="5"/>
    <s v="NRT"/>
    <s v="Premium Economy"/>
    <n v="150"/>
    <n v="261.73"/>
    <n v="47"/>
    <s v="On Time"/>
    <n v="39259.5"/>
    <s v="Jan"/>
    <n v="2025"/>
    <n v="39259.5"/>
    <s v="Moderate Delay"/>
  </r>
  <r>
    <n v="4557"/>
    <d v="2025-09-19T00:00:00"/>
    <x v="0"/>
    <x v="5"/>
    <s v="BKK"/>
    <s v="Premium Economy"/>
    <n v="133"/>
    <n v="591.24"/>
    <n v="49"/>
    <s v="On Time"/>
    <n v="78634.92"/>
    <s v="Sep"/>
    <n v="2025"/>
    <n v="78634.92"/>
    <s v="Moderate Delay"/>
  </r>
  <r>
    <n v="4558"/>
    <d v="2025-11-25T00:00:00"/>
    <x v="5"/>
    <x v="7"/>
    <s v="SIN"/>
    <s v="Premium Economy"/>
    <n v="112"/>
    <n v="748.09"/>
    <n v="21"/>
    <s v="On Time"/>
    <n v="83786.080000000002"/>
    <s v="Nov"/>
    <n v="2025"/>
    <n v="83786.080000000002"/>
    <s v="Minor Delay"/>
  </r>
  <r>
    <n v="4559"/>
    <d v="2025-03-02T00:00:00"/>
    <x v="3"/>
    <x v="7"/>
    <s v="ICN"/>
    <s v="Business"/>
    <n v="282"/>
    <n v="234.83"/>
    <n v="31"/>
    <s v="On Time"/>
    <n v="66222.06"/>
    <s v="Mar"/>
    <n v="2025"/>
    <n v="66222.06"/>
    <s v="Moderate Delay"/>
  </r>
  <r>
    <n v="4560"/>
    <d v="2025-05-11T00:00:00"/>
    <x v="1"/>
    <x v="0"/>
    <s v="NRT"/>
    <s v="Premium Economy"/>
    <n v="279"/>
    <n v="204.63"/>
    <n v="20"/>
    <s v="On Time"/>
    <n v="57091.77"/>
    <s v="May"/>
    <n v="2025"/>
    <n v="57091.77"/>
    <s v="Minor Delay"/>
  </r>
  <r>
    <n v="4561"/>
    <d v="2025-11-13T00:00:00"/>
    <x v="5"/>
    <x v="5"/>
    <s v="CJU"/>
    <s v="Economy"/>
    <n v="143"/>
    <n v="81.81"/>
    <n v="11"/>
    <s v="On Time"/>
    <n v="11698.83"/>
    <s v="Nov"/>
    <n v="2025"/>
    <n v="11698.83"/>
    <s v="Minor Delay"/>
  </r>
  <r>
    <n v="4562"/>
    <d v="2025-09-01T00:00:00"/>
    <x v="1"/>
    <x v="8"/>
    <s v="NRT"/>
    <s v="Business"/>
    <n v="72"/>
    <n v="401.06"/>
    <n v="43"/>
    <s v="On Time"/>
    <n v="28876.32"/>
    <s v="Sep"/>
    <n v="2025"/>
    <n v="28876.32"/>
    <s v="Moderate Delay"/>
  </r>
  <r>
    <n v="4563"/>
    <d v="2025-08-14T00:00:00"/>
    <x v="5"/>
    <x v="4"/>
    <s v="BKK"/>
    <s v="Premium Economy"/>
    <n v="283"/>
    <n v="437.56"/>
    <n v="6"/>
    <s v="On Time"/>
    <n v="123829.48"/>
    <s v="Aug"/>
    <n v="2025"/>
    <n v="123829.48"/>
    <s v="Minor Delay"/>
  </r>
  <r>
    <n v="4564"/>
    <d v="2025-01-29T00:00:00"/>
    <x v="2"/>
    <x v="7"/>
    <s v="KIX"/>
    <s v="Business"/>
    <n v="219"/>
    <n v="507.08"/>
    <n v="29"/>
    <s v="On Time"/>
    <n v="111050.52"/>
    <s v="Jan"/>
    <n v="2025"/>
    <n v="111050.51999999999"/>
    <s v="Minor Delay"/>
  </r>
  <r>
    <n v="4565"/>
    <d v="2025-05-07T00:00:00"/>
    <x v="5"/>
    <x v="4"/>
    <s v="GMP"/>
    <s v="Business"/>
    <n v="183"/>
    <n v="149.15"/>
    <n v="31"/>
    <s v="Cancelled"/>
    <n v="27294.45"/>
    <s v="May"/>
    <n v="2025"/>
    <n v="27294.45"/>
    <s v="Moderate Delay"/>
  </r>
  <r>
    <n v="4566"/>
    <d v="2025-12-24T00:00:00"/>
    <x v="2"/>
    <x v="4"/>
    <s v="BKK"/>
    <s v="Premium Economy"/>
    <n v="253"/>
    <n v="574.45000000000005"/>
    <n v="24"/>
    <s v="On Time"/>
    <n v="145335.85"/>
    <s v="Dec"/>
    <n v="2025"/>
    <n v="145335.85"/>
    <s v="Minor Delay"/>
  </r>
  <r>
    <n v="4567"/>
    <d v="2025-10-27T00:00:00"/>
    <x v="4"/>
    <x v="1"/>
    <s v="GMP"/>
    <s v="Economy"/>
    <n v="118"/>
    <n v="477.73"/>
    <n v="19"/>
    <s v="On Time"/>
    <n v="56372.14"/>
    <s v="Oct"/>
    <n v="2025"/>
    <n v="56372.14"/>
    <s v="Minor Delay"/>
  </r>
  <r>
    <n v="4568"/>
    <d v="2025-08-19T00:00:00"/>
    <x v="2"/>
    <x v="7"/>
    <s v="GMP"/>
    <s v="Premium Economy"/>
    <n v="134"/>
    <n v="115.58"/>
    <n v="8"/>
    <s v="Delayed"/>
    <n v="15487.72"/>
    <s v="Aug"/>
    <n v="2025"/>
    <n v="15487.72"/>
    <s v="Minor Delay"/>
  </r>
  <r>
    <n v="4569"/>
    <d v="2025-03-08T00:00:00"/>
    <x v="0"/>
    <x v="8"/>
    <s v="ICN"/>
    <s v="Business"/>
    <n v="102"/>
    <n v="470.79"/>
    <n v="19"/>
    <s v="Delayed"/>
    <n v="48020.58"/>
    <s v="Mar"/>
    <n v="2025"/>
    <n v="48020.58"/>
    <s v="Minor Delay"/>
  </r>
  <r>
    <n v="4570"/>
    <d v="2025-09-16T00:00:00"/>
    <x v="0"/>
    <x v="4"/>
    <s v="SIN"/>
    <s v="Premium Economy"/>
    <n v="167"/>
    <n v="546.27"/>
    <n v="92"/>
    <s v="On Time"/>
    <n v="91227.09"/>
    <s v="Sep"/>
    <n v="2025"/>
    <n v="91227.09"/>
    <s v="Major Delay"/>
  </r>
  <r>
    <n v="4571"/>
    <d v="2025-01-31T00:00:00"/>
    <x v="5"/>
    <x v="2"/>
    <s v="CJU"/>
    <s v="Premium Economy"/>
    <n v="212"/>
    <n v="495.16"/>
    <n v="8"/>
    <s v="On Time"/>
    <n v="104973.92"/>
    <s v="Jan"/>
    <n v="2025"/>
    <n v="104973.92"/>
    <s v="Minor Delay"/>
  </r>
  <r>
    <n v="4572"/>
    <d v="2025-05-01T00:00:00"/>
    <x v="4"/>
    <x v="6"/>
    <s v="MNL"/>
    <s v="Business"/>
    <n v="178"/>
    <n v="429.15"/>
    <n v="0"/>
    <s v="Delayed"/>
    <n v="76388.7"/>
    <s v="May"/>
    <n v="2025"/>
    <n v="76388.7"/>
    <s v="On Time"/>
  </r>
  <r>
    <n v="4573"/>
    <d v="2025-04-21T00:00:00"/>
    <x v="3"/>
    <x v="7"/>
    <s v="NRT"/>
    <s v="Business"/>
    <n v="136"/>
    <n v="578.42999999999995"/>
    <n v="47"/>
    <s v="On Time"/>
    <n v="78666.48"/>
    <s v="Apr"/>
    <n v="2025"/>
    <n v="78666.48"/>
    <s v="Moderate Delay"/>
  </r>
  <r>
    <n v="4574"/>
    <d v="2025-11-10T00:00:00"/>
    <x v="0"/>
    <x v="4"/>
    <s v="ICN"/>
    <s v="Business"/>
    <n v="178"/>
    <n v="356.65"/>
    <n v="0"/>
    <s v="On Time"/>
    <n v="63483.7"/>
    <s v="Nov"/>
    <n v="2025"/>
    <n v="63483.7"/>
    <s v="On Time"/>
  </r>
  <r>
    <n v="4575"/>
    <d v="2025-07-16T00:00:00"/>
    <x v="4"/>
    <x v="6"/>
    <s v="NRT"/>
    <s v="Business"/>
    <n v="123"/>
    <n v="257.26"/>
    <n v="11"/>
    <s v="On Time"/>
    <n v="31642.98"/>
    <s v="Jul"/>
    <n v="2025"/>
    <n v="31642.98"/>
    <s v="Minor Delay"/>
  </r>
  <r>
    <n v="4576"/>
    <d v="2025-12-13T00:00:00"/>
    <x v="4"/>
    <x v="3"/>
    <s v="MNL"/>
    <s v="Economy"/>
    <n v="231"/>
    <n v="237.41"/>
    <n v="3"/>
    <s v="On Time"/>
    <n v="54841.71"/>
    <s v="Dec"/>
    <n v="2025"/>
    <n v="54841.71"/>
    <s v="Minor Delay"/>
  </r>
  <r>
    <n v="4577"/>
    <d v="2025-12-05T00:00:00"/>
    <x v="2"/>
    <x v="6"/>
    <s v="BKK"/>
    <s v="Premium Economy"/>
    <n v="92"/>
    <n v="643.89"/>
    <n v="30"/>
    <s v="Delayed"/>
    <n v="59237.88"/>
    <s v="Dec"/>
    <n v="2025"/>
    <n v="59237.88"/>
    <s v="Minor Delay"/>
  </r>
  <r>
    <n v="4578"/>
    <d v="2025-06-09T00:00:00"/>
    <x v="1"/>
    <x v="2"/>
    <s v="NRT"/>
    <s v="Premium Economy"/>
    <n v="211"/>
    <n v="176.95"/>
    <n v="35"/>
    <s v="Delayed"/>
    <n v="37336.449999999997"/>
    <s v="Jun"/>
    <n v="2025"/>
    <n v="37336.449999999997"/>
    <s v="Moderate Delay"/>
  </r>
  <r>
    <n v="4579"/>
    <d v="2025-04-10T00:00:00"/>
    <x v="0"/>
    <x v="1"/>
    <s v="MNL"/>
    <s v="Premium Economy"/>
    <n v="249"/>
    <n v="103.73"/>
    <n v="16"/>
    <s v="On Time"/>
    <n v="25828.77"/>
    <s v="Apr"/>
    <n v="2025"/>
    <n v="25828.77"/>
    <s v="Minor Delay"/>
  </r>
  <r>
    <n v="4580"/>
    <d v="2025-05-11T00:00:00"/>
    <x v="3"/>
    <x v="1"/>
    <s v="PUS"/>
    <s v="Premium Economy"/>
    <n v="95"/>
    <n v="779.5"/>
    <n v="71"/>
    <s v="On Time"/>
    <n v="74052.5"/>
    <s v="May"/>
    <n v="2025"/>
    <n v="74052.5"/>
    <s v="Major Delay"/>
  </r>
  <r>
    <n v="4581"/>
    <d v="2025-09-28T00:00:00"/>
    <x v="5"/>
    <x v="1"/>
    <s v="CJU"/>
    <s v="Premium Economy"/>
    <n v="96"/>
    <n v="716.3"/>
    <n v="29"/>
    <s v="On Time"/>
    <n v="68764.800000000003"/>
    <s v="Sep"/>
    <n v="2025"/>
    <n v="68764.799999999988"/>
    <s v="Minor Delay"/>
  </r>
  <r>
    <n v="4582"/>
    <d v="2025-07-05T00:00:00"/>
    <x v="3"/>
    <x v="4"/>
    <s v="BKK"/>
    <s v="Economy"/>
    <n v="239"/>
    <n v="731.74"/>
    <n v="46"/>
    <s v="On Time"/>
    <n v="174885.86"/>
    <s v="Jul"/>
    <n v="2025"/>
    <n v="174885.86000000002"/>
    <s v="Moderate Delay"/>
  </r>
  <r>
    <n v="4583"/>
    <d v="2025-05-19T00:00:00"/>
    <x v="4"/>
    <x v="4"/>
    <s v="PUS"/>
    <s v="Economy"/>
    <n v="71"/>
    <n v="117.35"/>
    <n v="0"/>
    <s v="On Time"/>
    <n v="8331.85"/>
    <s v="May"/>
    <n v="2025"/>
    <n v="8331.85"/>
    <s v="On Time"/>
  </r>
  <r>
    <n v="4584"/>
    <d v="2025-09-02T00:00:00"/>
    <x v="3"/>
    <x v="4"/>
    <s v="BKK"/>
    <s v="Premium Economy"/>
    <n v="92"/>
    <n v="626.33000000000004"/>
    <n v="24"/>
    <s v="On Time"/>
    <n v="57622.36"/>
    <s v="Sep"/>
    <n v="2025"/>
    <n v="57622.36"/>
    <s v="Minor Delay"/>
  </r>
  <r>
    <n v="4585"/>
    <d v="2025-04-02T00:00:00"/>
    <x v="3"/>
    <x v="6"/>
    <s v="NRT"/>
    <s v="Premium Economy"/>
    <n v="146"/>
    <n v="235.85"/>
    <n v="38"/>
    <s v="On Time"/>
    <n v="34434.1"/>
    <s v="Apr"/>
    <n v="2025"/>
    <n v="34434.1"/>
    <s v="Moderate Delay"/>
  </r>
  <r>
    <n v="4586"/>
    <d v="2025-07-28T00:00:00"/>
    <x v="4"/>
    <x v="0"/>
    <s v="CJU"/>
    <s v="Premium Economy"/>
    <n v="214"/>
    <n v="511.73"/>
    <n v="35"/>
    <s v="Delayed"/>
    <n v="109510.22"/>
    <s v="Jul"/>
    <n v="2025"/>
    <n v="109510.22"/>
    <s v="Moderate Delay"/>
  </r>
  <r>
    <n v="4587"/>
    <d v="2025-04-02T00:00:00"/>
    <x v="5"/>
    <x v="1"/>
    <s v="NRT"/>
    <s v="Business"/>
    <n v="274"/>
    <n v="430.82"/>
    <n v="2"/>
    <s v="On Time"/>
    <n v="118044.68"/>
    <s v="Apr"/>
    <n v="2025"/>
    <n v="118044.68"/>
    <s v="Minor Delay"/>
  </r>
  <r>
    <n v="4588"/>
    <d v="2025-11-30T00:00:00"/>
    <x v="5"/>
    <x v="3"/>
    <s v="PUS"/>
    <s v="Business"/>
    <n v="185"/>
    <n v="712.79"/>
    <n v="26"/>
    <s v="On Time"/>
    <n v="131866.15"/>
    <s v="Nov"/>
    <n v="2025"/>
    <n v="131866.15"/>
    <s v="Minor Delay"/>
  </r>
  <r>
    <n v="4589"/>
    <d v="2025-05-03T00:00:00"/>
    <x v="1"/>
    <x v="0"/>
    <s v="BKK"/>
    <s v="Economy"/>
    <n v="168"/>
    <n v="293.89999999999998"/>
    <n v="37"/>
    <s v="Delayed"/>
    <n v="49375.199999999997"/>
    <s v="May"/>
    <n v="2025"/>
    <n v="49375.199999999997"/>
    <s v="Moderate Delay"/>
  </r>
  <r>
    <n v="4590"/>
    <d v="2025-05-23T00:00:00"/>
    <x v="2"/>
    <x v="0"/>
    <s v="NRT"/>
    <s v="Business"/>
    <n v="95"/>
    <n v="738.88"/>
    <n v="36"/>
    <s v="Delayed"/>
    <n v="70193.600000000006"/>
    <s v="May"/>
    <n v="2025"/>
    <n v="70193.600000000006"/>
    <s v="Moderate Delay"/>
  </r>
  <r>
    <n v="4591"/>
    <d v="2025-08-27T00:00:00"/>
    <x v="5"/>
    <x v="5"/>
    <s v="BKK"/>
    <s v="Economy"/>
    <n v="116"/>
    <n v="299.97000000000003"/>
    <n v="23"/>
    <s v="On Time"/>
    <n v="34796.519999999997"/>
    <s v="Aug"/>
    <n v="2025"/>
    <n v="34796.520000000004"/>
    <s v="Minor Delay"/>
  </r>
  <r>
    <n v="4592"/>
    <d v="2025-05-09T00:00:00"/>
    <x v="2"/>
    <x v="0"/>
    <s v="PUS"/>
    <s v="Premium Economy"/>
    <n v="281"/>
    <n v="763.11"/>
    <n v="29"/>
    <s v="On Time"/>
    <n v="214433.91"/>
    <s v="May"/>
    <n v="2025"/>
    <n v="214433.91"/>
    <s v="Minor Delay"/>
  </r>
  <r>
    <n v="4593"/>
    <d v="2025-03-28T00:00:00"/>
    <x v="4"/>
    <x v="6"/>
    <s v="BKK"/>
    <s v="Economy"/>
    <n v="240"/>
    <n v="95.11"/>
    <n v="23"/>
    <s v="On Time"/>
    <n v="22826.400000000001"/>
    <s v="Mar"/>
    <n v="2025"/>
    <n v="22826.400000000001"/>
    <s v="Minor Delay"/>
  </r>
  <r>
    <n v="4594"/>
    <d v="2025-08-06T00:00:00"/>
    <x v="2"/>
    <x v="1"/>
    <s v="ICN"/>
    <s v="Business"/>
    <n v="240"/>
    <n v="496.85"/>
    <n v="11"/>
    <s v="On Time"/>
    <n v="119244"/>
    <s v="Aug"/>
    <n v="2025"/>
    <n v="119244"/>
    <s v="Minor Delay"/>
  </r>
  <r>
    <n v="4595"/>
    <d v="2025-11-01T00:00:00"/>
    <x v="3"/>
    <x v="5"/>
    <s v="MNL"/>
    <s v="Premium Economy"/>
    <n v="112"/>
    <n v="614.96"/>
    <n v="49"/>
    <s v="Delayed"/>
    <n v="68875.520000000004"/>
    <s v="Nov"/>
    <n v="2025"/>
    <n v="68875.520000000004"/>
    <s v="Moderate Delay"/>
  </r>
  <r>
    <n v="4596"/>
    <d v="2025-09-23T00:00:00"/>
    <x v="2"/>
    <x v="7"/>
    <s v="GMP"/>
    <s v="Business"/>
    <n v="294"/>
    <n v="578.04"/>
    <n v="2"/>
    <s v="On Time"/>
    <n v="169943.76"/>
    <s v="Sep"/>
    <n v="2025"/>
    <n v="169943.75999999998"/>
    <s v="Minor Delay"/>
  </r>
  <r>
    <n v="4597"/>
    <d v="2025-08-06T00:00:00"/>
    <x v="1"/>
    <x v="3"/>
    <s v="ICN"/>
    <s v="Premium Economy"/>
    <n v="162"/>
    <n v="121.81"/>
    <n v="9"/>
    <s v="Delayed"/>
    <n v="19733.22"/>
    <s v="Aug"/>
    <n v="2025"/>
    <n v="19733.22"/>
    <s v="Minor Delay"/>
  </r>
  <r>
    <n v="4598"/>
    <d v="2025-03-13T00:00:00"/>
    <x v="3"/>
    <x v="3"/>
    <s v="ICN"/>
    <s v="Economy"/>
    <n v="70"/>
    <n v="367.33"/>
    <n v="14"/>
    <s v="On Time"/>
    <n v="25713.1"/>
    <s v="Mar"/>
    <n v="2025"/>
    <n v="25713.1"/>
    <s v="Minor Delay"/>
  </r>
  <r>
    <n v="4599"/>
    <d v="2025-04-06T00:00:00"/>
    <x v="2"/>
    <x v="4"/>
    <s v="ICN"/>
    <s v="Economy"/>
    <n v="192"/>
    <n v="746.98"/>
    <n v="1"/>
    <s v="Cancelled"/>
    <n v="143420.16"/>
    <s v="Apr"/>
    <n v="2025"/>
    <n v="143420.16"/>
    <s v="Minor Delay"/>
  </r>
  <r>
    <n v="4600"/>
    <d v="2025-11-24T00:00:00"/>
    <x v="0"/>
    <x v="6"/>
    <s v="PUS"/>
    <s v="Economy"/>
    <n v="286"/>
    <n v="187.76"/>
    <n v="2"/>
    <s v="On Time"/>
    <n v="53699.360000000001"/>
    <s v="Nov"/>
    <n v="2025"/>
    <n v="53699.360000000001"/>
    <s v="Minor Delay"/>
  </r>
  <r>
    <n v="4601"/>
    <d v="2025-12-26T00:00:00"/>
    <x v="5"/>
    <x v="0"/>
    <s v="KIX"/>
    <s v="Business"/>
    <n v="125"/>
    <n v="164.35"/>
    <n v="47"/>
    <s v="On Time"/>
    <n v="20543.75"/>
    <s v="Dec"/>
    <n v="2025"/>
    <n v="20543.75"/>
    <s v="Moderate Delay"/>
  </r>
  <r>
    <n v="4602"/>
    <d v="2025-09-16T00:00:00"/>
    <x v="4"/>
    <x v="1"/>
    <s v="SIN"/>
    <s v="Economy"/>
    <n v="58"/>
    <n v="749.26"/>
    <n v="26"/>
    <s v="On Time"/>
    <n v="43457.08"/>
    <s v="Sep"/>
    <n v="2025"/>
    <n v="43457.08"/>
    <s v="Minor Delay"/>
  </r>
  <r>
    <n v="4603"/>
    <d v="2025-05-23T00:00:00"/>
    <x v="4"/>
    <x v="4"/>
    <s v="GMP"/>
    <s v="Economy"/>
    <n v="115"/>
    <n v="350.27"/>
    <n v="8"/>
    <s v="On Time"/>
    <n v="40281.050000000003"/>
    <s v="May"/>
    <n v="2025"/>
    <n v="40281.049999999996"/>
    <s v="Minor Delay"/>
  </r>
  <r>
    <n v="4604"/>
    <d v="2025-02-04T00:00:00"/>
    <x v="3"/>
    <x v="2"/>
    <s v="MNL"/>
    <s v="Premium Economy"/>
    <n v="198"/>
    <n v="332.48"/>
    <n v="6"/>
    <s v="On Time"/>
    <n v="65831.039999999994"/>
    <s v="Feb"/>
    <n v="2025"/>
    <n v="65831.040000000008"/>
    <s v="Minor Delay"/>
  </r>
  <r>
    <n v="4605"/>
    <d v="2025-08-22T00:00:00"/>
    <x v="4"/>
    <x v="3"/>
    <s v="NRT"/>
    <s v="Business"/>
    <n v="170"/>
    <n v="576.16999999999996"/>
    <n v="29"/>
    <s v="On Time"/>
    <n v="97948.9"/>
    <s v="Aug"/>
    <n v="2025"/>
    <n v="97948.9"/>
    <s v="Minor Delay"/>
  </r>
  <r>
    <n v="4606"/>
    <d v="2025-10-31T00:00:00"/>
    <x v="0"/>
    <x v="6"/>
    <s v="CJU"/>
    <s v="Economy"/>
    <n v="137"/>
    <n v="292.64999999999998"/>
    <n v="60"/>
    <s v="On Time"/>
    <n v="40093.050000000003"/>
    <s v="Oct"/>
    <n v="2025"/>
    <n v="40093.049999999996"/>
    <s v="Moderate Delay"/>
  </r>
  <r>
    <n v="4607"/>
    <d v="2025-07-19T00:00:00"/>
    <x v="2"/>
    <x v="8"/>
    <s v="PUS"/>
    <s v="Premium Economy"/>
    <n v="54"/>
    <n v="407.09"/>
    <n v="17"/>
    <s v="On Time"/>
    <n v="21982.86"/>
    <s v="Jul"/>
    <n v="2025"/>
    <n v="21982.859999999997"/>
    <s v="Minor Delay"/>
  </r>
  <r>
    <n v="4608"/>
    <d v="2025-12-11T00:00:00"/>
    <x v="5"/>
    <x v="2"/>
    <s v="KIX"/>
    <s v="Economy"/>
    <n v="131"/>
    <n v="63.29"/>
    <n v="8"/>
    <s v="On Time"/>
    <n v="8290.99"/>
    <s v="Dec"/>
    <n v="2025"/>
    <n v="8290.99"/>
    <s v="Minor Delay"/>
  </r>
  <r>
    <n v="4609"/>
    <d v="2025-05-02T00:00:00"/>
    <x v="4"/>
    <x v="2"/>
    <s v="ICN"/>
    <s v="Premium Economy"/>
    <n v="239"/>
    <n v="78.81"/>
    <n v="35"/>
    <s v="On Time"/>
    <n v="18835.59"/>
    <s v="May"/>
    <n v="2025"/>
    <n v="18835.59"/>
    <s v="Moderate Delay"/>
  </r>
  <r>
    <n v="4610"/>
    <d v="2025-08-06T00:00:00"/>
    <x v="3"/>
    <x v="1"/>
    <s v="MNL"/>
    <s v="Economy"/>
    <n v="268"/>
    <n v="516.88"/>
    <n v="37"/>
    <s v="On Time"/>
    <n v="138523.84"/>
    <s v="Aug"/>
    <n v="2025"/>
    <n v="138523.84"/>
    <s v="Moderate Delay"/>
  </r>
  <r>
    <n v="4611"/>
    <d v="2025-07-21T00:00:00"/>
    <x v="1"/>
    <x v="4"/>
    <s v="SIN"/>
    <s v="Premium Economy"/>
    <n v="133"/>
    <n v="685.49"/>
    <n v="23"/>
    <s v="On Time"/>
    <n v="91170.17"/>
    <s v="Jul"/>
    <n v="2025"/>
    <n v="91170.17"/>
    <s v="Minor Delay"/>
  </r>
  <r>
    <n v="4612"/>
    <d v="2025-07-19T00:00:00"/>
    <x v="0"/>
    <x v="4"/>
    <s v="CJU"/>
    <s v="Business"/>
    <n v="85"/>
    <n v="340.97"/>
    <n v="9"/>
    <s v="Delayed"/>
    <n v="28982.45"/>
    <s v="Jul"/>
    <n v="2025"/>
    <n v="28982.45"/>
    <s v="Minor Delay"/>
  </r>
  <r>
    <n v="4613"/>
    <d v="2025-09-27T00:00:00"/>
    <x v="1"/>
    <x v="4"/>
    <s v="GMP"/>
    <s v="Economy"/>
    <n v="268"/>
    <n v="265.29000000000002"/>
    <n v="12"/>
    <s v="On Time"/>
    <n v="71097.72"/>
    <s v="Sep"/>
    <n v="2025"/>
    <n v="71097.72"/>
    <s v="Minor Delay"/>
  </r>
  <r>
    <n v="4614"/>
    <d v="2025-07-27T00:00:00"/>
    <x v="4"/>
    <x v="2"/>
    <s v="BKK"/>
    <s v="Economy"/>
    <n v="136"/>
    <n v="176.53"/>
    <n v="15"/>
    <s v="On Time"/>
    <n v="24008.080000000002"/>
    <s v="Jul"/>
    <n v="2025"/>
    <n v="24008.080000000002"/>
    <s v="Minor Delay"/>
  </r>
  <r>
    <n v="4615"/>
    <d v="2025-08-21T00:00:00"/>
    <x v="3"/>
    <x v="2"/>
    <s v="SIN"/>
    <s v="Business"/>
    <n v="134"/>
    <n v="88.17"/>
    <n v="0"/>
    <s v="Delayed"/>
    <n v="11814.78"/>
    <s v="Aug"/>
    <n v="2025"/>
    <n v="11814.78"/>
    <s v="On Time"/>
  </r>
  <r>
    <n v="4616"/>
    <d v="2025-08-23T00:00:00"/>
    <x v="0"/>
    <x v="3"/>
    <s v="BKK"/>
    <s v="Premium Economy"/>
    <n v="274"/>
    <n v="696.19"/>
    <n v="37"/>
    <s v="On Time"/>
    <n v="190756.06"/>
    <s v="Aug"/>
    <n v="2025"/>
    <n v="190756.06000000003"/>
    <s v="Moderate Delay"/>
  </r>
  <r>
    <n v="4617"/>
    <d v="2025-06-19T00:00:00"/>
    <x v="1"/>
    <x v="3"/>
    <s v="CJU"/>
    <s v="Economy"/>
    <n v="93"/>
    <n v="757.94"/>
    <n v="58"/>
    <s v="Delayed"/>
    <n v="70488.42"/>
    <s v="Jun"/>
    <n v="2025"/>
    <n v="70488.42"/>
    <s v="Moderate Delay"/>
  </r>
  <r>
    <n v="4618"/>
    <d v="2025-10-31T00:00:00"/>
    <x v="3"/>
    <x v="1"/>
    <s v="SIN"/>
    <s v="Economy"/>
    <n v="71"/>
    <n v="548.16"/>
    <n v="4"/>
    <s v="Delayed"/>
    <n v="38919.360000000001"/>
    <s v="Oct"/>
    <n v="2025"/>
    <n v="38919.360000000001"/>
    <s v="Minor Delay"/>
  </r>
  <r>
    <n v="4619"/>
    <d v="2025-09-03T00:00:00"/>
    <x v="5"/>
    <x v="7"/>
    <s v="PUS"/>
    <s v="Business"/>
    <n v="282"/>
    <n v="189.62"/>
    <n v="14"/>
    <s v="Delayed"/>
    <n v="53472.84"/>
    <s v="Sep"/>
    <n v="2025"/>
    <n v="53472.840000000004"/>
    <s v="Minor Delay"/>
  </r>
  <r>
    <n v="4620"/>
    <d v="2025-03-24T00:00:00"/>
    <x v="0"/>
    <x v="1"/>
    <s v="KIX"/>
    <s v="Business"/>
    <n v="151"/>
    <n v="427.3"/>
    <n v="57"/>
    <s v="On Time"/>
    <n v="64522.3"/>
    <s v="Mar"/>
    <n v="2025"/>
    <n v="64522.3"/>
    <s v="Moderate Delay"/>
  </r>
  <r>
    <n v="4621"/>
    <d v="2025-01-31T00:00:00"/>
    <x v="0"/>
    <x v="5"/>
    <s v="PUS"/>
    <s v="Business"/>
    <n v="182"/>
    <n v="311.17"/>
    <n v="21"/>
    <s v="On Time"/>
    <n v="56632.94"/>
    <s v="Jan"/>
    <n v="2025"/>
    <n v="56632.94"/>
    <s v="Minor Delay"/>
  </r>
  <r>
    <n v="4622"/>
    <d v="2025-10-20T00:00:00"/>
    <x v="3"/>
    <x v="0"/>
    <s v="BKK"/>
    <s v="Economy"/>
    <n v="290"/>
    <n v="155.38999999999999"/>
    <n v="20"/>
    <s v="On Time"/>
    <n v="45063.1"/>
    <s v="Oct"/>
    <n v="2025"/>
    <n v="45063.1"/>
    <s v="Minor Delay"/>
  </r>
  <r>
    <n v="4623"/>
    <d v="2025-06-13T00:00:00"/>
    <x v="0"/>
    <x v="3"/>
    <s v="SIN"/>
    <s v="Business"/>
    <n v="189"/>
    <n v="312.12"/>
    <n v="15"/>
    <s v="Delayed"/>
    <n v="58990.68"/>
    <s v="Jun"/>
    <n v="2025"/>
    <n v="58990.68"/>
    <s v="Minor Delay"/>
  </r>
  <r>
    <n v="4624"/>
    <d v="2025-12-28T00:00:00"/>
    <x v="0"/>
    <x v="8"/>
    <s v="BKK"/>
    <s v="Premium Economy"/>
    <n v="91"/>
    <n v="515.12"/>
    <n v="3"/>
    <s v="On Time"/>
    <n v="46875.92"/>
    <s v="Dec"/>
    <n v="2025"/>
    <n v="46875.92"/>
    <s v="Minor Delay"/>
  </r>
  <r>
    <n v="4625"/>
    <d v="2025-08-11T00:00:00"/>
    <x v="3"/>
    <x v="4"/>
    <s v="CJU"/>
    <s v="Economy"/>
    <n v="55"/>
    <n v="260.63"/>
    <n v="6"/>
    <s v="On Time"/>
    <n v="14334.65"/>
    <s v="Aug"/>
    <n v="2025"/>
    <n v="14334.65"/>
    <s v="Minor Delay"/>
  </r>
  <r>
    <n v="4626"/>
    <d v="2025-05-15T00:00:00"/>
    <x v="2"/>
    <x v="2"/>
    <s v="NRT"/>
    <s v="Economy"/>
    <n v="67"/>
    <n v="450.14"/>
    <n v="19"/>
    <s v="On Time"/>
    <n v="30159.38"/>
    <s v="May"/>
    <n v="2025"/>
    <n v="30159.379999999997"/>
    <s v="Minor Delay"/>
  </r>
  <r>
    <n v="4627"/>
    <d v="2025-08-18T00:00:00"/>
    <x v="0"/>
    <x v="8"/>
    <s v="PUS"/>
    <s v="Business"/>
    <n v="95"/>
    <n v="541.52"/>
    <n v="88"/>
    <s v="Delayed"/>
    <n v="51444.4"/>
    <s v="Aug"/>
    <n v="2025"/>
    <n v="51444.4"/>
    <s v="Major Delay"/>
  </r>
  <r>
    <n v="4628"/>
    <d v="2025-12-21T00:00:00"/>
    <x v="5"/>
    <x v="2"/>
    <s v="NRT"/>
    <s v="Economy"/>
    <n v="123"/>
    <n v="135.78"/>
    <n v="0"/>
    <s v="Delayed"/>
    <n v="16700.939999999999"/>
    <s v="Dec"/>
    <n v="2025"/>
    <n v="16700.939999999999"/>
    <s v="On Time"/>
  </r>
  <r>
    <n v="4629"/>
    <d v="2025-02-13T00:00:00"/>
    <x v="2"/>
    <x v="0"/>
    <s v="SIN"/>
    <s v="Economy"/>
    <n v="112"/>
    <n v="209.73"/>
    <n v="41"/>
    <s v="On Time"/>
    <n v="23489.759999999998"/>
    <s v="Feb"/>
    <n v="2025"/>
    <n v="23489.759999999998"/>
    <s v="Moderate Delay"/>
  </r>
  <r>
    <n v="4630"/>
    <d v="2025-05-30T00:00:00"/>
    <x v="4"/>
    <x v="6"/>
    <s v="KIX"/>
    <s v="Economy"/>
    <n v="185"/>
    <n v="541.08000000000004"/>
    <n v="0"/>
    <s v="On Time"/>
    <n v="100099.8"/>
    <s v="May"/>
    <n v="2025"/>
    <n v="100099.8"/>
    <s v="On Time"/>
  </r>
  <r>
    <n v="4631"/>
    <d v="2025-12-07T00:00:00"/>
    <x v="0"/>
    <x v="1"/>
    <s v="ICN"/>
    <s v="Business"/>
    <n v="54"/>
    <n v="526.54"/>
    <n v="29"/>
    <s v="On Time"/>
    <n v="28433.16"/>
    <s v="Dec"/>
    <n v="2025"/>
    <n v="28433.159999999996"/>
    <s v="Minor Delay"/>
  </r>
  <r>
    <n v="4632"/>
    <d v="2025-03-23T00:00:00"/>
    <x v="3"/>
    <x v="6"/>
    <s v="ICN"/>
    <s v="Economy"/>
    <n v="58"/>
    <n v="489.46"/>
    <n v="14"/>
    <s v="Delayed"/>
    <n v="28388.68"/>
    <s v="Mar"/>
    <n v="2025"/>
    <n v="28388.68"/>
    <s v="Minor Delay"/>
  </r>
  <r>
    <n v="4633"/>
    <d v="2025-09-13T00:00:00"/>
    <x v="2"/>
    <x v="8"/>
    <s v="BKK"/>
    <s v="Premium Economy"/>
    <n v="166"/>
    <n v="237.72"/>
    <n v="0"/>
    <s v="On Time"/>
    <n v="39461.519999999997"/>
    <s v="Sep"/>
    <n v="2025"/>
    <n v="39461.519999999997"/>
    <s v="On Time"/>
  </r>
  <r>
    <n v="4634"/>
    <d v="2025-06-28T00:00:00"/>
    <x v="4"/>
    <x v="4"/>
    <s v="BKK"/>
    <s v="Premium Economy"/>
    <n v="208"/>
    <n v="715.36"/>
    <n v="41"/>
    <s v="On Time"/>
    <n v="148794.88"/>
    <s v="Jun"/>
    <n v="2025"/>
    <n v="148794.88"/>
    <s v="Moderate Delay"/>
  </r>
  <r>
    <n v="4635"/>
    <d v="2025-11-11T00:00:00"/>
    <x v="4"/>
    <x v="6"/>
    <s v="GMP"/>
    <s v="Business"/>
    <n v="114"/>
    <n v="209.51"/>
    <n v="25"/>
    <s v="On Time"/>
    <n v="23884.14"/>
    <s v="Nov"/>
    <n v="2025"/>
    <n v="23884.14"/>
    <s v="Minor Delay"/>
  </r>
  <r>
    <n v="4636"/>
    <d v="2025-07-15T00:00:00"/>
    <x v="5"/>
    <x v="5"/>
    <s v="PUS"/>
    <s v="Economy"/>
    <n v="196"/>
    <n v="293.2"/>
    <n v="0"/>
    <s v="On Time"/>
    <n v="57467.199999999997"/>
    <s v="Jul"/>
    <n v="2025"/>
    <n v="57467.199999999997"/>
    <s v="On Time"/>
  </r>
  <r>
    <n v="4637"/>
    <d v="2025-04-09T00:00:00"/>
    <x v="3"/>
    <x v="5"/>
    <s v="PUS"/>
    <s v="Economy"/>
    <n v="98"/>
    <n v="543.07000000000005"/>
    <n v="32"/>
    <s v="On Time"/>
    <n v="53220.86"/>
    <s v="Apr"/>
    <n v="2025"/>
    <n v="53220.860000000008"/>
    <s v="Moderate Delay"/>
  </r>
  <r>
    <n v="4638"/>
    <d v="2025-12-02T00:00:00"/>
    <x v="5"/>
    <x v="0"/>
    <s v="KIX"/>
    <s v="Premium Economy"/>
    <n v="136"/>
    <n v="612.57000000000005"/>
    <n v="8"/>
    <s v="On Time"/>
    <n v="83309.52"/>
    <s v="Dec"/>
    <n v="2025"/>
    <n v="83309.52"/>
    <s v="Minor Delay"/>
  </r>
  <r>
    <n v="4639"/>
    <d v="2025-07-12T00:00:00"/>
    <x v="4"/>
    <x v="5"/>
    <s v="PUS"/>
    <s v="Economy"/>
    <n v="160"/>
    <n v="162.57"/>
    <n v="21"/>
    <s v="On Time"/>
    <n v="26011.200000000001"/>
    <s v="Jul"/>
    <n v="2025"/>
    <n v="26011.199999999997"/>
    <s v="Minor Delay"/>
  </r>
  <r>
    <n v="4640"/>
    <d v="2025-11-20T00:00:00"/>
    <x v="1"/>
    <x v="0"/>
    <s v="BKK"/>
    <s v="Business"/>
    <n v="261"/>
    <n v="279.75"/>
    <n v="15"/>
    <s v="Delayed"/>
    <n v="73014.75"/>
    <s v="Nov"/>
    <n v="2025"/>
    <n v="73014.75"/>
    <s v="Minor Delay"/>
  </r>
  <r>
    <n v="4641"/>
    <d v="2025-03-22T00:00:00"/>
    <x v="1"/>
    <x v="8"/>
    <s v="BKK"/>
    <s v="Premium Economy"/>
    <n v="295"/>
    <n v="271.38"/>
    <n v="60"/>
    <s v="On Time"/>
    <n v="80057.100000000006"/>
    <s v="Mar"/>
    <n v="2025"/>
    <n v="80057.100000000006"/>
    <s v="Moderate Delay"/>
  </r>
  <r>
    <n v="4642"/>
    <d v="2025-12-23T00:00:00"/>
    <x v="5"/>
    <x v="7"/>
    <s v="SIN"/>
    <s v="Premium Economy"/>
    <n v="113"/>
    <n v="100.35"/>
    <n v="15"/>
    <s v="On Time"/>
    <n v="11339.55"/>
    <s v="Dec"/>
    <n v="2025"/>
    <n v="11339.55"/>
    <s v="Minor Delay"/>
  </r>
  <r>
    <n v="4643"/>
    <d v="2025-10-18T00:00:00"/>
    <x v="4"/>
    <x v="5"/>
    <s v="MNL"/>
    <s v="Premium Economy"/>
    <n v="285"/>
    <n v="184.97"/>
    <n v="23"/>
    <s v="On Time"/>
    <n v="52716.45"/>
    <s v="Oct"/>
    <n v="2025"/>
    <n v="52716.45"/>
    <s v="Minor Delay"/>
  </r>
  <r>
    <n v="4644"/>
    <d v="2025-08-21T00:00:00"/>
    <x v="2"/>
    <x v="3"/>
    <s v="PUS"/>
    <s v="Economy"/>
    <n v="91"/>
    <n v="336.94"/>
    <n v="25"/>
    <s v="On Time"/>
    <n v="30661.54"/>
    <s v="Aug"/>
    <n v="2025"/>
    <n v="30661.54"/>
    <s v="Minor Delay"/>
  </r>
  <r>
    <n v="4645"/>
    <d v="2025-10-30T00:00:00"/>
    <x v="3"/>
    <x v="4"/>
    <s v="GMP"/>
    <s v="Business"/>
    <n v="200"/>
    <n v="765.75"/>
    <n v="9"/>
    <s v="Delayed"/>
    <n v="153150"/>
    <s v="Oct"/>
    <n v="2025"/>
    <n v="153150"/>
    <s v="Minor Delay"/>
  </r>
  <r>
    <n v="4646"/>
    <d v="2025-11-16T00:00:00"/>
    <x v="5"/>
    <x v="1"/>
    <s v="KIX"/>
    <s v="Economy"/>
    <n v="241"/>
    <n v="583.08000000000004"/>
    <n v="52"/>
    <s v="On Time"/>
    <n v="140522.28"/>
    <s v="Nov"/>
    <n v="2025"/>
    <n v="140522.28"/>
    <s v="Moderate Delay"/>
  </r>
  <r>
    <n v="4647"/>
    <d v="2025-12-03T00:00:00"/>
    <x v="4"/>
    <x v="3"/>
    <s v="MNL"/>
    <s v="Premium Economy"/>
    <n v="160"/>
    <n v="246.05"/>
    <n v="11"/>
    <s v="On Time"/>
    <n v="39368"/>
    <s v="Dec"/>
    <n v="2025"/>
    <n v="39368"/>
    <s v="Minor Delay"/>
  </r>
  <r>
    <n v="4648"/>
    <d v="2025-02-07T00:00:00"/>
    <x v="4"/>
    <x v="5"/>
    <s v="KIX"/>
    <s v="Economy"/>
    <n v="127"/>
    <n v="706.04"/>
    <n v="36"/>
    <s v="Delayed"/>
    <n v="89667.08"/>
    <s v="Feb"/>
    <n v="2025"/>
    <n v="89667.08"/>
    <s v="Moderate Delay"/>
  </r>
  <r>
    <n v="4649"/>
    <d v="2025-09-11T00:00:00"/>
    <x v="5"/>
    <x v="6"/>
    <s v="BKK"/>
    <s v="Premium Economy"/>
    <n v="134"/>
    <n v="249.18"/>
    <n v="54"/>
    <s v="On Time"/>
    <n v="33390.120000000003"/>
    <s v="Sep"/>
    <n v="2025"/>
    <n v="33390.120000000003"/>
    <s v="Moderate Delay"/>
  </r>
  <r>
    <n v="4650"/>
    <d v="2025-11-03T00:00:00"/>
    <x v="3"/>
    <x v="8"/>
    <s v="SIN"/>
    <s v="Premium Economy"/>
    <n v="245"/>
    <n v="93.34"/>
    <n v="0"/>
    <s v="Delayed"/>
    <n v="22868.3"/>
    <s v="Nov"/>
    <n v="2025"/>
    <n v="22868.3"/>
    <s v="On Time"/>
  </r>
  <r>
    <n v="4651"/>
    <d v="2025-08-20T00:00:00"/>
    <x v="1"/>
    <x v="4"/>
    <s v="MNL"/>
    <s v="Business"/>
    <n v="288"/>
    <n v="515.89"/>
    <n v="20"/>
    <s v="On Time"/>
    <n v="148576.32000000001"/>
    <s v="Aug"/>
    <n v="2025"/>
    <n v="148576.32000000001"/>
    <s v="Minor Delay"/>
  </r>
  <r>
    <n v="4652"/>
    <d v="2025-03-07T00:00:00"/>
    <x v="5"/>
    <x v="3"/>
    <s v="ICN"/>
    <s v="Business"/>
    <n v="57"/>
    <n v="102.4"/>
    <n v="0"/>
    <s v="On Time"/>
    <n v="5836.8"/>
    <s v="Mar"/>
    <n v="2025"/>
    <n v="5836.8"/>
    <s v="On Time"/>
  </r>
  <r>
    <n v="4653"/>
    <d v="2025-09-05T00:00:00"/>
    <x v="3"/>
    <x v="0"/>
    <s v="SIN"/>
    <s v="Economy"/>
    <n v="262"/>
    <n v="530.08000000000004"/>
    <n v="22"/>
    <s v="On Time"/>
    <n v="138880.95999999999"/>
    <s v="Sep"/>
    <n v="2025"/>
    <n v="138880.96000000002"/>
    <s v="Minor Delay"/>
  </r>
  <r>
    <n v="4654"/>
    <d v="2025-07-31T00:00:00"/>
    <x v="1"/>
    <x v="2"/>
    <s v="GMP"/>
    <s v="Economy"/>
    <n v="219"/>
    <n v="280.57"/>
    <n v="58"/>
    <s v="On Time"/>
    <n v="61444.83"/>
    <s v="Jul"/>
    <n v="2025"/>
    <n v="61444.83"/>
    <s v="Moderate Delay"/>
  </r>
  <r>
    <n v="4655"/>
    <d v="2025-07-17T00:00:00"/>
    <x v="4"/>
    <x v="7"/>
    <s v="GMP"/>
    <s v="Premium Economy"/>
    <n v="173"/>
    <n v="299.47000000000003"/>
    <n v="30"/>
    <s v="On Time"/>
    <n v="51808.31"/>
    <s v="Jul"/>
    <n v="2025"/>
    <n v="51808.310000000005"/>
    <s v="Minor Delay"/>
  </r>
  <r>
    <n v="4656"/>
    <d v="2025-03-06T00:00:00"/>
    <x v="5"/>
    <x v="6"/>
    <s v="PUS"/>
    <s v="Premium Economy"/>
    <n v="175"/>
    <n v="568.58000000000004"/>
    <n v="40"/>
    <s v="On Time"/>
    <n v="99501.5"/>
    <s v="Mar"/>
    <n v="2025"/>
    <n v="99501.5"/>
    <s v="Moderate Delay"/>
  </r>
  <r>
    <n v="4657"/>
    <d v="2025-12-15T00:00:00"/>
    <x v="1"/>
    <x v="0"/>
    <s v="BKK"/>
    <s v="Premium Economy"/>
    <n v="282"/>
    <n v="714.54"/>
    <n v="0"/>
    <s v="On Time"/>
    <n v="201500.28"/>
    <s v="Dec"/>
    <n v="2025"/>
    <n v="201500.28"/>
    <s v="On Time"/>
  </r>
  <r>
    <n v="4658"/>
    <d v="2025-12-21T00:00:00"/>
    <x v="4"/>
    <x v="8"/>
    <s v="GMP"/>
    <s v="Premium Economy"/>
    <n v="263"/>
    <n v="367.75"/>
    <n v="16"/>
    <s v="On Time"/>
    <n v="96718.25"/>
    <s v="Dec"/>
    <n v="2025"/>
    <n v="96718.25"/>
    <s v="Minor Delay"/>
  </r>
  <r>
    <n v="4659"/>
    <d v="2025-10-14T00:00:00"/>
    <x v="5"/>
    <x v="1"/>
    <s v="MNL"/>
    <s v="Premium Economy"/>
    <n v="300"/>
    <n v="91.93"/>
    <n v="23"/>
    <s v="On Time"/>
    <n v="27579"/>
    <s v="Oct"/>
    <n v="2025"/>
    <n v="27579.000000000004"/>
    <s v="Minor Delay"/>
  </r>
  <r>
    <n v="4660"/>
    <d v="2025-11-24T00:00:00"/>
    <x v="1"/>
    <x v="4"/>
    <s v="MNL"/>
    <s v="Premium Economy"/>
    <n v="195"/>
    <n v="713.13"/>
    <n v="78"/>
    <s v="On Time"/>
    <n v="139060.35"/>
    <s v="Nov"/>
    <n v="2025"/>
    <n v="139060.35"/>
    <s v="Major Delay"/>
  </r>
  <r>
    <n v="4661"/>
    <d v="2025-02-06T00:00:00"/>
    <x v="0"/>
    <x v="1"/>
    <s v="GMP"/>
    <s v="Economy"/>
    <n v="200"/>
    <n v="307.32"/>
    <n v="36"/>
    <s v="On Time"/>
    <n v="61464"/>
    <s v="Feb"/>
    <n v="2025"/>
    <n v="61464"/>
    <s v="Moderate Delay"/>
  </r>
  <r>
    <n v="4662"/>
    <d v="2025-09-19T00:00:00"/>
    <x v="0"/>
    <x v="3"/>
    <s v="GMP"/>
    <s v="Premium Economy"/>
    <n v="151"/>
    <n v="509.17"/>
    <n v="18"/>
    <s v="On Time"/>
    <n v="76884.67"/>
    <s v="Sep"/>
    <n v="2025"/>
    <n v="76884.67"/>
    <s v="Minor Delay"/>
  </r>
  <r>
    <n v="4663"/>
    <d v="2025-03-16T00:00:00"/>
    <x v="3"/>
    <x v="7"/>
    <s v="GMP"/>
    <s v="Business"/>
    <n v="159"/>
    <n v="728.62"/>
    <n v="0"/>
    <s v="On Time"/>
    <n v="115850.58"/>
    <s v="Mar"/>
    <n v="2025"/>
    <n v="115850.58"/>
    <s v="On Time"/>
  </r>
  <r>
    <n v="4664"/>
    <d v="2025-10-11T00:00:00"/>
    <x v="4"/>
    <x v="1"/>
    <s v="SIN"/>
    <s v="Business"/>
    <n v="173"/>
    <n v="482.59"/>
    <n v="32"/>
    <s v="Delayed"/>
    <n v="83488.070000000007"/>
    <s v="Oct"/>
    <n v="2025"/>
    <n v="83488.069999999992"/>
    <s v="Moderate Delay"/>
  </r>
  <r>
    <n v="4665"/>
    <d v="2025-02-13T00:00:00"/>
    <x v="5"/>
    <x v="1"/>
    <s v="PUS"/>
    <s v="Premium Economy"/>
    <n v="288"/>
    <n v="226.11"/>
    <n v="3"/>
    <s v="On Time"/>
    <n v="65119.68"/>
    <s v="Feb"/>
    <n v="2025"/>
    <n v="65119.680000000008"/>
    <s v="Minor Delay"/>
  </r>
  <r>
    <n v="4666"/>
    <d v="2025-10-20T00:00:00"/>
    <x v="0"/>
    <x v="2"/>
    <s v="MNL"/>
    <s v="Economy"/>
    <n v="245"/>
    <n v="317.18"/>
    <n v="43"/>
    <s v="On Time"/>
    <n v="77709.100000000006"/>
    <s v="Oct"/>
    <n v="2025"/>
    <n v="77709.100000000006"/>
    <s v="Moderate Delay"/>
  </r>
  <r>
    <n v="4667"/>
    <d v="2025-05-09T00:00:00"/>
    <x v="0"/>
    <x v="0"/>
    <s v="MNL"/>
    <s v="Economy"/>
    <n v="51"/>
    <n v="756.56"/>
    <n v="33"/>
    <s v="On Time"/>
    <n v="38584.559999999998"/>
    <s v="May"/>
    <n v="2025"/>
    <n v="38584.559999999998"/>
    <s v="Moderate Delay"/>
  </r>
  <r>
    <n v="4668"/>
    <d v="2025-09-07T00:00:00"/>
    <x v="2"/>
    <x v="5"/>
    <s v="CJU"/>
    <s v="Economy"/>
    <n v="299"/>
    <n v="139.86000000000001"/>
    <n v="35"/>
    <s v="On Time"/>
    <n v="41818.14"/>
    <s v="Sep"/>
    <n v="2025"/>
    <n v="41818.140000000007"/>
    <s v="Moderate Delay"/>
  </r>
  <r>
    <n v="4669"/>
    <d v="2025-05-05T00:00:00"/>
    <x v="2"/>
    <x v="6"/>
    <s v="BKK"/>
    <s v="Business"/>
    <n v="216"/>
    <n v="72.56"/>
    <n v="0"/>
    <s v="On Time"/>
    <n v="15672.96"/>
    <s v="May"/>
    <n v="2025"/>
    <n v="15672.960000000001"/>
    <s v="On Time"/>
  </r>
  <r>
    <n v="4670"/>
    <d v="2025-08-04T00:00:00"/>
    <x v="0"/>
    <x v="1"/>
    <s v="ICN"/>
    <s v="Economy"/>
    <n v="99"/>
    <n v="68.930000000000007"/>
    <n v="14"/>
    <s v="On Time"/>
    <n v="6824.07"/>
    <s v="Aug"/>
    <n v="2025"/>
    <n v="6824.0700000000006"/>
    <s v="Minor Delay"/>
  </r>
  <r>
    <n v="4671"/>
    <d v="2025-04-16T00:00:00"/>
    <x v="3"/>
    <x v="1"/>
    <s v="SIN"/>
    <s v="Business"/>
    <n v="140"/>
    <n v="422.85"/>
    <n v="0"/>
    <s v="On Time"/>
    <n v="59199"/>
    <s v="Apr"/>
    <n v="2025"/>
    <n v="59199"/>
    <s v="On Time"/>
  </r>
  <r>
    <n v="4672"/>
    <d v="2025-02-03T00:00:00"/>
    <x v="1"/>
    <x v="6"/>
    <s v="NRT"/>
    <s v="Premium Economy"/>
    <n v="275"/>
    <n v="66.22"/>
    <n v="44"/>
    <s v="Delayed"/>
    <n v="18210.5"/>
    <s v="Feb"/>
    <n v="2025"/>
    <n v="18210.5"/>
    <s v="Moderate Delay"/>
  </r>
  <r>
    <n v="4673"/>
    <d v="2025-03-23T00:00:00"/>
    <x v="2"/>
    <x v="5"/>
    <s v="NRT"/>
    <s v="Economy"/>
    <n v="54"/>
    <n v="221.32"/>
    <n v="49"/>
    <s v="On Time"/>
    <n v="11951.28"/>
    <s v="Mar"/>
    <n v="2025"/>
    <n v="11951.279999999999"/>
    <s v="Moderate Delay"/>
  </r>
  <r>
    <n v="4674"/>
    <d v="2025-12-22T00:00:00"/>
    <x v="2"/>
    <x v="8"/>
    <s v="NRT"/>
    <s v="Economy"/>
    <n v="241"/>
    <n v="647.41"/>
    <n v="50"/>
    <s v="On Time"/>
    <n v="156025.81"/>
    <s v="Dec"/>
    <n v="2025"/>
    <n v="156025.81"/>
    <s v="Moderate Delay"/>
  </r>
  <r>
    <n v="4675"/>
    <d v="2025-07-31T00:00:00"/>
    <x v="1"/>
    <x v="2"/>
    <s v="BKK"/>
    <s v="Economy"/>
    <n v="192"/>
    <n v="440.99"/>
    <n v="20"/>
    <s v="On Time"/>
    <n v="84670.080000000002"/>
    <s v="Jul"/>
    <n v="2025"/>
    <n v="84670.080000000002"/>
    <s v="Minor Delay"/>
  </r>
  <r>
    <n v="4676"/>
    <d v="2025-12-18T00:00:00"/>
    <x v="2"/>
    <x v="6"/>
    <s v="ICN"/>
    <s v="Business"/>
    <n v="230"/>
    <n v="592.71"/>
    <n v="15"/>
    <s v="On Time"/>
    <n v="136323.29999999999"/>
    <s v="Dec"/>
    <n v="2025"/>
    <n v="136323.30000000002"/>
    <s v="Minor Delay"/>
  </r>
  <r>
    <n v="4677"/>
    <d v="2025-12-05T00:00:00"/>
    <x v="1"/>
    <x v="1"/>
    <s v="CJU"/>
    <s v="Business"/>
    <n v="135"/>
    <n v="207.9"/>
    <n v="0"/>
    <s v="On Time"/>
    <n v="28066.5"/>
    <s v="Dec"/>
    <n v="2025"/>
    <n v="28066.5"/>
    <s v="On Time"/>
  </r>
  <r>
    <n v="4678"/>
    <d v="2025-12-02T00:00:00"/>
    <x v="0"/>
    <x v="0"/>
    <s v="CJU"/>
    <s v="Business"/>
    <n v="245"/>
    <n v="118.17"/>
    <n v="0"/>
    <s v="On Time"/>
    <n v="28951.65"/>
    <s v="Dec"/>
    <n v="2025"/>
    <n v="28951.65"/>
    <s v="On Time"/>
  </r>
  <r>
    <n v="4679"/>
    <d v="2025-11-23T00:00:00"/>
    <x v="2"/>
    <x v="5"/>
    <s v="NRT"/>
    <s v="Premium Economy"/>
    <n v="148"/>
    <n v="351"/>
    <n v="0"/>
    <s v="On Time"/>
    <n v="51948"/>
    <s v="Nov"/>
    <n v="2025"/>
    <n v="51948"/>
    <s v="On Time"/>
  </r>
  <r>
    <n v="4680"/>
    <d v="2025-09-17T00:00:00"/>
    <x v="1"/>
    <x v="8"/>
    <s v="CJU"/>
    <s v="Business"/>
    <n v="113"/>
    <n v="177.19"/>
    <n v="44"/>
    <s v="Delayed"/>
    <n v="20022.47"/>
    <s v="Sep"/>
    <n v="2025"/>
    <n v="20022.47"/>
    <s v="Moderate Delay"/>
  </r>
  <r>
    <n v="4681"/>
    <d v="2025-06-22T00:00:00"/>
    <x v="1"/>
    <x v="3"/>
    <s v="NRT"/>
    <s v="Economy"/>
    <n v="101"/>
    <n v="783.11"/>
    <n v="12"/>
    <s v="On Time"/>
    <n v="79094.11"/>
    <s v="Jun"/>
    <n v="2025"/>
    <n v="79094.11"/>
    <s v="Minor Delay"/>
  </r>
  <r>
    <n v="4682"/>
    <d v="2025-04-26T00:00:00"/>
    <x v="2"/>
    <x v="4"/>
    <s v="ICN"/>
    <s v="Premium Economy"/>
    <n v="105"/>
    <n v="315.33"/>
    <n v="20"/>
    <s v="On Time"/>
    <n v="33109.65"/>
    <s v="Apr"/>
    <n v="2025"/>
    <n v="33109.65"/>
    <s v="Minor Delay"/>
  </r>
  <r>
    <n v="4683"/>
    <d v="2025-03-21T00:00:00"/>
    <x v="3"/>
    <x v="0"/>
    <s v="NRT"/>
    <s v="Premium Economy"/>
    <n v="239"/>
    <n v="313.77999999999997"/>
    <n v="35"/>
    <s v="On Time"/>
    <n v="74993.42"/>
    <s v="Mar"/>
    <n v="2025"/>
    <n v="74993.42"/>
    <s v="Moderate Delay"/>
  </r>
  <r>
    <n v="4684"/>
    <d v="2025-02-20T00:00:00"/>
    <x v="5"/>
    <x v="1"/>
    <s v="SIN"/>
    <s v="Business"/>
    <n v="137"/>
    <n v="95.1"/>
    <n v="0"/>
    <s v="Delayed"/>
    <n v="13028.7"/>
    <s v="Feb"/>
    <n v="2025"/>
    <n v="13028.699999999999"/>
    <s v="On Time"/>
  </r>
  <r>
    <n v="4685"/>
    <d v="2025-07-09T00:00:00"/>
    <x v="2"/>
    <x v="2"/>
    <s v="ICN"/>
    <s v="Business"/>
    <n v="166"/>
    <n v="471.03"/>
    <n v="11"/>
    <s v="On Time"/>
    <n v="78190.98"/>
    <s v="Jul"/>
    <n v="2025"/>
    <n v="78190.98"/>
    <s v="Minor Delay"/>
  </r>
  <r>
    <n v="4686"/>
    <d v="2025-03-19T00:00:00"/>
    <x v="4"/>
    <x v="1"/>
    <s v="KIX"/>
    <s v="Business"/>
    <n v="124"/>
    <n v="648.66"/>
    <n v="22"/>
    <s v="On Time"/>
    <n v="80433.84"/>
    <s v="Mar"/>
    <n v="2025"/>
    <n v="80433.84"/>
    <s v="Minor Delay"/>
  </r>
  <r>
    <n v="4687"/>
    <d v="2025-03-23T00:00:00"/>
    <x v="3"/>
    <x v="6"/>
    <s v="KIX"/>
    <s v="Business"/>
    <n v="294"/>
    <n v="433.95"/>
    <n v="0"/>
    <s v="Delayed"/>
    <n v="127581.3"/>
    <s v="Mar"/>
    <n v="2025"/>
    <n v="127581.3"/>
    <s v="On Time"/>
  </r>
  <r>
    <n v="4688"/>
    <d v="2025-03-03T00:00:00"/>
    <x v="4"/>
    <x v="0"/>
    <s v="BKK"/>
    <s v="Business"/>
    <n v="169"/>
    <n v="386.87"/>
    <n v="17"/>
    <s v="On Time"/>
    <n v="65381.03"/>
    <s v="Mar"/>
    <n v="2025"/>
    <n v="65381.03"/>
    <s v="Minor Delay"/>
  </r>
  <r>
    <n v="4689"/>
    <d v="2025-07-24T00:00:00"/>
    <x v="3"/>
    <x v="0"/>
    <s v="NRT"/>
    <s v="Economy"/>
    <n v="154"/>
    <n v="694.27"/>
    <n v="0"/>
    <s v="On Time"/>
    <n v="106917.58"/>
    <s v="Jul"/>
    <n v="2025"/>
    <n v="106917.58"/>
    <s v="On Time"/>
  </r>
  <r>
    <n v="4690"/>
    <d v="2025-12-27T00:00:00"/>
    <x v="2"/>
    <x v="7"/>
    <s v="PUS"/>
    <s v="Economy"/>
    <n v="264"/>
    <n v="479.95"/>
    <n v="37"/>
    <s v="On Time"/>
    <n v="126706.8"/>
    <s v="Dec"/>
    <n v="2025"/>
    <n v="126706.8"/>
    <s v="Moderate Delay"/>
  </r>
  <r>
    <n v="4691"/>
    <d v="2025-03-09T00:00:00"/>
    <x v="5"/>
    <x v="4"/>
    <s v="ICN"/>
    <s v="Premium Economy"/>
    <n v="193"/>
    <n v="693.33"/>
    <n v="1"/>
    <s v="On Time"/>
    <n v="133812.69"/>
    <s v="Mar"/>
    <n v="2025"/>
    <n v="133812.69"/>
    <s v="Minor Delay"/>
  </r>
  <r>
    <n v="4692"/>
    <d v="2025-08-23T00:00:00"/>
    <x v="2"/>
    <x v="4"/>
    <s v="BKK"/>
    <s v="Premium Economy"/>
    <n v="271"/>
    <n v="352.37"/>
    <n v="9"/>
    <s v="On Time"/>
    <n v="95492.27"/>
    <s v="Aug"/>
    <n v="2025"/>
    <n v="95492.27"/>
    <s v="Minor Delay"/>
  </r>
  <r>
    <n v="4693"/>
    <d v="2025-06-25T00:00:00"/>
    <x v="3"/>
    <x v="2"/>
    <s v="MNL"/>
    <s v="Premium Economy"/>
    <n v="54"/>
    <n v="634.94000000000005"/>
    <n v="73"/>
    <s v="On Time"/>
    <n v="34286.76"/>
    <s v="Jun"/>
    <n v="2025"/>
    <n v="34286.76"/>
    <s v="Major Delay"/>
  </r>
  <r>
    <n v="4694"/>
    <d v="2025-11-01T00:00:00"/>
    <x v="4"/>
    <x v="0"/>
    <s v="BKK"/>
    <s v="Business"/>
    <n v="152"/>
    <n v="611.16"/>
    <n v="5"/>
    <s v="On Time"/>
    <n v="92896.320000000007"/>
    <s v="Nov"/>
    <n v="2025"/>
    <n v="92896.319999999992"/>
    <s v="Minor Delay"/>
  </r>
  <r>
    <n v="4695"/>
    <d v="2025-10-16T00:00:00"/>
    <x v="3"/>
    <x v="7"/>
    <s v="NRT"/>
    <s v="Business"/>
    <n v="299"/>
    <n v="608.52"/>
    <n v="25"/>
    <s v="On Time"/>
    <n v="181947.48"/>
    <s v="Oct"/>
    <n v="2025"/>
    <n v="181947.47999999998"/>
    <s v="Minor Delay"/>
  </r>
  <r>
    <n v="4696"/>
    <d v="2025-01-08T00:00:00"/>
    <x v="1"/>
    <x v="2"/>
    <s v="MNL"/>
    <s v="Business"/>
    <n v="249"/>
    <n v="270.73"/>
    <n v="0"/>
    <s v="On Time"/>
    <n v="67411.77"/>
    <s v="Jan"/>
    <n v="2025"/>
    <n v="67411.77"/>
    <s v="On Time"/>
  </r>
  <r>
    <n v="4697"/>
    <d v="2025-08-01T00:00:00"/>
    <x v="2"/>
    <x v="8"/>
    <s v="ICN"/>
    <s v="Economy"/>
    <n v="193"/>
    <n v="633.5"/>
    <n v="7"/>
    <s v="On Time"/>
    <n v="122265.5"/>
    <s v="Aug"/>
    <n v="2025"/>
    <n v="122265.5"/>
    <s v="Minor Delay"/>
  </r>
  <r>
    <n v="4698"/>
    <d v="2025-08-13T00:00:00"/>
    <x v="0"/>
    <x v="8"/>
    <s v="ICN"/>
    <s v="Economy"/>
    <n v="221"/>
    <n v="163.49"/>
    <n v="0"/>
    <s v="Delayed"/>
    <n v="36131.29"/>
    <s v="Aug"/>
    <n v="2025"/>
    <n v="36131.29"/>
    <s v="On Time"/>
  </r>
  <r>
    <n v="4699"/>
    <d v="2025-10-09T00:00:00"/>
    <x v="5"/>
    <x v="2"/>
    <s v="NRT"/>
    <s v="Economy"/>
    <n v="291"/>
    <n v="109.35"/>
    <n v="75"/>
    <s v="On Time"/>
    <n v="31820.85"/>
    <s v="Oct"/>
    <n v="2025"/>
    <n v="31820.85"/>
    <s v="Major Delay"/>
  </r>
  <r>
    <n v="4700"/>
    <d v="2025-08-08T00:00:00"/>
    <x v="0"/>
    <x v="1"/>
    <s v="SIN"/>
    <s v="Premium Economy"/>
    <n v="91"/>
    <n v="758.75"/>
    <n v="23"/>
    <s v="On Time"/>
    <n v="69046.25"/>
    <s v="Aug"/>
    <n v="2025"/>
    <n v="69046.25"/>
    <s v="Minor Delay"/>
  </r>
  <r>
    <n v="4701"/>
    <d v="2025-06-01T00:00:00"/>
    <x v="4"/>
    <x v="8"/>
    <s v="PUS"/>
    <s v="Business"/>
    <n v="107"/>
    <n v="790.33"/>
    <n v="1"/>
    <s v="On Time"/>
    <n v="84565.31"/>
    <s v="Jun"/>
    <n v="2025"/>
    <n v="84565.31"/>
    <s v="Minor Delay"/>
  </r>
  <r>
    <n v="4702"/>
    <d v="2025-06-27T00:00:00"/>
    <x v="2"/>
    <x v="0"/>
    <s v="ICN"/>
    <s v="Business"/>
    <n v="269"/>
    <n v="301.22000000000003"/>
    <n v="38"/>
    <s v="Delayed"/>
    <n v="81028.179999999993"/>
    <s v="Jun"/>
    <n v="2025"/>
    <n v="81028.180000000008"/>
    <s v="Moderate Delay"/>
  </r>
  <r>
    <n v="4703"/>
    <d v="2025-09-08T00:00:00"/>
    <x v="2"/>
    <x v="2"/>
    <s v="MNL"/>
    <s v="Economy"/>
    <n v="131"/>
    <n v="252.87"/>
    <n v="27"/>
    <s v="On Time"/>
    <n v="33125.97"/>
    <s v="Sep"/>
    <n v="2025"/>
    <n v="33125.97"/>
    <s v="Minor Delay"/>
  </r>
  <r>
    <n v="4704"/>
    <d v="2025-11-02T00:00:00"/>
    <x v="1"/>
    <x v="1"/>
    <s v="NRT"/>
    <s v="Business"/>
    <n v="292"/>
    <n v="609.59"/>
    <n v="4"/>
    <s v="On Time"/>
    <n v="178000.28"/>
    <s v="Nov"/>
    <n v="2025"/>
    <n v="178000.28"/>
    <s v="Minor Delay"/>
  </r>
  <r>
    <n v="4705"/>
    <d v="2025-05-04T00:00:00"/>
    <x v="3"/>
    <x v="1"/>
    <s v="SIN"/>
    <s v="Business"/>
    <n v="62"/>
    <n v="618.74"/>
    <n v="0"/>
    <s v="On Time"/>
    <n v="38361.879999999997"/>
    <s v="May"/>
    <n v="2025"/>
    <n v="38361.879999999997"/>
    <s v="On Time"/>
  </r>
  <r>
    <n v="4706"/>
    <d v="2025-06-19T00:00:00"/>
    <x v="0"/>
    <x v="5"/>
    <s v="PUS"/>
    <s v="Economy"/>
    <n v="84"/>
    <n v="776.03"/>
    <n v="16"/>
    <s v="Delayed"/>
    <n v="65186.52"/>
    <s v="Jun"/>
    <n v="2025"/>
    <n v="65186.52"/>
    <s v="Minor Delay"/>
  </r>
  <r>
    <n v="4707"/>
    <d v="2025-03-07T00:00:00"/>
    <x v="4"/>
    <x v="1"/>
    <s v="MNL"/>
    <s v="Premium Economy"/>
    <n v="176"/>
    <n v="635.24"/>
    <n v="50"/>
    <s v="On Time"/>
    <n v="111802.24000000001"/>
    <s v="Mar"/>
    <n v="2025"/>
    <n v="111802.24000000001"/>
    <s v="Moderate Delay"/>
  </r>
  <r>
    <n v="4708"/>
    <d v="2025-06-06T00:00:00"/>
    <x v="1"/>
    <x v="6"/>
    <s v="ICN"/>
    <s v="Economy"/>
    <n v="249"/>
    <n v="277.47000000000003"/>
    <n v="0"/>
    <s v="On Time"/>
    <n v="69090.03"/>
    <s v="Jun"/>
    <n v="2025"/>
    <n v="69090.030000000013"/>
    <s v="On Time"/>
  </r>
  <r>
    <n v="4709"/>
    <d v="2025-01-07T00:00:00"/>
    <x v="1"/>
    <x v="3"/>
    <s v="SIN"/>
    <s v="Economy"/>
    <n v="68"/>
    <n v="738.11"/>
    <n v="0"/>
    <s v="Delayed"/>
    <n v="50191.48"/>
    <s v="Jan"/>
    <n v="2025"/>
    <n v="50191.48"/>
    <s v="On Time"/>
  </r>
  <r>
    <n v="4710"/>
    <d v="2025-09-23T00:00:00"/>
    <x v="5"/>
    <x v="8"/>
    <s v="PUS"/>
    <s v="Premium Economy"/>
    <n v="115"/>
    <n v="350.44"/>
    <n v="0"/>
    <s v="Delayed"/>
    <n v="40300.6"/>
    <s v="Sep"/>
    <n v="2025"/>
    <n v="40300.6"/>
    <s v="On Time"/>
  </r>
  <r>
    <n v="4711"/>
    <d v="2025-09-12T00:00:00"/>
    <x v="4"/>
    <x v="2"/>
    <s v="KIX"/>
    <s v="Economy"/>
    <n v="266"/>
    <n v="357.39"/>
    <n v="0"/>
    <s v="On Time"/>
    <n v="95065.74"/>
    <s v="Sep"/>
    <n v="2025"/>
    <n v="95065.739999999991"/>
    <s v="On Time"/>
  </r>
  <r>
    <n v="4712"/>
    <d v="2025-02-23T00:00:00"/>
    <x v="0"/>
    <x v="5"/>
    <s v="KIX"/>
    <s v="Economy"/>
    <n v="197"/>
    <n v="453.04"/>
    <n v="0"/>
    <s v="Delayed"/>
    <n v="89248.88"/>
    <s v="Feb"/>
    <n v="2025"/>
    <n v="89248.88"/>
    <s v="On Time"/>
  </r>
  <r>
    <n v="4713"/>
    <d v="2025-02-04T00:00:00"/>
    <x v="5"/>
    <x v="1"/>
    <s v="SIN"/>
    <s v="Economy"/>
    <n v="86"/>
    <n v="140.82"/>
    <n v="42"/>
    <s v="On Time"/>
    <n v="12110.52"/>
    <s v="Feb"/>
    <n v="2025"/>
    <n v="12110.519999999999"/>
    <s v="Moderate Delay"/>
  </r>
  <r>
    <n v="4714"/>
    <d v="2025-12-02T00:00:00"/>
    <x v="3"/>
    <x v="6"/>
    <s v="NRT"/>
    <s v="Economy"/>
    <n v="141"/>
    <n v="526.39"/>
    <n v="14"/>
    <s v="On Time"/>
    <n v="74220.990000000005"/>
    <s v="Dec"/>
    <n v="2025"/>
    <n v="74220.990000000005"/>
    <s v="Minor Delay"/>
  </r>
  <r>
    <n v="4715"/>
    <d v="2025-06-30T00:00:00"/>
    <x v="5"/>
    <x v="5"/>
    <s v="NRT"/>
    <s v="Premium Economy"/>
    <n v="270"/>
    <n v="613.51"/>
    <n v="6"/>
    <s v="On Time"/>
    <n v="165647.70000000001"/>
    <s v="Jun"/>
    <n v="2025"/>
    <n v="165647.70000000001"/>
    <s v="Minor Delay"/>
  </r>
  <r>
    <n v="4716"/>
    <d v="2025-06-10T00:00:00"/>
    <x v="5"/>
    <x v="0"/>
    <s v="PUS"/>
    <s v="Premium Economy"/>
    <n v="209"/>
    <n v="522.39"/>
    <n v="12"/>
    <s v="Delayed"/>
    <n v="109179.51"/>
    <s v="Jun"/>
    <n v="2025"/>
    <n v="109179.51"/>
    <s v="Minor Delay"/>
  </r>
  <r>
    <n v="4717"/>
    <d v="2025-03-13T00:00:00"/>
    <x v="0"/>
    <x v="5"/>
    <s v="NRT"/>
    <s v="Business"/>
    <n v="188"/>
    <n v="585.19000000000005"/>
    <n v="0"/>
    <s v="On Time"/>
    <n v="110015.72"/>
    <s v="Mar"/>
    <n v="2025"/>
    <n v="110015.72000000002"/>
    <s v="On Time"/>
  </r>
  <r>
    <n v="4718"/>
    <d v="2025-11-20T00:00:00"/>
    <x v="2"/>
    <x v="1"/>
    <s v="ICN"/>
    <s v="Economy"/>
    <n v="265"/>
    <n v="598.66"/>
    <n v="0"/>
    <s v="On Time"/>
    <n v="158644.9"/>
    <s v="Nov"/>
    <n v="2025"/>
    <n v="158644.9"/>
    <s v="On Time"/>
  </r>
  <r>
    <n v="4719"/>
    <d v="2025-04-14T00:00:00"/>
    <x v="4"/>
    <x v="3"/>
    <s v="GMP"/>
    <s v="Economy"/>
    <n v="215"/>
    <n v="217.21"/>
    <n v="0"/>
    <s v="On Time"/>
    <n v="46700.15"/>
    <s v="Apr"/>
    <n v="2025"/>
    <n v="46700.15"/>
    <s v="On Time"/>
  </r>
  <r>
    <n v="4720"/>
    <d v="2025-05-27T00:00:00"/>
    <x v="4"/>
    <x v="6"/>
    <s v="MNL"/>
    <s v="Business"/>
    <n v="229"/>
    <n v="542.83000000000004"/>
    <n v="0"/>
    <s v="On Time"/>
    <n v="124308.07"/>
    <s v="May"/>
    <n v="2025"/>
    <n v="124308.07"/>
    <s v="On Time"/>
  </r>
  <r>
    <n v="4721"/>
    <d v="2025-07-28T00:00:00"/>
    <x v="0"/>
    <x v="0"/>
    <s v="NRT"/>
    <s v="Economy"/>
    <n v="226"/>
    <n v="619.61"/>
    <n v="1"/>
    <s v="Delayed"/>
    <n v="140031.85999999999"/>
    <s v="Jul"/>
    <n v="2025"/>
    <n v="140031.86000000002"/>
    <s v="Minor Delay"/>
  </r>
  <r>
    <n v="4722"/>
    <d v="2025-04-03T00:00:00"/>
    <x v="2"/>
    <x v="8"/>
    <s v="ICN"/>
    <s v="Premium Economy"/>
    <n v="112"/>
    <n v="437.25"/>
    <n v="0"/>
    <s v="Delayed"/>
    <n v="48972"/>
    <s v="Apr"/>
    <n v="2025"/>
    <n v="48972"/>
    <s v="On Time"/>
  </r>
  <r>
    <n v="4723"/>
    <d v="2025-06-28T00:00:00"/>
    <x v="4"/>
    <x v="8"/>
    <s v="GMP"/>
    <s v="Business"/>
    <n v="70"/>
    <n v="467.69"/>
    <n v="33"/>
    <s v="Delayed"/>
    <n v="32738.3"/>
    <s v="Jun"/>
    <n v="2025"/>
    <n v="32738.3"/>
    <s v="Moderate Delay"/>
  </r>
  <r>
    <n v="4724"/>
    <d v="2025-09-18T00:00:00"/>
    <x v="2"/>
    <x v="0"/>
    <s v="SIN"/>
    <s v="Economy"/>
    <n v="137"/>
    <n v="383.91"/>
    <n v="31"/>
    <s v="On Time"/>
    <n v="52595.67"/>
    <s v="Sep"/>
    <n v="2025"/>
    <n v="52595.670000000006"/>
    <s v="Moderate Delay"/>
  </r>
  <r>
    <n v="4725"/>
    <d v="2025-02-06T00:00:00"/>
    <x v="5"/>
    <x v="8"/>
    <s v="SIN"/>
    <s v="Economy"/>
    <n v="230"/>
    <n v="638.85"/>
    <n v="32"/>
    <s v="On Time"/>
    <n v="146935.5"/>
    <s v="Feb"/>
    <n v="2025"/>
    <n v="146935.5"/>
    <s v="Moderate Delay"/>
  </r>
  <r>
    <n v="4726"/>
    <d v="2025-01-31T00:00:00"/>
    <x v="0"/>
    <x v="5"/>
    <s v="NRT"/>
    <s v="Business"/>
    <n v="298"/>
    <n v="787.1"/>
    <n v="0"/>
    <s v="On Time"/>
    <n v="234555.8"/>
    <s v="Jan"/>
    <n v="2025"/>
    <n v="234555.80000000002"/>
    <s v="On Time"/>
  </r>
  <r>
    <n v="4727"/>
    <d v="2025-01-18T00:00:00"/>
    <x v="4"/>
    <x v="8"/>
    <s v="NRT"/>
    <s v="Business"/>
    <n v="209"/>
    <n v="616.78"/>
    <n v="34"/>
    <s v="On Time"/>
    <n v="128907.02"/>
    <s v="Jan"/>
    <n v="2025"/>
    <n v="128907.01999999999"/>
    <s v="Moderate Delay"/>
  </r>
  <r>
    <n v="4728"/>
    <d v="2025-07-13T00:00:00"/>
    <x v="2"/>
    <x v="1"/>
    <s v="ICN"/>
    <s v="Premium Economy"/>
    <n v="185"/>
    <n v="416.81"/>
    <n v="54"/>
    <s v="On Time"/>
    <n v="77109.850000000006"/>
    <s v="Jul"/>
    <n v="2025"/>
    <n v="77109.850000000006"/>
    <s v="Moderate Delay"/>
  </r>
  <r>
    <n v="4729"/>
    <d v="2025-11-02T00:00:00"/>
    <x v="2"/>
    <x v="7"/>
    <s v="KIX"/>
    <s v="Business"/>
    <n v="287"/>
    <n v="189.48"/>
    <n v="1"/>
    <s v="On Time"/>
    <n v="54380.76"/>
    <s v="Nov"/>
    <n v="2025"/>
    <n v="54380.759999999995"/>
    <s v="Minor Delay"/>
  </r>
  <r>
    <n v="4730"/>
    <d v="2025-05-25T00:00:00"/>
    <x v="5"/>
    <x v="2"/>
    <s v="MNL"/>
    <s v="Premium Economy"/>
    <n v="172"/>
    <n v="761.54"/>
    <n v="57"/>
    <s v="On Time"/>
    <n v="130984.88"/>
    <s v="May"/>
    <n v="2025"/>
    <n v="130984.87999999999"/>
    <s v="Moderate Delay"/>
  </r>
  <r>
    <n v="4731"/>
    <d v="2025-06-11T00:00:00"/>
    <x v="0"/>
    <x v="0"/>
    <s v="KIX"/>
    <s v="Premium Economy"/>
    <n v="141"/>
    <n v="626.48"/>
    <n v="0"/>
    <s v="Delayed"/>
    <n v="88333.68"/>
    <s v="Jun"/>
    <n v="2025"/>
    <n v="88333.680000000008"/>
    <s v="On Time"/>
  </r>
  <r>
    <n v="4732"/>
    <d v="2025-06-15T00:00:00"/>
    <x v="0"/>
    <x v="4"/>
    <s v="CJU"/>
    <s v="Business"/>
    <n v="157"/>
    <n v="544.47"/>
    <n v="51"/>
    <s v="Delayed"/>
    <n v="85481.79"/>
    <s v="Jun"/>
    <n v="2025"/>
    <n v="85481.790000000008"/>
    <s v="Moderate Delay"/>
  </r>
  <r>
    <n v="4733"/>
    <d v="2025-09-24T00:00:00"/>
    <x v="4"/>
    <x v="5"/>
    <s v="CJU"/>
    <s v="Economy"/>
    <n v="245"/>
    <n v="744.86"/>
    <n v="29"/>
    <s v="On Time"/>
    <n v="182490.7"/>
    <s v="Sep"/>
    <n v="2025"/>
    <n v="182490.7"/>
    <s v="Minor Delay"/>
  </r>
  <r>
    <n v="4734"/>
    <d v="2025-10-06T00:00:00"/>
    <x v="4"/>
    <x v="2"/>
    <s v="NRT"/>
    <s v="Economy"/>
    <n v="131"/>
    <n v="400.36"/>
    <n v="0"/>
    <s v="On Time"/>
    <n v="52447.16"/>
    <s v="Oct"/>
    <n v="2025"/>
    <n v="52447.16"/>
    <s v="On Time"/>
  </r>
  <r>
    <n v="4735"/>
    <d v="2025-01-19T00:00:00"/>
    <x v="3"/>
    <x v="1"/>
    <s v="SIN"/>
    <s v="Premium Economy"/>
    <n v="65"/>
    <n v="549.15"/>
    <n v="20"/>
    <s v="On Time"/>
    <n v="35694.75"/>
    <s v="Jan"/>
    <n v="2025"/>
    <n v="35694.75"/>
    <s v="Minor Delay"/>
  </r>
  <r>
    <n v="4736"/>
    <d v="2025-09-16T00:00:00"/>
    <x v="3"/>
    <x v="6"/>
    <s v="PUS"/>
    <s v="Economy"/>
    <n v="67"/>
    <n v="696.02"/>
    <n v="0"/>
    <s v="On Time"/>
    <n v="46633.34"/>
    <s v="Sep"/>
    <n v="2025"/>
    <n v="46633.34"/>
    <s v="On Time"/>
  </r>
  <r>
    <n v="4737"/>
    <d v="2025-12-26T00:00:00"/>
    <x v="1"/>
    <x v="1"/>
    <s v="KIX"/>
    <s v="Economy"/>
    <n v="244"/>
    <n v="418.8"/>
    <n v="0"/>
    <s v="On Time"/>
    <n v="102187.2"/>
    <s v="Dec"/>
    <n v="2025"/>
    <n v="102187.2"/>
    <s v="On Time"/>
  </r>
  <r>
    <n v="4738"/>
    <d v="2025-07-12T00:00:00"/>
    <x v="0"/>
    <x v="4"/>
    <s v="BKK"/>
    <s v="Business"/>
    <n v="111"/>
    <n v="692.04"/>
    <n v="18"/>
    <s v="On Time"/>
    <n v="76816.44"/>
    <s v="Jul"/>
    <n v="2025"/>
    <n v="76816.44"/>
    <s v="Minor Delay"/>
  </r>
  <r>
    <n v="4739"/>
    <d v="2025-06-03T00:00:00"/>
    <x v="5"/>
    <x v="7"/>
    <s v="NRT"/>
    <s v="Premium Economy"/>
    <n v="85"/>
    <n v="266.38"/>
    <n v="16"/>
    <s v="On Time"/>
    <n v="22642.3"/>
    <s v="Jun"/>
    <n v="2025"/>
    <n v="22642.3"/>
    <s v="Minor Delay"/>
  </r>
  <r>
    <n v="4740"/>
    <d v="2025-09-29T00:00:00"/>
    <x v="3"/>
    <x v="3"/>
    <s v="SIN"/>
    <s v="Economy"/>
    <n v="153"/>
    <n v="202.36"/>
    <n v="27"/>
    <s v="On Time"/>
    <n v="30961.08"/>
    <s v="Sep"/>
    <n v="2025"/>
    <n v="30961.08"/>
    <s v="Minor Delay"/>
  </r>
  <r>
    <n v="4741"/>
    <d v="2025-05-18T00:00:00"/>
    <x v="3"/>
    <x v="2"/>
    <s v="CJU"/>
    <s v="Business"/>
    <n v="273"/>
    <n v="731.92"/>
    <n v="0"/>
    <s v="On Time"/>
    <n v="199814.16"/>
    <s v="May"/>
    <n v="2025"/>
    <n v="199814.15999999997"/>
    <s v="On Time"/>
  </r>
  <r>
    <n v="4742"/>
    <d v="2025-12-19T00:00:00"/>
    <x v="5"/>
    <x v="1"/>
    <s v="CJU"/>
    <s v="Business"/>
    <n v="146"/>
    <n v="489.2"/>
    <n v="25"/>
    <s v="On Time"/>
    <n v="71423.199999999997"/>
    <s v="Dec"/>
    <n v="2025"/>
    <n v="71423.199999999997"/>
    <s v="Minor Delay"/>
  </r>
  <r>
    <n v="4743"/>
    <d v="2025-08-02T00:00:00"/>
    <x v="3"/>
    <x v="4"/>
    <s v="SIN"/>
    <s v="Economy"/>
    <n v="293"/>
    <n v="720.28"/>
    <n v="26"/>
    <s v="On Time"/>
    <n v="211042.04"/>
    <s v="Aug"/>
    <n v="2025"/>
    <n v="211042.03999999998"/>
    <s v="Minor Delay"/>
  </r>
  <r>
    <n v="4744"/>
    <d v="2025-11-30T00:00:00"/>
    <x v="4"/>
    <x v="6"/>
    <s v="KIX"/>
    <s v="Premium Economy"/>
    <n v="193"/>
    <n v="620.49"/>
    <n v="47"/>
    <s v="On Time"/>
    <n v="119754.57"/>
    <s v="Nov"/>
    <n v="2025"/>
    <n v="119754.57"/>
    <s v="Moderate Delay"/>
  </r>
  <r>
    <n v="4745"/>
    <d v="2025-09-27T00:00:00"/>
    <x v="1"/>
    <x v="7"/>
    <s v="MNL"/>
    <s v="Business"/>
    <n v="272"/>
    <n v="200.02"/>
    <n v="44"/>
    <s v="On Time"/>
    <n v="54405.440000000002"/>
    <s v="Sep"/>
    <n v="2025"/>
    <n v="54405.440000000002"/>
    <s v="Moderate Delay"/>
  </r>
  <r>
    <n v="4746"/>
    <d v="2025-12-31T00:00:00"/>
    <x v="0"/>
    <x v="4"/>
    <s v="GMP"/>
    <s v="Business"/>
    <n v="107"/>
    <n v="163.22999999999999"/>
    <n v="43"/>
    <s v="On Time"/>
    <n v="17465.61"/>
    <s v="Dec"/>
    <n v="2025"/>
    <n v="17465.61"/>
    <s v="Moderate Delay"/>
  </r>
  <r>
    <n v="4747"/>
    <d v="2025-04-05T00:00:00"/>
    <x v="4"/>
    <x v="5"/>
    <s v="MNL"/>
    <s v="Economy"/>
    <n v="225"/>
    <n v="489.03"/>
    <n v="27"/>
    <s v="On Time"/>
    <n v="110031.75"/>
    <s v="Apr"/>
    <n v="2025"/>
    <n v="110031.75"/>
    <s v="Minor Delay"/>
  </r>
  <r>
    <n v="4748"/>
    <d v="2025-07-08T00:00:00"/>
    <x v="4"/>
    <x v="4"/>
    <s v="BKK"/>
    <s v="Economy"/>
    <n v="265"/>
    <n v="458.98"/>
    <n v="11"/>
    <s v="On Time"/>
    <n v="121629.7"/>
    <s v="Jul"/>
    <n v="2025"/>
    <n v="121629.70000000001"/>
    <s v="Minor Delay"/>
  </r>
  <r>
    <n v="4749"/>
    <d v="2025-02-13T00:00:00"/>
    <x v="4"/>
    <x v="6"/>
    <s v="PUS"/>
    <s v="Economy"/>
    <n v="63"/>
    <n v="719"/>
    <n v="9"/>
    <s v="On Time"/>
    <n v="45297"/>
    <s v="Feb"/>
    <n v="2025"/>
    <n v="45297"/>
    <s v="Minor Delay"/>
  </r>
  <r>
    <n v="4750"/>
    <d v="2025-08-09T00:00:00"/>
    <x v="2"/>
    <x v="7"/>
    <s v="PUS"/>
    <s v="Economy"/>
    <n v="133"/>
    <n v="554.13"/>
    <n v="34"/>
    <s v="Delayed"/>
    <n v="73699.289999999994"/>
    <s v="Aug"/>
    <n v="2025"/>
    <n v="73699.289999999994"/>
    <s v="Moderate Delay"/>
  </r>
  <r>
    <n v="4751"/>
    <d v="2025-08-17T00:00:00"/>
    <x v="5"/>
    <x v="5"/>
    <s v="KIX"/>
    <s v="Business"/>
    <n v="293"/>
    <n v="341.42"/>
    <n v="0"/>
    <s v="On Time"/>
    <n v="100036.06"/>
    <s v="Aug"/>
    <n v="2025"/>
    <n v="100036.06"/>
    <s v="On Time"/>
  </r>
  <r>
    <n v="4752"/>
    <d v="2025-02-17T00:00:00"/>
    <x v="0"/>
    <x v="1"/>
    <s v="CJU"/>
    <s v="Economy"/>
    <n v="249"/>
    <n v="606.97"/>
    <n v="29"/>
    <s v="On Time"/>
    <n v="151135.53"/>
    <s v="Feb"/>
    <n v="2025"/>
    <n v="151135.53"/>
    <s v="Minor Delay"/>
  </r>
  <r>
    <n v="4753"/>
    <d v="2025-03-30T00:00:00"/>
    <x v="5"/>
    <x v="6"/>
    <s v="BKK"/>
    <s v="Premium Economy"/>
    <n v="282"/>
    <n v="456.82"/>
    <n v="0"/>
    <s v="On Time"/>
    <n v="128823.24"/>
    <s v="Mar"/>
    <n v="2025"/>
    <n v="128823.24"/>
    <s v="On Time"/>
  </r>
  <r>
    <n v="4754"/>
    <d v="2025-01-26T00:00:00"/>
    <x v="3"/>
    <x v="8"/>
    <s v="BKK"/>
    <s v="Business"/>
    <n v="184"/>
    <n v="669.76"/>
    <n v="61"/>
    <s v="Delayed"/>
    <n v="123235.84"/>
    <s v="Jan"/>
    <n v="2025"/>
    <n v="123235.84"/>
    <s v="Major Delay"/>
  </r>
  <r>
    <n v="4755"/>
    <d v="2025-01-11T00:00:00"/>
    <x v="5"/>
    <x v="7"/>
    <s v="NRT"/>
    <s v="Economy"/>
    <n v="267"/>
    <n v="327.51"/>
    <n v="0"/>
    <s v="On Time"/>
    <n v="87445.17"/>
    <s v="Jan"/>
    <n v="2025"/>
    <n v="87445.17"/>
    <s v="On Time"/>
  </r>
  <r>
    <n v="4756"/>
    <d v="2025-08-28T00:00:00"/>
    <x v="3"/>
    <x v="4"/>
    <s v="MNL"/>
    <s v="Economy"/>
    <n v="150"/>
    <n v="214.91"/>
    <n v="31"/>
    <s v="On Time"/>
    <n v="32236.5"/>
    <s v="Aug"/>
    <n v="2025"/>
    <n v="32236.5"/>
    <s v="Moderate Delay"/>
  </r>
  <r>
    <n v="4757"/>
    <d v="2025-10-11T00:00:00"/>
    <x v="4"/>
    <x v="2"/>
    <s v="ICN"/>
    <s v="Premium Economy"/>
    <n v="60"/>
    <n v="136.31"/>
    <n v="33"/>
    <s v="Delayed"/>
    <n v="8178.6"/>
    <s v="Oct"/>
    <n v="2025"/>
    <n v="8178.6"/>
    <s v="Moderate Delay"/>
  </r>
  <r>
    <n v="4758"/>
    <d v="2025-05-01T00:00:00"/>
    <x v="0"/>
    <x v="6"/>
    <s v="ICN"/>
    <s v="Business"/>
    <n v="277"/>
    <n v="359.87"/>
    <n v="40"/>
    <s v="On Time"/>
    <n v="99683.99"/>
    <s v="May"/>
    <n v="2025"/>
    <n v="99683.99"/>
    <s v="Moderate Delay"/>
  </r>
  <r>
    <n v="4759"/>
    <d v="2025-12-08T00:00:00"/>
    <x v="2"/>
    <x v="6"/>
    <s v="NRT"/>
    <s v="Premium Economy"/>
    <n v="196"/>
    <n v="119.74"/>
    <n v="58"/>
    <s v="On Time"/>
    <n v="23469.040000000001"/>
    <s v="Dec"/>
    <n v="2025"/>
    <n v="23469.039999999997"/>
    <s v="Moderate Delay"/>
  </r>
  <r>
    <n v="4760"/>
    <d v="2025-04-28T00:00:00"/>
    <x v="1"/>
    <x v="2"/>
    <s v="ICN"/>
    <s v="Economy"/>
    <n v="232"/>
    <n v="763.55"/>
    <n v="44"/>
    <s v="On Time"/>
    <n v="177143.6"/>
    <s v="Apr"/>
    <n v="2025"/>
    <n v="177143.59999999998"/>
    <s v="Moderate Delay"/>
  </r>
  <r>
    <n v="4761"/>
    <d v="2025-07-12T00:00:00"/>
    <x v="2"/>
    <x v="1"/>
    <s v="PUS"/>
    <s v="Economy"/>
    <n v="242"/>
    <n v="778.61"/>
    <n v="0"/>
    <s v="On Time"/>
    <n v="188423.62"/>
    <s v="Jul"/>
    <n v="2025"/>
    <n v="188423.62"/>
    <s v="On Time"/>
  </r>
  <r>
    <n v="4762"/>
    <d v="2025-01-02T00:00:00"/>
    <x v="5"/>
    <x v="0"/>
    <s v="KIX"/>
    <s v="Business"/>
    <n v="134"/>
    <n v="395.75"/>
    <n v="16"/>
    <s v="Delayed"/>
    <n v="53030.5"/>
    <s v="Jan"/>
    <n v="2025"/>
    <n v="53030.5"/>
    <s v="Minor Delay"/>
  </r>
  <r>
    <n v="4763"/>
    <d v="2025-03-25T00:00:00"/>
    <x v="5"/>
    <x v="1"/>
    <s v="CJU"/>
    <s v="Premium Economy"/>
    <n v="69"/>
    <n v="625.22"/>
    <n v="21"/>
    <s v="On Time"/>
    <n v="43140.18"/>
    <s v="Mar"/>
    <n v="2025"/>
    <n v="43140.18"/>
    <s v="Minor Delay"/>
  </r>
  <r>
    <n v="4764"/>
    <d v="2025-01-19T00:00:00"/>
    <x v="2"/>
    <x v="1"/>
    <s v="GMP"/>
    <s v="Business"/>
    <n v="248"/>
    <n v="366.78"/>
    <n v="20"/>
    <s v="On Time"/>
    <n v="90961.44"/>
    <s v="Jan"/>
    <n v="2025"/>
    <n v="90961.439999999988"/>
    <s v="Minor Delay"/>
  </r>
  <r>
    <n v="4765"/>
    <d v="2025-07-19T00:00:00"/>
    <x v="1"/>
    <x v="5"/>
    <s v="PUS"/>
    <s v="Premium Economy"/>
    <n v="157"/>
    <n v="497.44"/>
    <n v="2"/>
    <s v="On Time"/>
    <n v="78098.080000000002"/>
    <s v="Jul"/>
    <n v="2025"/>
    <n v="78098.080000000002"/>
    <s v="Minor Delay"/>
  </r>
  <r>
    <n v="4766"/>
    <d v="2025-09-19T00:00:00"/>
    <x v="3"/>
    <x v="3"/>
    <s v="PUS"/>
    <s v="Business"/>
    <n v="77"/>
    <n v="732.67"/>
    <n v="0"/>
    <s v="On Time"/>
    <n v="56415.59"/>
    <s v="Sep"/>
    <n v="2025"/>
    <n v="56415.59"/>
    <s v="On Time"/>
  </r>
  <r>
    <n v="4767"/>
    <d v="2025-05-23T00:00:00"/>
    <x v="1"/>
    <x v="7"/>
    <s v="KIX"/>
    <s v="Economy"/>
    <n v="156"/>
    <n v="347.76"/>
    <n v="0"/>
    <s v="On Time"/>
    <n v="54250.559999999998"/>
    <s v="May"/>
    <n v="2025"/>
    <n v="54250.559999999998"/>
    <s v="On Time"/>
  </r>
  <r>
    <n v="4768"/>
    <d v="2025-03-17T00:00:00"/>
    <x v="1"/>
    <x v="8"/>
    <s v="PUS"/>
    <s v="Premium Economy"/>
    <n v="139"/>
    <n v="101.42"/>
    <n v="21"/>
    <s v="On Time"/>
    <n v="14097.38"/>
    <s v="Mar"/>
    <n v="2025"/>
    <n v="14097.380000000001"/>
    <s v="Minor Delay"/>
  </r>
  <r>
    <n v="4769"/>
    <d v="2025-04-19T00:00:00"/>
    <x v="5"/>
    <x v="4"/>
    <s v="CJU"/>
    <s v="Business"/>
    <n v="99"/>
    <n v="316.44"/>
    <n v="17"/>
    <s v="On Time"/>
    <n v="31327.56"/>
    <s v="Apr"/>
    <n v="2025"/>
    <n v="31327.56"/>
    <s v="Minor Delay"/>
  </r>
  <r>
    <n v="4770"/>
    <d v="2025-11-25T00:00:00"/>
    <x v="1"/>
    <x v="0"/>
    <s v="CJU"/>
    <s v="Business"/>
    <n v="168"/>
    <n v="619.4"/>
    <n v="0"/>
    <s v="On Time"/>
    <n v="104059.2"/>
    <s v="Nov"/>
    <n v="2025"/>
    <n v="104059.2"/>
    <s v="On Time"/>
  </r>
  <r>
    <n v="4771"/>
    <d v="2025-03-28T00:00:00"/>
    <x v="0"/>
    <x v="3"/>
    <s v="ICN"/>
    <s v="Business"/>
    <n v="218"/>
    <n v="78.900000000000006"/>
    <n v="0"/>
    <s v="On Time"/>
    <n v="17200.2"/>
    <s v="Mar"/>
    <n v="2025"/>
    <n v="17200.2"/>
    <s v="On Time"/>
  </r>
  <r>
    <n v="4772"/>
    <d v="2025-08-16T00:00:00"/>
    <x v="1"/>
    <x v="1"/>
    <s v="MNL"/>
    <s v="Premium Economy"/>
    <n v="188"/>
    <n v="311.47000000000003"/>
    <n v="67"/>
    <s v="Delayed"/>
    <n v="58556.36"/>
    <s v="Aug"/>
    <n v="2025"/>
    <n v="58556.360000000008"/>
    <s v="Major Delay"/>
  </r>
  <r>
    <n v="4773"/>
    <d v="2025-09-13T00:00:00"/>
    <x v="1"/>
    <x v="2"/>
    <s v="GMP"/>
    <s v="Premium Economy"/>
    <n v="166"/>
    <n v="485.43"/>
    <n v="12"/>
    <s v="Delayed"/>
    <n v="80581.38"/>
    <s v="Sep"/>
    <n v="2025"/>
    <n v="80581.38"/>
    <s v="Minor Delay"/>
  </r>
  <r>
    <n v="4774"/>
    <d v="2025-05-30T00:00:00"/>
    <x v="5"/>
    <x v="7"/>
    <s v="PUS"/>
    <s v="Economy"/>
    <n v="90"/>
    <n v="64.28"/>
    <n v="37"/>
    <s v="On Time"/>
    <n v="5785.2"/>
    <s v="May"/>
    <n v="2025"/>
    <n v="5785.2"/>
    <s v="Moderate Delay"/>
  </r>
  <r>
    <n v="4775"/>
    <d v="2025-07-02T00:00:00"/>
    <x v="3"/>
    <x v="6"/>
    <s v="GMP"/>
    <s v="Economy"/>
    <n v="62"/>
    <n v="436.67"/>
    <n v="43"/>
    <s v="On Time"/>
    <n v="27073.54"/>
    <s v="Jul"/>
    <n v="2025"/>
    <n v="27073.54"/>
    <s v="Moderate Delay"/>
  </r>
  <r>
    <n v="4776"/>
    <d v="2025-10-08T00:00:00"/>
    <x v="1"/>
    <x v="8"/>
    <s v="BKK"/>
    <s v="Economy"/>
    <n v="298"/>
    <n v="663.36"/>
    <n v="0"/>
    <s v="On Time"/>
    <n v="197681.28"/>
    <s v="Oct"/>
    <n v="2025"/>
    <n v="197681.28"/>
    <s v="On Time"/>
  </r>
  <r>
    <n v="4777"/>
    <d v="2025-06-21T00:00:00"/>
    <x v="1"/>
    <x v="1"/>
    <s v="CJU"/>
    <s v="Premium Economy"/>
    <n v="244"/>
    <n v="102.21"/>
    <n v="13"/>
    <s v="On Time"/>
    <n v="24939.24"/>
    <s v="Jun"/>
    <n v="2025"/>
    <n v="24939.239999999998"/>
    <s v="Minor Delay"/>
  </r>
  <r>
    <n v="4778"/>
    <d v="2025-11-04T00:00:00"/>
    <x v="4"/>
    <x v="0"/>
    <s v="NRT"/>
    <s v="Economy"/>
    <n v="63"/>
    <n v="242.83"/>
    <n v="0"/>
    <s v="Delayed"/>
    <n v="15298.29"/>
    <s v="Nov"/>
    <n v="2025"/>
    <n v="15298.29"/>
    <s v="On Time"/>
  </r>
  <r>
    <n v="4779"/>
    <d v="2025-01-24T00:00:00"/>
    <x v="3"/>
    <x v="7"/>
    <s v="BKK"/>
    <s v="Economy"/>
    <n v="174"/>
    <n v="245.45"/>
    <n v="8"/>
    <s v="Delayed"/>
    <n v="42708.3"/>
    <s v="Jan"/>
    <n v="2025"/>
    <n v="42708.299999999996"/>
    <s v="Minor Delay"/>
  </r>
  <r>
    <n v="4780"/>
    <d v="2025-09-16T00:00:00"/>
    <x v="4"/>
    <x v="6"/>
    <s v="PUS"/>
    <s v="Premium Economy"/>
    <n v="62"/>
    <n v="621.42999999999995"/>
    <n v="28"/>
    <s v="Delayed"/>
    <n v="38528.660000000003"/>
    <s v="Sep"/>
    <n v="2025"/>
    <n v="38528.659999999996"/>
    <s v="Minor Delay"/>
  </r>
  <r>
    <n v="4781"/>
    <d v="2025-11-25T00:00:00"/>
    <x v="2"/>
    <x v="2"/>
    <s v="SIN"/>
    <s v="Premium Economy"/>
    <n v="115"/>
    <n v="215.76"/>
    <n v="3"/>
    <s v="Delayed"/>
    <n v="24812.400000000001"/>
    <s v="Nov"/>
    <n v="2025"/>
    <n v="24812.399999999998"/>
    <s v="Minor Delay"/>
  </r>
  <r>
    <n v="4782"/>
    <d v="2025-09-26T00:00:00"/>
    <x v="1"/>
    <x v="6"/>
    <s v="KIX"/>
    <s v="Economy"/>
    <n v="107"/>
    <n v="789.15"/>
    <n v="10"/>
    <s v="On Time"/>
    <n v="84439.05"/>
    <s v="Sep"/>
    <n v="2025"/>
    <n v="84439.05"/>
    <s v="Minor Delay"/>
  </r>
  <r>
    <n v="4783"/>
    <d v="2025-05-28T00:00:00"/>
    <x v="5"/>
    <x v="4"/>
    <s v="GMP"/>
    <s v="Premium Economy"/>
    <n v="217"/>
    <n v="241.89"/>
    <n v="45"/>
    <s v="On Time"/>
    <n v="52490.13"/>
    <s v="May"/>
    <n v="2025"/>
    <n v="52490.13"/>
    <s v="Moderate Delay"/>
  </r>
  <r>
    <n v="4784"/>
    <d v="2025-01-30T00:00:00"/>
    <x v="4"/>
    <x v="5"/>
    <s v="BKK"/>
    <s v="Business"/>
    <n v="180"/>
    <n v="692.66"/>
    <n v="46"/>
    <s v="On Time"/>
    <n v="124678.8"/>
    <s v="Jan"/>
    <n v="2025"/>
    <n v="124678.79999999999"/>
    <s v="Moderate Delay"/>
  </r>
  <r>
    <n v="4785"/>
    <d v="2025-06-11T00:00:00"/>
    <x v="1"/>
    <x v="3"/>
    <s v="ICN"/>
    <s v="Business"/>
    <n v="82"/>
    <n v="734.37"/>
    <n v="5"/>
    <s v="On Time"/>
    <n v="60218.34"/>
    <s v="Jun"/>
    <n v="2025"/>
    <n v="60218.340000000004"/>
    <s v="Minor Delay"/>
  </r>
  <r>
    <n v="4786"/>
    <d v="2025-05-10T00:00:00"/>
    <x v="4"/>
    <x v="5"/>
    <s v="SIN"/>
    <s v="Premium Economy"/>
    <n v="170"/>
    <n v="483.57"/>
    <n v="23"/>
    <s v="On Time"/>
    <n v="82206.899999999994"/>
    <s v="May"/>
    <n v="2025"/>
    <n v="82206.899999999994"/>
    <s v="Minor Delay"/>
  </r>
  <r>
    <n v="4787"/>
    <d v="2025-08-30T00:00:00"/>
    <x v="1"/>
    <x v="0"/>
    <s v="CJU"/>
    <s v="Premium Economy"/>
    <n v="290"/>
    <n v="246.05"/>
    <n v="18"/>
    <s v="On Time"/>
    <n v="71354.5"/>
    <s v="Aug"/>
    <n v="2025"/>
    <n v="71354.5"/>
    <s v="Minor Delay"/>
  </r>
  <r>
    <n v="4788"/>
    <d v="2025-09-28T00:00:00"/>
    <x v="3"/>
    <x v="3"/>
    <s v="MNL"/>
    <s v="Business"/>
    <n v="226"/>
    <n v="265.01"/>
    <n v="14"/>
    <s v="Delayed"/>
    <n v="59892.26"/>
    <s v="Sep"/>
    <n v="2025"/>
    <n v="59892.259999999995"/>
    <s v="Minor Delay"/>
  </r>
  <r>
    <n v="4789"/>
    <d v="2025-12-12T00:00:00"/>
    <x v="2"/>
    <x v="1"/>
    <s v="KIX"/>
    <s v="Economy"/>
    <n v="172"/>
    <n v="277.39"/>
    <n v="15"/>
    <s v="On Time"/>
    <n v="47711.08"/>
    <s v="Dec"/>
    <n v="2025"/>
    <n v="47711.079999999994"/>
    <s v="Minor Delay"/>
  </r>
  <r>
    <n v="4790"/>
    <d v="2025-03-11T00:00:00"/>
    <x v="0"/>
    <x v="5"/>
    <s v="SIN"/>
    <s v="Premium Economy"/>
    <n v="146"/>
    <n v="599.91"/>
    <n v="43"/>
    <s v="On Time"/>
    <n v="87586.86"/>
    <s v="Mar"/>
    <n v="2025"/>
    <n v="87586.86"/>
    <s v="Moderate Delay"/>
  </r>
  <r>
    <n v="4791"/>
    <d v="2025-02-23T00:00:00"/>
    <x v="0"/>
    <x v="8"/>
    <s v="NRT"/>
    <s v="Economy"/>
    <n v="192"/>
    <n v="138.16"/>
    <n v="46"/>
    <s v="On Time"/>
    <n v="26526.720000000001"/>
    <s v="Feb"/>
    <n v="2025"/>
    <n v="26526.720000000001"/>
    <s v="Moderate Delay"/>
  </r>
  <r>
    <n v="4792"/>
    <d v="2025-07-02T00:00:00"/>
    <x v="0"/>
    <x v="6"/>
    <s v="CJU"/>
    <s v="Business"/>
    <n v="223"/>
    <n v="758.65"/>
    <n v="20"/>
    <s v="On Time"/>
    <n v="169178.95"/>
    <s v="Jul"/>
    <n v="2025"/>
    <n v="169178.94999999998"/>
    <s v="Minor Delay"/>
  </r>
  <r>
    <n v="4793"/>
    <d v="2025-04-21T00:00:00"/>
    <x v="5"/>
    <x v="5"/>
    <s v="KIX"/>
    <s v="Economy"/>
    <n v="248"/>
    <n v="330.11"/>
    <n v="8"/>
    <s v="On Time"/>
    <n v="81867.28"/>
    <s v="Apr"/>
    <n v="2025"/>
    <n v="81867.28"/>
    <s v="Minor Delay"/>
  </r>
  <r>
    <n v="4794"/>
    <d v="2025-08-14T00:00:00"/>
    <x v="4"/>
    <x v="3"/>
    <s v="SIN"/>
    <s v="Economy"/>
    <n v="226"/>
    <n v="739.34"/>
    <n v="27"/>
    <s v="On Time"/>
    <n v="167090.84"/>
    <s v="Aug"/>
    <n v="2025"/>
    <n v="167090.84"/>
    <s v="Minor Delay"/>
  </r>
  <r>
    <n v="4795"/>
    <d v="2025-04-22T00:00:00"/>
    <x v="3"/>
    <x v="4"/>
    <s v="ICN"/>
    <s v="Business"/>
    <n v="75"/>
    <n v="376.24"/>
    <n v="0"/>
    <s v="On Time"/>
    <n v="28218"/>
    <s v="Apr"/>
    <n v="2025"/>
    <n v="28218"/>
    <s v="On Time"/>
  </r>
  <r>
    <n v="4796"/>
    <d v="2025-11-28T00:00:00"/>
    <x v="5"/>
    <x v="7"/>
    <s v="KIX"/>
    <s v="Economy"/>
    <n v="113"/>
    <n v="310.33999999999997"/>
    <n v="37"/>
    <s v="On Time"/>
    <n v="35068.42"/>
    <s v="Nov"/>
    <n v="2025"/>
    <n v="35068.42"/>
    <s v="Moderate Delay"/>
  </r>
  <r>
    <n v="4797"/>
    <d v="2025-11-09T00:00:00"/>
    <x v="5"/>
    <x v="4"/>
    <s v="CJU"/>
    <s v="Economy"/>
    <n v="243"/>
    <n v="513.82000000000005"/>
    <n v="82"/>
    <s v="On Time"/>
    <n v="124858.26"/>
    <s v="Nov"/>
    <n v="2025"/>
    <n v="124858.26000000001"/>
    <s v="Major Delay"/>
  </r>
  <r>
    <n v="4798"/>
    <d v="2025-11-03T00:00:00"/>
    <x v="4"/>
    <x v="3"/>
    <s v="PUS"/>
    <s v="Economy"/>
    <n v="239"/>
    <n v="576.66"/>
    <n v="24"/>
    <s v="Delayed"/>
    <n v="137821.74"/>
    <s v="Nov"/>
    <n v="2025"/>
    <n v="137821.74"/>
    <s v="Minor Delay"/>
  </r>
  <r>
    <n v="4799"/>
    <d v="2025-04-07T00:00:00"/>
    <x v="0"/>
    <x v="5"/>
    <s v="BKK"/>
    <s v="Business"/>
    <n v="256"/>
    <n v="473.55"/>
    <n v="1"/>
    <s v="On Time"/>
    <n v="121228.8"/>
    <s v="Apr"/>
    <n v="2025"/>
    <n v="121228.8"/>
    <s v="Minor Delay"/>
  </r>
  <r>
    <n v="4800"/>
    <d v="2025-02-13T00:00:00"/>
    <x v="4"/>
    <x v="5"/>
    <s v="CJU"/>
    <s v="Business"/>
    <n v="257"/>
    <n v="505.78"/>
    <n v="23"/>
    <s v="Delayed"/>
    <n v="129985.46"/>
    <s v="Feb"/>
    <n v="2025"/>
    <n v="129985.45999999999"/>
    <s v="Minor Delay"/>
  </r>
  <r>
    <n v="4801"/>
    <d v="2025-06-18T00:00:00"/>
    <x v="4"/>
    <x v="4"/>
    <s v="SIN"/>
    <s v="Business"/>
    <n v="175"/>
    <n v="209.26"/>
    <n v="38"/>
    <s v="On Time"/>
    <n v="36620.5"/>
    <s v="Jun"/>
    <n v="2025"/>
    <n v="36620.5"/>
    <s v="Moderate Delay"/>
  </r>
  <r>
    <n v="4802"/>
    <d v="2025-10-22T00:00:00"/>
    <x v="2"/>
    <x v="4"/>
    <s v="ICN"/>
    <s v="Premium Economy"/>
    <n v="186"/>
    <n v="110.21"/>
    <n v="0"/>
    <s v="On Time"/>
    <n v="20499.060000000001"/>
    <s v="Oct"/>
    <n v="2025"/>
    <n v="20499.059999999998"/>
    <s v="On Time"/>
  </r>
  <r>
    <n v="4803"/>
    <d v="2025-10-22T00:00:00"/>
    <x v="2"/>
    <x v="1"/>
    <s v="KIX"/>
    <s v="Premium Economy"/>
    <n v="109"/>
    <n v="511.1"/>
    <n v="67"/>
    <s v="On Time"/>
    <n v="55709.9"/>
    <s v="Oct"/>
    <n v="2025"/>
    <n v="55709.9"/>
    <s v="Major Delay"/>
  </r>
  <r>
    <n v="4804"/>
    <d v="2025-06-25T00:00:00"/>
    <x v="2"/>
    <x v="4"/>
    <s v="ICN"/>
    <s v="Economy"/>
    <n v="282"/>
    <n v="723.79"/>
    <n v="52"/>
    <s v="On Time"/>
    <n v="204108.78"/>
    <s v="Jun"/>
    <n v="2025"/>
    <n v="204108.78"/>
    <s v="Moderate Delay"/>
  </r>
  <r>
    <n v="4805"/>
    <d v="2025-09-23T00:00:00"/>
    <x v="3"/>
    <x v="0"/>
    <s v="ICN"/>
    <s v="Economy"/>
    <n v="125"/>
    <n v="659.66"/>
    <n v="11"/>
    <s v="Delayed"/>
    <n v="82457.5"/>
    <s v="Sep"/>
    <n v="2025"/>
    <n v="82457.5"/>
    <s v="Minor Delay"/>
  </r>
  <r>
    <n v="4806"/>
    <d v="2025-04-20T00:00:00"/>
    <x v="1"/>
    <x v="1"/>
    <s v="NRT"/>
    <s v="Premium Economy"/>
    <n v="269"/>
    <n v="587.91999999999996"/>
    <n v="0"/>
    <s v="On Time"/>
    <n v="158150.48000000001"/>
    <s v="Apr"/>
    <n v="2025"/>
    <n v="158150.47999999998"/>
    <s v="On Time"/>
  </r>
  <r>
    <n v="4807"/>
    <d v="2025-12-05T00:00:00"/>
    <x v="2"/>
    <x v="0"/>
    <s v="SIN"/>
    <s v="Economy"/>
    <n v="223"/>
    <n v="591.99"/>
    <n v="51"/>
    <s v="On Time"/>
    <n v="132013.76999999999"/>
    <s v="Dec"/>
    <n v="2025"/>
    <n v="132013.76999999999"/>
    <s v="Moderate Delay"/>
  </r>
  <r>
    <n v="4808"/>
    <d v="2025-04-03T00:00:00"/>
    <x v="0"/>
    <x v="3"/>
    <s v="SIN"/>
    <s v="Premium Economy"/>
    <n v="113"/>
    <n v="288.07"/>
    <n v="10"/>
    <s v="On Time"/>
    <n v="32551.91"/>
    <s v="Apr"/>
    <n v="2025"/>
    <n v="32551.91"/>
    <s v="Minor Delay"/>
  </r>
  <r>
    <n v="4809"/>
    <d v="2025-10-03T00:00:00"/>
    <x v="4"/>
    <x v="5"/>
    <s v="KIX"/>
    <s v="Premium Economy"/>
    <n v="192"/>
    <n v="738.73"/>
    <n v="0"/>
    <s v="On Time"/>
    <n v="141836.16"/>
    <s v="Oct"/>
    <n v="2025"/>
    <n v="141836.16"/>
    <s v="On Time"/>
  </r>
  <r>
    <n v="4810"/>
    <d v="2025-06-17T00:00:00"/>
    <x v="2"/>
    <x v="7"/>
    <s v="MNL"/>
    <s v="Business"/>
    <n v="90"/>
    <n v="466.42"/>
    <n v="48"/>
    <s v="On Time"/>
    <n v="41977.8"/>
    <s v="Jun"/>
    <n v="2025"/>
    <n v="41977.8"/>
    <s v="Moderate Delay"/>
  </r>
  <r>
    <n v="4811"/>
    <d v="2025-03-27T00:00:00"/>
    <x v="2"/>
    <x v="7"/>
    <s v="GMP"/>
    <s v="Business"/>
    <n v="209"/>
    <n v="534.59"/>
    <n v="0"/>
    <s v="On Time"/>
    <n v="111729.31"/>
    <s v="Mar"/>
    <n v="2025"/>
    <n v="111729.31000000001"/>
    <s v="On Time"/>
  </r>
  <r>
    <n v="4812"/>
    <d v="2025-11-16T00:00:00"/>
    <x v="2"/>
    <x v="4"/>
    <s v="GMP"/>
    <s v="Economy"/>
    <n v="213"/>
    <n v="452.07"/>
    <n v="14"/>
    <s v="On Time"/>
    <n v="96290.91"/>
    <s v="Nov"/>
    <n v="2025"/>
    <n v="96290.91"/>
    <s v="Minor Delay"/>
  </r>
  <r>
    <n v="4813"/>
    <d v="2025-07-08T00:00:00"/>
    <x v="0"/>
    <x v="3"/>
    <s v="BKK"/>
    <s v="Premium Economy"/>
    <n v="232"/>
    <n v="227.91"/>
    <n v="14"/>
    <s v="On Time"/>
    <n v="52875.12"/>
    <s v="Jul"/>
    <n v="2025"/>
    <n v="52875.12"/>
    <s v="Minor Delay"/>
  </r>
  <r>
    <n v="4814"/>
    <d v="2025-03-05T00:00:00"/>
    <x v="5"/>
    <x v="1"/>
    <s v="PUS"/>
    <s v="Premium Economy"/>
    <n v="144"/>
    <n v="478.46"/>
    <n v="0"/>
    <s v="Delayed"/>
    <n v="68898.240000000005"/>
    <s v="Mar"/>
    <n v="2025"/>
    <n v="68898.239999999991"/>
    <s v="On Time"/>
  </r>
  <r>
    <n v="4815"/>
    <d v="2025-03-05T00:00:00"/>
    <x v="2"/>
    <x v="5"/>
    <s v="SIN"/>
    <s v="Business"/>
    <n v="263"/>
    <n v="249.03"/>
    <n v="0"/>
    <s v="On Time"/>
    <n v="65494.89"/>
    <s v="Mar"/>
    <n v="2025"/>
    <n v="65494.89"/>
    <s v="On Time"/>
  </r>
  <r>
    <n v="4816"/>
    <d v="2025-01-03T00:00:00"/>
    <x v="1"/>
    <x v="4"/>
    <s v="ICN"/>
    <s v="Business"/>
    <n v="237"/>
    <n v="261.08"/>
    <n v="3"/>
    <s v="On Time"/>
    <n v="61875.96"/>
    <s v="Jan"/>
    <n v="2025"/>
    <n v="61875.96"/>
    <s v="Minor Delay"/>
  </r>
  <r>
    <n v="4817"/>
    <d v="2025-01-24T00:00:00"/>
    <x v="0"/>
    <x v="3"/>
    <s v="MNL"/>
    <s v="Economy"/>
    <n v="248"/>
    <n v="697.47"/>
    <n v="48"/>
    <s v="On Time"/>
    <n v="172972.56"/>
    <s v="Jan"/>
    <n v="2025"/>
    <n v="172972.56"/>
    <s v="Moderate Delay"/>
  </r>
  <r>
    <n v="4818"/>
    <d v="2025-11-07T00:00:00"/>
    <x v="2"/>
    <x v="5"/>
    <s v="SIN"/>
    <s v="Economy"/>
    <n v="199"/>
    <n v="364.23"/>
    <n v="48"/>
    <s v="On Time"/>
    <n v="72481.77"/>
    <s v="Nov"/>
    <n v="2025"/>
    <n v="72481.77"/>
    <s v="Moderate Delay"/>
  </r>
  <r>
    <n v="4819"/>
    <d v="2025-06-06T00:00:00"/>
    <x v="0"/>
    <x v="7"/>
    <s v="BKK"/>
    <s v="Premium Economy"/>
    <n v="286"/>
    <n v="212.54"/>
    <n v="11"/>
    <s v="On Time"/>
    <n v="60786.44"/>
    <s v="Jun"/>
    <n v="2025"/>
    <n v="60786.439999999995"/>
    <s v="Minor Delay"/>
  </r>
  <r>
    <n v="4820"/>
    <d v="2025-02-28T00:00:00"/>
    <x v="3"/>
    <x v="7"/>
    <s v="BKK"/>
    <s v="Business"/>
    <n v="172"/>
    <n v="570.34"/>
    <n v="100"/>
    <s v="Delayed"/>
    <n v="98098.48"/>
    <s v="Feb"/>
    <n v="2025"/>
    <n v="98098.48000000001"/>
    <s v="Major Delay"/>
  </r>
  <r>
    <n v="4821"/>
    <d v="2025-05-22T00:00:00"/>
    <x v="2"/>
    <x v="1"/>
    <s v="KIX"/>
    <s v="Business"/>
    <n v="290"/>
    <n v="331.01"/>
    <n v="42"/>
    <s v="On Time"/>
    <n v="95992.9"/>
    <s v="May"/>
    <n v="2025"/>
    <n v="95992.9"/>
    <s v="Moderate Delay"/>
  </r>
  <r>
    <n v="4822"/>
    <d v="2025-02-04T00:00:00"/>
    <x v="1"/>
    <x v="2"/>
    <s v="SIN"/>
    <s v="Business"/>
    <n v="132"/>
    <n v="198.76"/>
    <n v="3"/>
    <s v="On Time"/>
    <n v="26236.32"/>
    <s v="Feb"/>
    <n v="2025"/>
    <n v="26236.32"/>
    <s v="Minor Delay"/>
  </r>
  <r>
    <n v="4823"/>
    <d v="2025-11-28T00:00:00"/>
    <x v="3"/>
    <x v="7"/>
    <s v="BKK"/>
    <s v="Business"/>
    <n v="64"/>
    <n v="649.11"/>
    <n v="9"/>
    <s v="On Time"/>
    <n v="41543.040000000001"/>
    <s v="Nov"/>
    <n v="2025"/>
    <n v="41543.040000000001"/>
    <s v="Minor Delay"/>
  </r>
  <r>
    <n v="4824"/>
    <d v="2025-07-25T00:00:00"/>
    <x v="1"/>
    <x v="3"/>
    <s v="PUS"/>
    <s v="Business"/>
    <n v="77"/>
    <n v="411.84"/>
    <n v="0"/>
    <s v="Delayed"/>
    <n v="31711.68"/>
    <s v="Jul"/>
    <n v="2025"/>
    <n v="31711.679999999997"/>
    <s v="On Time"/>
  </r>
  <r>
    <n v="4825"/>
    <d v="2025-02-01T00:00:00"/>
    <x v="0"/>
    <x v="5"/>
    <s v="KIX"/>
    <s v="Premium Economy"/>
    <n v="146"/>
    <n v="766.03"/>
    <n v="39"/>
    <s v="On Time"/>
    <n v="111840.38"/>
    <s v="Feb"/>
    <n v="2025"/>
    <n v="111840.37999999999"/>
    <s v="Moderate Delay"/>
  </r>
  <r>
    <n v="4826"/>
    <d v="2025-12-16T00:00:00"/>
    <x v="2"/>
    <x v="0"/>
    <s v="MNL"/>
    <s v="Premium Economy"/>
    <n v="169"/>
    <n v="320.57"/>
    <n v="27"/>
    <s v="On Time"/>
    <n v="54176.33"/>
    <s v="Dec"/>
    <n v="2025"/>
    <n v="54176.33"/>
    <s v="Minor Delay"/>
  </r>
  <r>
    <n v="4827"/>
    <d v="2025-02-26T00:00:00"/>
    <x v="0"/>
    <x v="5"/>
    <s v="SIN"/>
    <s v="Premium Economy"/>
    <n v="197"/>
    <n v="794.73"/>
    <n v="17"/>
    <s v="On Time"/>
    <n v="156561.81"/>
    <s v="Feb"/>
    <n v="2025"/>
    <n v="156561.81"/>
    <s v="Minor Delay"/>
  </r>
  <r>
    <n v="4828"/>
    <d v="2025-01-05T00:00:00"/>
    <x v="2"/>
    <x v="2"/>
    <s v="BKK"/>
    <s v="Premium Economy"/>
    <n v="95"/>
    <n v="799.69"/>
    <n v="0"/>
    <s v="On Time"/>
    <n v="75970.55"/>
    <s v="Jan"/>
    <n v="2025"/>
    <n v="75970.55"/>
    <s v="On Time"/>
  </r>
  <r>
    <n v="4829"/>
    <d v="2025-04-18T00:00:00"/>
    <x v="5"/>
    <x v="5"/>
    <s v="KIX"/>
    <s v="Business"/>
    <n v="211"/>
    <n v="134.51"/>
    <n v="41"/>
    <s v="On Time"/>
    <n v="28381.61"/>
    <s v="Apr"/>
    <n v="2025"/>
    <n v="28381.609999999997"/>
    <s v="Moderate Delay"/>
  </r>
  <r>
    <n v="4830"/>
    <d v="2025-01-18T00:00:00"/>
    <x v="0"/>
    <x v="7"/>
    <s v="SIN"/>
    <s v="Business"/>
    <n v="139"/>
    <n v="290.89"/>
    <n v="6"/>
    <s v="Delayed"/>
    <n v="40433.71"/>
    <s v="Jan"/>
    <n v="2025"/>
    <n v="40433.71"/>
    <s v="Minor Delay"/>
  </r>
  <r>
    <n v="4831"/>
    <d v="2025-10-22T00:00:00"/>
    <x v="1"/>
    <x v="1"/>
    <s v="PUS"/>
    <s v="Premium Economy"/>
    <n v="180"/>
    <n v="288.64999999999998"/>
    <n v="0"/>
    <s v="On Time"/>
    <n v="51957"/>
    <s v="Oct"/>
    <n v="2025"/>
    <n v="51956.999999999993"/>
    <s v="On Time"/>
  </r>
  <r>
    <n v="4832"/>
    <d v="2025-05-25T00:00:00"/>
    <x v="2"/>
    <x v="1"/>
    <s v="ICN"/>
    <s v="Premium Economy"/>
    <n v="278"/>
    <n v="439.16"/>
    <n v="44"/>
    <s v="Cancelled"/>
    <n v="122086.48"/>
    <s v="May"/>
    <n v="2025"/>
    <n v="122086.48000000001"/>
    <s v="Moderate Delay"/>
  </r>
  <r>
    <n v="4833"/>
    <d v="2025-08-12T00:00:00"/>
    <x v="5"/>
    <x v="5"/>
    <s v="NRT"/>
    <s v="Economy"/>
    <n v="150"/>
    <n v="573.34"/>
    <n v="50"/>
    <s v="On Time"/>
    <n v="86001"/>
    <s v="Aug"/>
    <n v="2025"/>
    <n v="86001"/>
    <s v="Moderate Delay"/>
  </r>
  <r>
    <n v="4834"/>
    <d v="2025-07-21T00:00:00"/>
    <x v="1"/>
    <x v="5"/>
    <s v="PUS"/>
    <s v="Economy"/>
    <n v="115"/>
    <n v="81.84"/>
    <n v="44"/>
    <s v="On Time"/>
    <n v="9411.6"/>
    <s v="Jul"/>
    <n v="2025"/>
    <n v="9411.6"/>
    <s v="Moderate Delay"/>
  </r>
  <r>
    <n v="4835"/>
    <d v="2025-02-17T00:00:00"/>
    <x v="0"/>
    <x v="8"/>
    <s v="PUS"/>
    <s v="Economy"/>
    <n v="252"/>
    <n v="630.39"/>
    <n v="63"/>
    <s v="On Time"/>
    <n v="158858.28"/>
    <s v="Feb"/>
    <n v="2025"/>
    <n v="158858.28"/>
    <s v="Major Delay"/>
  </r>
  <r>
    <n v="4836"/>
    <d v="2025-07-27T00:00:00"/>
    <x v="4"/>
    <x v="8"/>
    <s v="BKK"/>
    <s v="Premium Economy"/>
    <n v="217"/>
    <n v="63.15"/>
    <n v="35"/>
    <s v="On Time"/>
    <n v="13703.55"/>
    <s v="Jul"/>
    <n v="2025"/>
    <n v="13703.55"/>
    <s v="Moderate Delay"/>
  </r>
  <r>
    <n v="4837"/>
    <d v="2025-03-22T00:00:00"/>
    <x v="3"/>
    <x v="7"/>
    <s v="KIX"/>
    <s v="Business"/>
    <n v="79"/>
    <n v="571.79"/>
    <n v="0"/>
    <s v="On Time"/>
    <n v="45171.41"/>
    <s v="Mar"/>
    <n v="2025"/>
    <n v="45171.409999999996"/>
    <s v="On Time"/>
  </r>
  <r>
    <n v="4838"/>
    <d v="2025-09-14T00:00:00"/>
    <x v="3"/>
    <x v="2"/>
    <s v="CJU"/>
    <s v="Premium Economy"/>
    <n v="283"/>
    <n v="114.23"/>
    <n v="36"/>
    <s v="On Time"/>
    <n v="32327.09"/>
    <s v="Sep"/>
    <n v="2025"/>
    <n v="32327.09"/>
    <s v="Moderate Delay"/>
  </r>
  <r>
    <n v="4839"/>
    <d v="2025-10-11T00:00:00"/>
    <x v="1"/>
    <x v="5"/>
    <s v="BKK"/>
    <s v="Economy"/>
    <n v="299"/>
    <n v="775.59"/>
    <n v="42"/>
    <s v="On Time"/>
    <n v="231901.41"/>
    <s v="Oct"/>
    <n v="2025"/>
    <n v="231901.41"/>
    <s v="Moderate Delay"/>
  </r>
  <r>
    <n v="4840"/>
    <d v="2025-07-13T00:00:00"/>
    <x v="2"/>
    <x v="0"/>
    <s v="NRT"/>
    <s v="Business"/>
    <n v="243"/>
    <n v="752.18"/>
    <n v="24"/>
    <s v="On Time"/>
    <n v="182779.74"/>
    <s v="Jul"/>
    <n v="2025"/>
    <n v="182779.74"/>
    <s v="Minor Delay"/>
  </r>
  <r>
    <n v="4841"/>
    <d v="2025-07-02T00:00:00"/>
    <x v="4"/>
    <x v="1"/>
    <s v="NRT"/>
    <s v="Premium Economy"/>
    <n v="84"/>
    <n v="362.48"/>
    <n v="17"/>
    <s v="On Time"/>
    <n v="30448.32"/>
    <s v="Jul"/>
    <n v="2025"/>
    <n v="30448.32"/>
    <s v="Minor Delay"/>
  </r>
  <r>
    <n v="4842"/>
    <d v="2025-09-12T00:00:00"/>
    <x v="1"/>
    <x v="3"/>
    <s v="BKK"/>
    <s v="Premium Economy"/>
    <n v="296"/>
    <n v="768.14"/>
    <n v="25"/>
    <s v="On Time"/>
    <n v="227369.44"/>
    <s v="Sep"/>
    <n v="2025"/>
    <n v="227369.44"/>
    <s v="Minor Delay"/>
  </r>
  <r>
    <n v="4843"/>
    <d v="2025-10-15T00:00:00"/>
    <x v="2"/>
    <x v="3"/>
    <s v="ICN"/>
    <s v="Business"/>
    <n v="176"/>
    <n v="718.22"/>
    <n v="18"/>
    <s v="On Time"/>
    <n v="126406.72"/>
    <s v="Oct"/>
    <n v="2025"/>
    <n v="126406.72"/>
    <s v="Minor Delay"/>
  </r>
  <r>
    <n v="4844"/>
    <d v="2025-12-02T00:00:00"/>
    <x v="0"/>
    <x v="3"/>
    <s v="MNL"/>
    <s v="Premium Economy"/>
    <n v="193"/>
    <n v="353.89"/>
    <n v="30"/>
    <s v="On Time"/>
    <n v="68300.77"/>
    <s v="Dec"/>
    <n v="2025"/>
    <n v="68300.77"/>
    <s v="Minor Delay"/>
  </r>
  <r>
    <n v="4845"/>
    <d v="2025-06-10T00:00:00"/>
    <x v="2"/>
    <x v="1"/>
    <s v="PUS"/>
    <s v="Economy"/>
    <n v="58"/>
    <n v="343.33"/>
    <n v="34"/>
    <s v="On Time"/>
    <n v="19913.14"/>
    <s v="Jun"/>
    <n v="2025"/>
    <n v="19913.14"/>
    <s v="Moderate Delay"/>
  </r>
  <r>
    <n v="4846"/>
    <d v="2025-10-28T00:00:00"/>
    <x v="2"/>
    <x v="0"/>
    <s v="SIN"/>
    <s v="Business"/>
    <n v="293"/>
    <n v="328.79"/>
    <n v="54"/>
    <s v="Delayed"/>
    <n v="96335.47"/>
    <s v="Oct"/>
    <n v="2025"/>
    <n v="96335.47"/>
    <s v="Moderate Delay"/>
  </r>
  <r>
    <n v="4847"/>
    <d v="2025-09-24T00:00:00"/>
    <x v="4"/>
    <x v="2"/>
    <s v="SIN"/>
    <s v="Business"/>
    <n v="135"/>
    <n v="221.23"/>
    <n v="27"/>
    <s v="Delayed"/>
    <n v="29866.05"/>
    <s v="Sep"/>
    <n v="2025"/>
    <n v="29866.05"/>
    <s v="Minor Delay"/>
  </r>
  <r>
    <n v="4848"/>
    <d v="2025-06-21T00:00:00"/>
    <x v="5"/>
    <x v="4"/>
    <s v="KIX"/>
    <s v="Business"/>
    <n v="55"/>
    <n v="555.09"/>
    <n v="6"/>
    <s v="On Time"/>
    <n v="30529.95"/>
    <s v="Jun"/>
    <n v="2025"/>
    <n v="30529.95"/>
    <s v="Minor Delay"/>
  </r>
  <r>
    <n v="4849"/>
    <d v="2025-12-19T00:00:00"/>
    <x v="0"/>
    <x v="8"/>
    <s v="BKK"/>
    <s v="Economy"/>
    <n v="100"/>
    <n v="754.06"/>
    <n v="10"/>
    <s v="On Time"/>
    <n v="75406"/>
    <s v="Dec"/>
    <n v="2025"/>
    <n v="75406"/>
    <s v="Minor Delay"/>
  </r>
  <r>
    <n v="4850"/>
    <d v="2025-06-13T00:00:00"/>
    <x v="0"/>
    <x v="1"/>
    <s v="GMP"/>
    <s v="Business"/>
    <n v="255"/>
    <n v="737.8"/>
    <n v="25"/>
    <s v="On Time"/>
    <n v="188139"/>
    <s v="Jun"/>
    <n v="2025"/>
    <n v="188139"/>
    <s v="Minor Delay"/>
  </r>
  <r>
    <n v="4851"/>
    <d v="2025-03-14T00:00:00"/>
    <x v="0"/>
    <x v="2"/>
    <s v="CJU"/>
    <s v="Business"/>
    <n v="252"/>
    <n v="253.67"/>
    <n v="39"/>
    <s v="On Time"/>
    <n v="63924.84"/>
    <s v="Mar"/>
    <n v="2025"/>
    <n v="63924.84"/>
    <s v="Moderate Delay"/>
  </r>
  <r>
    <n v="4852"/>
    <d v="2025-01-02T00:00:00"/>
    <x v="1"/>
    <x v="6"/>
    <s v="GMP"/>
    <s v="Premium Economy"/>
    <n v="185"/>
    <n v="571.33000000000004"/>
    <n v="1"/>
    <s v="On Time"/>
    <n v="105696.05"/>
    <s v="Jan"/>
    <n v="2025"/>
    <n v="105696.05"/>
    <s v="Minor Delay"/>
  </r>
  <r>
    <n v="4853"/>
    <d v="2025-11-12T00:00:00"/>
    <x v="5"/>
    <x v="8"/>
    <s v="GMP"/>
    <s v="Business"/>
    <n v="119"/>
    <n v="92.23"/>
    <n v="38"/>
    <s v="Delayed"/>
    <n v="10975.37"/>
    <s v="Nov"/>
    <n v="2025"/>
    <n v="10975.37"/>
    <s v="Moderate Delay"/>
  </r>
  <r>
    <n v="4854"/>
    <d v="2025-08-18T00:00:00"/>
    <x v="4"/>
    <x v="4"/>
    <s v="PUS"/>
    <s v="Business"/>
    <n v="220"/>
    <n v="625.59"/>
    <n v="0"/>
    <s v="Delayed"/>
    <n v="137629.79999999999"/>
    <s v="Aug"/>
    <n v="2025"/>
    <n v="137629.80000000002"/>
    <s v="On Time"/>
  </r>
  <r>
    <n v="4855"/>
    <d v="2025-07-25T00:00:00"/>
    <x v="5"/>
    <x v="0"/>
    <s v="PUS"/>
    <s v="Economy"/>
    <n v="174"/>
    <n v="618.02"/>
    <n v="17"/>
    <s v="On Time"/>
    <n v="107535.48"/>
    <s v="Jul"/>
    <n v="2025"/>
    <n v="107535.48"/>
    <s v="Minor Delay"/>
  </r>
  <r>
    <n v="4856"/>
    <d v="2025-09-21T00:00:00"/>
    <x v="5"/>
    <x v="5"/>
    <s v="BKK"/>
    <s v="Business"/>
    <n v="205"/>
    <n v="705.74"/>
    <n v="18"/>
    <s v="On Time"/>
    <n v="144676.70000000001"/>
    <s v="Sep"/>
    <n v="2025"/>
    <n v="144676.70000000001"/>
    <s v="Minor Delay"/>
  </r>
  <r>
    <n v="4857"/>
    <d v="2025-10-07T00:00:00"/>
    <x v="1"/>
    <x v="6"/>
    <s v="ICN"/>
    <s v="Premium Economy"/>
    <n v="54"/>
    <n v="202.52"/>
    <n v="10"/>
    <s v="On Time"/>
    <n v="10936.08"/>
    <s v="Oct"/>
    <n v="2025"/>
    <n v="10936.08"/>
    <s v="Minor Delay"/>
  </r>
  <r>
    <n v="4858"/>
    <d v="2025-12-22T00:00:00"/>
    <x v="3"/>
    <x v="5"/>
    <s v="CJU"/>
    <s v="Economy"/>
    <n v="136"/>
    <n v="338.72"/>
    <n v="66"/>
    <s v="Delayed"/>
    <n v="46065.919999999998"/>
    <s v="Dec"/>
    <n v="2025"/>
    <n v="46065.920000000006"/>
    <s v="Major Delay"/>
  </r>
  <r>
    <n v="4859"/>
    <d v="2025-11-25T00:00:00"/>
    <x v="5"/>
    <x v="2"/>
    <s v="BKK"/>
    <s v="Business"/>
    <n v="260"/>
    <n v="546.4"/>
    <n v="32"/>
    <s v="On Time"/>
    <n v="142064"/>
    <s v="Nov"/>
    <n v="2025"/>
    <n v="142064"/>
    <s v="Moderate Delay"/>
  </r>
  <r>
    <n v="4860"/>
    <d v="2025-05-01T00:00:00"/>
    <x v="1"/>
    <x v="7"/>
    <s v="GMP"/>
    <s v="Economy"/>
    <n v="155"/>
    <n v="579.22"/>
    <n v="0"/>
    <s v="On Time"/>
    <n v="89779.1"/>
    <s v="May"/>
    <n v="2025"/>
    <n v="89779.1"/>
    <s v="On Time"/>
  </r>
  <r>
    <n v="4861"/>
    <d v="2025-03-12T00:00:00"/>
    <x v="3"/>
    <x v="1"/>
    <s v="ICN"/>
    <s v="Economy"/>
    <n v="91"/>
    <n v="735.32"/>
    <n v="59"/>
    <s v="Delayed"/>
    <n v="66914.12"/>
    <s v="Mar"/>
    <n v="2025"/>
    <n v="66914.12000000001"/>
    <s v="Moderate Delay"/>
  </r>
  <r>
    <n v="4862"/>
    <d v="2025-03-15T00:00:00"/>
    <x v="5"/>
    <x v="1"/>
    <s v="NRT"/>
    <s v="Economy"/>
    <n v="88"/>
    <n v="582.17999999999995"/>
    <n v="0"/>
    <s v="On Time"/>
    <n v="51231.839999999997"/>
    <s v="Mar"/>
    <n v="2025"/>
    <n v="51231.839999999997"/>
    <s v="On Time"/>
  </r>
  <r>
    <n v="4863"/>
    <d v="2025-07-23T00:00:00"/>
    <x v="0"/>
    <x v="3"/>
    <s v="PUS"/>
    <s v="Economy"/>
    <n v="167"/>
    <n v="665.5"/>
    <n v="16"/>
    <s v="On Time"/>
    <n v="111138.5"/>
    <s v="Jul"/>
    <n v="2025"/>
    <n v="111138.5"/>
    <s v="Minor Delay"/>
  </r>
  <r>
    <n v="4864"/>
    <d v="2025-11-03T00:00:00"/>
    <x v="1"/>
    <x v="4"/>
    <s v="BKK"/>
    <s v="Economy"/>
    <n v="149"/>
    <n v="63.33"/>
    <n v="49"/>
    <s v="On Time"/>
    <n v="9436.17"/>
    <s v="Nov"/>
    <n v="2025"/>
    <n v="9436.17"/>
    <s v="Moderate Delay"/>
  </r>
  <r>
    <n v="4865"/>
    <d v="2025-04-25T00:00:00"/>
    <x v="1"/>
    <x v="5"/>
    <s v="NRT"/>
    <s v="Business"/>
    <n v="265"/>
    <n v="252.19"/>
    <n v="0"/>
    <s v="On Time"/>
    <n v="66830.350000000006"/>
    <s v="Apr"/>
    <n v="2025"/>
    <n v="66830.350000000006"/>
    <s v="On Time"/>
  </r>
  <r>
    <n v="4866"/>
    <d v="2025-08-03T00:00:00"/>
    <x v="2"/>
    <x v="8"/>
    <s v="GMP"/>
    <s v="Premium Economy"/>
    <n v="175"/>
    <n v="689.46"/>
    <n v="30"/>
    <s v="Delayed"/>
    <n v="120655.5"/>
    <s v="Aug"/>
    <n v="2025"/>
    <n v="120655.5"/>
    <s v="Minor Delay"/>
  </r>
  <r>
    <n v="4867"/>
    <d v="2025-01-12T00:00:00"/>
    <x v="4"/>
    <x v="0"/>
    <s v="NRT"/>
    <s v="Business"/>
    <n v="209"/>
    <n v="315.57"/>
    <n v="37"/>
    <s v="On Time"/>
    <n v="65954.13"/>
    <s v="Jan"/>
    <n v="2025"/>
    <n v="65954.13"/>
    <s v="Moderate Delay"/>
  </r>
  <r>
    <n v="4868"/>
    <d v="2025-11-29T00:00:00"/>
    <x v="1"/>
    <x v="1"/>
    <s v="NRT"/>
    <s v="Premium Economy"/>
    <n v="119"/>
    <n v="320.27"/>
    <n v="26"/>
    <s v="On Time"/>
    <n v="38112.129999999997"/>
    <s v="Nov"/>
    <n v="2025"/>
    <n v="38112.129999999997"/>
    <s v="Minor Delay"/>
  </r>
  <r>
    <n v="4869"/>
    <d v="2025-04-08T00:00:00"/>
    <x v="0"/>
    <x v="7"/>
    <s v="BKK"/>
    <s v="Economy"/>
    <n v="266"/>
    <n v="227.32"/>
    <n v="6"/>
    <s v="On Time"/>
    <n v="60467.12"/>
    <s v="Apr"/>
    <n v="2025"/>
    <n v="60467.119999999995"/>
    <s v="Minor Delay"/>
  </r>
  <r>
    <n v="4870"/>
    <d v="2025-07-17T00:00:00"/>
    <x v="4"/>
    <x v="6"/>
    <s v="MNL"/>
    <s v="Economy"/>
    <n v="284"/>
    <n v="197.9"/>
    <n v="22"/>
    <s v="On Time"/>
    <n v="56203.6"/>
    <s v="Jul"/>
    <n v="2025"/>
    <n v="56203.6"/>
    <s v="Minor Delay"/>
  </r>
  <r>
    <n v="4871"/>
    <d v="2025-07-05T00:00:00"/>
    <x v="2"/>
    <x v="2"/>
    <s v="BKK"/>
    <s v="Premium Economy"/>
    <n v="132"/>
    <n v="462.63"/>
    <n v="50"/>
    <s v="On Time"/>
    <n v="61067.16"/>
    <s v="Jul"/>
    <n v="2025"/>
    <n v="61067.159999999996"/>
    <s v="Moderate Delay"/>
  </r>
  <r>
    <n v="4872"/>
    <d v="2025-10-23T00:00:00"/>
    <x v="0"/>
    <x v="6"/>
    <s v="PUS"/>
    <s v="Premium Economy"/>
    <n v="276"/>
    <n v="773.63"/>
    <n v="48"/>
    <s v="On Time"/>
    <n v="213521.88"/>
    <s v="Oct"/>
    <n v="2025"/>
    <n v="213521.88"/>
    <s v="Moderate Delay"/>
  </r>
  <r>
    <n v="4873"/>
    <d v="2025-11-21T00:00:00"/>
    <x v="4"/>
    <x v="3"/>
    <s v="NRT"/>
    <s v="Economy"/>
    <n v="222"/>
    <n v="532.91"/>
    <n v="0"/>
    <s v="On Time"/>
    <n v="118306.02"/>
    <s v="Nov"/>
    <n v="2025"/>
    <n v="118306.01999999999"/>
    <s v="On Time"/>
  </r>
  <r>
    <n v="4874"/>
    <d v="2025-10-29T00:00:00"/>
    <x v="0"/>
    <x v="6"/>
    <s v="GMP"/>
    <s v="Economy"/>
    <n v="160"/>
    <n v="512.82000000000005"/>
    <n v="17"/>
    <s v="On Time"/>
    <n v="82051.199999999997"/>
    <s v="Oct"/>
    <n v="2025"/>
    <n v="82051.200000000012"/>
    <s v="Minor Delay"/>
  </r>
  <r>
    <n v="4875"/>
    <d v="2025-07-09T00:00:00"/>
    <x v="3"/>
    <x v="2"/>
    <s v="CJU"/>
    <s v="Business"/>
    <n v="156"/>
    <n v="659.57"/>
    <n v="45"/>
    <s v="On Time"/>
    <n v="102892.92"/>
    <s v="Jul"/>
    <n v="2025"/>
    <n v="102892.92000000001"/>
    <s v="Moderate Delay"/>
  </r>
  <r>
    <n v="4876"/>
    <d v="2025-10-03T00:00:00"/>
    <x v="0"/>
    <x v="2"/>
    <s v="MNL"/>
    <s v="Economy"/>
    <n v="256"/>
    <n v="188.77"/>
    <n v="12"/>
    <s v="On Time"/>
    <n v="48325.120000000003"/>
    <s v="Oct"/>
    <n v="2025"/>
    <n v="48325.120000000003"/>
    <s v="Minor Delay"/>
  </r>
  <r>
    <n v="4877"/>
    <d v="2025-09-30T00:00:00"/>
    <x v="0"/>
    <x v="4"/>
    <s v="GMP"/>
    <s v="Business"/>
    <n v="239"/>
    <n v="509.43"/>
    <n v="20"/>
    <s v="On Time"/>
    <n v="121753.77"/>
    <s v="Sep"/>
    <n v="2025"/>
    <n v="121753.77"/>
    <s v="Minor Delay"/>
  </r>
  <r>
    <n v="4878"/>
    <d v="2025-03-24T00:00:00"/>
    <x v="0"/>
    <x v="8"/>
    <s v="ICN"/>
    <s v="Business"/>
    <n v="54"/>
    <n v="125.07"/>
    <n v="0"/>
    <s v="On Time"/>
    <n v="6753.78"/>
    <s v="Mar"/>
    <n v="2025"/>
    <n v="6753.78"/>
    <s v="On Time"/>
  </r>
  <r>
    <n v="4879"/>
    <d v="2025-08-04T00:00:00"/>
    <x v="0"/>
    <x v="0"/>
    <s v="ICN"/>
    <s v="Business"/>
    <n v="125"/>
    <n v="328.51"/>
    <n v="31"/>
    <s v="On Time"/>
    <n v="41063.75"/>
    <s v="Aug"/>
    <n v="2025"/>
    <n v="41063.75"/>
    <s v="Moderate Delay"/>
  </r>
  <r>
    <n v="4880"/>
    <d v="2025-08-21T00:00:00"/>
    <x v="0"/>
    <x v="4"/>
    <s v="KIX"/>
    <s v="Premium Economy"/>
    <n v="220"/>
    <n v="218.02"/>
    <n v="13"/>
    <s v="On Time"/>
    <n v="47964.4"/>
    <s v="Aug"/>
    <n v="2025"/>
    <n v="47964.4"/>
    <s v="Minor Delay"/>
  </r>
  <r>
    <n v="4881"/>
    <d v="2025-11-15T00:00:00"/>
    <x v="1"/>
    <x v="4"/>
    <s v="PUS"/>
    <s v="Economy"/>
    <n v="240"/>
    <n v="220.55"/>
    <n v="58"/>
    <s v="On Time"/>
    <n v="52932"/>
    <s v="Nov"/>
    <n v="2025"/>
    <n v="52932"/>
    <s v="Moderate Delay"/>
  </r>
  <r>
    <n v="4882"/>
    <d v="2025-12-06T00:00:00"/>
    <x v="3"/>
    <x v="6"/>
    <s v="BKK"/>
    <s v="Premium Economy"/>
    <n v="297"/>
    <n v="406.81"/>
    <n v="7"/>
    <s v="On Time"/>
    <n v="120822.57"/>
    <s v="Dec"/>
    <n v="2025"/>
    <n v="120822.57"/>
    <s v="Minor Delay"/>
  </r>
  <r>
    <n v="4883"/>
    <d v="2025-08-05T00:00:00"/>
    <x v="3"/>
    <x v="5"/>
    <s v="MNL"/>
    <s v="Premium Economy"/>
    <n v="295"/>
    <n v="611.07000000000005"/>
    <n v="0"/>
    <s v="On Time"/>
    <n v="180265.65"/>
    <s v="Aug"/>
    <n v="2025"/>
    <n v="180265.65000000002"/>
    <s v="On Time"/>
  </r>
  <r>
    <n v="4884"/>
    <d v="2025-02-10T00:00:00"/>
    <x v="3"/>
    <x v="5"/>
    <s v="CJU"/>
    <s v="Economy"/>
    <n v="125"/>
    <n v="61.14"/>
    <n v="26"/>
    <s v="On Time"/>
    <n v="7642.5"/>
    <s v="Feb"/>
    <n v="2025"/>
    <n v="7642.5"/>
    <s v="Minor Delay"/>
  </r>
  <r>
    <n v="4885"/>
    <d v="2025-08-28T00:00:00"/>
    <x v="5"/>
    <x v="4"/>
    <s v="PUS"/>
    <s v="Economy"/>
    <n v="150"/>
    <n v="73.2"/>
    <n v="47"/>
    <s v="On Time"/>
    <n v="10980"/>
    <s v="Aug"/>
    <n v="2025"/>
    <n v="10980"/>
    <s v="Moderate Delay"/>
  </r>
  <r>
    <n v="4886"/>
    <d v="2025-11-26T00:00:00"/>
    <x v="0"/>
    <x v="8"/>
    <s v="KIX"/>
    <s v="Economy"/>
    <n v="271"/>
    <n v="750.56"/>
    <n v="35"/>
    <s v="Delayed"/>
    <n v="203401.76"/>
    <s v="Nov"/>
    <n v="2025"/>
    <n v="203401.75999999998"/>
    <s v="Moderate Delay"/>
  </r>
  <r>
    <n v="4887"/>
    <d v="2025-06-16T00:00:00"/>
    <x v="0"/>
    <x v="7"/>
    <s v="PUS"/>
    <s v="Business"/>
    <n v="107"/>
    <n v="756.47"/>
    <n v="33"/>
    <s v="On Time"/>
    <n v="80942.289999999994"/>
    <s v="Jun"/>
    <n v="2025"/>
    <n v="80942.290000000008"/>
    <s v="Moderate Delay"/>
  </r>
  <r>
    <n v="4888"/>
    <d v="2025-08-19T00:00:00"/>
    <x v="0"/>
    <x v="8"/>
    <s v="SIN"/>
    <s v="Premium Economy"/>
    <n v="166"/>
    <n v="246.67"/>
    <n v="34"/>
    <s v="On Time"/>
    <n v="40947.22"/>
    <s v="Aug"/>
    <n v="2025"/>
    <n v="40947.22"/>
    <s v="Moderate Delay"/>
  </r>
  <r>
    <n v="4889"/>
    <d v="2025-03-26T00:00:00"/>
    <x v="1"/>
    <x v="3"/>
    <s v="ICN"/>
    <s v="Business"/>
    <n v="255"/>
    <n v="445.66"/>
    <n v="31"/>
    <s v="On Time"/>
    <n v="113643.3"/>
    <s v="Mar"/>
    <n v="2025"/>
    <n v="113643.3"/>
    <s v="Moderate Delay"/>
  </r>
  <r>
    <n v="4890"/>
    <d v="2025-08-10T00:00:00"/>
    <x v="1"/>
    <x v="4"/>
    <s v="KIX"/>
    <s v="Economy"/>
    <n v="232"/>
    <n v="340.06"/>
    <n v="8"/>
    <s v="On Time"/>
    <n v="78893.919999999998"/>
    <s v="Aug"/>
    <n v="2025"/>
    <n v="78893.919999999998"/>
    <s v="Minor Delay"/>
  </r>
  <r>
    <n v="4891"/>
    <d v="2025-10-05T00:00:00"/>
    <x v="5"/>
    <x v="1"/>
    <s v="SIN"/>
    <s v="Premium Economy"/>
    <n v="95"/>
    <n v="660.39"/>
    <n v="61"/>
    <s v="On Time"/>
    <n v="62737.05"/>
    <s v="Oct"/>
    <n v="2025"/>
    <n v="62737.049999999996"/>
    <s v="Major Delay"/>
  </r>
  <r>
    <n v="4892"/>
    <d v="2025-12-19T00:00:00"/>
    <x v="3"/>
    <x v="8"/>
    <s v="KIX"/>
    <s v="Business"/>
    <n v="276"/>
    <n v="495.01"/>
    <n v="24"/>
    <s v="On Time"/>
    <n v="136622.76"/>
    <s v="Dec"/>
    <n v="2025"/>
    <n v="136622.76"/>
    <s v="Minor Delay"/>
  </r>
  <r>
    <n v="4893"/>
    <d v="2025-08-17T00:00:00"/>
    <x v="2"/>
    <x v="3"/>
    <s v="NRT"/>
    <s v="Economy"/>
    <n v="275"/>
    <n v="343.66"/>
    <n v="8"/>
    <s v="On Time"/>
    <n v="94506.5"/>
    <s v="Aug"/>
    <n v="2025"/>
    <n v="94506.5"/>
    <s v="Minor Delay"/>
  </r>
  <r>
    <n v="4894"/>
    <d v="2025-05-04T00:00:00"/>
    <x v="0"/>
    <x v="7"/>
    <s v="BKK"/>
    <s v="Business"/>
    <n v="213"/>
    <n v="100.38"/>
    <n v="0"/>
    <s v="Cancelled"/>
    <n v="21380.94"/>
    <s v="May"/>
    <n v="2025"/>
    <n v="21380.94"/>
    <s v="On Time"/>
  </r>
  <r>
    <n v="4895"/>
    <d v="2025-07-28T00:00:00"/>
    <x v="1"/>
    <x v="3"/>
    <s v="NRT"/>
    <s v="Premium Economy"/>
    <n v="232"/>
    <n v="552.22"/>
    <n v="0"/>
    <s v="On Time"/>
    <n v="128115.04"/>
    <s v="Jul"/>
    <n v="2025"/>
    <n v="128115.04000000001"/>
    <s v="On Time"/>
  </r>
  <r>
    <n v="4896"/>
    <d v="2025-09-26T00:00:00"/>
    <x v="3"/>
    <x v="8"/>
    <s v="SIN"/>
    <s v="Economy"/>
    <n v="183"/>
    <n v="795.31"/>
    <n v="0"/>
    <s v="On Time"/>
    <n v="145541.73000000001"/>
    <s v="Sep"/>
    <n v="2025"/>
    <n v="145541.72999999998"/>
    <s v="On Time"/>
  </r>
  <r>
    <n v="4897"/>
    <d v="2025-08-01T00:00:00"/>
    <x v="3"/>
    <x v="1"/>
    <s v="PUS"/>
    <s v="Economy"/>
    <n v="273"/>
    <n v="226.37"/>
    <n v="0"/>
    <s v="On Time"/>
    <n v="61799.01"/>
    <s v="Aug"/>
    <n v="2025"/>
    <n v="61799.01"/>
    <s v="On Time"/>
  </r>
  <r>
    <n v="4898"/>
    <d v="2025-12-27T00:00:00"/>
    <x v="1"/>
    <x v="3"/>
    <s v="CJU"/>
    <s v="Economy"/>
    <n v="232"/>
    <n v="474.6"/>
    <n v="4"/>
    <s v="On Time"/>
    <n v="110107.2"/>
    <s v="Dec"/>
    <n v="2025"/>
    <n v="110107.20000000001"/>
    <s v="Minor Delay"/>
  </r>
  <r>
    <n v="4899"/>
    <d v="2025-11-20T00:00:00"/>
    <x v="4"/>
    <x v="7"/>
    <s v="NRT"/>
    <s v="Business"/>
    <n v="63"/>
    <n v="124.66"/>
    <n v="16"/>
    <s v="On Time"/>
    <n v="7853.58"/>
    <s v="Nov"/>
    <n v="2025"/>
    <n v="7853.58"/>
    <s v="Minor Delay"/>
  </r>
  <r>
    <n v="4900"/>
    <d v="2025-07-25T00:00:00"/>
    <x v="3"/>
    <x v="1"/>
    <s v="CJU"/>
    <s v="Economy"/>
    <n v="179"/>
    <n v="737.3"/>
    <n v="37"/>
    <s v="On Time"/>
    <n v="131976.70000000001"/>
    <s v="Jul"/>
    <n v="2025"/>
    <n v="131976.69999999998"/>
    <s v="Moderate Delay"/>
  </r>
  <r>
    <n v="4901"/>
    <d v="2025-10-16T00:00:00"/>
    <x v="5"/>
    <x v="3"/>
    <s v="NRT"/>
    <s v="Premium Economy"/>
    <n v="223"/>
    <n v="403.93"/>
    <n v="44"/>
    <s v="On Time"/>
    <n v="90076.39"/>
    <s v="Oct"/>
    <n v="2025"/>
    <n v="90076.39"/>
    <s v="Moderate Delay"/>
  </r>
  <r>
    <n v="4902"/>
    <d v="2025-01-11T00:00:00"/>
    <x v="1"/>
    <x v="7"/>
    <s v="PUS"/>
    <s v="Business"/>
    <n v="233"/>
    <n v="537.16"/>
    <n v="34"/>
    <s v="On Time"/>
    <n v="125158.28"/>
    <s v="Jan"/>
    <n v="2025"/>
    <n v="125158.28"/>
    <s v="Moderate Delay"/>
  </r>
  <r>
    <n v="4903"/>
    <d v="2025-05-11T00:00:00"/>
    <x v="0"/>
    <x v="5"/>
    <s v="CJU"/>
    <s v="Business"/>
    <n v="259"/>
    <n v="361.77"/>
    <n v="12"/>
    <s v="On Time"/>
    <n v="93698.43"/>
    <s v="May"/>
    <n v="2025"/>
    <n v="93698.43"/>
    <s v="Minor Delay"/>
  </r>
  <r>
    <n v="4904"/>
    <d v="2025-09-08T00:00:00"/>
    <x v="4"/>
    <x v="0"/>
    <s v="BKK"/>
    <s v="Business"/>
    <n v="137"/>
    <n v="139.68"/>
    <n v="24"/>
    <s v="Delayed"/>
    <n v="19136.16"/>
    <s v="Sep"/>
    <n v="2025"/>
    <n v="19136.16"/>
    <s v="Minor Delay"/>
  </r>
  <r>
    <n v="4905"/>
    <d v="2025-08-16T00:00:00"/>
    <x v="1"/>
    <x v="5"/>
    <s v="MNL"/>
    <s v="Business"/>
    <n v="228"/>
    <n v="640.53"/>
    <n v="24"/>
    <s v="On Time"/>
    <n v="146040.84"/>
    <s v="Aug"/>
    <n v="2025"/>
    <n v="146040.84"/>
    <s v="Minor Delay"/>
  </r>
  <r>
    <n v="4906"/>
    <d v="2025-11-20T00:00:00"/>
    <x v="4"/>
    <x v="5"/>
    <s v="KIX"/>
    <s v="Business"/>
    <n v="227"/>
    <n v="417.97"/>
    <n v="19"/>
    <s v="On Time"/>
    <n v="94879.19"/>
    <s v="Nov"/>
    <n v="2025"/>
    <n v="94879.19"/>
    <s v="Minor Delay"/>
  </r>
  <r>
    <n v="4907"/>
    <d v="2025-09-05T00:00:00"/>
    <x v="3"/>
    <x v="7"/>
    <s v="PUS"/>
    <s v="Business"/>
    <n v="125"/>
    <n v="708.66"/>
    <n v="13"/>
    <s v="On Time"/>
    <n v="88582.5"/>
    <s v="Sep"/>
    <n v="2025"/>
    <n v="88582.5"/>
    <s v="Minor Delay"/>
  </r>
  <r>
    <n v="4908"/>
    <d v="2025-11-14T00:00:00"/>
    <x v="4"/>
    <x v="3"/>
    <s v="CJU"/>
    <s v="Business"/>
    <n v="100"/>
    <n v="691.58"/>
    <n v="0"/>
    <s v="Delayed"/>
    <n v="69158"/>
    <s v="Nov"/>
    <n v="2025"/>
    <n v="69158"/>
    <s v="On Time"/>
  </r>
  <r>
    <n v="4909"/>
    <d v="2025-08-22T00:00:00"/>
    <x v="1"/>
    <x v="3"/>
    <s v="GMP"/>
    <s v="Business"/>
    <n v="168"/>
    <n v="174.91"/>
    <n v="12"/>
    <s v="On Time"/>
    <n v="29384.880000000001"/>
    <s v="Aug"/>
    <n v="2025"/>
    <n v="29384.880000000001"/>
    <s v="Minor Delay"/>
  </r>
  <r>
    <n v="4910"/>
    <d v="2025-05-01T00:00:00"/>
    <x v="4"/>
    <x v="4"/>
    <s v="PUS"/>
    <s v="Economy"/>
    <n v="291"/>
    <n v="379.69"/>
    <n v="33"/>
    <s v="On Time"/>
    <n v="110489.79"/>
    <s v="May"/>
    <n v="2025"/>
    <n v="110489.79"/>
    <s v="Moderate Delay"/>
  </r>
  <r>
    <n v="4911"/>
    <d v="2025-09-12T00:00:00"/>
    <x v="2"/>
    <x v="8"/>
    <s v="SIN"/>
    <s v="Economy"/>
    <n v="114"/>
    <n v="728.37"/>
    <n v="23"/>
    <s v="On Time"/>
    <n v="83034.179999999993"/>
    <s v="Sep"/>
    <n v="2025"/>
    <n v="83034.180000000008"/>
    <s v="Minor Delay"/>
  </r>
  <r>
    <n v="4912"/>
    <d v="2025-06-15T00:00:00"/>
    <x v="1"/>
    <x v="3"/>
    <s v="SIN"/>
    <s v="Economy"/>
    <n v="220"/>
    <n v="111.5"/>
    <n v="7"/>
    <s v="On Time"/>
    <n v="24530"/>
    <s v="Jun"/>
    <n v="2025"/>
    <n v="24530"/>
    <s v="Minor Delay"/>
  </r>
  <r>
    <n v="4913"/>
    <d v="2025-05-12T00:00:00"/>
    <x v="1"/>
    <x v="8"/>
    <s v="GMP"/>
    <s v="Premium Economy"/>
    <n v="283"/>
    <n v="413.26"/>
    <n v="0"/>
    <s v="On Time"/>
    <n v="116952.58"/>
    <s v="May"/>
    <n v="2025"/>
    <n v="116952.58"/>
    <s v="On Time"/>
  </r>
  <r>
    <n v="4914"/>
    <d v="2025-07-31T00:00:00"/>
    <x v="1"/>
    <x v="6"/>
    <s v="ICN"/>
    <s v="Business"/>
    <n v="197"/>
    <n v="501.28"/>
    <n v="0"/>
    <s v="On Time"/>
    <n v="98752.16"/>
    <s v="Jul"/>
    <n v="2025"/>
    <n v="98752.159999999989"/>
    <s v="On Time"/>
  </r>
  <r>
    <n v="4915"/>
    <d v="2025-07-21T00:00:00"/>
    <x v="3"/>
    <x v="4"/>
    <s v="MNL"/>
    <s v="Premium Economy"/>
    <n v="204"/>
    <n v="624.58000000000004"/>
    <n v="29"/>
    <s v="On Time"/>
    <n v="127414.32"/>
    <s v="Jul"/>
    <n v="2025"/>
    <n v="127414.32"/>
    <s v="Minor Delay"/>
  </r>
  <r>
    <n v="4916"/>
    <d v="2025-03-03T00:00:00"/>
    <x v="0"/>
    <x v="0"/>
    <s v="SIN"/>
    <s v="Premium Economy"/>
    <n v="246"/>
    <n v="230.39"/>
    <n v="2"/>
    <s v="On Time"/>
    <n v="56675.94"/>
    <s v="Mar"/>
    <n v="2025"/>
    <n v="56675.939999999995"/>
    <s v="Minor Delay"/>
  </r>
  <r>
    <n v="4917"/>
    <d v="2025-01-26T00:00:00"/>
    <x v="0"/>
    <x v="6"/>
    <s v="PUS"/>
    <s v="Economy"/>
    <n v="139"/>
    <n v="620.29999999999995"/>
    <n v="0"/>
    <s v="Delayed"/>
    <n v="86221.7"/>
    <s v="Jan"/>
    <n v="2025"/>
    <n v="86221.7"/>
    <s v="On Time"/>
  </r>
  <r>
    <n v="4918"/>
    <d v="2025-07-05T00:00:00"/>
    <x v="4"/>
    <x v="3"/>
    <s v="CJU"/>
    <s v="Business"/>
    <n v="164"/>
    <n v="598.46"/>
    <n v="68"/>
    <s v="Delayed"/>
    <n v="98147.44"/>
    <s v="Jul"/>
    <n v="2025"/>
    <n v="98147.44"/>
    <s v="Major Delay"/>
  </r>
  <r>
    <n v="4919"/>
    <d v="2025-06-13T00:00:00"/>
    <x v="3"/>
    <x v="8"/>
    <s v="PUS"/>
    <s v="Economy"/>
    <n v="171"/>
    <n v="777.49"/>
    <n v="22"/>
    <s v="On Time"/>
    <n v="132950.79"/>
    <s v="Jun"/>
    <n v="2025"/>
    <n v="132950.79"/>
    <s v="Minor Delay"/>
  </r>
  <r>
    <n v="4920"/>
    <d v="2025-12-01T00:00:00"/>
    <x v="5"/>
    <x v="7"/>
    <s v="NRT"/>
    <s v="Premium Economy"/>
    <n v="257"/>
    <n v="401.33"/>
    <n v="0"/>
    <s v="On Time"/>
    <n v="103141.81"/>
    <s v="Dec"/>
    <n v="2025"/>
    <n v="103141.81"/>
    <s v="On Time"/>
  </r>
  <r>
    <n v="4921"/>
    <d v="2025-04-04T00:00:00"/>
    <x v="3"/>
    <x v="1"/>
    <s v="GMP"/>
    <s v="Premium Economy"/>
    <n v="72"/>
    <n v="252.63"/>
    <n v="5"/>
    <s v="On Time"/>
    <n v="18189.36"/>
    <s v="Apr"/>
    <n v="2025"/>
    <n v="18189.36"/>
    <s v="Minor Delay"/>
  </r>
  <r>
    <n v="4922"/>
    <d v="2025-02-24T00:00:00"/>
    <x v="5"/>
    <x v="1"/>
    <s v="PUS"/>
    <s v="Premium Economy"/>
    <n v="95"/>
    <n v="696.87"/>
    <n v="0"/>
    <s v="Delayed"/>
    <n v="66202.649999999994"/>
    <s v="Feb"/>
    <n v="2025"/>
    <n v="66202.649999999994"/>
    <s v="On Time"/>
  </r>
  <r>
    <n v="4923"/>
    <d v="2025-12-24T00:00:00"/>
    <x v="4"/>
    <x v="3"/>
    <s v="MNL"/>
    <s v="Premium Economy"/>
    <n v="107"/>
    <n v="489.27"/>
    <n v="22"/>
    <s v="On Time"/>
    <n v="52351.89"/>
    <s v="Dec"/>
    <n v="2025"/>
    <n v="52351.89"/>
    <s v="Minor Delay"/>
  </r>
  <r>
    <n v="4924"/>
    <d v="2025-07-25T00:00:00"/>
    <x v="0"/>
    <x v="3"/>
    <s v="MNL"/>
    <s v="Economy"/>
    <n v="65"/>
    <n v="542.44000000000005"/>
    <n v="0"/>
    <s v="On Time"/>
    <n v="35258.6"/>
    <s v="Jul"/>
    <n v="2025"/>
    <n v="35258.600000000006"/>
    <s v="On Time"/>
  </r>
  <r>
    <n v="4925"/>
    <d v="2025-01-28T00:00:00"/>
    <x v="4"/>
    <x v="7"/>
    <s v="GMP"/>
    <s v="Business"/>
    <n v="69"/>
    <n v="347.74"/>
    <n v="48"/>
    <s v="Delayed"/>
    <n v="23994.06"/>
    <s v="Jan"/>
    <n v="2025"/>
    <n v="23994.06"/>
    <s v="Moderate Delay"/>
  </r>
  <r>
    <n v="4926"/>
    <d v="2025-09-14T00:00:00"/>
    <x v="1"/>
    <x v="5"/>
    <s v="KIX"/>
    <s v="Economy"/>
    <n v="102"/>
    <n v="608.26"/>
    <n v="30"/>
    <s v="On Time"/>
    <n v="62042.52"/>
    <s v="Sep"/>
    <n v="2025"/>
    <n v="62042.52"/>
    <s v="Minor Delay"/>
  </r>
  <r>
    <n v="4927"/>
    <d v="2025-11-20T00:00:00"/>
    <x v="3"/>
    <x v="2"/>
    <s v="SIN"/>
    <s v="Business"/>
    <n v="113"/>
    <n v="507.22"/>
    <n v="10"/>
    <s v="Delayed"/>
    <n v="57315.86"/>
    <s v="Nov"/>
    <n v="2025"/>
    <n v="57315.86"/>
    <s v="Minor Delay"/>
  </r>
  <r>
    <n v="4928"/>
    <d v="2025-10-25T00:00:00"/>
    <x v="3"/>
    <x v="7"/>
    <s v="BKK"/>
    <s v="Business"/>
    <n v="150"/>
    <n v="386.09"/>
    <n v="31"/>
    <s v="On Time"/>
    <n v="57913.5"/>
    <s v="Oct"/>
    <n v="2025"/>
    <n v="57913.499999999993"/>
    <s v="Moderate Delay"/>
  </r>
  <r>
    <n v="4929"/>
    <d v="2025-07-04T00:00:00"/>
    <x v="4"/>
    <x v="5"/>
    <s v="BKK"/>
    <s v="Business"/>
    <n v="201"/>
    <n v="492.73"/>
    <n v="23"/>
    <s v="Cancelled"/>
    <n v="99038.73"/>
    <s v="Jul"/>
    <n v="2025"/>
    <n v="99038.73000000001"/>
    <s v="Minor Delay"/>
  </r>
  <r>
    <n v="4930"/>
    <d v="2025-06-16T00:00:00"/>
    <x v="4"/>
    <x v="1"/>
    <s v="GMP"/>
    <s v="Business"/>
    <n v="190"/>
    <n v="195.48"/>
    <n v="0"/>
    <s v="Delayed"/>
    <n v="37141.199999999997"/>
    <s v="Jun"/>
    <n v="2025"/>
    <n v="37141.199999999997"/>
    <s v="On Time"/>
  </r>
  <r>
    <n v="4931"/>
    <d v="2025-01-26T00:00:00"/>
    <x v="3"/>
    <x v="8"/>
    <s v="ICN"/>
    <s v="Economy"/>
    <n v="196"/>
    <n v="242.99"/>
    <n v="27"/>
    <s v="On Time"/>
    <n v="47626.04"/>
    <s v="Jan"/>
    <n v="2025"/>
    <n v="47626.04"/>
    <s v="Minor Delay"/>
  </r>
  <r>
    <n v="4932"/>
    <d v="2025-09-18T00:00:00"/>
    <x v="5"/>
    <x v="7"/>
    <s v="MNL"/>
    <s v="Economy"/>
    <n v="170"/>
    <n v="663.37"/>
    <n v="0"/>
    <s v="On Time"/>
    <n v="112772.9"/>
    <s v="Sep"/>
    <n v="2025"/>
    <n v="112772.9"/>
    <s v="On Time"/>
  </r>
  <r>
    <n v="4933"/>
    <d v="2025-05-08T00:00:00"/>
    <x v="2"/>
    <x v="7"/>
    <s v="GMP"/>
    <s v="Business"/>
    <n v="266"/>
    <n v="456.45"/>
    <n v="46"/>
    <s v="On Time"/>
    <n v="121415.7"/>
    <s v="May"/>
    <n v="2025"/>
    <n v="121415.7"/>
    <s v="Moderate Delay"/>
  </r>
  <r>
    <n v="4934"/>
    <d v="2025-09-27T00:00:00"/>
    <x v="4"/>
    <x v="7"/>
    <s v="GMP"/>
    <s v="Economy"/>
    <n v="229"/>
    <n v="522.79999999999995"/>
    <n v="33"/>
    <s v="On Time"/>
    <n v="119721.2"/>
    <s v="Sep"/>
    <n v="2025"/>
    <n v="119721.19999999998"/>
    <s v="Moderate Delay"/>
  </r>
  <r>
    <n v="4935"/>
    <d v="2025-02-13T00:00:00"/>
    <x v="2"/>
    <x v="3"/>
    <s v="MNL"/>
    <s v="Premium Economy"/>
    <n v="220"/>
    <n v="790.9"/>
    <n v="0"/>
    <s v="On Time"/>
    <n v="173998"/>
    <s v="Feb"/>
    <n v="2025"/>
    <n v="173998"/>
    <s v="On Time"/>
  </r>
  <r>
    <n v="4936"/>
    <d v="2025-07-05T00:00:00"/>
    <x v="0"/>
    <x v="2"/>
    <s v="BKK"/>
    <s v="Business"/>
    <n v="189"/>
    <n v="299.14"/>
    <n v="44"/>
    <s v="On Time"/>
    <n v="56537.46"/>
    <s v="Jul"/>
    <n v="2025"/>
    <n v="56537.46"/>
    <s v="Moderate Delay"/>
  </r>
  <r>
    <n v="4937"/>
    <d v="2025-04-10T00:00:00"/>
    <x v="1"/>
    <x v="5"/>
    <s v="MNL"/>
    <s v="Business"/>
    <n v="88"/>
    <n v="628.16"/>
    <n v="0"/>
    <s v="On Time"/>
    <n v="55278.080000000002"/>
    <s v="Apr"/>
    <n v="2025"/>
    <n v="55278.079999999994"/>
    <s v="On Time"/>
  </r>
  <r>
    <n v="4938"/>
    <d v="2025-07-02T00:00:00"/>
    <x v="0"/>
    <x v="2"/>
    <s v="NRT"/>
    <s v="Business"/>
    <n v="268"/>
    <n v="384.73"/>
    <n v="5"/>
    <s v="On Time"/>
    <n v="103107.64"/>
    <s v="Jul"/>
    <n v="2025"/>
    <n v="103107.64"/>
    <s v="Minor Delay"/>
  </r>
  <r>
    <n v="4939"/>
    <d v="2025-04-10T00:00:00"/>
    <x v="4"/>
    <x v="0"/>
    <s v="BKK"/>
    <s v="Business"/>
    <n v="216"/>
    <n v="363.36"/>
    <n v="5"/>
    <s v="On Time"/>
    <n v="78485.759999999995"/>
    <s v="Apr"/>
    <n v="2025"/>
    <n v="78485.760000000009"/>
    <s v="Minor Delay"/>
  </r>
  <r>
    <n v="4940"/>
    <d v="2025-05-17T00:00:00"/>
    <x v="2"/>
    <x v="4"/>
    <s v="SIN"/>
    <s v="Premium Economy"/>
    <n v="223"/>
    <n v="326.35000000000002"/>
    <n v="21"/>
    <s v="On Time"/>
    <n v="72776.05"/>
    <s v="May"/>
    <n v="2025"/>
    <n v="72776.05"/>
    <s v="Minor Delay"/>
  </r>
  <r>
    <n v="4941"/>
    <d v="2025-02-22T00:00:00"/>
    <x v="1"/>
    <x v="7"/>
    <s v="NRT"/>
    <s v="Economy"/>
    <n v="190"/>
    <n v="762.4"/>
    <n v="18"/>
    <s v="On Time"/>
    <n v="144856"/>
    <s v="Feb"/>
    <n v="2025"/>
    <n v="144856"/>
    <s v="Minor Delay"/>
  </r>
  <r>
    <n v="4942"/>
    <d v="2025-06-11T00:00:00"/>
    <x v="2"/>
    <x v="6"/>
    <s v="MNL"/>
    <s v="Business"/>
    <n v="129"/>
    <n v="665.93"/>
    <n v="12"/>
    <s v="Delayed"/>
    <n v="85904.97"/>
    <s v="Jun"/>
    <n v="2025"/>
    <n v="85904.969999999987"/>
    <s v="Minor Delay"/>
  </r>
  <r>
    <n v="4943"/>
    <d v="2025-10-05T00:00:00"/>
    <x v="1"/>
    <x v="5"/>
    <s v="BKK"/>
    <s v="Business"/>
    <n v="53"/>
    <n v="296.83999999999997"/>
    <n v="21"/>
    <s v="Delayed"/>
    <n v="15732.52"/>
    <s v="Oct"/>
    <n v="2025"/>
    <n v="15732.519999999999"/>
    <s v="Minor Delay"/>
  </r>
  <r>
    <n v="4944"/>
    <d v="2025-09-07T00:00:00"/>
    <x v="5"/>
    <x v="6"/>
    <s v="BKK"/>
    <s v="Premium Economy"/>
    <n v="255"/>
    <n v="774.99"/>
    <n v="20"/>
    <s v="On Time"/>
    <n v="197622.45"/>
    <s v="Sep"/>
    <n v="2025"/>
    <n v="197622.45"/>
    <s v="Minor Delay"/>
  </r>
  <r>
    <n v="4945"/>
    <d v="2025-10-29T00:00:00"/>
    <x v="0"/>
    <x v="1"/>
    <s v="GMP"/>
    <s v="Premium Economy"/>
    <n v="186"/>
    <n v="660.38"/>
    <n v="12"/>
    <s v="On Time"/>
    <n v="122830.68"/>
    <s v="Oct"/>
    <n v="2025"/>
    <n v="122830.68"/>
    <s v="Minor Delay"/>
  </r>
  <r>
    <n v="4946"/>
    <d v="2025-07-18T00:00:00"/>
    <x v="4"/>
    <x v="1"/>
    <s v="NRT"/>
    <s v="Economy"/>
    <n v="289"/>
    <n v="222.25"/>
    <n v="0"/>
    <s v="On Time"/>
    <n v="64230.25"/>
    <s v="Jul"/>
    <n v="2025"/>
    <n v="64230.25"/>
    <s v="On Time"/>
  </r>
  <r>
    <n v="4947"/>
    <d v="2025-05-22T00:00:00"/>
    <x v="3"/>
    <x v="8"/>
    <s v="SIN"/>
    <s v="Business"/>
    <n v="154"/>
    <n v="780.81"/>
    <n v="29"/>
    <s v="Delayed"/>
    <n v="120244.74"/>
    <s v="May"/>
    <n v="2025"/>
    <n v="120244.73999999999"/>
    <s v="Minor Delay"/>
  </r>
  <r>
    <n v="4948"/>
    <d v="2025-12-21T00:00:00"/>
    <x v="2"/>
    <x v="7"/>
    <s v="PUS"/>
    <s v="Economy"/>
    <n v="178"/>
    <n v="144.69"/>
    <n v="47"/>
    <s v="Delayed"/>
    <n v="25754.82"/>
    <s v="Dec"/>
    <n v="2025"/>
    <n v="25754.82"/>
    <s v="Moderate Delay"/>
  </r>
  <r>
    <n v="4949"/>
    <d v="2025-04-03T00:00:00"/>
    <x v="0"/>
    <x v="3"/>
    <s v="ICN"/>
    <s v="Premium Economy"/>
    <n v="124"/>
    <n v="212.98"/>
    <n v="42"/>
    <s v="On Time"/>
    <n v="26409.52"/>
    <s v="Apr"/>
    <n v="2025"/>
    <n v="26409.52"/>
    <s v="Moderate Delay"/>
  </r>
  <r>
    <n v="4950"/>
    <d v="2025-06-15T00:00:00"/>
    <x v="0"/>
    <x v="3"/>
    <s v="ICN"/>
    <s v="Economy"/>
    <n v="203"/>
    <n v="274.45"/>
    <n v="0"/>
    <s v="On Time"/>
    <n v="55713.35"/>
    <s v="Jun"/>
    <n v="2025"/>
    <n v="55713.35"/>
    <s v="On Time"/>
  </r>
  <r>
    <n v="4951"/>
    <d v="2025-08-31T00:00:00"/>
    <x v="0"/>
    <x v="5"/>
    <s v="KIX"/>
    <s v="Premium Economy"/>
    <n v="56"/>
    <n v="521.99"/>
    <n v="43"/>
    <s v="On Time"/>
    <n v="29231.439999999999"/>
    <s v="Aug"/>
    <n v="2025"/>
    <n v="29231.440000000002"/>
    <s v="Moderate Delay"/>
  </r>
  <r>
    <n v="4952"/>
    <d v="2025-07-01T00:00:00"/>
    <x v="5"/>
    <x v="0"/>
    <s v="KIX"/>
    <s v="Premium Economy"/>
    <n v="165"/>
    <n v="234.82"/>
    <n v="0"/>
    <s v="Delayed"/>
    <n v="38745.300000000003"/>
    <s v="Jul"/>
    <n v="2025"/>
    <n v="38745.299999999996"/>
    <s v="On Time"/>
  </r>
  <r>
    <n v="4953"/>
    <d v="2025-10-20T00:00:00"/>
    <x v="5"/>
    <x v="1"/>
    <s v="ICN"/>
    <s v="Business"/>
    <n v="289"/>
    <n v="294.64"/>
    <n v="43"/>
    <s v="On Time"/>
    <n v="85150.96"/>
    <s v="Oct"/>
    <n v="2025"/>
    <n v="85150.959999999992"/>
    <s v="Moderate Delay"/>
  </r>
  <r>
    <n v="4954"/>
    <d v="2025-04-29T00:00:00"/>
    <x v="2"/>
    <x v="4"/>
    <s v="SIN"/>
    <s v="Premium Economy"/>
    <n v="143"/>
    <n v="211.69"/>
    <n v="41"/>
    <s v="On Time"/>
    <n v="30271.67"/>
    <s v="Apr"/>
    <n v="2025"/>
    <n v="30271.67"/>
    <s v="Moderate Delay"/>
  </r>
  <r>
    <n v="4955"/>
    <d v="2025-09-26T00:00:00"/>
    <x v="2"/>
    <x v="6"/>
    <s v="KIX"/>
    <s v="Premium Economy"/>
    <n v="179"/>
    <n v="613.16"/>
    <n v="10"/>
    <s v="On Time"/>
    <n v="109755.64"/>
    <s v="Sep"/>
    <n v="2025"/>
    <n v="109755.64"/>
    <s v="Minor Delay"/>
  </r>
  <r>
    <n v="4956"/>
    <d v="2025-03-01T00:00:00"/>
    <x v="0"/>
    <x v="3"/>
    <s v="SIN"/>
    <s v="Economy"/>
    <n v="254"/>
    <n v="527.49"/>
    <n v="0"/>
    <s v="On Time"/>
    <n v="133982.46"/>
    <s v="Mar"/>
    <n v="2025"/>
    <n v="133982.46"/>
    <s v="On Time"/>
  </r>
  <r>
    <n v="4957"/>
    <d v="2025-11-04T00:00:00"/>
    <x v="2"/>
    <x v="4"/>
    <s v="KIX"/>
    <s v="Economy"/>
    <n v="285"/>
    <n v="382"/>
    <n v="32"/>
    <s v="On Time"/>
    <n v="108870"/>
    <s v="Nov"/>
    <n v="2025"/>
    <n v="108870"/>
    <s v="Moderate Delay"/>
  </r>
  <r>
    <n v="4958"/>
    <d v="2025-09-02T00:00:00"/>
    <x v="2"/>
    <x v="4"/>
    <s v="SIN"/>
    <s v="Premium Economy"/>
    <n v="110"/>
    <n v="384.56"/>
    <n v="1"/>
    <s v="On Time"/>
    <n v="42301.599999999999"/>
    <s v="Sep"/>
    <n v="2025"/>
    <n v="42301.599999999999"/>
    <s v="Minor Delay"/>
  </r>
  <r>
    <n v="4959"/>
    <d v="2025-09-17T00:00:00"/>
    <x v="4"/>
    <x v="7"/>
    <s v="NRT"/>
    <s v="Business"/>
    <n v="166"/>
    <n v="388.84"/>
    <n v="0"/>
    <s v="On Time"/>
    <n v="64547.44"/>
    <s v="Sep"/>
    <n v="2025"/>
    <n v="64547.439999999995"/>
    <s v="On Time"/>
  </r>
  <r>
    <n v="4960"/>
    <d v="2025-06-20T00:00:00"/>
    <x v="4"/>
    <x v="0"/>
    <s v="SIN"/>
    <s v="Premium Economy"/>
    <n v="201"/>
    <n v="704.15"/>
    <n v="50"/>
    <s v="On Time"/>
    <n v="141534.15"/>
    <s v="Jun"/>
    <n v="2025"/>
    <n v="141534.15"/>
    <s v="Moderate Delay"/>
  </r>
  <r>
    <n v="4961"/>
    <d v="2025-04-06T00:00:00"/>
    <x v="5"/>
    <x v="2"/>
    <s v="CJU"/>
    <s v="Economy"/>
    <n v="213"/>
    <n v="636.44000000000005"/>
    <n v="39"/>
    <s v="On Time"/>
    <n v="135561.72"/>
    <s v="Apr"/>
    <n v="2025"/>
    <n v="135561.72"/>
    <s v="Moderate Delay"/>
  </r>
  <r>
    <n v="4962"/>
    <d v="2025-02-28T00:00:00"/>
    <x v="2"/>
    <x v="4"/>
    <s v="BKK"/>
    <s v="Economy"/>
    <n v="147"/>
    <n v="298.33999999999997"/>
    <n v="9"/>
    <s v="On Time"/>
    <n v="43855.98"/>
    <s v="Feb"/>
    <n v="2025"/>
    <n v="43855.979999999996"/>
    <s v="Minor Delay"/>
  </r>
  <r>
    <n v="4963"/>
    <d v="2025-10-18T00:00:00"/>
    <x v="1"/>
    <x v="5"/>
    <s v="BKK"/>
    <s v="Business"/>
    <n v="107"/>
    <n v="265.16000000000003"/>
    <n v="38"/>
    <s v="On Time"/>
    <n v="28372.12"/>
    <s v="Oct"/>
    <n v="2025"/>
    <n v="28372.120000000003"/>
    <s v="Moderate Delay"/>
  </r>
  <r>
    <n v="4964"/>
    <d v="2025-03-10T00:00:00"/>
    <x v="0"/>
    <x v="8"/>
    <s v="GMP"/>
    <s v="Business"/>
    <n v="109"/>
    <n v="242.75"/>
    <n v="10"/>
    <s v="Delayed"/>
    <n v="26459.75"/>
    <s v="Mar"/>
    <n v="2025"/>
    <n v="26459.75"/>
    <s v="Minor Delay"/>
  </r>
  <r>
    <n v="4965"/>
    <d v="2025-06-22T00:00:00"/>
    <x v="0"/>
    <x v="5"/>
    <s v="MNL"/>
    <s v="Economy"/>
    <n v="145"/>
    <n v="709.19"/>
    <n v="33"/>
    <s v="On Time"/>
    <n v="102832.55"/>
    <s v="Jun"/>
    <n v="2025"/>
    <n v="102832.55"/>
    <s v="Moderate Delay"/>
  </r>
  <r>
    <n v="4966"/>
    <d v="2025-10-27T00:00:00"/>
    <x v="3"/>
    <x v="8"/>
    <s v="KIX"/>
    <s v="Business"/>
    <n v="55"/>
    <n v="482.04"/>
    <n v="57"/>
    <s v="Cancelled"/>
    <n v="26512.2"/>
    <s v="Oct"/>
    <n v="2025"/>
    <n v="26512.2"/>
    <s v="Moderate Delay"/>
  </r>
  <r>
    <n v="4967"/>
    <d v="2025-12-27T00:00:00"/>
    <x v="1"/>
    <x v="7"/>
    <s v="PUS"/>
    <s v="Business"/>
    <n v="153"/>
    <n v="738.01"/>
    <n v="0"/>
    <s v="On Time"/>
    <n v="112915.53"/>
    <s v="Dec"/>
    <n v="2025"/>
    <n v="112915.53"/>
    <s v="On Time"/>
  </r>
  <r>
    <n v="4968"/>
    <d v="2025-09-16T00:00:00"/>
    <x v="3"/>
    <x v="3"/>
    <s v="SIN"/>
    <s v="Business"/>
    <n v="87"/>
    <n v="635.91999999999996"/>
    <n v="14"/>
    <s v="On Time"/>
    <n v="55325.04"/>
    <s v="Sep"/>
    <n v="2025"/>
    <n v="55325.039999999994"/>
    <s v="Minor Delay"/>
  </r>
  <r>
    <n v="4969"/>
    <d v="2025-08-06T00:00:00"/>
    <x v="0"/>
    <x v="2"/>
    <s v="SIN"/>
    <s v="Economy"/>
    <n v="200"/>
    <n v="749.66"/>
    <n v="0"/>
    <s v="Delayed"/>
    <n v="149932"/>
    <s v="Aug"/>
    <n v="2025"/>
    <n v="149932"/>
    <s v="On Time"/>
  </r>
  <r>
    <n v="4970"/>
    <d v="2025-07-17T00:00:00"/>
    <x v="2"/>
    <x v="2"/>
    <s v="MNL"/>
    <s v="Economy"/>
    <n v="195"/>
    <n v="429.64"/>
    <n v="29"/>
    <s v="On Time"/>
    <n v="83779.8"/>
    <s v="Jul"/>
    <n v="2025"/>
    <n v="83779.8"/>
    <s v="Minor Delay"/>
  </r>
  <r>
    <n v="4971"/>
    <d v="2025-06-21T00:00:00"/>
    <x v="1"/>
    <x v="8"/>
    <s v="KIX"/>
    <s v="Economy"/>
    <n v="225"/>
    <n v="535.51"/>
    <n v="15"/>
    <s v="On Time"/>
    <n v="120489.75"/>
    <s v="Jun"/>
    <n v="2025"/>
    <n v="120489.75"/>
    <s v="Minor Delay"/>
  </r>
  <r>
    <n v="4972"/>
    <d v="2025-03-22T00:00:00"/>
    <x v="5"/>
    <x v="7"/>
    <s v="MNL"/>
    <s v="Business"/>
    <n v="298"/>
    <n v="632.30999999999995"/>
    <n v="43"/>
    <s v="On Time"/>
    <n v="188428.38"/>
    <s v="Mar"/>
    <n v="2025"/>
    <n v="188428.37999999998"/>
    <s v="Moderate Delay"/>
  </r>
  <r>
    <n v="4973"/>
    <d v="2025-08-15T00:00:00"/>
    <x v="5"/>
    <x v="0"/>
    <s v="ICN"/>
    <s v="Economy"/>
    <n v="231"/>
    <n v="194.66"/>
    <n v="44"/>
    <s v="On Time"/>
    <n v="44966.46"/>
    <s v="Aug"/>
    <n v="2025"/>
    <n v="44966.46"/>
    <s v="Moderate Delay"/>
  </r>
  <r>
    <n v="4974"/>
    <d v="2025-06-26T00:00:00"/>
    <x v="4"/>
    <x v="6"/>
    <s v="CJU"/>
    <s v="Premium Economy"/>
    <n v="110"/>
    <n v="71.62"/>
    <n v="12"/>
    <s v="On Time"/>
    <n v="7878.2"/>
    <s v="Jun"/>
    <n v="2025"/>
    <n v="7878.2000000000007"/>
    <s v="Minor Delay"/>
  </r>
  <r>
    <n v="4975"/>
    <d v="2025-08-06T00:00:00"/>
    <x v="2"/>
    <x v="0"/>
    <s v="BKK"/>
    <s v="Economy"/>
    <n v="67"/>
    <n v="399.52"/>
    <n v="5"/>
    <s v="Delayed"/>
    <n v="26767.84"/>
    <s v="Aug"/>
    <n v="2025"/>
    <n v="26767.84"/>
    <s v="Minor Delay"/>
  </r>
  <r>
    <n v="4976"/>
    <d v="2025-05-23T00:00:00"/>
    <x v="3"/>
    <x v="8"/>
    <s v="CJU"/>
    <s v="Premium Economy"/>
    <n v="191"/>
    <n v="127.01"/>
    <n v="50"/>
    <s v="Delayed"/>
    <n v="24258.91"/>
    <s v="May"/>
    <n v="2025"/>
    <n v="24258.91"/>
    <s v="Moderate Delay"/>
  </r>
  <r>
    <n v="4977"/>
    <d v="2025-12-10T00:00:00"/>
    <x v="1"/>
    <x v="6"/>
    <s v="MNL"/>
    <s v="Business"/>
    <n v="221"/>
    <n v="430.6"/>
    <n v="42"/>
    <s v="On Time"/>
    <n v="95162.6"/>
    <s v="Dec"/>
    <n v="2025"/>
    <n v="95162.6"/>
    <s v="Moderate Delay"/>
  </r>
  <r>
    <n v="4978"/>
    <d v="2025-07-06T00:00:00"/>
    <x v="0"/>
    <x v="2"/>
    <s v="ICN"/>
    <s v="Business"/>
    <n v="150"/>
    <n v="310.66000000000003"/>
    <n v="21"/>
    <s v="On Time"/>
    <n v="46599"/>
    <s v="Jul"/>
    <n v="2025"/>
    <n v="46599.000000000007"/>
    <s v="Minor Delay"/>
  </r>
  <r>
    <n v="4979"/>
    <d v="2025-09-25T00:00:00"/>
    <x v="0"/>
    <x v="7"/>
    <s v="MNL"/>
    <s v="Business"/>
    <n v="292"/>
    <n v="334.51"/>
    <n v="25"/>
    <s v="Delayed"/>
    <n v="97676.92"/>
    <s v="Sep"/>
    <n v="2025"/>
    <n v="97676.92"/>
    <s v="Minor Delay"/>
  </r>
  <r>
    <n v="4980"/>
    <d v="2025-04-08T00:00:00"/>
    <x v="1"/>
    <x v="3"/>
    <s v="GMP"/>
    <s v="Premium Economy"/>
    <n v="205"/>
    <n v="367.4"/>
    <n v="0"/>
    <s v="On Time"/>
    <n v="75317"/>
    <s v="Apr"/>
    <n v="2025"/>
    <n v="75317"/>
    <s v="On Time"/>
  </r>
  <r>
    <n v="4981"/>
    <d v="2025-06-12T00:00:00"/>
    <x v="2"/>
    <x v="7"/>
    <s v="GMP"/>
    <s v="Business"/>
    <n v="112"/>
    <n v="469.07"/>
    <n v="29"/>
    <s v="On Time"/>
    <n v="52535.839999999997"/>
    <s v="Jun"/>
    <n v="2025"/>
    <n v="52535.839999999997"/>
    <s v="Minor Delay"/>
  </r>
  <r>
    <n v="4982"/>
    <d v="2025-04-25T00:00:00"/>
    <x v="2"/>
    <x v="6"/>
    <s v="KIX"/>
    <s v="Business"/>
    <n v="274"/>
    <n v="662.52"/>
    <n v="0"/>
    <s v="On Time"/>
    <n v="181530.48"/>
    <s v="Apr"/>
    <n v="2025"/>
    <n v="181530.47999999998"/>
    <s v="On Time"/>
  </r>
  <r>
    <n v="4983"/>
    <d v="2025-10-21T00:00:00"/>
    <x v="0"/>
    <x v="0"/>
    <s v="KIX"/>
    <s v="Premium Economy"/>
    <n v="71"/>
    <n v="224.79"/>
    <n v="34"/>
    <s v="Delayed"/>
    <n v="15960.09"/>
    <s v="Oct"/>
    <n v="2025"/>
    <n v="15960.09"/>
    <s v="Moderate Delay"/>
  </r>
  <r>
    <n v="4984"/>
    <d v="2025-10-17T00:00:00"/>
    <x v="1"/>
    <x v="1"/>
    <s v="PUS"/>
    <s v="Business"/>
    <n v="145"/>
    <n v="452.71"/>
    <n v="31"/>
    <s v="On Time"/>
    <n v="65642.95"/>
    <s v="Oct"/>
    <n v="2025"/>
    <n v="65642.95"/>
    <s v="Moderate Delay"/>
  </r>
  <r>
    <n v="4985"/>
    <d v="2025-12-16T00:00:00"/>
    <x v="5"/>
    <x v="6"/>
    <s v="NRT"/>
    <s v="Economy"/>
    <n v="300"/>
    <n v="696.66"/>
    <n v="27"/>
    <s v="Delayed"/>
    <n v="208998"/>
    <s v="Dec"/>
    <n v="2025"/>
    <n v="208998"/>
    <s v="Minor Delay"/>
  </r>
  <r>
    <n v="4986"/>
    <d v="2025-03-24T00:00:00"/>
    <x v="0"/>
    <x v="1"/>
    <s v="SIN"/>
    <s v="Business"/>
    <n v="151"/>
    <n v="374.92"/>
    <n v="0"/>
    <s v="On Time"/>
    <n v="56612.92"/>
    <s v="Mar"/>
    <n v="2025"/>
    <n v="56612.920000000006"/>
    <s v="On Time"/>
  </r>
  <r>
    <n v="4987"/>
    <d v="2025-09-01T00:00:00"/>
    <x v="2"/>
    <x v="5"/>
    <s v="MNL"/>
    <s v="Premium Economy"/>
    <n v="289"/>
    <n v="318.92"/>
    <n v="0"/>
    <s v="On Time"/>
    <n v="92167.88"/>
    <s v="Sep"/>
    <n v="2025"/>
    <n v="92167.88"/>
    <s v="On Time"/>
  </r>
  <r>
    <n v="4988"/>
    <d v="2025-02-21T00:00:00"/>
    <x v="1"/>
    <x v="3"/>
    <s v="NRT"/>
    <s v="Premium Economy"/>
    <n v="291"/>
    <n v="611.34"/>
    <n v="54"/>
    <s v="On Time"/>
    <n v="177899.94"/>
    <s v="Feb"/>
    <n v="2025"/>
    <n v="177899.94"/>
    <s v="Moderate Delay"/>
  </r>
  <r>
    <n v="4989"/>
    <d v="2025-12-04T00:00:00"/>
    <x v="0"/>
    <x v="8"/>
    <s v="SIN"/>
    <s v="Premium Economy"/>
    <n v="300"/>
    <n v="68.83"/>
    <n v="41"/>
    <s v="Delayed"/>
    <n v="20649"/>
    <s v="Dec"/>
    <n v="2025"/>
    <n v="20649"/>
    <s v="Moderate Delay"/>
  </r>
  <r>
    <n v="4990"/>
    <d v="2025-01-14T00:00:00"/>
    <x v="3"/>
    <x v="6"/>
    <s v="GMP"/>
    <s v="Business"/>
    <n v="283"/>
    <n v="296.92"/>
    <n v="25"/>
    <s v="On Time"/>
    <n v="84028.36"/>
    <s v="Jan"/>
    <n v="2025"/>
    <n v="84028.36"/>
    <s v="Minor Delay"/>
  </r>
  <r>
    <n v="4991"/>
    <d v="2025-04-19T00:00:00"/>
    <x v="4"/>
    <x v="8"/>
    <s v="CJU"/>
    <s v="Premium Economy"/>
    <n v="178"/>
    <n v="276.05"/>
    <n v="2"/>
    <s v="On Time"/>
    <n v="49136.9"/>
    <s v="Apr"/>
    <n v="2025"/>
    <n v="49136.9"/>
    <s v="Minor Delay"/>
  </r>
  <r>
    <n v="4992"/>
    <d v="2025-03-20T00:00:00"/>
    <x v="4"/>
    <x v="6"/>
    <s v="ICN"/>
    <s v="Economy"/>
    <n v="54"/>
    <n v="646.79999999999995"/>
    <n v="41"/>
    <s v="On Time"/>
    <n v="34927.199999999997"/>
    <s v="Mar"/>
    <n v="2025"/>
    <n v="34927.199999999997"/>
    <s v="Moderate Delay"/>
  </r>
  <r>
    <n v="4993"/>
    <d v="2025-06-05T00:00:00"/>
    <x v="5"/>
    <x v="5"/>
    <s v="SIN"/>
    <s v="Economy"/>
    <n v="79"/>
    <n v="360.49"/>
    <n v="57"/>
    <s v="On Time"/>
    <n v="28478.71"/>
    <s v="Jun"/>
    <n v="2025"/>
    <n v="28478.71"/>
    <s v="Moderate Delay"/>
  </r>
  <r>
    <n v="4994"/>
    <d v="2025-06-25T00:00:00"/>
    <x v="3"/>
    <x v="0"/>
    <s v="CJU"/>
    <s v="Premium Economy"/>
    <n v="211"/>
    <n v="342.98"/>
    <n v="23"/>
    <s v="On Time"/>
    <n v="72368.78"/>
    <s v="Jun"/>
    <n v="2025"/>
    <n v="72368.78"/>
    <s v="Minor Delay"/>
  </r>
  <r>
    <n v="4995"/>
    <d v="2025-01-09T00:00:00"/>
    <x v="3"/>
    <x v="2"/>
    <s v="KIX"/>
    <s v="Premium Economy"/>
    <n v="162"/>
    <n v="551.04"/>
    <n v="15"/>
    <s v="Delayed"/>
    <n v="89268.479999999996"/>
    <s v="Jan"/>
    <n v="2025"/>
    <n v="89268.479999999996"/>
    <s v="Minor Delay"/>
  </r>
  <r>
    <n v="4996"/>
    <d v="2025-10-10T00:00:00"/>
    <x v="4"/>
    <x v="4"/>
    <s v="BKK"/>
    <s v="Economy"/>
    <n v="292"/>
    <n v="534.13"/>
    <n v="25"/>
    <s v="On Time"/>
    <n v="155965.96"/>
    <s v="Oct"/>
    <n v="2025"/>
    <n v="155965.96"/>
    <s v="Minor Delay"/>
  </r>
  <r>
    <n v="4997"/>
    <d v="2025-01-12T00:00:00"/>
    <x v="2"/>
    <x v="7"/>
    <s v="SIN"/>
    <s v="Business"/>
    <n v="209"/>
    <n v="564.51"/>
    <n v="42"/>
    <s v="On Time"/>
    <n v="117982.59"/>
    <s v="Jan"/>
    <n v="2025"/>
    <n v="117982.59"/>
    <s v="Moderate Delay"/>
  </r>
  <r>
    <n v="4998"/>
    <d v="2025-06-20T00:00:00"/>
    <x v="2"/>
    <x v="4"/>
    <s v="PUS"/>
    <s v="Business"/>
    <n v="139"/>
    <n v="606.94000000000005"/>
    <n v="9"/>
    <s v="Delayed"/>
    <n v="84364.66"/>
    <s v="Jun"/>
    <n v="2025"/>
    <n v="84364.66"/>
    <s v="Minor Delay"/>
  </r>
  <r>
    <n v="4999"/>
    <d v="2025-12-14T00:00:00"/>
    <x v="0"/>
    <x v="6"/>
    <s v="ICN"/>
    <s v="Business"/>
    <n v="150"/>
    <n v="216.26"/>
    <n v="24"/>
    <s v="On Time"/>
    <n v="32439"/>
    <s v="Dec"/>
    <n v="2025"/>
    <n v="32439"/>
    <s v="Minor Delay"/>
  </r>
  <r>
    <n v="5000"/>
    <d v="2025-07-05T00:00:00"/>
    <x v="4"/>
    <x v="7"/>
    <s v="KIX"/>
    <s v="Business"/>
    <n v="284"/>
    <n v="610.41"/>
    <n v="40"/>
    <s v="On Time"/>
    <n v="173356.44"/>
    <s v="Jul"/>
    <n v="2025"/>
    <n v="173356.44"/>
    <s v="Moderate Dela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9E74CB-6ED8-46C8-9F2E-173029D575E3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Q12:S22" firstHeaderRow="0" firstDataRow="1" firstDataCol="1"/>
  <pivotFields count="15">
    <pivotField showAll="0"/>
    <pivotField numFmtId="164" showAll="0"/>
    <pivotField showAll="0">
      <items count="7">
        <item x="3"/>
        <item x="0"/>
        <item x="4"/>
        <item x="2"/>
        <item x="1"/>
        <item x="5"/>
        <item t="default"/>
      </items>
    </pivotField>
    <pivotField axis="axisRow" showAll="0" sortType="descending">
      <items count="10">
        <item x="1"/>
        <item x="7"/>
        <item x="0"/>
        <item x="5"/>
        <item x="3"/>
        <item x="8"/>
        <item x="4"/>
        <item x="2"/>
        <item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10">
    <i>
      <x/>
    </i>
    <i>
      <x v="3"/>
    </i>
    <i>
      <x v="1"/>
    </i>
    <i>
      <x v="4"/>
    </i>
    <i>
      <x v="2"/>
    </i>
    <i>
      <x v="8"/>
    </i>
    <i>
      <x v="7"/>
    </i>
    <i>
      <x v="6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0" baseField="0" baseItem="0"/>
    <dataField name="Sum of Passenger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563D3A-5BA5-43A9-A59D-8579D5738AEC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Q2:T9" firstHeaderRow="0" firstDataRow="1" firstDataCol="1"/>
  <pivotFields count="15">
    <pivotField showAll="0"/>
    <pivotField numFmtId="164" showAll="0"/>
    <pivotField axis="axisRow" showAll="0" sortType="descending">
      <items count="7">
        <item x="3"/>
        <item x="0"/>
        <item x="4"/>
        <item x="2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7">
    <i>
      <x v="3"/>
    </i>
    <i>
      <x v="5"/>
    </i>
    <i>
      <x v="1"/>
    </i>
    <i>
      <x v="2"/>
    </i>
    <i>
      <x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0" baseField="0" baseItem="0"/>
    <dataField name="Sum of Passengers" fld="6" baseField="0" baseItem="0"/>
    <dataField name="Average of DelayMinutes" fld="8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01"/>
  <sheetViews>
    <sheetView tabSelected="1" topLeftCell="M1" workbookViewId="0">
      <selection activeCell="R5" sqref="R5"/>
    </sheetView>
  </sheetViews>
  <sheetFormatPr defaultRowHeight="15" x14ac:dyDescent="0.25"/>
  <cols>
    <col min="1" max="1" width="7.85546875" bestFit="1" customWidth="1"/>
    <col min="2" max="2" width="10.5703125" bestFit="1" customWidth="1"/>
    <col min="3" max="3" width="10.28515625" bestFit="1" customWidth="1"/>
    <col min="4" max="4" width="16.42578125" bestFit="1" customWidth="1"/>
    <col min="5" max="5" width="13.28515625" bestFit="1" customWidth="1"/>
    <col min="6" max="6" width="17.85546875" bestFit="1" customWidth="1"/>
    <col min="7" max="7" width="10.85546875" bestFit="1" customWidth="1"/>
    <col min="8" max="8" width="10.7109375" bestFit="1" customWidth="1"/>
    <col min="9" max="9" width="13.5703125" bestFit="1" customWidth="1"/>
    <col min="10" max="10" width="9.7109375" bestFit="1" customWidth="1"/>
    <col min="11" max="11" width="10.28515625" bestFit="1" customWidth="1"/>
    <col min="14" max="14" width="15.42578125" customWidth="1"/>
    <col min="15" max="15" width="17.42578125" customWidth="1"/>
    <col min="17" max="17" width="13.140625" bestFit="1" customWidth="1"/>
    <col min="18" max="18" width="15.5703125" bestFit="1" customWidth="1"/>
    <col min="19" max="19" width="17.7109375" bestFit="1" customWidth="1"/>
    <col min="20" max="20" width="23.855468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32</v>
      </c>
      <c r="M1" s="3" t="s">
        <v>33</v>
      </c>
      <c r="N1" s="3" t="s">
        <v>34</v>
      </c>
      <c r="O1" s="3" t="s">
        <v>35</v>
      </c>
    </row>
    <row r="2" spans="1:20" x14ac:dyDescent="0.25">
      <c r="A2">
        <v>1</v>
      </c>
      <c r="B2" s="2">
        <v>45798</v>
      </c>
      <c r="C2" t="s">
        <v>11</v>
      </c>
      <c r="D2" t="s">
        <v>12</v>
      </c>
      <c r="E2" t="s">
        <v>13</v>
      </c>
      <c r="F2" t="s">
        <v>14</v>
      </c>
      <c r="G2">
        <v>85</v>
      </c>
      <c r="H2">
        <v>604.99</v>
      </c>
      <c r="I2">
        <v>0</v>
      </c>
      <c r="J2" t="s">
        <v>15</v>
      </c>
      <c r="K2">
        <v>51424.15</v>
      </c>
      <c r="L2" t="str">
        <f>TEXT(B2,"MMM")</f>
        <v>May</v>
      </c>
      <c r="M2">
        <f>YEAR(B2)</f>
        <v>2025</v>
      </c>
      <c r="N2">
        <f>G2*H2</f>
        <v>51424.15</v>
      </c>
      <c r="O2" t="str">
        <f>IF(I2=0,"On Time",IF(I2&lt;=30,"Minor Delay",IF(I2&lt;=60,"Moderate Delay","Major Delay")))</f>
        <v>On Time</v>
      </c>
      <c r="Q2" s="4" t="s">
        <v>36</v>
      </c>
      <c r="R2" t="s">
        <v>38</v>
      </c>
      <c r="S2" t="s">
        <v>39</v>
      </c>
      <c r="T2" t="s">
        <v>40</v>
      </c>
    </row>
    <row r="3" spans="1:20" x14ac:dyDescent="0.25">
      <c r="A3">
        <v>2</v>
      </c>
      <c r="B3" s="2">
        <v>45673</v>
      </c>
      <c r="C3" t="s">
        <v>16</v>
      </c>
      <c r="D3" t="s">
        <v>17</v>
      </c>
      <c r="E3" t="s">
        <v>13</v>
      </c>
      <c r="F3" t="s">
        <v>14</v>
      </c>
      <c r="G3">
        <v>109</v>
      </c>
      <c r="H3">
        <v>433.96</v>
      </c>
      <c r="I3">
        <v>0</v>
      </c>
      <c r="J3" t="s">
        <v>15</v>
      </c>
      <c r="K3">
        <v>47301.64</v>
      </c>
      <c r="L3" t="str">
        <f t="shared" ref="L3:L66" si="0">TEXT(B3,"MMM")</f>
        <v>Jan</v>
      </c>
      <c r="M3">
        <f t="shared" ref="M3:M66" si="1">YEAR(B3)</f>
        <v>2025</v>
      </c>
      <c r="N3">
        <f t="shared" ref="N3:N66" si="2">G3*H3</f>
        <v>47301.64</v>
      </c>
      <c r="O3" t="str">
        <f t="shared" ref="O3:O66" si="3">IF(I3=0,"On Time",IF(I3&lt;=30,"Minor Delay",IF(I3&lt;=60,"Moderate Delay","Major Delay")))</f>
        <v>On Time</v>
      </c>
      <c r="Q3" s="5" t="s">
        <v>18</v>
      </c>
      <c r="R3" s="6">
        <v>67321799.740000024</v>
      </c>
      <c r="S3" s="6">
        <v>154585</v>
      </c>
      <c r="T3" s="6">
        <v>22.920091324200914</v>
      </c>
    </row>
    <row r="4" spans="1:20" x14ac:dyDescent="0.25">
      <c r="A4">
        <v>3</v>
      </c>
      <c r="B4" s="2">
        <v>45770</v>
      </c>
      <c r="C4" t="s">
        <v>18</v>
      </c>
      <c r="D4" t="s">
        <v>19</v>
      </c>
      <c r="E4" t="s">
        <v>20</v>
      </c>
      <c r="F4" t="s">
        <v>21</v>
      </c>
      <c r="G4">
        <v>121</v>
      </c>
      <c r="H4">
        <v>658.98</v>
      </c>
      <c r="I4">
        <v>65</v>
      </c>
      <c r="J4" t="s">
        <v>15</v>
      </c>
      <c r="K4">
        <v>79736.58</v>
      </c>
      <c r="L4" t="str">
        <f t="shared" si="0"/>
        <v>Apr</v>
      </c>
      <c r="M4">
        <f t="shared" si="1"/>
        <v>2025</v>
      </c>
      <c r="N4">
        <f t="shared" si="2"/>
        <v>79736.58</v>
      </c>
      <c r="O4" t="str">
        <f t="shared" si="3"/>
        <v>Major Delay</v>
      </c>
      <c r="Q4" s="5" t="s">
        <v>31</v>
      </c>
      <c r="R4" s="6">
        <v>65703943.749999993</v>
      </c>
      <c r="S4" s="6">
        <v>152524</v>
      </c>
      <c r="T4" s="6">
        <v>21.659302325581397</v>
      </c>
    </row>
    <row r="5" spans="1:20" x14ac:dyDescent="0.25">
      <c r="A5">
        <v>4</v>
      </c>
      <c r="B5" s="2">
        <v>45737</v>
      </c>
      <c r="C5" t="s">
        <v>11</v>
      </c>
      <c r="D5" t="s">
        <v>22</v>
      </c>
      <c r="E5" t="s">
        <v>23</v>
      </c>
      <c r="F5" t="s">
        <v>24</v>
      </c>
      <c r="G5">
        <v>76</v>
      </c>
      <c r="H5">
        <v>128.63</v>
      </c>
      <c r="I5">
        <v>21</v>
      </c>
      <c r="J5" t="s">
        <v>15</v>
      </c>
      <c r="K5">
        <v>9775.8799999999992</v>
      </c>
      <c r="L5" t="str">
        <f t="shared" si="0"/>
        <v>Mar</v>
      </c>
      <c r="M5">
        <f t="shared" si="1"/>
        <v>2025</v>
      </c>
      <c r="N5">
        <f t="shared" si="2"/>
        <v>9775.8799999999992</v>
      </c>
      <c r="O5" t="str">
        <f t="shared" si="3"/>
        <v>Minor Delay</v>
      </c>
      <c r="Q5" s="5" t="s">
        <v>11</v>
      </c>
      <c r="R5" s="6">
        <v>64870444.140000023</v>
      </c>
      <c r="S5" s="6">
        <v>149354</v>
      </c>
      <c r="T5" s="6">
        <v>22.632197414806111</v>
      </c>
    </row>
    <row r="6" spans="1:20" x14ac:dyDescent="0.25">
      <c r="A6">
        <v>5</v>
      </c>
      <c r="B6" s="2">
        <v>45680</v>
      </c>
      <c r="C6" t="s">
        <v>25</v>
      </c>
      <c r="D6" t="s">
        <v>22</v>
      </c>
      <c r="E6" t="s">
        <v>23</v>
      </c>
      <c r="F6" t="s">
        <v>24</v>
      </c>
      <c r="G6">
        <v>187</v>
      </c>
      <c r="H6">
        <v>152.37</v>
      </c>
      <c r="I6">
        <v>28</v>
      </c>
      <c r="J6" t="s">
        <v>15</v>
      </c>
      <c r="K6">
        <v>28493.19</v>
      </c>
      <c r="L6" t="str">
        <f t="shared" si="0"/>
        <v>Jan</v>
      </c>
      <c r="M6">
        <f t="shared" si="1"/>
        <v>2025</v>
      </c>
      <c r="N6">
        <f t="shared" si="2"/>
        <v>28493.190000000002</v>
      </c>
      <c r="O6" t="str">
        <f t="shared" si="3"/>
        <v>Minor Delay</v>
      </c>
      <c r="Q6" s="5" t="s">
        <v>26</v>
      </c>
      <c r="R6" s="6">
        <v>62252233.439999968</v>
      </c>
      <c r="S6" s="6">
        <v>142190</v>
      </c>
      <c r="T6" s="6">
        <v>24.231722428748451</v>
      </c>
    </row>
    <row r="7" spans="1:20" x14ac:dyDescent="0.25">
      <c r="A7">
        <v>6</v>
      </c>
      <c r="B7" s="2">
        <v>46018</v>
      </c>
      <c r="C7" t="s">
        <v>16</v>
      </c>
      <c r="D7" t="s">
        <v>22</v>
      </c>
      <c r="E7" t="s">
        <v>19</v>
      </c>
      <c r="F7" t="s">
        <v>14</v>
      </c>
      <c r="G7">
        <v>219</v>
      </c>
      <c r="H7">
        <v>228.64</v>
      </c>
      <c r="I7">
        <v>15</v>
      </c>
      <c r="J7" t="s">
        <v>15</v>
      </c>
      <c r="K7">
        <v>50072.160000000003</v>
      </c>
      <c r="L7" t="str">
        <f t="shared" si="0"/>
        <v>Dec</v>
      </c>
      <c r="M7">
        <f t="shared" si="1"/>
        <v>2025</v>
      </c>
      <c r="N7">
        <f t="shared" si="2"/>
        <v>50072.159999999996</v>
      </c>
      <c r="O7" t="str">
        <f t="shared" si="3"/>
        <v>Minor Delay</v>
      </c>
      <c r="Q7" s="5" t="s">
        <v>25</v>
      </c>
      <c r="R7" s="6">
        <v>60476392.670000032</v>
      </c>
      <c r="S7" s="6">
        <v>139321</v>
      </c>
      <c r="T7" s="6">
        <v>22.569325153374233</v>
      </c>
    </row>
    <row r="8" spans="1:20" x14ac:dyDescent="0.25">
      <c r="A8">
        <v>7</v>
      </c>
      <c r="B8" s="2">
        <v>45709</v>
      </c>
      <c r="C8" t="s">
        <v>18</v>
      </c>
      <c r="D8" t="s">
        <v>12</v>
      </c>
      <c r="E8" t="s">
        <v>23</v>
      </c>
      <c r="F8" t="s">
        <v>24</v>
      </c>
      <c r="G8">
        <v>166</v>
      </c>
      <c r="H8">
        <v>530.41</v>
      </c>
      <c r="I8">
        <v>4</v>
      </c>
      <c r="J8" t="s">
        <v>15</v>
      </c>
      <c r="K8">
        <v>88048.06</v>
      </c>
      <c r="L8" t="str">
        <f t="shared" si="0"/>
        <v>Feb</v>
      </c>
      <c r="M8">
        <f t="shared" si="1"/>
        <v>2025</v>
      </c>
      <c r="N8">
        <f t="shared" si="2"/>
        <v>88048.06</v>
      </c>
      <c r="O8" t="str">
        <f t="shared" si="3"/>
        <v>Minor Delay</v>
      </c>
      <c r="Q8" s="5" t="s">
        <v>16</v>
      </c>
      <c r="R8" s="6">
        <v>60123755.690000042</v>
      </c>
      <c r="S8" s="6">
        <v>138956</v>
      </c>
      <c r="T8" s="6">
        <v>22.632111251580277</v>
      </c>
    </row>
    <row r="9" spans="1:20" x14ac:dyDescent="0.25">
      <c r="A9">
        <v>8</v>
      </c>
      <c r="B9" s="2">
        <v>45969</v>
      </c>
      <c r="C9" t="s">
        <v>25</v>
      </c>
      <c r="D9" t="s">
        <v>23</v>
      </c>
      <c r="E9" t="s">
        <v>12</v>
      </c>
      <c r="F9" t="s">
        <v>14</v>
      </c>
      <c r="G9">
        <v>186</v>
      </c>
      <c r="H9">
        <v>599.54999999999995</v>
      </c>
      <c r="I9">
        <v>38</v>
      </c>
      <c r="J9" t="s">
        <v>15</v>
      </c>
      <c r="K9">
        <v>111516.3</v>
      </c>
      <c r="L9" t="str">
        <f t="shared" si="0"/>
        <v>Nov</v>
      </c>
      <c r="M9">
        <f t="shared" si="1"/>
        <v>2025</v>
      </c>
      <c r="N9">
        <f t="shared" si="2"/>
        <v>111516.29999999999</v>
      </c>
      <c r="O9" t="str">
        <f t="shared" si="3"/>
        <v>Moderate Delay</v>
      </c>
      <c r="Q9" s="5" t="s">
        <v>37</v>
      </c>
      <c r="R9" s="6">
        <v>380748569.42999917</v>
      </c>
      <c r="S9" s="6">
        <v>876930</v>
      </c>
      <c r="T9" s="6">
        <v>22.763200000000001</v>
      </c>
    </row>
    <row r="10" spans="1:20" x14ac:dyDescent="0.25">
      <c r="A10">
        <v>9</v>
      </c>
      <c r="B10" s="2">
        <v>45985</v>
      </c>
      <c r="C10" t="s">
        <v>25</v>
      </c>
      <c r="D10" t="s">
        <v>17</v>
      </c>
      <c r="E10" t="s">
        <v>23</v>
      </c>
      <c r="F10" t="s">
        <v>21</v>
      </c>
      <c r="G10">
        <v>106</v>
      </c>
      <c r="H10">
        <v>566.61</v>
      </c>
      <c r="I10">
        <v>43</v>
      </c>
      <c r="J10" t="s">
        <v>15</v>
      </c>
      <c r="K10">
        <v>60060.66</v>
      </c>
      <c r="L10" t="str">
        <f t="shared" si="0"/>
        <v>Nov</v>
      </c>
      <c r="M10">
        <f t="shared" si="1"/>
        <v>2025</v>
      </c>
      <c r="N10">
        <f t="shared" si="2"/>
        <v>60060.66</v>
      </c>
      <c r="O10" t="str">
        <f t="shared" si="3"/>
        <v>Moderate Delay</v>
      </c>
    </row>
    <row r="11" spans="1:20" x14ac:dyDescent="0.25">
      <c r="A11">
        <v>10</v>
      </c>
      <c r="B11" s="2">
        <v>45863</v>
      </c>
      <c r="C11" t="s">
        <v>26</v>
      </c>
      <c r="D11" t="s">
        <v>13</v>
      </c>
      <c r="E11" t="s">
        <v>17</v>
      </c>
      <c r="F11" t="s">
        <v>14</v>
      </c>
      <c r="G11">
        <v>104</v>
      </c>
      <c r="H11">
        <v>735.72</v>
      </c>
      <c r="I11">
        <v>0</v>
      </c>
      <c r="J11" t="s">
        <v>15</v>
      </c>
      <c r="K11">
        <v>76514.880000000005</v>
      </c>
      <c r="L11" t="str">
        <f t="shared" si="0"/>
        <v>Jul</v>
      </c>
      <c r="M11">
        <f t="shared" si="1"/>
        <v>2025</v>
      </c>
      <c r="N11">
        <f t="shared" si="2"/>
        <v>76514.880000000005</v>
      </c>
      <c r="O11" t="str">
        <f t="shared" si="3"/>
        <v>On Time</v>
      </c>
    </row>
    <row r="12" spans="1:20" x14ac:dyDescent="0.25">
      <c r="A12">
        <v>11</v>
      </c>
      <c r="B12" s="2">
        <v>45993</v>
      </c>
      <c r="C12" t="s">
        <v>18</v>
      </c>
      <c r="D12" t="s">
        <v>22</v>
      </c>
      <c r="E12" t="s">
        <v>19</v>
      </c>
      <c r="F12" t="s">
        <v>24</v>
      </c>
      <c r="G12">
        <v>276</v>
      </c>
      <c r="H12">
        <v>736.77</v>
      </c>
      <c r="I12">
        <v>1</v>
      </c>
      <c r="J12" t="s">
        <v>15</v>
      </c>
      <c r="K12">
        <v>203348.52</v>
      </c>
      <c r="L12" t="str">
        <f t="shared" si="0"/>
        <v>Dec</v>
      </c>
      <c r="M12">
        <f t="shared" si="1"/>
        <v>2025</v>
      </c>
      <c r="N12">
        <f t="shared" si="2"/>
        <v>203348.52</v>
      </c>
      <c r="O12" t="str">
        <f t="shared" si="3"/>
        <v>Minor Delay</v>
      </c>
      <c r="Q12" s="4" t="s">
        <v>36</v>
      </c>
      <c r="R12" t="s">
        <v>38</v>
      </c>
      <c r="S12" t="s">
        <v>39</v>
      </c>
    </row>
    <row r="13" spans="1:20" x14ac:dyDescent="0.25">
      <c r="A13">
        <v>12</v>
      </c>
      <c r="B13" s="2">
        <v>45957</v>
      </c>
      <c r="C13" t="s">
        <v>18</v>
      </c>
      <c r="D13" t="s">
        <v>27</v>
      </c>
      <c r="E13" t="s">
        <v>23</v>
      </c>
      <c r="F13" t="s">
        <v>21</v>
      </c>
      <c r="G13">
        <v>152</v>
      </c>
      <c r="H13">
        <v>327.88</v>
      </c>
      <c r="I13">
        <v>25</v>
      </c>
      <c r="J13" t="s">
        <v>28</v>
      </c>
      <c r="K13">
        <v>49837.760000000002</v>
      </c>
      <c r="L13" t="str">
        <f t="shared" si="0"/>
        <v>Oct</v>
      </c>
      <c r="M13">
        <f t="shared" si="1"/>
        <v>2025</v>
      </c>
      <c r="N13">
        <f t="shared" si="2"/>
        <v>49837.760000000002</v>
      </c>
      <c r="O13" t="str">
        <f t="shared" si="3"/>
        <v>Minor Delay</v>
      </c>
      <c r="Q13" s="5" t="s">
        <v>17</v>
      </c>
      <c r="R13" s="6">
        <v>45914036.940000013</v>
      </c>
      <c r="S13" s="6">
        <v>105276</v>
      </c>
    </row>
    <row r="14" spans="1:20" x14ac:dyDescent="0.25">
      <c r="A14">
        <v>13</v>
      </c>
      <c r="B14" s="2">
        <v>45704</v>
      </c>
      <c r="C14" t="s">
        <v>16</v>
      </c>
      <c r="D14" t="s">
        <v>29</v>
      </c>
      <c r="E14" t="s">
        <v>27</v>
      </c>
      <c r="F14" t="s">
        <v>14</v>
      </c>
      <c r="G14">
        <v>89</v>
      </c>
      <c r="H14">
        <v>524.30999999999995</v>
      </c>
      <c r="I14">
        <v>26</v>
      </c>
      <c r="J14" t="s">
        <v>15</v>
      </c>
      <c r="K14">
        <v>46663.59</v>
      </c>
      <c r="L14" t="str">
        <f t="shared" si="0"/>
        <v>Feb</v>
      </c>
      <c r="M14">
        <f t="shared" si="1"/>
        <v>2025</v>
      </c>
      <c r="N14">
        <f t="shared" si="2"/>
        <v>46663.59</v>
      </c>
      <c r="O14" t="str">
        <f t="shared" si="3"/>
        <v>Minor Delay</v>
      </c>
      <c r="Q14" s="5" t="s">
        <v>13</v>
      </c>
      <c r="R14" s="6">
        <v>45991840.95000001</v>
      </c>
      <c r="S14" s="6">
        <v>104155</v>
      </c>
    </row>
    <row r="15" spans="1:20" x14ac:dyDescent="0.25">
      <c r="A15">
        <v>14</v>
      </c>
      <c r="B15" s="2">
        <v>45928</v>
      </c>
      <c r="C15" t="s">
        <v>26</v>
      </c>
      <c r="D15" t="s">
        <v>17</v>
      </c>
      <c r="E15" t="s">
        <v>27</v>
      </c>
      <c r="F15" t="s">
        <v>21</v>
      </c>
      <c r="G15">
        <v>270</v>
      </c>
      <c r="H15">
        <v>757.4</v>
      </c>
      <c r="I15">
        <v>0</v>
      </c>
      <c r="J15" t="s">
        <v>15</v>
      </c>
      <c r="K15">
        <v>204498</v>
      </c>
      <c r="L15" t="str">
        <f t="shared" si="0"/>
        <v>Sep</v>
      </c>
      <c r="M15">
        <f t="shared" si="1"/>
        <v>2025</v>
      </c>
      <c r="N15">
        <f t="shared" si="2"/>
        <v>204498</v>
      </c>
      <c r="O15" t="str">
        <f t="shared" si="3"/>
        <v>On Time</v>
      </c>
      <c r="Q15" s="5" t="s">
        <v>29</v>
      </c>
      <c r="R15" s="6">
        <v>41540789.390000023</v>
      </c>
      <c r="S15" s="6">
        <v>97395</v>
      </c>
    </row>
    <row r="16" spans="1:20" x14ac:dyDescent="0.25">
      <c r="A16">
        <v>15</v>
      </c>
      <c r="B16" s="2">
        <v>45986</v>
      </c>
      <c r="C16" t="s">
        <v>26</v>
      </c>
      <c r="D16" t="s">
        <v>12</v>
      </c>
      <c r="E16" t="s">
        <v>22</v>
      </c>
      <c r="F16" t="s">
        <v>14</v>
      </c>
      <c r="G16">
        <v>125</v>
      </c>
      <c r="H16">
        <v>381.73</v>
      </c>
      <c r="I16">
        <v>0</v>
      </c>
      <c r="J16" t="s">
        <v>30</v>
      </c>
      <c r="K16">
        <v>47716.25</v>
      </c>
      <c r="L16" t="str">
        <f t="shared" si="0"/>
        <v>Nov</v>
      </c>
      <c r="M16">
        <f t="shared" si="1"/>
        <v>2025</v>
      </c>
      <c r="N16">
        <f t="shared" si="2"/>
        <v>47716.25</v>
      </c>
      <c r="O16" t="str">
        <f t="shared" si="3"/>
        <v>On Time</v>
      </c>
      <c r="Q16" s="5" t="s">
        <v>22</v>
      </c>
      <c r="R16" s="6">
        <v>42974902.360000029</v>
      </c>
      <c r="S16" s="6">
        <v>97207</v>
      </c>
    </row>
    <row r="17" spans="1:19" x14ac:dyDescent="0.25">
      <c r="A17">
        <v>16</v>
      </c>
      <c r="B17" s="2">
        <v>45917</v>
      </c>
      <c r="C17" t="s">
        <v>16</v>
      </c>
      <c r="D17" t="s">
        <v>23</v>
      </c>
      <c r="E17" t="s">
        <v>29</v>
      </c>
      <c r="F17" t="s">
        <v>21</v>
      </c>
      <c r="G17">
        <v>126</v>
      </c>
      <c r="H17">
        <v>682.84</v>
      </c>
      <c r="I17">
        <v>37</v>
      </c>
      <c r="J17" t="s">
        <v>15</v>
      </c>
      <c r="K17">
        <v>86037.84</v>
      </c>
      <c r="L17" t="str">
        <f t="shared" si="0"/>
        <v>Sep</v>
      </c>
      <c r="M17">
        <f t="shared" si="1"/>
        <v>2025</v>
      </c>
      <c r="N17">
        <f t="shared" si="2"/>
        <v>86037.840000000011</v>
      </c>
      <c r="O17" t="str">
        <f t="shared" si="3"/>
        <v>Moderate Delay</v>
      </c>
      <c r="Q17" s="5" t="s">
        <v>12</v>
      </c>
      <c r="R17" s="6">
        <v>40582341.24999997</v>
      </c>
      <c r="S17" s="6">
        <v>96074</v>
      </c>
    </row>
    <row r="18" spans="1:19" x14ac:dyDescent="0.25">
      <c r="A18">
        <v>17</v>
      </c>
      <c r="B18" s="2">
        <v>45849</v>
      </c>
      <c r="C18" t="s">
        <v>11</v>
      </c>
      <c r="D18" t="s">
        <v>19</v>
      </c>
      <c r="E18" t="s">
        <v>29</v>
      </c>
      <c r="F18" t="s">
        <v>21</v>
      </c>
      <c r="G18">
        <v>294</v>
      </c>
      <c r="H18">
        <v>636.17999999999995</v>
      </c>
      <c r="I18">
        <v>19</v>
      </c>
      <c r="J18" t="s">
        <v>15</v>
      </c>
      <c r="K18">
        <v>187036.92</v>
      </c>
      <c r="L18" t="str">
        <f t="shared" si="0"/>
        <v>Jul</v>
      </c>
      <c r="M18">
        <f t="shared" si="1"/>
        <v>2025</v>
      </c>
      <c r="N18">
        <f t="shared" si="2"/>
        <v>187036.91999999998</v>
      </c>
      <c r="O18" t="str">
        <f t="shared" si="3"/>
        <v>Minor Delay</v>
      </c>
      <c r="Q18" s="5" t="s">
        <v>27</v>
      </c>
      <c r="R18" s="6">
        <v>41014769.180000052</v>
      </c>
      <c r="S18" s="6">
        <v>95301</v>
      </c>
    </row>
    <row r="19" spans="1:19" x14ac:dyDescent="0.25">
      <c r="A19">
        <v>18</v>
      </c>
      <c r="B19" s="2">
        <v>45843</v>
      </c>
      <c r="C19" t="s">
        <v>26</v>
      </c>
      <c r="D19" t="s">
        <v>13</v>
      </c>
      <c r="E19" t="s">
        <v>29</v>
      </c>
      <c r="F19" t="s">
        <v>14</v>
      </c>
      <c r="G19">
        <v>64</v>
      </c>
      <c r="H19">
        <v>238.24</v>
      </c>
      <c r="I19">
        <v>19</v>
      </c>
      <c r="J19" t="s">
        <v>15</v>
      </c>
      <c r="K19">
        <v>15247.36</v>
      </c>
      <c r="L19" t="str">
        <f t="shared" si="0"/>
        <v>Jul</v>
      </c>
      <c r="M19">
        <f t="shared" si="1"/>
        <v>2025</v>
      </c>
      <c r="N19">
        <f t="shared" si="2"/>
        <v>15247.36</v>
      </c>
      <c r="O19" t="str">
        <f t="shared" si="3"/>
        <v>Minor Delay</v>
      </c>
      <c r="Q19" s="5" t="s">
        <v>19</v>
      </c>
      <c r="R19" s="6">
        <v>42115355.609999985</v>
      </c>
      <c r="S19" s="6">
        <v>94660</v>
      </c>
    </row>
    <row r="20" spans="1:19" x14ac:dyDescent="0.25">
      <c r="A20">
        <v>19</v>
      </c>
      <c r="B20" s="2">
        <v>45906</v>
      </c>
      <c r="C20" t="s">
        <v>16</v>
      </c>
      <c r="D20" t="s">
        <v>12</v>
      </c>
      <c r="E20" t="s">
        <v>29</v>
      </c>
      <c r="F20" t="s">
        <v>21</v>
      </c>
      <c r="G20">
        <v>246</v>
      </c>
      <c r="H20">
        <v>153.06</v>
      </c>
      <c r="I20">
        <v>0</v>
      </c>
      <c r="J20" t="s">
        <v>15</v>
      </c>
      <c r="K20">
        <v>37652.76</v>
      </c>
      <c r="L20" t="str">
        <f t="shared" si="0"/>
        <v>Sep</v>
      </c>
      <c r="M20">
        <f t="shared" si="1"/>
        <v>2025</v>
      </c>
      <c r="N20">
        <f t="shared" si="2"/>
        <v>37652.76</v>
      </c>
      <c r="O20" t="str">
        <f t="shared" si="3"/>
        <v>On Time</v>
      </c>
      <c r="Q20" s="5" t="s">
        <v>23</v>
      </c>
      <c r="R20" s="6">
        <v>39330678.44000002</v>
      </c>
      <c r="S20" s="6">
        <v>93710</v>
      </c>
    </row>
    <row r="21" spans="1:19" x14ac:dyDescent="0.25">
      <c r="A21">
        <v>20</v>
      </c>
      <c r="B21" s="2">
        <v>45766</v>
      </c>
      <c r="C21" t="s">
        <v>31</v>
      </c>
      <c r="D21" t="s">
        <v>27</v>
      </c>
      <c r="E21" t="s">
        <v>17</v>
      </c>
      <c r="F21" t="s">
        <v>21</v>
      </c>
      <c r="G21">
        <v>226</v>
      </c>
      <c r="H21">
        <v>208.85</v>
      </c>
      <c r="I21">
        <v>0</v>
      </c>
      <c r="J21" t="s">
        <v>15</v>
      </c>
      <c r="K21">
        <v>47200.1</v>
      </c>
      <c r="L21" t="str">
        <f t="shared" si="0"/>
        <v>Apr</v>
      </c>
      <c r="M21">
        <f t="shared" si="1"/>
        <v>2025</v>
      </c>
      <c r="N21">
        <f t="shared" si="2"/>
        <v>47200.1</v>
      </c>
      <c r="O21" t="str">
        <f t="shared" si="3"/>
        <v>On Time</v>
      </c>
      <c r="Q21" s="5" t="s">
        <v>20</v>
      </c>
      <c r="R21" s="6">
        <v>41283855.309999987</v>
      </c>
      <c r="S21" s="6">
        <v>93152</v>
      </c>
    </row>
    <row r="22" spans="1:19" x14ac:dyDescent="0.25">
      <c r="A22">
        <v>21</v>
      </c>
      <c r="B22" s="2">
        <v>45922</v>
      </c>
      <c r="C22" t="s">
        <v>18</v>
      </c>
      <c r="D22" t="s">
        <v>22</v>
      </c>
      <c r="E22" t="s">
        <v>27</v>
      </c>
      <c r="F22" t="s">
        <v>14</v>
      </c>
      <c r="G22">
        <v>113</v>
      </c>
      <c r="H22">
        <v>226.28</v>
      </c>
      <c r="I22">
        <v>2</v>
      </c>
      <c r="J22" t="s">
        <v>15</v>
      </c>
      <c r="K22">
        <v>25569.64</v>
      </c>
      <c r="L22" t="str">
        <f t="shared" si="0"/>
        <v>Sep</v>
      </c>
      <c r="M22">
        <f t="shared" si="1"/>
        <v>2025</v>
      </c>
      <c r="N22">
        <f t="shared" si="2"/>
        <v>25569.64</v>
      </c>
      <c r="O22" t="str">
        <f t="shared" si="3"/>
        <v>Minor Delay</v>
      </c>
      <c r="Q22" s="5" t="s">
        <v>37</v>
      </c>
      <c r="R22" s="6">
        <v>380748569.43000007</v>
      </c>
      <c r="S22" s="6">
        <v>876930</v>
      </c>
    </row>
    <row r="23" spans="1:19" x14ac:dyDescent="0.25">
      <c r="A23">
        <v>22</v>
      </c>
      <c r="B23" s="2">
        <v>45694</v>
      </c>
      <c r="C23" t="s">
        <v>25</v>
      </c>
      <c r="D23" t="s">
        <v>19</v>
      </c>
      <c r="E23" t="s">
        <v>13</v>
      </c>
      <c r="F23" t="s">
        <v>21</v>
      </c>
      <c r="G23">
        <v>65</v>
      </c>
      <c r="H23">
        <v>229.42</v>
      </c>
      <c r="I23">
        <v>48</v>
      </c>
      <c r="J23" t="s">
        <v>30</v>
      </c>
      <c r="K23">
        <v>14912.3</v>
      </c>
      <c r="L23" t="str">
        <f t="shared" si="0"/>
        <v>Feb</v>
      </c>
      <c r="M23">
        <f t="shared" si="1"/>
        <v>2025</v>
      </c>
      <c r="N23">
        <f t="shared" si="2"/>
        <v>14912.3</v>
      </c>
      <c r="O23" t="str">
        <f t="shared" si="3"/>
        <v>Moderate Delay</v>
      </c>
    </row>
    <row r="24" spans="1:19" x14ac:dyDescent="0.25">
      <c r="A24">
        <v>23</v>
      </c>
      <c r="B24" s="2">
        <v>45921</v>
      </c>
      <c r="C24" t="s">
        <v>11</v>
      </c>
      <c r="D24" t="s">
        <v>22</v>
      </c>
      <c r="E24" t="s">
        <v>12</v>
      </c>
      <c r="F24" t="s">
        <v>24</v>
      </c>
      <c r="G24">
        <v>221</v>
      </c>
      <c r="H24">
        <v>419.21</v>
      </c>
      <c r="I24">
        <v>0</v>
      </c>
      <c r="J24" t="s">
        <v>30</v>
      </c>
      <c r="K24">
        <v>92645.41</v>
      </c>
      <c r="L24" t="str">
        <f t="shared" si="0"/>
        <v>Sep</v>
      </c>
      <c r="M24">
        <f t="shared" si="1"/>
        <v>2025</v>
      </c>
      <c r="N24">
        <f t="shared" si="2"/>
        <v>92645.409999999989</v>
      </c>
      <c r="O24" t="str">
        <f t="shared" si="3"/>
        <v>On Time</v>
      </c>
    </row>
    <row r="25" spans="1:19" x14ac:dyDescent="0.25">
      <c r="A25">
        <v>24</v>
      </c>
      <c r="B25" s="2">
        <v>45900</v>
      </c>
      <c r="C25" t="s">
        <v>18</v>
      </c>
      <c r="D25" t="s">
        <v>20</v>
      </c>
      <c r="E25" t="s">
        <v>19</v>
      </c>
      <c r="F25" t="s">
        <v>14</v>
      </c>
      <c r="G25">
        <v>74</v>
      </c>
      <c r="H25">
        <v>131.72999999999999</v>
      </c>
      <c r="I25">
        <v>10</v>
      </c>
      <c r="J25" t="s">
        <v>15</v>
      </c>
      <c r="K25">
        <v>9748.02</v>
      </c>
      <c r="L25" t="str">
        <f t="shared" si="0"/>
        <v>Aug</v>
      </c>
      <c r="M25">
        <f t="shared" si="1"/>
        <v>2025</v>
      </c>
      <c r="N25">
        <f t="shared" si="2"/>
        <v>9748.0199999999986</v>
      </c>
      <c r="O25" t="str">
        <f t="shared" si="3"/>
        <v>Minor Delay</v>
      </c>
    </row>
    <row r="26" spans="1:19" x14ac:dyDescent="0.25">
      <c r="A26">
        <v>25</v>
      </c>
      <c r="B26" s="2">
        <v>45897</v>
      </c>
      <c r="C26" t="s">
        <v>25</v>
      </c>
      <c r="D26" t="s">
        <v>17</v>
      </c>
      <c r="E26" t="s">
        <v>20</v>
      </c>
      <c r="F26" t="s">
        <v>14</v>
      </c>
      <c r="G26">
        <v>222</v>
      </c>
      <c r="H26">
        <v>543.55999999999995</v>
      </c>
      <c r="I26">
        <v>14</v>
      </c>
      <c r="J26" t="s">
        <v>15</v>
      </c>
      <c r="K26">
        <v>120670.32</v>
      </c>
      <c r="L26" t="str">
        <f t="shared" si="0"/>
        <v>Aug</v>
      </c>
      <c r="M26">
        <f t="shared" si="1"/>
        <v>2025</v>
      </c>
      <c r="N26">
        <f t="shared" si="2"/>
        <v>120670.31999999999</v>
      </c>
      <c r="O26" t="str">
        <f t="shared" si="3"/>
        <v>Minor Delay</v>
      </c>
    </row>
    <row r="27" spans="1:19" x14ac:dyDescent="0.25">
      <c r="A27">
        <v>26</v>
      </c>
      <c r="B27" s="2">
        <v>45756</v>
      </c>
      <c r="C27" t="s">
        <v>11</v>
      </c>
      <c r="D27" t="s">
        <v>12</v>
      </c>
      <c r="E27" t="s">
        <v>23</v>
      </c>
      <c r="F27" t="s">
        <v>21</v>
      </c>
      <c r="G27">
        <v>164</v>
      </c>
      <c r="H27">
        <v>163.72999999999999</v>
      </c>
      <c r="I27">
        <v>12</v>
      </c>
      <c r="J27" t="s">
        <v>15</v>
      </c>
      <c r="K27">
        <v>26851.72</v>
      </c>
      <c r="L27" t="str">
        <f t="shared" si="0"/>
        <v>Apr</v>
      </c>
      <c r="M27">
        <f t="shared" si="1"/>
        <v>2025</v>
      </c>
      <c r="N27">
        <f t="shared" si="2"/>
        <v>26851.719999999998</v>
      </c>
      <c r="O27" t="str">
        <f t="shared" si="3"/>
        <v>Minor Delay</v>
      </c>
    </row>
    <row r="28" spans="1:19" x14ac:dyDescent="0.25">
      <c r="A28">
        <v>27</v>
      </c>
      <c r="B28" s="2">
        <v>45696</v>
      </c>
      <c r="C28" t="s">
        <v>18</v>
      </c>
      <c r="D28" t="s">
        <v>20</v>
      </c>
      <c r="E28" t="s">
        <v>19</v>
      </c>
      <c r="F28" t="s">
        <v>21</v>
      </c>
      <c r="G28">
        <v>75</v>
      </c>
      <c r="H28">
        <v>97.44</v>
      </c>
      <c r="I28">
        <v>67</v>
      </c>
      <c r="J28" t="s">
        <v>30</v>
      </c>
      <c r="K28">
        <v>7308</v>
      </c>
      <c r="L28" t="str">
        <f t="shared" si="0"/>
        <v>Feb</v>
      </c>
      <c r="M28">
        <f t="shared" si="1"/>
        <v>2025</v>
      </c>
      <c r="N28">
        <f t="shared" si="2"/>
        <v>7308</v>
      </c>
      <c r="O28" t="str">
        <f t="shared" si="3"/>
        <v>Major Delay</v>
      </c>
    </row>
    <row r="29" spans="1:19" x14ac:dyDescent="0.25">
      <c r="A29">
        <v>28</v>
      </c>
      <c r="B29" s="2">
        <v>45866</v>
      </c>
      <c r="C29" t="s">
        <v>18</v>
      </c>
      <c r="D29" t="s">
        <v>19</v>
      </c>
      <c r="E29" t="s">
        <v>29</v>
      </c>
      <c r="F29" t="s">
        <v>24</v>
      </c>
      <c r="G29">
        <v>104</v>
      </c>
      <c r="H29">
        <v>699.84</v>
      </c>
      <c r="I29">
        <v>19</v>
      </c>
      <c r="J29" t="s">
        <v>30</v>
      </c>
      <c r="K29">
        <v>72783.360000000001</v>
      </c>
      <c r="L29" t="str">
        <f t="shared" si="0"/>
        <v>Jul</v>
      </c>
      <c r="M29">
        <f t="shared" si="1"/>
        <v>2025</v>
      </c>
      <c r="N29">
        <f t="shared" si="2"/>
        <v>72783.360000000001</v>
      </c>
      <c r="O29" t="str">
        <f t="shared" si="3"/>
        <v>Minor Delay</v>
      </c>
    </row>
    <row r="30" spans="1:19" x14ac:dyDescent="0.25">
      <c r="A30">
        <v>29</v>
      </c>
      <c r="B30" s="2">
        <v>45659</v>
      </c>
      <c r="C30" t="s">
        <v>18</v>
      </c>
      <c r="D30" t="s">
        <v>29</v>
      </c>
      <c r="E30" t="s">
        <v>20</v>
      </c>
      <c r="F30" t="s">
        <v>24</v>
      </c>
      <c r="G30">
        <v>287</v>
      </c>
      <c r="H30">
        <v>640.21</v>
      </c>
      <c r="I30">
        <v>0</v>
      </c>
      <c r="J30" t="s">
        <v>30</v>
      </c>
      <c r="K30">
        <v>183740.27</v>
      </c>
      <c r="L30" t="str">
        <f t="shared" si="0"/>
        <v>Jan</v>
      </c>
      <c r="M30">
        <f t="shared" si="1"/>
        <v>2025</v>
      </c>
      <c r="N30">
        <f t="shared" si="2"/>
        <v>183740.27000000002</v>
      </c>
      <c r="O30" t="str">
        <f t="shared" si="3"/>
        <v>On Time</v>
      </c>
    </row>
    <row r="31" spans="1:19" x14ac:dyDescent="0.25">
      <c r="A31">
        <v>30</v>
      </c>
      <c r="B31" s="2">
        <v>45737</v>
      </c>
      <c r="C31" t="s">
        <v>11</v>
      </c>
      <c r="D31" t="s">
        <v>27</v>
      </c>
      <c r="E31" t="s">
        <v>20</v>
      </c>
      <c r="F31" t="s">
        <v>24</v>
      </c>
      <c r="G31">
        <v>105</v>
      </c>
      <c r="H31">
        <v>776.84</v>
      </c>
      <c r="I31">
        <v>27</v>
      </c>
      <c r="J31" t="s">
        <v>15</v>
      </c>
      <c r="K31">
        <v>81568.2</v>
      </c>
      <c r="L31" t="str">
        <f t="shared" si="0"/>
        <v>Mar</v>
      </c>
      <c r="M31">
        <f t="shared" si="1"/>
        <v>2025</v>
      </c>
      <c r="N31">
        <f t="shared" si="2"/>
        <v>81568.2</v>
      </c>
      <c r="O31" t="str">
        <f t="shared" si="3"/>
        <v>Minor Delay</v>
      </c>
    </row>
    <row r="32" spans="1:19" x14ac:dyDescent="0.25">
      <c r="A32">
        <v>31</v>
      </c>
      <c r="B32" s="2">
        <v>45818</v>
      </c>
      <c r="C32" t="s">
        <v>16</v>
      </c>
      <c r="D32" t="s">
        <v>27</v>
      </c>
      <c r="E32" t="s">
        <v>13</v>
      </c>
      <c r="F32" t="s">
        <v>14</v>
      </c>
      <c r="G32">
        <v>199</v>
      </c>
      <c r="H32">
        <v>412.82</v>
      </c>
      <c r="I32">
        <v>46</v>
      </c>
      <c r="J32" t="s">
        <v>15</v>
      </c>
      <c r="K32">
        <v>82151.179999999993</v>
      </c>
      <c r="L32" t="str">
        <f t="shared" si="0"/>
        <v>Jun</v>
      </c>
      <c r="M32">
        <f t="shared" si="1"/>
        <v>2025</v>
      </c>
      <c r="N32">
        <f t="shared" si="2"/>
        <v>82151.179999999993</v>
      </c>
      <c r="O32" t="str">
        <f t="shared" si="3"/>
        <v>Moderate Delay</v>
      </c>
    </row>
    <row r="33" spans="1:15" x14ac:dyDescent="0.25">
      <c r="A33">
        <v>32</v>
      </c>
      <c r="B33" s="2">
        <v>45753</v>
      </c>
      <c r="C33" t="s">
        <v>16</v>
      </c>
      <c r="D33" t="s">
        <v>27</v>
      </c>
      <c r="E33" t="s">
        <v>12</v>
      </c>
      <c r="F33" t="s">
        <v>21</v>
      </c>
      <c r="G33">
        <v>67</v>
      </c>
      <c r="H33">
        <v>559.66</v>
      </c>
      <c r="I33">
        <v>5</v>
      </c>
      <c r="J33" t="s">
        <v>15</v>
      </c>
      <c r="K33">
        <v>37497.22</v>
      </c>
      <c r="L33" t="str">
        <f t="shared" si="0"/>
        <v>Apr</v>
      </c>
      <c r="M33">
        <f t="shared" si="1"/>
        <v>2025</v>
      </c>
      <c r="N33">
        <f t="shared" si="2"/>
        <v>37497.22</v>
      </c>
      <c r="O33" t="str">
        <f t="shared" si="3"/>
        <v>Minor Delay</v>
      </c>
    </row>
    <row r="34" spans="1:15" x14ac:dyDescent="0.25">
      <c r="A34">
        <v>33</v>
      </c>
      <c r="B34" s="2">
        <v>45954</v>
      </c>
      <c r="C34" t="s">
        <v>31</v>
      </c>
      <c r="D34" t="s">
        <v>12</v>
      </c>
      <c r="E34" t="s">
        <v>23</v>
      </c>
      <c r="F34" t="s">
        <v>14</v>
      </c>
      <c r="G34">
        <v>208</v>
      </c>
      <c r="H34">
        <v>120.67</v>
      </c>
      <c r="I34">
        <v>2</v>
      </c>
      <c r="J34" t="s">
        <v>15</v>
      </c>
      <c r="K34">
        <v>25099.360000000001</v>
      </c>
      <c r="L34" t="str">
        <f t="shared" si="0"/>
        <v>Oct</v>
      </c>
      <c r="M34">
        <f t="shared" si="1"/>
        <v>2025</v>
      </c>
      <c r="N34">
        <f t="shared" si="2"/>
        <v>25099.360000000001</v>
      </c>
      <c r="O34" t="str">
        <f t="shared" si="3"/>
        <v>Minor Delay</v>
      </c>
    </row>
    <row r="35" spans="1:15" x14ac:dyDescent="0.25">
      <c r="A35">
        <v>34</v>
      </c>
      <c r="B35" s="2">
        <v>46000</v>
      </c>
      <c r="C35" t="s">
        <v>25</v>
      </c>
      <c r="D35" t="s">
        <v>23</v>
      </c>
      <c r="E35" t="s">
        <v>19</v>
      </c>
      <c r="F35" t="s">
        <v>24</v>
      </c>
      <c r="G35">
        <v>111</v>
      </c>
      <c r="H35">
        <v>256.55</v>
      </c>
      <c r="I35">
        <v>0</v>
      </c>
      <c r="J35" t="s">
        <v>15</v>
      </c>
      <c r="K35">
        <v>28477.05</v>
      </c>
      <c r="L35" t="str">
        <f t="shared" si="0"/>
        <v>Dec</v>
      </c>
      <c r="M35">
        <f t="shared" si="1"/>
        <v>2025</v>
      </c>
      <c r="N35">
        <f t="shared" si="2"/>
        <v>28477.050000000003</v>
      </c>
      <c r="O35" t="str">
        <f t="shared" si="3"/>
        <v>On Time</v>
      </c>
    </row>
    <row r="36" spans="1:15" x14ac:dyDescent="0.25">
      <c r="A36">
        <v>35</v>
      </c>
      <c r="B36" s="2">
        <v>45819</v>
      </c>
      <c r="C36" t="s">
        <v>16</v>
      </c>
      <c r="D36" t="s">
        <v>23</v>
      </c>
      <c r="E36" t="s">
        <v>27</v>
      </c>
      <c r="F36" t="s">
        <v>14</v>
      </c>
      <c r="G36">
        <v>167</v>
      </c>
      <c r="H36">
        <v>519.66</v>
      </c>
      <c r="I36">
        <v>9</v>
      </c>
      <c r="J36" t="s">
        <v>15</v>
      </c>
      <c r="K36">
        <v>86783.22</v>
      </c>
      <c r="L36" t="str">
        <f t="shared" si="0"/>
        <v>Jun</v>
      </c>
      <c r="M36">
        <f t="shared" si="1"/>
        <v>2025</v>
      </c>
      <c r="N36">
        <f t="shared" si="2"/>
        <v>86783.22</v>
      </c>
      <c r="O36" t="str">
        <f t="shared" si="3"/>
        <v>Minor Delay</v>
      </c>
    </row>
    <row r="37" spans="1:15" x14ac:dyDescent="0.25">
      <c r="A37">
        <v>36</v>
      </c>
      <c r="B37" s="2">
        <v>45725</v>
      </c>
      <c r="C37" t="s">
        <v>26</v>
      </c>
      <c r="D37" t="s">
        <v>27</v>
      </c>
      <c r="E37" t="s">
        <v>23</v>
      </c>
      <c r="F37" t="s">
        <v>14</v>
      </c>
      <c r="G37">
        <v>275</v>
      </c>
      <c r="H37">
        <v>240.77</v>
      </c>
      <c r="I37">
        <v>15</v>
      </c>
      <c r="J37" t="s">
        <v>15</v>
      </c>
      <c r="K37">
        <v>66211.75</v>
      </c>
      <c r="L37" t="str">
        <f t="shared" si="0"/>
        <v>Mar</v>
      </c>
      <c r="M37">
        <f t="shared" si="1"/>
        <v>2025</v>
      </c>
      <c r="N37">
        <f t="shared" si="2"/>
        <v>66211.75</v>
      </c>
      <c r="O37" t="str">
        <f t="shared" si="3"/>
        <v>Minor Delay</v>
      </c>
    </row>
    <row r="38" spans="1:15" x14ac:dyDescent="0.25">
      <c r="A38">
        <v>37</v>
      </c>
      <c r="B38" s="2">
        <v>45971</v>
      </c>
      <c r="C38" t="s">
        <v>25</v>
      </c>
      <c r="D38" t="s">
        <v>20</v>
      </c>
      <c r="E38" t="s">
        <v>23</v>
      </c>
      <c r="F38" t="s">
        <v>21</v>
      </c>
      <c r="G38">
        <v>52</v>
      </c>
      <c r="H38">
        <v>554.22</v>
      </c>
      <c r="I38">
        <v>0</v>
      </c>
      <c r="J38" t="s">
        <v>15</v>
      </c>
      <c r="K38">
        <v>28819.439999999999</v>
      </c>
      <c r="L38" t="str">
        <f t="shared" si="0"/>
        <v>Nov</v>
      </c>
      <c r="M38">
        <f t="shared" si="1"/>
        <v>2025</v>
      </c>
      <c r="N38">
        <f t="shared" si="2"/>
        <v>28819.440000000002</v>
      </c>
      <c r="O38" t="str">
        <f t="shared" si="3"/>
        <v>On Time</v>
      </c>
    </row>
    <row r="39" spans="1:15" x14ac:dyDescent="0.25">
      <c r="A39">
        <v>38</v>
      </c>
      <c r="B39" s="2">
        <v>45717</v>
      </c>
      <c r="C39" t="s">
        <v>16</v>
      </c>
      <c r="D39" t="s">
        <v>29</v>
      </c>
      <c r="E39" t="s">
        <v>22</v>
      </c>
      <c r="F39" t="s">
        <v>21</v>
      </c>
      <c r="G39">
        <v>191</v>
      </c>
      <c r="H39">
        <v>175.03</v>
      </c>
      <c r="I39">
        <v>0</v>
      </c>
      <c r="J39" t="s">
        <v>15</v>
      </c>
      <c r="K39">
        <v>33430.730000000003</v>
      </c>
      <c r="L39" t="str">
        <f t="shared" si="0"/>
        <v>Mar</v>
      </c>
      <c r="M39">
        <f t="shared" si="1"/>
        <v>2025</v>
      </c>
      <c r="N39">
        <f t="shared" si="2"/>
        <v>33430.730000000003</v>
      </c>
      <c r="O39" t="str">
        <f t="shared" si="3"/>
        <v>On Time</v>
      </c>
    </row>
    <row r="40" spans="1:15" x14ac:dyDescent="0.25">
      <c r="A40">
        <v>39</v>
      </c>
      <c r="B40" s="2">
        <v>45762</v>
      </c>
      <c r="C40" t="s">
        <v>25</v>
      </c>
      <c r="D40" t="s">
        <v>19</v>
      </c>
      <c r="E40" t="s">
        <v>17</v>
      </c>
      <c r="F40" t="s">
        <v>21</v>
      </c>
      <c r="G40">
        <v>268</v>
      </c>
      <c r="H40">
        <v>255.35</v>
      </c>
      <c r="I40">
        <v>0</v>
      </c>
      <c r="J40" t="s">
        <v>30</v>
      </c>
      <c r="K40">
        <v>68433.8</v>
      </c>
      <c r="L40" t="str">
        <f t="shared" si="0"/>
        <v>Apr</v>
      </c>
      <c r="M40">
        <f t="shared" si="1"/>
        <v>2025</v>
      </c>
      <c r="N40">
        <f t="shared" si="2"/>
        <v>68433.8</v>
      </c>
      <c r="O40" t="str">
        <f t="shared" si="3"/>
        <v>On Time</v>
      </c>
    </row>
    <row r="41" spans="1:15" x14ac:dyDescent="0.25">
      <c r="A41">
        <v>40</v>
      </c>
      <c r="B41" s="2">
        <v>45799</v>
      </c>
      <c r="C41" t="s">
        <v>16</v>
      </c>
      <c r="D41" t="s">
        <v>12</v>
      </c>
      <c r="E41" t="s">
        <v>20</v>
      </c>
      <c r="F41" t="s">
        <v>14</v>
      </c>
      <c r="G41">
        <v>135</v>
      </c>
      <c r="H41">
        <v>630.63</v>
      </c>
      <c r="I41">
        <v>23</v>
      </c>
      <c r="J41" t="s">
        <v>15</v>
      </c>
      <c r="K41">
        <v>85135.05</v>
      </c>
      <c r="L41" t="str">
        <f t="shared" si="0"/>
        <v>May</v>
      </c>
      <c r="M41">
        <f t="shared" si="1"/>
        <v>2025</v>
      </c>
      <c r="N41">
        <f t="shared" si="2"/>
        <v>85135.05</v>
      </c>
      <c r="O41" t="str">
        <f t="shared" si="3"/>
        <v>Minor Delay</v>
      </c>
    </row>
    <row r="42" spans="1:15" x14ac:dyDescent="0.25">
      <c r="A42">
        <v>41</v>
      </c>
      <c r="B42" s="2">
        <v>45884</v>
      </c>
      <c r="C42" t="s">
        <v>31</v>
      </c>
      <c r="D42" t="s">
        <v>23</v>
      </c>
      <c r="E42" t="s">
        <v>29</v>
      </c>
      <c r="F42" t="s">
        <v>21</v>
      </c>
      <c r="G42">
        <v>159</v>
      </c>
      <c r="H42">
        <v>475.07</v>
      </c>
      <c r="I42">
        <v>65</v>
      </c>
      <c r="J42" t="s">
        <v>15</v>
      </c>
      <c r="K42">
        <v>75536.13</v>
      </c>
      <c r="L42" t="str">
        <f t="shared" si="0"/>
        <v>Aug</v>
      </c>
      <c r="M42">
        <f t="shared" si="1"/>
        <v>2025</v>
      </c>
      <c r="N42">
        <f t="shared" si="2"/>
        <v>75536.13</v>
      </c>
      <c r="O42" t="str">
        <f t="shared" si="3"/>
        <v>Major Delay</v>
      </c>
    </row>
    <row r="43" spans="1:15" x14ac:dyDescent="0.25">
      <c r="A43">
        <v>42</v>
      </c>
      <c r="B43" s="2">
        <v>45847</v>
      </c>
      <c r="C43" t="s">
        <v>31</v>
      </c>
      <c r="D43" t="s">
        <v>29</v>
      </c>
      <c r="E43" t="s">
        <v>13</v>
      </c>
      <c r="F43" t="s">
        <v>21</v>
      </c>
      <c r="G43">
        <v>87</v>
      </c>
      <c r="H43">
        <v>378.04</v>
      </c>
      <c r="I43">
        <v>58</v>
      </c>
      <c r="J43" t="s">
        <v>15</v>
      </c>
      <c r="K43">
        <v>32889.480000000003</v>
      </c>
      <c r="L43" t="str">
        <f t="shared" si="0"/>
        <v>Jul</v>
      </c>
      <c r="M43">
        <f t="shared" si="1"/>
        <v>2025</v>
      </c>
      <c r="N43">
        <f t="shared" si="2"/>
        <v>32889.480000000003</v>
      </c>
      <c r="O43" t="str">
        <f t="shared" si="3"/>
        <v>Moderate Delay</v>
      </c>
    </row>
    <row r="44" spans="1:15" x14ac:dyDescent="0.25">
      <c r="A44">
        <v>43</v>
      </c>
      <c r="B44" s="2">
        <v>45841</v>
      </c>
      <c r="C44" t="s">
        <v>11</v>
      </c>
      <c r="D44" t="s">
        <v>22</v>
      </c>
      <c r="E44" t="s">
        <v>13</v>
      </c>
      <c r="F44" t="s">
        <v>21</v>
      </c>
      <c r="G44">
        <v>113</v>
      </c>
      <c r="H44">
        <v>553.53</v>
      </c>
      <c r="I44">
        <v>0</v>
      </c>
      <c r="J44" t="s">
        <v>30</v>
      </c>
      <c r="K44">
        <v>62548.89</v>
      </c>
      <c r="L44" t="str">
        <f t="shared" si="0"/>
        <v>Jul</v>
      </c>
      <c r="M44">
        <f t="shared" si="1"/>
        <v>2025</v>
      </c>
      <c r="N44">
        <f t="shared" si="2"/>
        <v>62548.89</v>
      </c>
      <c r="O44" t="str">
        <f t="shared" si="3"/>
        <v>On Time</v>
      </c>
    </row>
    <row r="45" spans="1:15" x14ac:dyDescent="0.25">
      <c r="A45">
        <v>44</v>
      </c>
      <c r="B45" s="2">
        <v>45741</v>
      </c>
      <c r="C45" t="s">
        <v>11</v>
      </c>
      <c r="D45" t="s">
        <v>29</v>
      </c>
      <c r="E45" t="s">
        <v>23</v>
      </c>
      <c r="F45" t="s">
        <v>24</v>
      </c>
      <c r="G45">
        <v>56</v>
      </c>
      <c r="H45">
        <v>192.73</v>
      </c>
      <c r="I45">
        <v>45</v>
      </c>
      <c r="J45" t="s">
        <v>30</v>
      </c>
      <c r="K45">
        <v>10792.88</v>
      </c>
      <c r="L45" t="str">
        <f t="shared" si="0"/>
        <v>Mar</v>
      </c>
      <c r="M45">
        <f t="shared" si="1"/>
        <v>2025</v>
      </c>
      <c r="N45">
        <f t="shared" si="2"/>
        <v>10792.88</v>
      </c>
      <c r="O45" t="str">
        <f t="shared" si="3"/>
        <v>Moderate Delay</v>
      </c>
    </row>
    <row r="46" spans="1:15" x14ac:dyDescent="0.25">
      <c r="A46">
        <v>45</v>
      </c>
      <c r="B46" s="2">
        <v>45794</v>
      </c>
      <c r="C46" t="s">
        <v>11</v>
      </c>
      <c r="D46" t="s">
        <v>17</v>
      </c>
      <c r="E46" t="s">
        <v>19</v>
      </c>
      <c r="F46" t="s">
        <v>21</v>
      </c>
      <c r="G46">
        <v>77</v>
      </c>
      <c r="H46">
        <v>343.08</v>
      </c>
      <c r="I46">
        <v>47</v>
      </c>
      <c r="J46" t="s">
        <v>15</v>
      </c>
      <c r="K46">
        <v>26417.16</v>
      </c>
      <c r="L46" t="str">
        <f t="shared" si="0"/>
        <v>May</v>
      </c>
      <c r="M46">
        <f t="shared" si="1"/>
        <v>2025</v>
      </c>
      <c r="N46">
        <f t="shared" si="2"/>
        <v>26417.16</v>
      </c>
      <c r="O46" t="str">
        <f t="shared" si="3"/>
        <v>Moderate Delay</v>
      </c>
    </row>
    <row r="47" spans="1:15" x14ac:dyDescent="0.25">
      <c r="A47">
        <v>46</v>
      </c>
      <c r="B47" s="2">
        <v>45814</v>
      </c>
      <c r="C47" t="s">
        <v>11</v>
      </c>
      <c r="D47" t="s">
        <v>20</v>
      </c>
      <c r="E47" t="s">
        <v>22</v>
      </c>
      <c r="F47" t="s">
        <v>14</v>
      </c>
      <c r="G47">
        <v>56</v>
      </c>
      <c r="H47">
        <v>548.41999999999996</v>
      </c>
      <c r="I47">
        <v>26</v>
      </c>
      <c r="J47" t="s">
        <v>15</v>
      </c>
      <c r="K47">
        <v>30711.52</v>
      </c>
      <c r="L47" t="str">
        <f t="shared" si="0"/>
        <v>Jun</v>
      </c>
      <c r="M47">
        <f t="shared" si="1"/>
        <v>2025</v>
      </c>
      <c r="N47">
        <f t="shared" si="2"/>
        <v>30711.519999999997</v>
      </c>
      <c r="O47" t="str">
        <f t="shared" si="3"/>
        <v>Minor Delay</v>
      </c>
    </row>
    <row r="48" spans="1:15" x14ac:dyDescent="0.25">
      <c r="A48">
        <v>47</v>
      </c>
      <c r="B48" s="2">
        <v>45800</v>
      </c>
      <c r="C48" t="s">
        <v>26</v>
      </c>
      <c r="D48" t="s">
        <v>23</v>
      </c>
      <c r="E48" t="s">
        <v>12</v>
      </c>
      <c r="F48" t="s">
        <v>21</v>
      </c>
      <c r="G48">
        <v>180</v>
      </c>
      <c r="H48">
        <v>355.76</v>
      </c>
      <c r="I48">
        <v>50</v>
      </c>
      <c r="J48" t="s">
        <v>30</v>
      </c>
      <c r="K48">
        <v>64036.800000000003</v>
      </c>
      <c r="L48" t="str">
        <f t="shared" si="0"/>
        <v>May</v>
      </c>
      <c r="M48">
        <f t="shared" si="1"/>
        <v>2025</v>
      </c>
      <c r="N48">
        <f t="shared" si="2"/>
        <v>64036.799999999996</v>
      </c>
      <c r="O48" t="str">
        <f t="shared" si="3"/>
        <v>Moderate Delay</v>
      </c>
    </row>
    <row r="49" spans="1:15" x14ac:dyDescent="0.25">
      <c r="A49">
        <v>48</v>
      </c>
      <c r="B49" s="2">
        <v>45749</v>
      </c>
      <c r="C49" t="s">
        <v>31</v>
      </c>
      <c r="D49" t="s">
        <v>12</v>
      </c>
      <c r="E49" t="s">
        <v>22</v>
      </c>
      <c r="F49" t="s">
        <v>24</v>
      </c>
      <c r="G49">
        <v>59</v>
      </c>
      <c r="H49">
        <v>140.22</v>
      </c>
      <c r="I49">
        <v>16</v>
      </c>
      <c r="J49" t="s">
        <v>15</v>
      </c>
      <c r="K49">
        <v>8272.98</v>
      </c>
      <c r="L49" t="str">
        <f t="shared" si="0"/>
        <v>Apr</v>
      </c>
      <c r="M49">
        <f t="shared" si="1"/>
        <v>2025</v>
      </c>
      <c r="N49">
        <f t="shared" si="2"/>
        <v>8272.98</v>
      </c>
      <c r="O49" t="str">
        <f t="shared" si="3"/>
        <v>Minor Delay</v>
      </c>
    </row>
    <row r="50" spans="1:15" x14ac:dyDescent="0.25">
      <c r="A50">
        <v>49</v>
      </c>
      <c r="B50" s="2">
        <v>45968</v>
      </c>
      <c r="C50" t="s">
        <v>31</v>
      </c>
      <c r="D50" t="s">
        <v>22</v>
      </c>
      <c r="E50" t="s">
        <v>20</v>
      </c>
      <c r="F50" t="s">
        <v>14</v>
      </c>
      <c r="G50">
        <v>148</v>
      </c>
      <c r="H50">
        <v>725.63</v>
      </c>
      <c r="I50">
        <v>22</v>
      </c>
      <c r="J50" t="s">
        <v>15</v>
      </c>
      <c r="K50">
        <v>107393.24</v>
      </c>
      <c r="L50" t="str">
        <f t="shared" si="0"/>
        <v>Nov</v>
      </c>
      <c r="M50">
        <f t="shared" si="1"/>
        <v>2025</v>
      </c>
      <c r="N50">
        <f t="shared" si="2"/>
        <v>107393.24</v>
      </c>
      <c r="O50" t="str">
        <f t="shared" si="3"/>
        <v>Minor Delay</v>
      </c>
    </row>
    <row r="51" spans="1:15" x14ac:dyDescent="0.25">
      <c r="A51">
        <v>50</v>
      </c>
      <c r="B51" s="2">
        <v>45844</v>
      </c>
      <c r="C51" t="s">
        <v>18</v>
      </c>
      <c r="D51" t="s">
        <v>27</v>
      </c>
      <c r="E51" t="s">
        <v>19</v>
      </c>
      <c r="F51" t="s">
        <v>14</v>
      </c>
      <c r="G51">
        <v>292</v>
      </c>
      <c r="H51">
        <v>551.54</v>
      </c>
      <c r="I51">
        <v>27</v>
      </c>
      <c r="J51" t="s">
        <v>15</v>
      </c>
      <c r="K51">
        <v>161049.68</v>
      </c>
      <c r="L51" t="str">
        <f t="shared" si="0"/>
        <v>Jul</v>
      </c>
      <c r="M51">
        <f t="shared" si="1"/>
        <v>2025</v>
      </c>
      <c r="N51">
        <f t="shared" si="2"/>
        <v>161049.68</v>
      </c>
      <c r="O51" t="str">
        <f t="shared" si="3"/>
        <v>Minor Delay</v>
      </c>
    </row>
    <row r="52" spans="1:15" x14ac:dyDescent="0.25">
      <c r="A52">
        <v>51</v>
      </c>
      <c r="B52" s="2">
        <v>45811</v>
      </c>
      <c r="C52" t="s">
        <v>31</v>
      </c>
      <c r="D52" t="s">
        <v>22</v>
      </c>
      <c r="E52" t="s">
        <v>12</v>
      </c>
      <c r="F52" t="s">
        <v>24</v>
      </c>
      <c r="G52">
        <v>220</v>
      </c>
      <c r="H52">
        <v>362.21</v>
      </c>
      <c r="I52">
        <v>2</v>
      </c>
      <c r="J52" t="s">
        <v>15</v>
      </c>
      <c r="K52">
        <v>79686.2</v>
      </c>
      <c r="L52" t="str">
        <f t="shared" si="0"/>
        <v>Jun</v>
      </c>
      <c r="M52">
        <f t="shared" si="1"/>
        <v>2025</v>
      </c>
      <c r="N52">
        <f t="shared" si="2"/>
        <v>79686.2</v>
      </c>
      <c r="O52" t="str">
        <f t="shared" si="3"/>
        <v>Minor Delay</v>
      </c>
    </row>
    <row r="53" spans="1:15" x14ac:dyDescent="0.25">
      <c r="A53">
        <v>52</v>
      </c>
      <c r="B53" s="2">
        <v>46004</v>
      </c>
      <c r="C53" t="s">
        <v>25</v>
      </c>
      <c r="D53" t="s">
        <v>17</v>
      </c>
      <c r="E53" t="s">
        <v>20</v>
      </c>
      <c r="F53" t="s">
        <v>14</v>
      </c>
      <c r="G53">
        <v>207</v>
      </c>
      <c r="H53">
        <v>481.14</v>
      </c>
      <c r="I53">
        <v>32</v>
      </c>
      <c r="J53" t="s">
        <v>15</v>
      </c>
      <c r="K53">
        <v>99595.98</v>
      </c>
      <c r="L53" t="str">
        <f t="shared" si="0"/>
        <v>Dec</v>
      </c>
      <c r="M53">
        <f t="shared" si="1"/>
        <v>2025</v>
      </c>
      <c r="N53">
        <f t="shared" si="2"/>
        <v>99595.98</v>
      </c>
      <c r="O53" t="str">
        <f t="shared" si="3"/>
        <v>Moderate Delay</v>
      </c>
    </row>
    <row r="54" spans="1:15" x14ac:dyDescent="0.25">
      <c r="A54">
        <v>53</v>
      </c>
      <c r="B54" s="2">
        <v>45804</v>
      </c>
      <c r="C54" t="s">
        <v>11</v>
      </c>
      <c r="D54" t="s">
        <v>13</v>
      </c>
      <c r="E54" t="s">
        <v>22</v>
      </c>
      <c r="F54" t="s">
        <v>24</v>
      </c>
      <c r="G54">
        <v>251</v>
      </c>
      <c r="H54">
        <v>489.19</v>
      </c>
      <c r="I54">
        <v>4</v>
      </c>
      <c r="J54" t="s">
        <v>15</v>
      </c>
      <c r="K54">
        <v>122786.69</v>
      </c>
      <c r="L54" t="str">
        <f t="shared" si="0"/>
        <v>May</v>
      </c>
      <c r="M54">
        <f t="shared" si="1"/>
        <v>2025</v>
      </c>
      <c r="N54">
        <f t="shared" si="2"/>
        <v>122786.69</v>
      </c>
      <c r="O54" t="str">
        <f t="shared" si="3"/>
        <v>Minor Delay</v>
      </c>
    </row>
    <row r="55" spans="1:15" x14ac:dyDescent="0.25">
      <c r="A55">
        <v>54</v>
      </c>
      <c r="B55" s="2">
        <v>45744</v>
      </c>
      <c r="C55" t="s">
        <v>25</v>
      </c>
      <c r="D55" t="s">
        <v>19</v>
      </c>
      <c r="E55" t="s">
        <v>27</v>
      </c>
      <c r="F55" t="s">
        <v>14</v>
      </c>
      <c r="G55">
        <v>122</v>
      </c>
      <c r="H55">
        <v>441.43</v>
      </c>
      <c r="I55">
        <v>0</v>
      </c>
      <c r="J55" t="s">
        <v>15</v>
      </c>
      <c r="K55">
        <v>53854.46</v>
      </c>
      <c r="L55" t="str">
        <f t="shared" si="0"/>
        <v>Mar</v>
      </c>
      <c r="M55">
        <f t="shared" si="1"/>
        <v>2025</v>
      </c>
      <c r="N55">
        <f t="shared" si="2"/>
        <v>53854.46</v>
      </c>
      <c r="O55" t="str">
        <f t="shared" si="3"/>
        <v>On Time</v>
      </c>
    </row>
    <row r="56" spans="1:15" x14ac:dyDescent="0.25">
      <c r="A56">
        <v>55</v>
      </c>
      <c r="B56" s="2">
        <v>45778</v>
      </c>
      <c r="C56" t="s">
        <v>25</v>
      </c>
      <c r="D56" t="s">
        <v>22</v>
      </c>
      <c r="E56" t="s">
        <v>12</v>
      </c>
      <c r="F56" t="s">
        <v>24</v>
      </c>
      <c r="G56">
        <v>107</v>
      </c>
      <c r="H56">
        <v>656.86</v>
      </c>
      <c r="I56">
        <v>24</v>
      </c>
      <c r="J56" t="s">
        <v>28</v>
      </c>
      <c r="K56">
        <v>70284.02</v>
      </c>
      <c r="L56" t="str">
        <f t="shared" si="0"/>
        <v>May</v>
      </c>
      <c r="M56">
        <f t="shared" si="1"/>
        <v>2025</v>
      </c>
      <c r="N56">
        <f t="shared" si="2"/>
        <v>70284.02</v>
      </c>
      <c r="O56" t="str">
        <f t="shared" si="3"/>
        <v>Minor Delay</v>
      </c>
    </row>
    <row r="57" spans="1:15" x14ac:dyDescent="0.25">
      <c r="A57">
        <v>56</v>
      </c>
      <c r="B57" s="2">
        <v>45870</v>
      </c>
      <c r="C57" t="s">
        <v>25</v>
      </c>
      <c r="D57" t="s">
        <v>12</v>
      </c>
      <c r="E57" t="s">
        <v>27</v>
      </c>
      <c r="F57" t="s">
        <v>21</v>
      </c>
      <c r="G57">
        <v>99</v>
      </c>
      <c r="H57">
        <v>591.58000000000004</v>
      </c>
      <c r="I57">
        <v>26</v>
      </c>
      <c r="J57" t="s">
        <v>15</v>
      </c>
      <c r="K57">
        <v>58566.42</v>
      </c>
      <c r="L57" t="str">
        <f t="shared" si="0"/>
        <v>Aug</v>
      </c>
      <c r="M57">
        <f t="shared" si="1"/>
        <v>2025</v>
      </c>
      <c r="N57">
        <f t="shared" si="2"/>
        <v>58566.420000000006</v>
      </c>
      <c r="O57" t="str">
        <f t="shared" si="3"/>
        <v>Minor Delay</v>
      </c>
    </row>
    <row r="58" spans="1:15" x14ac:dyDescent="0.25">
      <c r="A58">
        <v>57</v>
      </c>
      <c r="B58" s="2">
        <v>45733</v>
      </c>
      <c r="C58" t="s">
        <v>25</v>
      </c>
      <c r="D58" t="s">
        <v>17</v>
      </c>
      <c r="E58" t="s">
        <v>19</v>
      </c>
      <c r="F58" t="s">
        <v>21</v>
      </c>
      <c r="G58">
        <v>51</v>
      </c>
      <c r="H58">
        <v>720.57</v>
      </c>
      <c r="I58">
        <v>53</v>
      </c>
      <c r="J58" t="s">
        <v>15</v>
      </c>
      <c r="K58">
        <v>36749.07</v>
      </c>
      <c r="L58" t="str">
        <f t="shared" si="0"/>
        <v>Mar</v>
      </c>
      <c r="M58">
        <f t="shared" si="1"/>
        <v>2025</v>
      </c>
      <c r="N58">
        <f t="shared" si="2"/>
        <v>36749.07</v>
      </c>
      <c r="O58" t="str">
        <f t="shared" si="3"/>
        <v>Moderate Delay</v>
      </c>
    </row>
    <row r="59" spans="1:15" x14ac:dyDescent="0.25">
      <c r="A59">
        <v>58</v>
      </c>
      <c r="B59" s="2">
        <v>46014</v>
      </c>
      <c r="C59" t="s">
        <v>31</v>
      </c>
      <c r="D59" t="s">
        <v>19</v>
      </c>
      <c r="E59" t="s">
        <v>29</v>
      </c>
      <c r="F59" t="s">
        <v>24</v>
      </c>
      <c r="G59">
        <v>62</v>
      </c>
      <c r="H59">
        <v>472.48</v>
      </c>
      <c r="I59">
        <v>0</v>
      </c>
      <c r="J59" t="s">
        <v>30</v>
      </c>
      <c r="K59">
        <v>29293.759999999998</v>
      </c>
      <c r="L59" t="str">
        <f t="shared" si="0"/>
        <v>Dec</v>
      </c>
      <c r="M59">
        <f t="shared" si="1"/>
        <v>2025</v>
      </c>
      <c r="N59">
        <f t="shared" si="2"/>
        <v>29293.760000000002</v>
      </c>
      <c r="O59" t="str">
        <f t="shared" si="3"/>
        <v>On Time</v>
      </c>
    </row>
    <row r="60" spans="1:15" x14ac:dyDescent="0.25">
      <c r="A60">
        <v>59</v>
      </c>
      <c r="B60" s="2">
        <v>45726</v>
      </c>
      <c r="C60" t="s">
        <v>18</v>
      </c>
      <c r="D60" t="s">
        <v>12</v>
      </c>
      <c r="E60" t="s">
        <v>27</v>
      </c>
      <c r="F60" t="s">
        <v>21</v>
      </c>
      <c r="G60">
        <v>185</v>
      </c>
      <c r="H60">
        <v>791.04</v>
      </c>
      <c r="I60">
        <v>0</v>
      </c>
      <c r="J60" t="s">
        <v>30</v>
      </c>
      <c r="K60">
        <v>146342.39999999999</v>
      </c>
      <c r="L60" t="str">
        <f t="shared" si="0"/>
        <v>Mar</v>
      </c>
      <c r="M60">
        <f t="shared" si="1"/>
        <v>2025</v>
      </c>
      <c r="N60">
        <f t="shared" si="2"/>
        <v>146342.39999999999</v>
      </c>
      <c r="O60" t="str">
        <f t="shared" si="3"/>
        <v>On Time</v>
      </c>
    </row>
    <row r="61" spans="1:15" x14ac:dyDescent="0.25">
      <c r="A61">
        <v>60</v>
      </c>
      <c r="B61" s="2">
        <v>45938</v>
      </c>
      <c r="C61" t="s">
        <v>18</v>
      </c>
      <c r="D61" t="s">
        <v>27</v>
      </c>
      <c r="E61" t="s">
        <v>17</v>
      </c>
      <c r="F61" t="s">
        <v>14</v>
      </c>
      <c r="G61">
        <v>240</v>
      </c>
      <c r="H61">
        <v>697.51</v>
      </c>
      <c r="I61">
        <v>0</v>
      </c>
      <c r="J61" t="s">
        <v>15</v>
      </c>
      <c r="K61">
        <v>167402.4</v>
      </c>
      <c r="L61" t="str">
        <f t="shared" si="0"/>
        <v>Oct</v>
      </c>
      <c r="M61">
        <f t="shared" si="1"/>
        <v>2025</v>
      </c>
      <c r="N61">
        <f t="shared" si="2"/>
        <v>167402.4</v>
      </c>
      <c r="O61" t="str">
        <f t="shared" si="3"/>
        <v>On Time</v>
      </c>
    </row>
    <row r="62" spans="1:15" x14ac:dyDescent="0.25">
      <c r="A62">
        <v>61</v>
      </c>
      <c r="B62" s="2">
        <v>45924</v>
      </c>
      <c r="C62" t="s">
        <v>18</v>
      </c>
      <c r="D62" t="s">
        <v>19</v>
      </c>
      <c r="E62" t="s">
        <v>22</v>
      </c>
      <c r="F62" t="s">
        <v>21</v>
      </c>
      <c r="G62">
        <v>111</v>
      </c>
      <c r="H62">
        <v>263.2</v>
      </c>
      <c r="I62">
        <v>38</v>
      </c>
      <c r="J62" t="s">
        <v>15</v>
      </c>
      <c r="K62">
        <v>29215.200000000001</v>
      </c>
      <c r="L62" t="str">
        <f t="shared" si="0"/>
        <v>Sep</v>
      </c>
      <c r="M62">
        <f t="shared" si="1"/>
        <v>2025</v>
      </c>
      <c r="N62">
        <f t="shared" si="2"/>
        <v>29215.199999999997</v>
      </c>
      <c r="O62" t="str">
        <f t="shared" si="3"/>
        <v>Moderate Delay</v>
      </c>
    </row>
    <row r="63" spans="1:15" x14ac:dyDescent="0.25">
      <c r="A63">
        <v>62</v>
      </c>
      <c r="B63" s="2">
        <v>45728</v>
      </c>
      <c r="C63" t="s">
        <v>11</v>
      </c>
      <c r="D63" t="s">
        <v>22</v>
      </c>
      <c r="E63" t="s">
        <v>12</v>
      </c>
      <c r="F63" t="s">
        <v>14</v>
      </c>
      <c r="G63">
        <v>148</v>
      </c>
      <c r="H63">
        <v>573.52</v>
      </c>
      <c r="I63">
        <v>29</v>
      </c>
      <c r="J63" t="s">
        <v>15</v>
      </c>
      <c r="K63">
        <v>84880.960000000006</v>
      </c>
      <c r="L63" t="str">
        <f t="shared" si="0"/>
        <v>Mar</v>
      </c>
      <c r="M63">
        <f t="shared" si="1"/>
        <v>2025</v>
      </c>
      <c r="N63">
        <f t="shared" si="2"/>
        <v>84880.959999999992</v>
      </c>
      <c r="O63" t="str">
        <f t="shared" si="3"/>
        <v>Minor Delay</v>
      </c>
    </row>
    <row r="64" spans="1:15" x14ac:dyDescent="0.25">
      <c r="A64">
        <v>63</v>
      </c>
      <c r="B64" s="2">
        <v>45866</v>
      </c>
      <c r="C64" t="s">
        <v>26</v>
      </c>
      <c r="D64" t="s">
        <v>12</v>
      </c>
      <c r="E64" t="s">
        <v>20</v>
      </c>
      <c r="F64" t="s">
        <v>21</v>
      </c>
      <c r="G64">
        <v>169</v>
      </c>
      <c r="H64">
        <v>367.67</v>
      </c>
      <c r="I64">
        <v>26</v>
      </c>
      <c r="J64" t="s">
        <v>30</v>
      </c>
      <c r="K64">
        <v>62136.23</v>
      </c>
      <c r="L64" t="str">
        <f t="shared" si="0"/>
        <v>Jul</v>
      </c>
      <c r="M64">
        <f t="shared" si="1"/>
        <v>2025</v>
      </c>
      <c r="N64">
        <f t="shared" si="2"/>
        <v>62136.23</v>
      </c>
      <c r="O64" t="str">
        <f t="shared" si="3"/>
        <v>Minor Delay</v>
      </c>
    </row>
    <row r="65" spans="1:15" x14ac:dyDescent="0.25">
      <c r="A65">
        <v>64</v>
      </c>
      <c r="B65" s="2">
        <v>45902</v>
      </c>
      <c r="C65" t="s">
        <v>16</v>
      </c>
      <c r="D65" t="s">
        <v>13</v>
      </c>
      <c r="E65" t="s">
        <v>20</v>
      </c>
      <c r="F65" t="s">
        <v>24</v>
      </c>
      <c r="G65">
        <v>126</v>
      </c>
      <c r="H65">
        <v>617.57000000000005</v>
      </c>
      <c r="I65">
        <v>45</v>
      </c>
      <c r="J65" t="s">
        <v>30</v>
      </c>
      <c r="K65">
        <v>77813.820000000007</v>
      </c>
      <c r="L65" t="str">
        <f t="shared" si="0"/>
        <v>Sep</v>
      </c>
      <c r="M65">
        <f t="shared" si="1"/>
        <v>2025</v>
      </c>
      <c r="N65">
        <f t="shared" si="2"/>
        <v>77813.820000000007</v>
      </c>
      <c r="O65" t="str">
        <f t="shared" si="3"/>
        <v>Moderate Delay</v>
      </c>
    </row>
    <row r="66" spans="1:15" x14ac:dyDescent="0.25">
      <c r="A66">
        <v>65</v>
      </c>
      <c r="B66" s="2">
        <v>45907</v>
      </c>
      <c r="C66" t="s">
        <v>11</v>
      </c>
      <c r="D66" t="s">
        <v>17</v>
      </c>
      <c r="E66" t="s">
        <v>19</v>
      </c>
      <c r="F66" t="s">
        <v>24</v>
      </c>
      <c r="G66">
        <v>161</v>
      </c>
      <c r="H66">
        <v>419.38</v>
      </c>
      <c r="I66">
        <v>0</v>
      </c>
      <c r="J66" t="s">
        <v>15</v>
      </c>
      <c r="K66">
        <v>67520.179999999993</v>
      </c>
      <c r="L66" t="str">
        <f t="shared" si="0"/>
        <v>Sep</v>
      </c>
      <c r="M66">
        <f t="shared" si="1"/>
        <v>2025</v>
      </c>
      <c r="N66">
        <f t="shared" si="2"/>
        <v>67520.179999999993</v>
      </c>
      <c r="O66" t="str">
        <f t="shared" si="3"/>
        <v>On Time</v>
      </c>
    </row>
    <row r="67" spans="1:15" x14ac:dyDescent="0.25">
      <c r="A67">
        <v>66</v>
      </c>
      <c r="B67" s="2">
        <v>45723</v>
      </c>
      <c r="C67" t="s">
        <v>31</v>
      </c>
      <c r="D67" t="s">
        <v>29</v>
      </c>
      <c r="E67" t="s">
        <v>27</v>
      </c>
      <c r="F67" t="s">
        <v>21</v>
      </c>
      <c r="G67">
        <v>56</v>
      </c>
      <c r="H67">
        <v>731.13</v>
      </c>
      <c r="I67">
        <v>43</v>
      </c>
      <c r="J67" t="s">
        <v>15</v>
      </c>
      <c r="K67">
        <v>40943.279999999999</v>
      </c>
      <c r="L67" t="str">
        <f t="shared" ref="L67:L130" si="4">TEXT(B67,"MMM")</f>
        <v>Mar</v>
      </c>
      <c r="M67">
        <f t="shared" ref="M67:M130" si="5">YEAR(B67)</f>
        <v>2025</v>
      </c>
      <c r="N67">
        <f t="shared" ref="N67:N130" si="6">G67*H67</f>
        <v>40943.279999999999</v>
      </c>
      <c r="O67" t="str">
        <f t="shared" ref="O67:O130" si="7">IF(I67=0,"On Time",IF(I67&lt;=30,"Minor Delay",IF(I67&lt;=60,"Moderate Delay","Major Delay")))</f>
        <v>Moderate Delay</v>
      </c>
    </row>
    <row r="68" spans="1:15" x14ac:dyDescent="0.25">
      <c r="A68">
        <v>67</v>
      </c>
      <c r="B68" s="2">
        <v>45987</v>
      </c>
      <c r="C68" t="s">
        <v>18</v>
      </c>
      <c r="D68" t="s">
        <v>13</v>
      </c>
      <c r="E68" t="s">
        <v>29</v>
      </c>
      <c r="F68" t="s">
        <v>14</v>
      </c>
      <c r="G68">
        <v>271</v>
      </c>
      <c r="H68">
        <v>401.66</v>
      </c>
      <c r="I68">
        <v>43</v>
      </c>
      <c r="J68" t="s">
        <v>15</v>
      </c>
      <c r="K68">
        <v>108849.86</v>
      </c>
      <c r="L68" t="str">
        <f t="shared" si="4"/>
        <v>Nov</v>
      </c>
      <c r="M68">
        <f t="shared" si="5"/>
        <v>2025</v>
      </c>
      <c r="N68">
        <f t="shared" si="6"/>
        <v>108849.86</v>
      </c>
      <c r="O68" t="str">
        <f t="shared" si="7"/>
        <v>Moderate Delay</v>
      </c>
    </row>
    <row r="69" spans="1:15" x14ac:dyDescent="0.25">
      <c r="A69">
        <v>68</v>
      </c>
      <c r="B69" s="2">
        <v>45852</v>
      </c>
      <c r="C69" t="s">
        <v>26</v>
      </c>
      <c r="D69" t="s">
        <v>22</v>
      </c>
      <c r="E69" t="s">
        <v>17</v>
      </c>
      <c r="F69" t="s">
        <v>24</v>
      </c>
      <c r="G69">
        <v>114</v>
      </c>
      <c r="H69">
        <v>677.83</v>
      </c>
      <c r="I69">
        <v>27</v>
      </c>
      <c r="J69" t="s">
        <v>15</v>
      </c>
      <c r="K69">
        <v>77272.62</v>
      </c>
      <c r="L69" t="str">
        <f t="shared" si="4"/>
        <v>Jul</v>
      </c>
      <c r="M69">
        <f t="shared" si="5"/>
        <v>2025</v>
      </c>
      <c r="N69">
        <f t="shared" si="6"/>
        <v>77272.62000000001</v>
      </c>
      <c r="O69" t="str">
        <f t="shared" si="7"/>
        <v>Minor Delay</v>
      </c>
    </row>
    <row r="70" spans="1:15" x14ac:dyDescent="0.25">
      <c r="A70">
        <v>69</v>
      </c>
      <c r="B70" s="2">
        <v>45837</v>
      </c>
      <c r="C70" t="s">
        <v>11</v>
      </c>
      <c r="D70" t="s">
        <v>27</v>
      </c>
      <c r="E70" t="s">
        <v>13</v>
      </c>
      <c r="F70" t="s">
        <v>21</v>
      </c>
      <c r="G70">
        <v>67</v>
      </c>
      <c r="H70">
        <v>638.11</v>
      </c>
      <c r="I70">
        <v>0</v>
      </c>
      <c r="J70" t="s">
        <v>30</v>
      </c>
      <c r="K70">
        <v>42753.37</v>
      </c>
      <c r="L70" t="str">
        <f t="shared" si="4"/>
        <v>Jun</v>
      </c>
      <c r="M70">
        <f t="shared" si="5"/>
        <v>2025</v>
      </c>
      <c r="N70">
        <f t="shared" si="6"/>
        <v>42753.37</v>
      </c>
      <c r="O70" t="str">
        <f t="shared" si="7"/>
        <v>On Time</v>
      </c>
    </row>
    <row r="71" spans="1:15" x14ac:dyDescent="0.25">
      <c r="A71">
        <v>70</v>
      </c>
      <c r="B71" s="2">
        <v>45976</v>
      </c>
      <c r="C71" t="s">
        <v>11</v>
      </c>
      <c r="D71" t="s">
        <v>19</v>
      </c>
      <c r="E71" t="s">
        <v>13</v>
      </c>
      <c r="F71" t="s">
        <v>14</v>
      </c>
      <c r="G71">
        <v>82</v>
      </c>
      <c r="H71">
        <v>410.44</v>
      </c>
      <c r="I71">
        <v>0</v>
      </c>
      <c r="J71" t="s">
        <v>15</v>
      </c>
      <c r="K71">
        <v>33656.080000000002</v>
      </c>
      <c r="L71" t="str">
        <f t="shared" si="4"/>
        <v>Nov</v>
      </c>
      <c r="M71">
        <f t="shared" si="5"/>
        <v>2025</v>
      </c>
      <c r="N71">
        <f t="shared" si="6"/>
        <v>33656.080000000002</v>
      </c>
      <c r="O71" t="str">
        <f t="shared" si="7"/>
        <v>On Time</v>
      </c>
    </row>
    <row r="72" spans="1:15" x14ac:dyDescent="0.25">
      <c r="A72">
        <v>71</v>
      </c>
      <c r="B72" s="2">
        <v>46016</v>
      </c>
      <c r="C72" t="s">
        <v>26</v>
      </c>
      <c r="D72" t="s">
        <v>19</v>
      </c>
      <c r="E72" t="s">
        <v>27</v>
      </c>
      <c r="F72" t="s">
        <v>24</v>
      </c>
      <c r="G72">
        <v>92</v>
      </c>
      <c r="H72">
        <v>508.36</v>
      </c>
      <c r="I72">
        <v>58</v>
      </c>
      <c r="J72" t="s">
        <v>15</v>
      </c>
      <c r="K72">
        <v>46769.120000000003</v>
      </c>
      <c r="L72" t="str">
        <f t="shared" si="4"/>
        <v>Dec</v>
      </c>
      <c r="M72">
        <f t="shared" si="5"/>
        <v>2025</v>
      </c>
      <c r="N72">
        <f t="shared" si="6"/>
        <v>46769.120000000003</v>
      </c>
      <c r="O72" t="str">
        <f t="shared" si="7"/>
        <v>Moderate Delay</v>
      </c>
    </row>
    <row r="73" spans="1:15" x14ac:dyDescent="0.25">
      <c r="A73">
        <v>72</v>
      </c>
      <c r="B73" s="2">
        <v>45713</v>
      </c>
      <c r="C73" t="s">
        <v>31</v>
      </c>
      <c r="D73" t="s">
        <v>29</v>
      </c>
      <c r="E73" t="s">
        <v>22</v>
      </c>
      <c r="F73" t="s">
        <v>14</v>
      </c>
      <c r="G73">
        <v>287</v>
      </c>
      <c r="H73">
        <v>290.85000000000002</v>
      </c>
      <c r="I73">
        <v>11</v>
      </c>
      <c r="J73" t="s">
        <v>15</v>
      </c>
      <c r="K73">
        <v>83473.95</v>
      </c>
      <c r="L73" t="str">
        <f t="shared" si="4"/>
        <v>Feb</v>
      </c>
      <c r="M73">
        <f t="shared" si="5"/>
        <v>2025</v>
      </c>
      <c r="N73">
        <f t="shared" si="6"/>
        <v>83473.950000000012</v>
      </c>
      <c r="O73" t="str">
        <f t="shared" si="7"/>
        <v>Minor Delay</v>
      </c>
    </row>
    <row r="74" spans="1:15" x14ac:dyDescent="0.25">
      <c r="A74">
        <v>73</v>
      </c>
      <c r="B74" s="2">
        <v>45759</v>
      </c>
      <c r="C74" t="s">
        <v>16</v>
      </c>
      <c r="D74" t="s">
        <v>17</v>
      </c>
      <c r="E74" t="s">
        <v>20</v>
      </c>
      <c r="F74" t="s">
        <v>21</v>
      </c>
      <c r="G74">
        <v>226</v>
      </c>
      <c r="H74">
        <v>674.62</v>
      </c>
      <c r="I74">
        <v>21</v>
      </c>
      <c r="J74" t="s">
        <v>15</v>
      </c>
      <c r="K74">
        <v>152464.12</v>
      </c>
      <c r="L74" t="str">
        <f t="shared" si="4"/>
        <v>Apr</v>
      </c>
      <c r="M74">
        <f t="shared" si="5"/>
        <v>2025</v>
      </c>
      <c r="N74">
        <f t="shared" si="6"/>
        <v>152464.12</v>
      </c>
      <c r="O74" t="str">
        <f t="shared" si="7"/>
        <v>Minor Delay</v>
      </c>
    </row>
    <row r="75" spans="1:15" x14ac:dyDescent="0.25">
      <c r="A75">
        <v>74</v>
      </c>
      <c r="B75" s="2">
        <v>45835</v>
      </c>
      <c r="C75" t="s">
        <v>31</v>
      </c>
      <c r="D75" t="s">
        <v>12</v>
      </c>
      <c r="E75" t="s">
        <v>13</v>
      </c>
      <c r="F75" t="s">
        <v>24</v>
      </c>
      <c r="G75">
        <v>219</v>
      </c>
      <c r="H75">
        <v>334.22</v>
      </c>
      <c r="I75">
        <v>58</v>
      </c>
      <c r="J75" t="s">
        <v>15</v>
      </c>
      <c r="K75">
        <v>73194.179999999993</v>
      </c>
      <c r="L75" t="str">
        <f t="shared" si="4"/>
        <v>Jun</v>
      </c>
      <c r="M75">
        <f t="shared" si="5"/>
        <v>2025</v>
      </c>
      <c r="N75">
        <f t="shared" si="6"/>
        <v>73194.180000000008</v>
      </c>
      <c r="O75" t="str">
        <f t="shared" si="7"/>
        <v>Moderate Delay</v>
      </c>
    </row>
    <row r="76" spans="1:15" x14ac:dyDescent="0.25">
      <c r="A76">
        <v>75</v>
      </c>
      <c r="B76" s="2">
        <v>45873</v>
      </c>
      <c r="C76" t="s">
        <v>18</v>
      </c>
      <c r="D76" t="s">
        <v>22</v>
      </c>
      <c r="E76" t="s">
        <v>13</v>
      </c>
      <c r="F76" t="s">
        <v>14</v>
      </c>
      <c r="G76">
        <v>160</v>
      </c>
      <c r="H76">
        <v>770.98</v>
      </c>
      <c r="I76">
        <v>0</v>
      </c>
      <c r="J76" t="s">
        <v>15</v>
      </c>
      <c r="K76">
        <v>123356.8</v>
      </c>
      <c r="L76" t="str">
        <f t="shared" si="4"/>
        <v>Aug</v>
      </c>
      <c r="M76">
        <f t="shared" si="5"/>
        <v>2025</v>
      </c>
      <c r="N76">
        <f t="shared" si="6"/>
        <v>123356.8</v>
      </c>
      <c r="O76" t="str">
        <f t="shared" si="7"/>
        <v>On Time</v>
      </c>
    </row>
    <row r="77" spans="1:15" x14ac:dyDescent="0.25">
      <c r="A77">
        <v>76</v>
      </c>
      <c r="B77" s="2">
        <v>45925</v>
      </c>
      <c r="C77" t="s">
        <v>25</v>
      </c>
      <c r="D77" t="s">
        <v>17</v>
      </c>
      <c r="E77" t="s">
        <v>29</v>
      </c>
      <c r="F77" t="s">
        <v>24</v>
      </c>
      <c r="G77">
        <v>207</v>
      </c>
      <c r="H77">
        <v>658.07</v>
      </c>
      <c r="I77">
        <v>0</v>
      </c>
      <c r="J77" t="s">
        <v>15</v>
      </c>
      <c r="K77">
        <v>136220.49</v>
      </c>
      <c r="L77" t="str">
        <f t="shared" si="4"/>
        <v>Sep</v>
      </c>
      <c r="M77">
        <f t="shared" si="5"/>
        <v>2025</v>
      </c>
      <c r="N77">
        <f t="shared" si="6"/>
        <v>136220.49000000002</v>
      </c>
      <c r="O77" t="str">
        <f t="shared" si="7"/>
        <v>On Time</v>
      </c>
    </row>
    <row r="78" spans="1:15" x14ac:dyDescent="0.25">
      <c r="A78">
        <v>77</v>
      </c>
      <c r="B78" s="2">
        <v>45881</v>
      </c>
      <c r="C78" t="s">
        <v>25</v>
      </c>
      <c r="D78" t="s">
        <v>20</v>
      </c>
      <c r="E78" t="s">
        <v>27</v>
      </c>
      <c r="F78" t="s">
        <v>21</v>
      </c>
      <c r="G78">
        <v>118</v>
      </c>
      <c r="H78">
        <v>298.51</v>
      </c>
      <c r="I78">
        <v>21</v>
      </c>
      <c r="J78" t="s">
        <v>15</v>
      </c>
      <c r="K78">
        <v>35224.18</v>
      </c>
      <c r="L78" t="str">
        <f t="shared" si="4"/>
        <v>Aug</v>
      </c>
      <c r="M78">
        <f t="shared" si="5"/>
        <v>2025</v>
      </c>
      <c r="N78">
        <f t="shared" si="6"/>
        <v>35224.18</v>
      </c>
      <c r="O78" t="str">
        <f t="shared" si="7"/>
        <v>Minor Delay</v>
      </c>
    </row>
    <row r="79" spans="1:15" x14ac:dyDescent="0.25">
      <c r="A79">
        <v>78</v>
      </c>
      <c r="B79" s="2">
        <v>45895</v>
      </c>
      <c r="C79" t="s">
        <v>31</v>
      </c>
      <c r="D79" t="s">
        <v>20</v>
      </c>
      <c r="E79" t="s">
        <v>19</v>
      </c>
      <c r="F79" t="s">
        <v>21</v>
      </c>
      <c r="G79">
        <v>221</v>
      </c>
      <c r="H79">
        <v>340.45</v>
      </c>
      <c r="I79">
        <v>78</v>
      </c>
      <c r="J79" t="s">
        <v>15</v>
      </c>
      <c r="K79">
        <v>75239.45</v>
      </c>
      <c r="L79" t="str">
        <f t="shared" si="4"/>
        <v>Aug</v>
      </c>
      <c r="M79">
        <f t="shared" si="5"/>
        <v>2025</v>
      </c>
      <c r="N79">
        <f t="shared" si="6"/>
        <v>75239.45</v>
      </c>
      <c r="O79" t="str">
        <f t="shared" si="7"/>
        <v>Major Delay</v>
      </c>
    </row>
    <row r="80" spans="1:15" x14ac:dyDescent="0.25">
      <c r="A80">
        <v>79</v>
      </c>
      <c r="B80" s="2">
        <v>45907</v>
      </c>
      <c r="C80" t="s">
        <v>11</v>
      </c>
      <c r="D80" t="s">
        <v>22</v>
      </c>
      <c r="E80" t="s">
        <v>29</v>
      </c>
      <c r="F80" t="s">
        <v>24</v>
      </c>
      <c r="G80">
        <v>254</v>
      </c>
      <c r="H80">
        <v>251.18</v>
      </c>
      <c r="I80">
        <v>13</v>
      </c>
      <c r="J80" t="s">
        <v>30</v>
      </c>
      <c r="K80">
        <v>63799.72</v>
      </c>
      <c r="L80" t="str">
        <f t="shared" si="4"/>
        <v>Sep</v>
      </c>
      <c r="M80">
        <f t="shared" si="5"/>
        <v>2025</v>
      </c>
      <c r="N80">
        <f t="shared" si="6"/>
        <v>63799.72</v>
      </c>
      <c r="O80" t="str">
        <f t="shared" si="7"/>
        <v>Minor Delay</v>
      </c>
    </row>
    <row r="81" spans="1:15" x14ac:dyDescent="0.25">
      <c r="A81">
        <v>80</v>
      </c>
      <c r="B81" s="2">
        <v>45922</v>
      </c>
      <c r="C81" t="s">
        <v>11</v>
      </c>
      <c r="D81" t="s">
        <v>27</v>
      </c>
      <c r="E81" t="s">
        <v>13</v>
      </c>
      <c r="F81" t="s">
        <v>14</v>
      </c>
      <c r="G81">
        <v>111</v>
      </c>
      <c r="H81">
        <v>592.86</v>
      </c>
      <c r="I81">
        <v>53</v>
      </c>
      <c r="J81" t="s">
        <v>15</v>
      </c>
      <c r="K81">
        <v>65807.460000000006</v>
      </c>
      <c r="L81" t="str">
        <f t="shared" si="4"/>
        <v>Sep</v>
      </c>
      <c r="M81">
        <f t="shared" si="5"/>
        <v>2025</v>
      </c>
      <c r="N81">
        <f t="shared" si="6"/>
        <v>65807.460000000006</v>
      </c>
      <c r="O81" t="str">
        <f t="shared" si="7"/>
        <v>Moderate Delay</v>
      </c>
    </row>
    <row r="82" spans="1:15" x14ac:dyDescent="0.25">
      <c r="A82">
        <v>81</v>
      </c>
      <c r="B82" s="2">
        <v>45988</v>
      </c>
      <c r="C82" t="s">
        <v>25</v>
      </c>
      <c r="D82" t="s">
        <v>19</v>
      </c>
      <c r="E82" t="s">
        <v>27</v>
      </c>
      <c r="F82" t="s">
        <v>24</v>
      </c>
      <c r="G82">
        <v>164</v>
      </c>
      <c r="H82">
        <v>646.77</v>
      </c>
      <c r="I82">
        <v>34</v>
      </c>
      <c r="J82" t="s">
        <v>15</v>
      </c>
      <c r="K82">
        <v>106070.28</v>
      </c>
      <c r="L82" t="str">
        <f t="shared" si="4"/>
        <v>Nov</v>
      </c>
      <c r="M82">
        <f t="shared" si="5"/>
        <v>2025</v>
      </c>
      <c r="N82">
        <f t="shared" si="6"/>
        <v>106070.28</v>
      </c>
      <c r="O82" t="str">
        <f t="shared" si="7"/>
        <v>Moderate Delay</v>
      </c>
    </row>
    <row r="83" spans="1:15" x14ac:dyDescent="0.25">
      <c r="A83">
        <v>82</v>
      </c>
      <c r="B83" s="2">
        <v>45900</v>
      </c>
      <c r="C83" t="s">
        <v>31</v>
      </c>
      <c r="D83" t="s">
        <v>23</v>
      </c>
      <c r="E83" t="s">
        <v>17</v>
      </c>
      <c r="F83" t="s">
        <v>21</v>
      </c>
      <c r="G83">
        <v>138</v>
      </c>
      <c r="H83">
        <v>374.87</v>
      </c>
      <c r="I83">
        <v>29</v>
      </c>
      <c r="J83" t="s">
        <v>15</v>
      </c>
      <c r="K83">
        <v>51732.06</v>
      </c>
      <c r="L83" t="str">
        <f t="shared" si="4"/>
        <v>Aug</v>
      </c>
      <c r="M83">
        <f t="shared" si="5"/>
        <v>2025</v>
      </c>
      <c r="N83">
        <f t="shared" si="6"/>
        <v>51732.06</v>
      </c>
      <c r="O83" t="str">
        <f t="shared" si="7"/>
        <v>Minor Delay</v>
      </c>
    </row>
    <row r="84" spans="1:15" x14ac:dyDescent="0.25">
      <c r="A84">
        <v>83</v>
      </c>
      <c r="B84" s="2">
        <v>46017</v>
      </c>
      <c r="C84" t="s">
        <v>18</v>
      </c>
      <c r="D84" t="s">
        <v>22</v>
      </c>
      <c r="E84" t="s">
        <v>17</v>
      </c>
      <c r="F84" t="s">
        <v>24</v>
      </c>
      <c r="G84">
        <v>128</v>
      </c>
      <c r="H84">
        <v>246.04</v>
      </c>
      <c r="I84">
        <v>31</v>
      </c>
      <c r="J84" t="s">
        <v>15</v>
      </c>
      <c r="K84">
        <v>31493.119999999999</v>
      </c>
      <c r="L84" t="str">
        <f t="shared" si="4"/>
        <v>Dec</v>
      </c>
      <c r="M84">
        <f t="shared" si="5"/>
        <v>2025</v>
      </c>
      <c r="N84">
        <f t="shared" si="6"/>
        <v>31493.119999999999</v>
      </c>
      <c r="O84" t="str">
        <f t="shared" si="7"/>
        <v>Moderate Delay</v>
      </c>
    </row>
    <row r="85" spans="1:15" x14ac:dyDescent="0.25">
      <c r="A85">
        <v>84</v>
      </c>
      <c r="B85" s="2">
        <v>45756</v>
      </c>
      <c r="C85" t="s">
        <v>11</v>
      </c>
      <c r="D85" t="s">
        <v>27</v>
      </c>
      <c r="E85" t="s">
        <v>29</v>
      </c>
      <c r="F85" t="s">
        <v>21</v>
      </c>
      <c r="G85">
        <v>173</v>
      </c>
      <c r="H85">
        <v>264.61</v>
      </c>
      <c r="I85">
        <v>31</v>
      </c>
      <c r="J85" t="s">
        <v>15</v>
      </c>
      <c r="K85">
        <v>45777.53</v>
      </c>
      <c r="L85" t="str">
        <f t="shared" si="4"/>
        <v>Apr</v>
      </c>
      <c r="M85">
        <f t="shared" si="5"/>
        <v>2025</v>
      </c>
      <c r="N85">
        <f t="shared" si="6"/>
        <v>45777.53</v>
      </c>
      <c r="O85" t="str">
        <f t="shared" si="7"/>
        <v>Moderate Delay</v>
      </c>
    </row>
    <row r="86" spans="1:15" x14ac:dyDescent="0.25">
      <c r="A86">
        <v>85</v>
      </c>
      <c r="B86" s="2">
        <v>45709</v>
      </c>
      <c r="C86" t="s">
        <v>11</v>
      </c>
      <c r="D86" t="s">
        <v>27</v>
      </c>
      <c r="E86" t="s">
        <v>23</v>
      </c>
      <c r="F86" t="s">
        <v>24</v>
      </c>
      <c r="G86">
        <v>108</v>
      </c>
      <c r="H86">
        <v>327.05</v>
      </c>
      <c r="I86">
        <v>7</v>
      </c>
      <c r="J86" t="s">
        <v>15</v>
      </c>
      <c r="K86">
        <v>35321.4</v>
      </c>
      <c r="L86" t="str">
        <f t="shared" si="4"/>
        <v>Feb</v>
      </c>
      <c r="M86">
        <f t="shared" si="5"/>
        <v>2025</v>
      </c>
      <c r="N86">
        <f t="shared" si="6"/>
        <v>35321.4</v>
      </c>
      <c r="O86" t="str">
        <f t="shared" si="7"/>
        <v>Minor Delay</v>
      </c>
    </row>
    <row r="87" spans="1:15" x14ac:dyDescent="0.25">
      <c r="A87">
        <v>86</v>
      </c>
      <c r="B87" s="2">
        <v>45941</v>
      </c>
      <c r="C87" t="s">
        <v>26</v>
      </c>
      <c r="D87" t="s">
        <v>13</v>
      </c>
      <c r="E87" t="s">
        <v>12</v>
      </c>
      <c r="F87" t="s">
        <v>21</v>
      </c>
      <c r="G87">
        <v>291</v>
      </c>
      <c r="H87">
        <v>153.44999999999999</v>
      </c>
      <c r="I87">
        <v>57</v>
      </c>
      <c r="J87" t="s">
        <v>30</v>
      </c>
      <c r="K87">
        <v>44653.95</v>
      </c>
      <c r="L87" t="str">
        <f t="shared" si="4"/>
        <v>Oct</v>
      </c>
      <c r="M87">
        <f t="shared" si="5"/>
        <v>2025</v>
      </c>
      <c r="N87">
        <f t="shared" si="6"/>
        <v>44653.95</v>
      </c>
      <c r="O87" t="str">
        <f t="shared" si="7"/>
        <v>Moderate Delay</v>
      </c>
    </row>
    <row r="88" spans="1:15" x14ac:dyDescent="0.25">
      <c r="A88">
        <v>87</v>
      </c>
      <c r="B88" s="2">
        <v>45664</v>
      </c>
      <c r="C88" t="s">
        <v>31</v>
      </c>
      <c r="D88" t="s">
        <v>20</v>
      </c>
      <c r="E88" t="s">
        <v>12</v>
      </c>
      <c r="F88" t="s">
        <v>24</v>
      </c>
      <c r="G88">
        <v>170</v>
      </c>
      <c r="H88">
        <v>414.25</v>
      </c>
      <c r="I88">
        <v>0</v>
      </c>
      <c r="J88" t="s">
        <v>15</v>
      </c>
      <c r="K88">
        <v>70422.5</v>
      </c>
      <c r="L88" t="str">
        <f t="shared" si="4"/>
        <v>Jan</v>
      </c>
      <c r="M88">
        <f t="shared" si="5"/>
        <v>2025</v>
      </c>
      <c r="N88">
        <f t="shared" si="6"/>
        <v>70422.5</v>
      </c>
      <c r="O88" t="str">
        <f t="shared" si="7"/>
        <v>On Time</v>
      </c>
    </row>
    <row r="89" spans="1:15" x14ac:dyDescent="0.25">
      <c r="A89">
        <v>88</v>
      </c>
      <c r="B89" s="2">
        <v>45691</v>
      </c>
      <c r="C89" t="s">
        <v>18</v>
      </c>
      <c r="D89" t="s">
        <v>20</v>
      </c>
      <c r="E89" t="s">
        <v>12</v>
      </c>
      <c r="F89" t="s">
        <v>24</v>
      </c>
      <c r="G89">
        <v>68</v>
      </c>
      <c r="H89">
        <v>487</v>
      </c>
      <c r="I89">
        <v>74</v>
      </c>
      <c r="J89" t="s">
        <v>15</v>
      </c>
      <c r="K89">
        <v>33116</v>
      </c>
      <c r="L89" t="str">
        <f t="shared" si="4"/>
        <v>Feb</v>
      </c>
      <c r="M89">
        <f t="shared" si="5"/>
        <v>2025</v>
      </c>
      <c r="N89">
        <f t="shared" si="6"/>
        <v>33116</v>
      </c>
      <c r="O89" t="str">
        <f t="shared" si="7"/>
        <v>Major Delay</v>
      </c>
    </row>
    <row r="90" spans="1:15" x14ac:dyDescent="0.25">
      <c r="A90">
        <v>89</v>
      </c>
      <c r="B90" s="2">
        <v>45946</v>
      </c>
      <c r="C90" t="s">
        <v>26</v>
      </c>
      <c r="D90" t="s">
        <v>29</v>
      </c>
      <c r="E90" t="s">
        <v>19</v>
      </c>
      <c r="F90" t="s">
        <v>14</v>
      </c>
      <c r="G90">
        <v>113</v>
      </c>
      <c r="H90">
        <v>147.65</v>
      </c>
      <c r="I90">
        <v>23</v>
      </c>
      <c r="J90" t="s">
        <v>15</v>
      </c>
      <c r="K90">
        <v>16684.45</v>
      </c>
      <c r="L90" t="str">
        <f t="shared" si="4"/>
        <v>Oct</v>
      </c>
      <c r="M90">
        <f t="shared" si="5"/>
        <v>2025</v>
      </c>
      <c r="N90">
        <f t="shared" si="6"/>
        <v>16684.45</v>
      </c>
      <c r="O90" t="str">
        <f t="shared" si="7"/>
        <v>Minor Delay</v>
      </c>
    </row>
    <row r="91" spans="1:15" x14ac:dyDescent="0.25">
      <c r="A91">
        <v>90</v>
      </c>
      <c r="B91" s="2">
        <v>45888</v>
      </c>
      <c r="C91" t="s">
        <v>18</v>
      </c>
      <c r="D91" t="s">
        <v>19</v>
      </c>
      <c r="E91" t="s">
        <v>20</v>
      </c>
      <c r="F91" t="s">
        <v>24</v>
      </c>
      <c r="G91">
        <v>270</v>
      </c>
      <c r="H91">
        <v>495.51</v>
      </c>
      <c r="I91">
        <v>0</v>
      </c>
      <c r="J91" t="s">
        <v>15</v>
      </c>
      <c r="K91">
        <v>133787.70000000001</v>
      </c>
      <c r="L91" t="str">
        <f t="shared" si="4"/>
        <v>Aug</v>
      </c>
      <c r="M91">
        <f t="shared" si="5"/>
        <v>2025</v>
      </c>
      <c r="N91">
        <f t="shared" si="6"/>
        <v>133787.70000000001</v>
      </c>
      <c r="O91" t="str">
        <f t="shared" si="7"/>
        <v>On Time</v>
      </c>
    </row>
    <row r="92" spans="1:15" x14ac:dyDescent="0.25">
      <c r="A92">
        <v>91</v>
      </c>
      <c r="B92" s="2">
        <v>45764</v>
      </c>
      <c r="C92" t="s">
        <v>25</v>
      </c>
      <c r="D92" t="s">
        <v>13</v>
      </c>
      <c r="E92" t="s">
        <v>29</v>
      </c>
      <c r="F92" t="s">
        <v>14</v>
      </c>
      <c r="G92">
        <v>117</v>
      </c>
      <c r="H92">
        <v>548.72</v>
      </c>
      <c r="I92">
        <v>28</v>
      </c>
      <c r="J92" t="s">
        <v>15</v>
      </c>
      <c r="K92">
        <v>64200.24</v>
      </c>
      <c r="L92" t="str">
        <f t="shared" si="4"/>
        <v>Apr</v>
      </c>
      <c r="M92">
        <f t="shared" si="5"/>
        <v>2025</v>
      </c>
      <c r="N92">
        <f t="shared" si="6"/>
        <v>64200.240000000005</v>
      </c>
      <c r="O92" t="str">
        <f t="shared" si="7"/>
        <v>Minor Delay</v>
      </c>
    </row>
    <row r="93" spans="1:15" x14ac:dyDescent="0.25">
      <c r="A93">
        <v>92</v>
      </c>
      <c r="B93" s="2">
        <v>45888</v>
      </c>
      <c r="C93" t="s">
        <v>25</v>
      </c>
      <c r="D93" t="s">
        <v>13</v>
      </c>
      <c r="E93" t="s">
        <v>20</v>
      </c>
      <c r="F93" t="s">
        <v>21</v>
      </c>
      <c r="G93">
        <v>170</v>
      </c>
      <c r="H93">
        <v>275.52999999999997</v>
      </c>
      <c r="I93">
        <v>32</v>
      </c>
      <c r="J93" t="s">
        <v>15</v>
      </c>
      <c r="K93">
        <v>46840.1</v>
      </c>
      <c r="L93" t="str">
        <f t="shared" si="4"/>
        <v>Aug</v>
      </c>
      <c r="M93">
        <f t="shared" si="5"/>
        <v>2025</v>
      </c>
      <c r="N93">
        <f t="shared" si="6"/>
        <v>46840.1</v>
      </c>
      <c r="O93" t="str">
        <f t="shared" si="7"/>
        <v>Moderate Delay</v>
      </c>
    </row>
    <row r="94" spans="1:15" x14ac:dyDescent="0.25">
      <c r="A94">
        <v>93</v>
      </c>
      <c r="B94" s="2">
        <v>45694</v>
      </c>
      <c r="C94" t="s">
        <v>25</v>
      </c>
      <c r="D94" t="s">
        <v>23</v>
      </c>
      <c r="E94" t="s">
        <v>27</v>
      </c>
      <c r="F94" t="s">
        <v>14</v>
      </c>
      <c r="G94">
        <v>286</v>
      </c>
      <c r="H94">
        <v>255.77</v>
      </c>
      <c r="I94">
        <v>28</v>
      </c>
      <c r="J94" t="s">
        <v>30</v>
      </c>
      <c r="K94">
        <v>73150.22</v>
      </c>
      <c r="L94" t="str">
        <f t="shared" si="4"/>
        <v>Feb</v>
      </c>
      <c r="M94">
        <f t="shared" si="5"/>
        <v>2025</v>
      </c>
      <c r="N94">
        <f t="shared" si="6"/>
        <v>73150.22</v>
      </c>
      <c r="O94" t="str">
        <f t="shared" si="7"/>
        <v>Minor Delay</v>
      </c>
    </row>
    <row r="95" spans="1:15" x14ac:dyDescent="0.25">
      <c r="A95">
        <v>94</v>
      </c>
      <c r="B95" s="2">
        <v>45716</v>
      </c>
      <c r="C95" t="s">
        <v>31</v>
      </c>
      <c r="D95" t="s">
        <v>19</v>
      </c>
      <c r="E95" t="s">
        <v>20</v>
      </c>
      <c r="F95" t="s">
        <v>14</v>
      </c>
      <c r="G95">
        <v>215</v>
      </c>
      <c r="H95">
        <v>170.25</v>
      </c>
      <c r="I95">
        <v>0</v>
      </c>
      <c r="J95" t="s">
        <v>15</v>
      </c>
      <c r="K95">
        <v>36603.75</v>
      </c>
      <c r="L95" t="str">
        <f t="shared" si="4"/>
        <v>Feb</v>
      </c>
      <c r="M95">
        <f t="shared" si="5"/>
        <v>2025</v>
      </c>
      <c r="N95">
        <f t="shared" si="6"/>
        <v>36603.75</v>
      </c>
      <c r="O95" t="str">
        <f t="shared" si="7"/>
        <v>On Time</v>
      </c>
    </row>
    <row r="96" spans="1:15" x14ac:dyDescent="0.25">
      <c r="A96">
        <v>95</v>
      </c>
      <c r="B96" s="2">
        <v>45688</v>
      </c>
      <c r="C96" t="s">
        <v>11</v>
      </c>
      <c r="D96" t="s">
        <v>29</v>
      </c>
      <c r="E96" t="s">
        <v>12</v>
      </c>
      <c r="F96" t="s">
        <v>24</v>
      </c>
      <c r="G96">
        <v>202</v>
      </c>
      <c r="H96">
        <v>614.23</v>
      </c>
      <c r="I96">
        <v>1</v>
      </c>
      <c r="J96" t="s">
        <v>15</v>
      </c>
      <c r="K96">
        <v>124074.46</v>
      </c>
      <c r="L96" t="str">
        <f t="shared" si="4"/>
        <v>Jan</v>
      </c>
      <c r="M96">
        <f t="shared" si="5"/>
        <v>2025</v>
      </c>
      <c r="N96">
        <f t="shared" si="6"/>
        <v>124074.46</v>
      </c>
      <c r="O96" t="str">
        <f t="shared" si="7"/>
        <v>Minor Delay</v>
      </c>
    </row>
    <row r="97" spans="1:15" x14ac:dyDescent="0.25">
      <c r="A97">
        <v>96</v>
      </c>
      <c r="B97" s="2">
        <v>45797</v>
      </c>
      <c r="C97" t="s">
        <v>31</v>
      </c>
      <c r="D97" t="s">
        <v>23</v>
      </c>
      <c r="E97" t="s">
        <v>20</v>
      </c>
      <c r="F97" t="s">
        <v>21</v>
      </c>
      <c r="G97">
        <v>176</v>
      </c>
      <c r="H97">
        <v>383.94</v>
      </c>
      <c r="I97">
        <v>11</v>
      </c>
      <c r="J97" t="s">
        <v>15</v>
      </c>
      <c r="K97">
        <v>67573.440000000002</v>
      </c>
      <c r="L97" t="str">
        <f t="shared" si="4"/>
        <v>May</v>
      </c>
      <c r="M97">
        <f t="shared" si="5"/>
        <v>2025</v>
      </c>
      <c r="N97">
        <f t="shared" si="6"/>
        <v>67573.440000000002</v>
      </c>
      <c r="O97" t="str">
        <f t="shared" si="7"/>
        <v>Minor Delay</v>
      </c>
    </row>
    <row r="98" spans="1:15" x14ac:dyDescent="0.25">
      <c r="A98">
        <v>97</v>
      </c>
      <c r="B98" s="2">
        <v>45967</v>
      </c>
      <c r="C98" t="s">
        <v>26</v>
      </c>
      <c r="D98" t="s">
        <v>17</v>
      </c>
      <c r="E98" t="s">
        <v>22</v>
      </c>
      <c r="F98" t="s">
        <v>14</v>
      </c>
      <c r="G98">
        <v>73</v>
      </c>
      <c r="H98">
        <v>229.4</v>
      </c>
      <c r="I98">
        <v>0</v>
      </c>
      <c r="J98" t="s">
        <v>15</v>
      </c>
      <c r="K98">
        <v>16746.2</v>
      </c>
      <c r="L98" t="str">
        <f t="shared" si="4"/>
        <v>Nov</v>
      </c>
      <c r="M98">
        <f t="shared" si="5"/>
        <v>2025</v>
      </c>
      <c r="N98">
        <f t="shared" si="6"/>
        <v>16746.2</v>
      </c>
      <c r="O98" t="str">
        <f t="shared" si="7"/>
        <v>On Time</v>
      </c>
    </row>
    <row r="99" spans="1:15" x14ac:dyDescent="0.25">
      <c r="A99">
        <v>98</v>
      </c>
      <c r="B99" s="2">
        <v>45953</v>
      </c>
      <c r="C99" t="s">
        <v>16</v>
      </c>
      <c r="D99" t="s">
        <v>13</v>
      </c>
      <c r="E99" t="s">
        <v>22</v>
      </c>
      <c r="F99" t="s">
        <v>14</v>
      </c>
      <c r="G99">
        <v>170</v>
      </c>
      <c r="H99">
        <v>444.03</v>
      </c>
      <c r="I99">
        <v>0</v>
      </c>
      <c r="J99" t="s">
        <v>15</v>
      </c>
      <c r="K99">
        <v>75485.100000000006</v>
      </c>
      <c r="L99" t="str">
        <f t="shared" si="4"/>
        <v>Oct</v>
      </c>
      <c r="M99">
        <f t="shared" si="5"/>
        <v>2025</v>
      </c>
      <c r="N99">
        <f t="shared" si="6"/>
        <v>75485.099999999991</v>
      </c>
      <c r="O99" t="str">
        <f t="shared" si="7"/>
        <v>On Time</v>
      </c>
    </row>
    <row r="100" spans="1:15" x14ac:dyDescent="0.25">
      <c r="A100">
        <v>99</v>
      </c>
      <c r="B100" s="2">
        <v>45957</v>
      </c>
      <c r="C100" t="s">
        <v>18</v>
      </c>
      <c r="D100" t="s">
        <v>23</v>
      </c>
      <c r="E100" t="s">
        <v>29</v>
      </c>
      <c r="F100" t="s">
        <v>21</v>
      </c>
      <c r="G100">
        <v>258</v>
      </c>
      <c r="H100">
        <v>423.88</v>
      </c>
      <c r="I100">
        <v>39</v>
      </c>
      <c r="J100" t="s">
        <v>15</v>
      </c>
      <c r="K100">
        <v>109361.04</v>
      </c>
      <c r="L100" t="str">
        <f t="shared" si="4"/>
        <v>Oct</v>
      </c>
      <c r="M100">
        <f t="shared" si="5"/>
        <v>2025</v>
      </c>
      <c r="N100">
        <f t="shared" si="6"/>
        <v>109361.04</v>
      </c>
      <c r="O100" t="str">
        <f t="shared" si="7"/>
        <v>Moderate Delay</v>
      </c>
    </row>
    <row r="101" spans="1:15" x14ac:dyDescent="0.25">
      <c r="A101">
        <v>100</v>
      </c>
      <c r="B101" s="2">
        <v>45826</v>
      </c>
      <c r="C101" t="s">
        <v>18</v>
      </c>
      <c r="D101" t="s">
        <v>12</v>
      </c>
      <c r="E101" t="s">
        <v>19</v>
      </c>
      <c r="F101" t="s">
        <v>21</v>
      </c>
      <c r="G101">
        <v>176</v>
      </c>
      <c r="H101">
        <v>273.27999999999997</v>
      </c>
      <c r="I101">
        <v>32</v>
      </c>
      <c r="J101" t="s">
        <v>30</v>
      </c>
      <c r="K101">
        <v>48097.279999999999</v>
      </c>
      <c r="L101" t="str">
        <f t="shared" si="4"/>
        <v>Jun</v>
      </c>
      <c r="M101">
        <f t="shared" si="5"/>
        <v>2025</v>
      </c>
      <c r="N101">
        <f t="shared" si="6"/>
        <v>48097.279999999999</v>
      </c>
      <c r="O101" t="str">
        <f t="shared" si="7"/>
        <v>Moderate Delay</v>
      </c>
    </row>
    <row r="102" spans="1:15" x14ac:dyDescent="0.25">
      <c r="A102">
        <v>101</v>
      </c>
      <c r="B102" s="2">
        <v>45890</v>
      </c>
      <c r="C102" t="s">
        <v>16</v>
      </c>
      <c r="D102" t="s">
        <v>27</v>
      </c>
      <c r="E102" t="s">
        <v>13</v>
      </c>
      <c r="F102" t="s">
        <v>24</v>
      </c>
      <c r="G102">
        <v>114</v>
      </c>
      <c r="H102">
        <v>299.22000000000003</v>
      </c>
      <c r="I102">
        <v>44</v>
      </c>
      <c r="J102" t="s">
        <v>15</v>
      </c>
      <c r="K102">
        <v>34111.08</v>
      </c>
      <c r="L102" t="str">
        <f t="shared" si="4"/>
        <v>Aug</v>
      </c>
      <c r="M102">
        <f t="shared" si="5"/>
        <v>2025</v>
      </c>
      <c r="N102">
        <f t="shared" si="6"/>
        <v>34111.08</v>
      </c>
      <c r="O102" t="str">
        <f t="shared" si="7"/>
        <v>Moderate Delay</v>
      </c>
    </row>
    <row r="103" spans="1:15" x14ac:dyDescent="0.25">
      <c r="A103">
        <v>102</v>
      </c>
      <c r="B103" s="2">
        <v>45869</v>
      </c>
      <c r="C103" t="s">
        <v>16</v>
      </c>
      <c r="D103" t="s">
        <v>13</v>
      </c>
      <c r="E103" t="s">
        <v>27</v>
      </c>
      <c r="F103" t="s">
        <v>14</v>
      </c>
      <c r="G103">
        <v>182</v>
      </c>
      <c r="H103">
        <v>327.72</v>
      </c>
      <c r="I103">
        <v>15</v>
      </c>
      <c r="J103" t="s">
        <v>15</v>
      </c>
      <c r="K103">
        <v>59645.04</v>
      </c>
      <c r="L103" t="str">
        <f t="shared" si="4"/>
        <v>Jul</v>
      </c>
      <c r="M103">
        <f t="shared" si="5"/>
        <v>2025</v>
      </c>
      <c r="N103">
        <f t="shared" si="6"/>
        <v>59645.040000000008</v>
      </c>
      <c r="O103" t="str">
        <f t="shared" si="7"/>
        <v>Minor Delay</v>
      </c>
    </row>
    <row r="104" spans="1:15" x14ac:dyDescent="0.25">
      <c r="A104">
        <v>103</v>
      </c>
      <c r="B104" s="2">
        <v>45762</v>
      </c>
      <c r="C104" t="s">
        <v>26</v>
      </c>
      <c r="D104" t="s">
        <v>20</v>
      </c>
      <c r="E104" t="s">
        <v>13</v>
      </c>
      <c r="F104" t="s">
        <v>21</v>
      </c>
      <c r="G104">
        <v>83</v>
      </c>
      <c r="H104">
        <v>746.48</v>
      </c>
      <c r="I104">
        <v>0</v>
      </c>
      <c r="J104" t="s">
        <v>15</v>
      </c>
      <c r="K104">
        <v>61957.84</v>
      </c>
      <c r="L104" t="str">
        <f t="shared" si="4"/>
        <v>Apr</v>
      </c>
      <c r="M104">
        <f t="shared" si="5"/>
        <v>2025</v>
      </c>
      <c r="N104">
        <f t="shared" si="6"/>
        <v>61957.840000000004</v>
      </c>
      <c r="O104" t="str">
        <f t="shared" si="7"/>
        <v>On Time</v>
      </c>
    </row>
    <row r="105" spans="1:15" x14ac:dyDescent="0.25">
      <c r="A105">
        <v>104</v>
      </c>
      <c r="B105" s="2">
        <v>45817</v>
      </c>
      <c r="C105" t="s">
        <v>31</v>
      </c>
      <c r="D105" t="s">
        <v>19</v>
      </c>
      <c r="E105" t="s">
        <v>29</v>
      </c>
      <c r="F105" t="s">
        <v>14</v>
      </c>
      <c r="G105">
        <v>191</v>
      </c>
      <c r="H105">
        <v>361.91</v>
      </c>
      <c r="I105">
        <v>34</v>
      </c>
      <c r="J105" t="s">
        <v>15</v>
      </c>
      <c r="K105">
        <v>69124.81</v>
      </c>
      <c r="L105" t="str">
        <f t="shared" si="4"/>
        <v>Jun</v>
      </c>
      <c r="M105">
        <f t="shared" si="5"/>
        <v>2025</v>
      </c>
      <c r="N105">
        <f t="shared" si="6"/>
        <v>69124.81</v>
      </c>
      <c r="O105" t="str">
        <f t="shared" si="7"/>
        <v>Moderate Delay</v>
      </c>
    </row>
    <row r="106" spans="1:15" x14ac:dyDescent="0.25">
      <c r="A106">
        <v>105</v>
      </c>
      <c r="B106" s="2">
        <v>45718</v>
      </c>
      <c r="C106" t="s">
        <v>25</v>
      </c>
      <c r="D106" t="s">
        <v>12</v>
      </c>
      <c r="E106" t="s">
        <v>27</v>
      </c>
      <c r="F106" t="s">
        <v>14</v>
      </c>
      <c r="G106">
        <v>177</v>
      </c>
      <c r="H106">
        <v>750.16</v>
      </c>
      <c r="I106">
        <v>9</v>
      </c>
      <c r="J106" t="s">
        <v>15</v>
      </c>
      <c r="K106">
        <v>132778.32</v>
      </c>
      <c r="L106" t="str">
        <f t="shared" si="4"/>
        <v>Mar</v>
      </c>
      <c r="M106">
        <f t="shared" si="5"/>
        <v>2025</v>
      </c>
      <c r="N106">
        <f t="shared" si="6"/>
        <v>132778.32</v>
      </c>
      <c r="O106" t="str">
        <f t="shared" si="7"/>
        <v>Minor Delay</v>
      </c>
    </row>
    <row r="107" spans="1:15" x14ac:dyDescent="0.25">
      <c r="A107">
        <v>106</v>
      </c>
      <c r="B107" s="2">
        <v>45782</v>
      </c>
      <c r="C107" t="s">
        <v>18</v>
      </c>
      <c r="D107" t="s">
        <v>20</v>
      </c>
      <c r="E107" t="s">
        <v>27</v>
      </c>
      <c r="F107" t="s">
        <v>21</v>
      </c>
      <c r="G107">
        <v>87</v>
      </c>
      <c r="H107">
        <v>343.85</v>
      </c>
      <c r="I107">
        <v>57</v>
      </c>
      <c r="J107" t="s">
        <v>30</v>
      </c>
      <c r="K107">
        <v>29914.95</v>
      </c>
      <c r="L107" t="str">
        <f t="shared" si="4"/>
        <v>May</v>
      </c>
      <c r="M107">
        <f t="shared" si="5"/>
        <v>2025</v>
      </c>
      <c r="N107">
        <f t="shared" si="6"/>
        <v>29914.95</v>
      </c>
      <c r="O107" t="str">
        <f t="shared" si="7"/>
        <v>Moderate Delay</v>
      </c>
    </row>
    <row r="108" spans="1:15" x14ac:dyDescent="0.25">
      <c r="A108">
        <v>107</v>
      </c>
      <c r="B108" s="2">
        <v>45693</v>
      </c>
      <c r="C108" t="s">
        <v>26</v>
      </c>
      <c r="D108" t="s">
        <v>27</v>
      </c>
      <c r="E108" t="s">
        <v>29</v>
      </c>
      <c r="F108" t="s">
        <v>24</v>
      </c>
      <c r="G108">
        <v>137</v>
      </c>
      <c r="H108">
        <v>751.34</v>
      </c>
      <c r="I108">
        <v>0</v>
      </c>
      <c r="J108" t="s">
        <v>15</v>
      </c>
      <c r="K108">
        <v>102933.58</v>
      </c>
      <c r="L108" t="str">
        <f t="shared" si="4"/>
        <v>Feb</v>
      </c>
      <c r="M108">
        <f t="shared" si="5"/>
        <v>2025</v>
      </c>
      <c r="N108">
        <f t="shared" si="6"/>
        <v>102933.58</v>
      </c>
      <c r="O108" t="str">
        <f t="shared" si="7"/>
        <v>On Time</v>
      </c>
    </row>
    <row r="109" spans="1:15" x14ac:dyDescent="0.25">
      <c r="A109">
        <v>108</v>
      </c>
      <c r="B109" s="2">
        <v>45734</v>
      </c>
      <c r="C109" t="s">
        <v>18</v>
      </c>
      <c r="D109" t="s">
        <v>23</v>
      </c>
      <c r="E109" t="s">
        <v>27</v>
      </c>
      <c r="F109" t="s">
        <v>21</v>
      </c>
      <c r="G109">
        <v>173</v>
      </c>
      <c r="H109">
        <v>315.39</v>
      </c>
      <c r="I109">
        <v>17</v>
      </c>
      <c r="J109" t="s">
        <v>15</v>
      </c>
      <c r="K109">
        <v>54562.47</v>
      </c>
      <c r="L109" t="str">
        <f t="shared" si="4"/>
        <v>Mar</v>
      </c>
      <c r="M109">
        <f t="shared" si="5"/>
        <v>2025</v>
      </c>
      <c r="N109">
        <f t="shared" si="6"/>
        <v>54562.47</v>
      </c>
      <c r="O109" t="str">
        <f t="shared" si="7"/>
        <v>Minor Delay</v>
      </c>
    </row>
    <row r="110" spans="1:15" x14ac:dyDescent="0.25">
      <c r="A110">
        <v>109</v>
      </c>
      <c r="B110" s="2">
        <v>45891</v>
      </c>
      <c r="C110" t="s">
        <v>26</v>
      </c>
      <c r="D110" t="s">
        <v>27</v>
      </c>
      <c r="E110" t="s">
        <v>17</v>
      </c>
      <c r="F110" t="s">
        <v>14</v>
      </c>
      <c r="G110">
        <v>228</v>
      </c>
      <c r="H110">
        <v>236.72</v>
      </c>
      <c r="I110">
        <v>0</v>
      </c>
      <c r="J110" t="s">
        <v>15</v>
      </c>
      <c r="K110">
        <v>53972.160000000003</v>
      </c>
      <c r="L110" t="str">
        <f t="shared" si="4"/>
        <v>Aug</v>
      </c>
      <c r="M110">
        <f t="shared" si="5"/>
        <v>2025</v>
      </c>
      <c r="N110">
        <f t="shared" si="6"/>
        <v>53972.159999999996</v>
      </c>
      <c r="O110" t="str">
        <f t="shared" si="7"/>
        <v>On Time</v>
      </c>
    </row>
    <row r="111" spans="1:15" x14ac:dyDescent="0.25">
      <c r="A111">
        <v>110</v>
      </c>
      <c r="B111" s="2">
        <v>46019</v>
      </c>
      <c r="C111" t="s">
        <v>18</v>
      </c>
      <c r="D111" t="s">
        <v>22</v>
      </c>
      <c r="E111" t="s">
        <v>27</v>
      </c>
      <c r="F111" t="s">
        <v>24</v>
      </c>
      <c r="G111">
        <v>219</v>
      </c>
      <c r="H111">
        <v>646.37</v>
      </c>
      <c r="I111">
        <v>53</v>
      </c>
      <c r="J111" t="s">
        <v>15</v>
      </c>
      <c r="K111">
        <v>141555.03</v>
      </c>
      <c r="L111" t="str">
        <f t="shared" si="4"/>
        <v>Dec</v>
      </c>
      <c r="M111">
        <f t="shared" si="5"/>
        <v>2025</v>
      </c>
      <c r="N111">
        <f t="shared" si="6"/>
        <v>141555.03</v>
      </c>
      <c r="O111" t="str">
        <f t="shared" si="7"/>
        <v>Moderate Delay</v>
      </c>
    </row>
    <row r="112" spans="1:15" x14ac:dyDescent="0.25">
      <c r="A112">
        <v>111</v>
      </c>
      <c r="B112" s="2">
        <v>45676</v>
      </c>
      <c r="C112" t="s">
        <v>11</v>
      </c>
      <c r="D112" t="s">
        <v>29</v>
      </c>
      <c r="E112" t="s">
        <v>27</v>
      </c>
      <c r="F112" t="s">
        <v>21</v>
      </c>
      <c r="G112">
        <v>297</v>
      </c>
      <c r="H112">
        <v>496.73</v>
      </c>
      <c r="I112">
        <v>54</v>
      </c>
      <c r="J112" t="s">
        <v>15</v>
      </c>
      <c r="K112">
        <v>147528.81</v>
      </c>
      <c r="L112" t="str">
        <f t="shared" si="4"/>
        <v>Jan</v>
      </c>
      <c r="M112">
        <f t="shared" si="5"/>
        <v>2025</v>
      </c>
      <c r="N112">
        <f t="shared" si="6"/>
        <v>147528.81</v>
      </c>
      <c r="O112" t="str">
        <f t="shared" si="7"/>
        <v>Moderate Delay</v>
      </c>
    </row>
    <row r="113" spans="1:15" x14ac:dyDescent="0.25">
      <c r="A113">
        <v>112</v>
      </c>
      <c r="B113" s="2">
        <v>45665</v>
      </c>
      <c r="C113" t="s">
        <v>25</v>
      </c>
      <c r="D113" t="s">
        <v>27</v>
      </c>
      <c r="E113" t="s">
        <v>20</v>
      </c>
      <c r="F113" t="s">
        <v>14</v>
      </c>
      <c r="G113">
        <v>154</v>
      </c>
      <c r="H113">
        <v>704.49</v>
      </c>
      <c r="I113">
        <v>0</v>
      </c>
      <c r="J113" t="s">
        <v>30</v>
      </c>
      <c r="K113">
        <v>108491.46</v>
      </c>
      <c r="L113" t="str">
        <f t="shared" si="4"/>
        <v>Jan</v>
      </c>
      <c r="M113">
        <f t="shared" si="5"/>
        <v>2025</v>
      </c>
      <c r="N113">
        <f t="shared" si="6"/>
        <v>108491.46</v>
      </c>
      <c r="O113" t="str">
        <f t="shared" si="7"/>
        <v>On Time</v>
      </c>
    </row>
    <row r="114" spans="1:15" x14ac:dyDescent="0.25">
      <c r="A114">
        <v>113</v>
      </c>
      <c r="B114" s="2">
        <v>45793</v>
      </c>
      <c r="C114" t="s">
        <v>26</v>
      </c>
      <c r="D114" t="s">
        <v>12</v>
      </c>
      <c r="E114" t="s">
        <v>27</v>
      </c>
      <c r="F114" t="s">
        <v>21</v>
      </c>
      <c r="G114">
        <v>227</v>
      </c>
      <c r="H114">
        <v>354.14</v>
      </c>
      <c r="I114">
        <v>39</v>
      </c>
      <c r="J114" t="s">
        <v>15</v>
      </c>
      <c r="K114">
        <v>80389.78</v>
      </c>
      <c r="L114" t="str">
        <f t="shared" si="4"/>
        <v>May</v>
      </c>
      <c r="M114">
        <f t="shared" si="5"/>
        <v>2025</v>
      </c>
      <c r="N114">
        <f t="shared" si="6"/>
        <v>80389.78</v>
      </c>
      <c r="O114" t="str">
        <f t="shared" si="7"/>
        <v>Moderate Delay</v>
      </c>
    </row>
    <row r="115" spans="1:15" x14ac:dyDescent="0.25">
      <c r="A115">
        <v>114</v>
      </c>
      <c r="B115" s="2">
        <v>45820</v>
      </c>
      <c r="C115" t="s">
        <v>25</v>
      </c>
      <c r="D115" t="s">
        <v>27</v>
      </c>
      <c r="E115" t="s">
        <v>17</v>
      </c>
      <c r="F115" t="s">
        <v>21</v>
      </c>
      <c r="G115">
        <v>277</v>
      </c>
      <c r="H115">
        <v>621.96</v>
      </c>
      <c r="I115">
        <v>30</v>
      </c>
      <c r="J115" t="s">
        <v>30</v>
      </c>
      <c r="K115">
        <v>172282.92</v>
      </c>
      <c r="L115" t="str">
        <f t="shared" si="4"/>
        <v>Jun</v>
      </c>
      <c r="M115">
        <f t="shared" si="5"/>
        <v>2025</v>
      </c>
      <c r="N115">
        <f t="shared" si="6"/>
        <v>172282.92</v>
      </c>
      <c r="O115" t="str">
        <f t="shared" si="7"/>
        <v>Minor Delay</v>
      </c>
    </row>
    <row r="116" spans="1:15" x14ac:dyDescent="0.25">
      <c r="A116">
        <v>115</v>
      </c>
      <c r="B116" s="2">
        <v>45778</v>
      </c>
      <c r="C116" t="s">
        <v>25</v>
      </c>
      <c r="D116" t="s">
        <v>13</v>
      </c>
      <c r="E116" t="s">
        <v>29</v>
      </c>
      <c r="F116" t="s">
        <v>21</v>
      </c>
      <c r="G116">
        <v>285</v>
      </c>
      <c r="H116">
        <v>272.66000000000003</v>
      </c>
      <c r="I116">
        <v>21</v>
      </c>
      <c r="J116" t="s">
        <v>30</v>
      </c>
      <c r="K116">
        <v>77708.100000000006</v>
      </c>
      <c r="L116" t="str">
        <f t="shared" si="4"/>
        <v>May</v>
      </c>
      <c r="M116">
        <f t="shared" si="5"/>
        <v>2025</v>
      </c>
      <c r="N116">
        <f t="shared" si="6"/>
        <v>77708.100000000006</v>
      </c>
      <c r="O116" t="str">
        <f t="shared" si="7"/>
        <v>Minor Delay</v>
      </c>
    </row>
    <row r="117" spans="1:15" x14ac:dyDescent="0.25">
      <c r="A117">
        <v>116</v>
      </c>
      <c r="B117" s="2">
        <v>45743</v>
      </c>
      <c r="C117" t="s">
        <v>25</v>
      </c>
      <c r="D117" t="s">
        <v>12</v>
      </c>
      <c r="E117" t="s">
        <v>27</v>
      </c>
      <c r="F117" t="s">
        <v>24</v>
      </c>
      <c r="G117">
        <v>281</v>
      </c>
      <c r="H117">
        <v>81.42</v>
      </c>
      <c r="I117">
        <v>30</v>
      </c>
      <c r="J117" t="s">
        <v>15</v>
      </c>
      <c r="K117">
        <v>22879.02</v>
      </c>
      <c r="L117" t="str">
        <f t="shared" si="4"/>
        <v>Mar</v>
      </c>
      <c r="M117">
        <f t="shared" si="5"/>
        <v>2025</v>
      </c>
      <c r="N117">
        <f t="shared" si="6"/>
        <v>22879.02</v>
      </c>
      <c r="O117" t="str">
        <f t="shared" si="7"/>
        <v>Minor Delay</v>
      </c>
    </row>
    <row r="118" spans="1:15" x14ac:dyDescent="0.25">
      <c r="A118">
        <v>117</v>
      </c>
      <c r="B118" s="2">
        <v>45841</v>
      </c>
      <c r="C118" t="s">
        <v>26</v>
      </c>
      <c r="D118" t="s">
        <v>13</v>
      </c>
      <c r="E118" t="s">
        <v>22</v>
      </c>
      <c r="F118" t="s">
        <v>24</v>
      </c>
      <c r="G118">
        <v>87</v>
      </c>
      <c r="H118">
        <v>240.71</v>
      </c>
      <c r="I118">
        <v>0</v>
      </c>
      <c r="J118" t="s">
        <v>15</v>
      </c>
      <c r="K118">
        <v>20941.77</v>
      </c>
      <c r="L118" t="str">
        <f t="shared" si="4"/>
        <v>Jul</v>
      </c>
      <c r="M118">
        <f t="shared" si="5"/>
        <v>2025</v>
      </c>
      <c r="N118">
        <f t="shared" si="6"/>
        <v>20941.77</v>
      </c>
      <c r="O118" t="str">
        <f t="shared" si="7"/>
        <v>On Time</v>
      </c>
    </row>
    <row r="119" spans="1:15" x14ac:dyDescent="0.25">
      <c r="A119">
        <v>118</v>
      </c>
      <c r="B119" s="2">
        <v>45970</v>
      </c>
      <c r="C119" t="s">
        <v>18</v>
      </c>
      <c r="D119" t="s">
        <v>29</v>
      </c>
      <c r="E119" t="s">
        <v>12</v>
      </c>
      <c r="F119" t="s">
        <v>21</v>
      </c>
      <c r="G119">
        <v>224</v>
      </c>
      <c r="H119">
        <v>238.21</v>
      </c>
      <c r="I119">
        <v>39</v>
      </c>
      <c r="J119" t="s">
        <v>30</v>
      </c>
      <c r="K119">
        <v>53359.040000000001</v>
      </c>
      <c r="L119" t="str">
        <f t="shared" si="4"/>
        <v>Nov</v>
      </c>
      <c r="M119">
        <f t="shared" si="5"/>
        <v>2025</v>
      </c>
      <c r="N119">
        <f t="shared" si="6"/>
        <v>53359.040000000001</v>
      </c>
      <c r="O119" t="str">
        <f t="shared" si="7"/>
        <v>Moderate Delay</v>
      </c>
    </row>
    <row r="120" spans="1:15" x14ac:dyDescent="0.25">
      <c r="A120">
        <v>119</v>
      </c>
      <c r="B120" s="2">
        <v>45894</v>
      </c>
      <c r="C120" t="s">
        <v>25</v>
      </c>
      <c r="D120" t="s">
        <v>29</v>
      </c>
      <c r="E120" t="s">
        <v>23</v>
      </c>
      <c r="F120" t="s">
        <v>24</v>
      </c>
      <c r="G120">
        <v>167</v>
      </c>
      <c r="H120">
        <v>248.94</v>
      </c>
      <c r="I120">
        <v>65</v>
      </c>
      <c r="J120" t="s">
        <v>30</v>
      </c>
      <c r="K120">
        <v>41572.980000000003</v>
      </c>
      <c r="L120" t="str">
        <f t="shared" si="4"/>
        <v>Aug</v>
      </c>
      <c r="M120">
        <f t="shared" si="5"/>
        <v>2025</v>
      </c>
      <c r="N120">
        <f t="shared" si="6"/>
        <v>41572.980000000003</v>
      </c>
      <c r="O120" t="str">
        <f t="shared" si="7"/>
        <v>Major Delay</v>
      </c>
    </row>
    <row r="121" spans="1:15" x14ac:dyDescent="0.25">
      <c r="A121">
        <v>120</v>
      </c>
      <c r="B121" s="2">
        <v>45695</v>
      </c>
      <c r="C121" t="s">
        <v>18</v>
      </c>
      <c r="D121" t="s">
        <v>27</v>
      </c>
      <c r="E121" t="s">
        <v>29</v>
      </c>
      <c r="F121" t="s">
        <v>24</v>
      </c>
      <c r="G121">
        <v>200</v>
      </c>
      <c r="H121">
        <v>281.37</v>
      </c>
      <c r="I121">
        <v>22</v>
      </c>
      <c r="J121" t="s">
        <v>30</v>
      </c>
      <c r="K121">
        <v>56274</v>
      </c>
      <c r="L121" t="str">
        <f t="shared" si="4"/>
        <v>Feb</v>
      </c>
      <c r="M121">
        <f t="shared" si="5"/>
        <v>2025</v>
      </c>
      <c r="N121">
        <f t="shared" si="6"/>
        <v>56274</v>
      </c>
      <c r="O121" t="str">
        <f t="shared" si="7"/>
        <v>Minor Delay</v>
      </c>
    </row>
    <row r="122" spans="1:15" x14ac:dyDescent="0.25">
      <c r="A122">
        <v>121</v>
      </c>
      <c r="B122" s="2">
        <v>45812</v>
      </c>
      <c r="C122" t="s">
        <v>11</v>
      </c>
      <c r="D122" t="s">
        <v>23</v>
      </c>
      <c r="E122" t="s">
        <v>27</v>
      </c>
      <c r="F122" t="s">
        <v>24</v>
      </c>
      <c r="G122">
        <v>268</v>
      </c>
      <c r="H122">
        <v>417.57</v>
      </c>
      <c r="I122">
        <v>22</v>
      </c>
      <c r="J122" t="s">
        <v>15</v>
      </c>
      <c r="K122">
        <v>111908.76</v>
      </c>
      <c r="L122" t="str">
        <f t="shared" si="4"/>
        <v>Jun</v>
      </c>
      <c r="M122">
        <f t="shared" si="5"/>
        <v>2025</v>
      </c>
      <c r="N122">
        <f t="shared" si="6"/>
        <v>111908.76</v>
      </c>
      <c r="O122" t="str">
        <f t="shared" si="7"/>
        <v>Minor Delay</v>
      </c>
    </row>
    <row r="123" spans="1:15" x14ac:dyDescent="0.25">
      <c r="A123">
        <v>122</v>
      </c>
      <c r="B123" s="2">
        <v>45995</v>
      </c>
      <c r="C123" t="s">
        <v>18</v>
      </c>
      <c r="D123" t="s">
        <v>23</v>
      </c>
      <c r="E123" t="s">
        <v>13</v>
      </c>
      <c r="F123" t="s">
        <v>24</v>
      </c>
      <c r="G123">
        <v>52</v>
      </c>
      <c r="H123">
        <v>478.79</v>
      </c>
      <c r="I123">
        <v>52</v>
      </c>
      <c r="J123" t="s">
        <v>15</v>
      </c>
      <c r="K123">
        <v>24897.08</v>
      </c>
      <c r="L123" t="str">
        <f t="shared" si="4"/>
        <v>Dec</v>
      </c>
      <c r="M123">
        <f t="shared" si="5"/>
        <v>2025</v>
      </c>
      <c r="N123">
        <f t="shared" si="6"/>
        <v>24897.08</v>
      </c>
      <c r="O123" t="str">
        <f t="shared" si="7"/>
        <v>Moderate Delay</v>
      </c>
    </row>
    <row r="124" spans="1:15" x14ac:dyDescent="0.25">
      <c r="A124">
        <v>123</v>
      </c>
      <c r="B124" s="2">
        <v>45804</v>
      </c>
      <c r="C124" t="s">
        <v>11</v>
      </c>
      <c r="D124" t="s">
        <v>13</v>
      </c>
      <c r="E124" t="s">
        <v>27</v>
      </c>
      <c r="F124" t="s">
        <v>21</v>
      </c>
      <c r="G124">
        <v>255</v>
      </c>
      <c r="H124">
        <v>320.72000000000003</v>
      </c>
      <c r="I124">
        <v>0</v>
      </c>
      <c r="J124" t="s">
        <v>15</v>
      </c>
      <c r="K124">
        <v>81783.600000000006</v>
      </c>
      <c r="L124" t="str">
        <f t="shared" si="4"/>
        <v>May</v>
      </c>
      <c r="M124">
        <f t="shared" si="5"/>
        <v>2025</v>
      </c>
      <c r="N124">
        <f t="shared" si="6"/>
        <v>81783.600000000006</v>
      </c>
      <c r="O124" t="str">
        <f t="shared" si="7"/>
        <v>On Time</v>
      </c>
    </row>
    <row r="125" spans="1:15" x14ac:dyDescent="0.25">
      <c r="A125">
        <v>124</v>
      </c>
      <c r="B125" s="2">
        <v>45979</v>
      </c>
      <c r="C125" t="s">
        <v>25</v>
      </c>
      <c r="D125" t="s">
        <v>29</v>
      </c>
      <c r="E125" t="s">
        <v>12</v>
      </c>
      <c r="F125" t="s">
        <v>14</v>
      </c>
      <c r="G125">
        <v>129</v>
      </c>
      <c r="H125">
        <v>643.57000000000005</v>
      </c>
      <c r="I125">
        <v>0</v>
      </c>
      <c r="J125" t="s">
        <v>15</v>
      </c>
      <c r="K125">
        <v>83020.53</v>
      </c>
      <c r="L125" t="str">
        <f t="shared" si="4"/>
        <v>Nov</v>
      </c>
      <c r="M125">
        <f t="shared" si="5"/>
        <v>2025</v>
      </c>
      <c r="N125">
        <f t="shared" si="6"/>
        <v>83020.530000000013</v>
      </c>
      <c r="O125" t="str">
        <f t="shared" si="7"/>
        <v>On Time</v>
      </c>
    </row>
    <row r="126" spans="1:15" x14ac:dyDescent="0.25">
      <c r="A126">
        <v>125</v>
      </c>
      <c r="B126" s="2">
        <v>45704</v>
      </c>
      <c r="C126" t="s">
        <v>26</v>
      </c>
      <c r="D126" t="s">
        <v>22</v>
      </c>
      <c r="E126" t="s">
        <v>29</v>
      </c>
      <c r="F126" t="s">
        <v>24</v>
      </c>
      <c r="G126">
        <v>241</v>
      </c>
      <c r="H126">
        <v>367.47</v>
      </c>
      <c r="I126">
        <v>33</v>
      </c>
      <c r="J126" t="s">
        <v>30</v>
      </c>
      <c r="K126">
        <v>88560.27</v>
      </c>
      <c r="L126" t="str">
        <f t="shared" si="4"/>
        <v>Feb</v>
      </c>
      <c r="M126">
        <f t="shared" si="5"/>
        <v>2025</v>
      </c>
      <c r="N126">
        <f t="shared" si="6"/>
        <v>88560.27</v>
      </c>
      <c r="O126" t="str">
        <f t="shared" si="7"/>
        <v>Moderate Delay</v>
      </c>
    </row>
    <row r="127" spans="1:15" x14ac:dyDescent="0.25">
      <c r="A127">
        <v>126</v>
      </c>
      <c r="B127" s="2">
        <v>45742</v>
      </c>
      <c r="C127" t="s">
        <v>26</v>
      </c>
      <c r="D127" t="s">
        <v>22</v>
      </c>
      <c r="E127" t="s">
        <v>23</v>
      </c>
      <c r="F127" t="s">
        <v>24</v>
      </c>
      <c r="G127">
        <v>297</v>
      </c>
      <c r="H127">
        <v>656.8</v>
      </c>
      <c r="I127">
        <v>61</v>
      </c>
      <c r="J127" t="s">
        <v>15</v>
      </c>
      <c r="K127">
        <v>195069.6</v>
      </c>
      <c r="L127" t="str">
        <f t="shared" si="4"/>
        <v>Mar</v>
      </c>
      <c r="M127">
        <f t="shared" si="5"/>
        <v>2025</v>
      </c>
      <c r="N127">
        <f t="shared" si="6"/>
        <v>195069.59999999998</v>
      </c>
      <c r="O127" t="str">
        <f t="shared" si="7"/>
        <v>Major Delay</v>
      </c>
    </row>
    <row r="128" spans="1:15" x14ac:dyDescent="0.25">
      <c r="A128">
        <v>127</v>
      </c>
      <c r="B128" s="2">
        <v>45897</v>
      </c>
      <c r="C128" t="s">
        <v>16</v>
      </c>
      <c r="D128" t="s">
        <v>22</v>
      </c>
      <c r="E128" t="s">
        <v>12</v>
      </c>
      <c r="F128" t="s">
        <v>14</v>
      </c>
      <c r="G128">
        <v>243</v>
      </c>
      <c r="H128">
        <v>775.21</v>
      </c>
      <c r="I128">
        <v>45</v>
      </c>
      <c r="J128" t="s">
        <v>30</v>
      </c>
      <c r="K128">
        <v>188376.03</v>
      </c>
      <c r="L128" t="str">
        <f t="shared" si="4"/>
        <v>Aug</v>
      </c>
      <c r="M128">
        <f t="shared" si="5"/>
        <v>2025</v>
      </c>
      <c r="N128">
        <f t="shared" si="6"/>
        <v>188376.03</v>
      </c>
      <c r="O128" t="str">
        <f t="shared" si="7"/>
        <v>Moderate Delay</v>
      </c>
    </row>
    <row r="129" spans="1:15" x14ac:dyDescent="0.25">
      <c r="A129">
        <v>128</v>
      </c>
      <c r="B129" s="2">
        <v>45704</v>
      </c>
      <c r="C129" t="s">
        <v>18</v>
      </c>
      <c r="D129" t="s">
        <v>27</v>
      </c>
      <c r="E129" t="s">
        <v>22</v>
      </c>
      <c r="F129" t="s">
        <v>14</v>
      </c>
      <c r="G129">
        <v>117</v>
      </c>
      <c r="H129">
        <v>457.06</v>
      </c>
      <c r="I129">
        <v>0</v>
      </c>
      <c r="J129" t="s">
        <v>15</v>
      </c>
      <c r="K129">
        <v>53476.02</v>
      </c>
      <c r="L129" t="str">
        <f t="shared" si="4"/>
        <v>Feb</v>
      </c>
      <c r="M129">
        <f t="shared" si="5"/>
        <v>2025</v>
      </c>
      <c r="N129">
        <f t="shared" si="6"/>
        <v>53476.02</v>
      </c>
      <c r="O129" t="str">
        <f t="shared" si="7"/>
        <v>On Time</v>
      </c>
    </row>
    <row r="130" spans="1:15" x14ac:dyDescent="0.25">
      <c r="A130">
        <v>129</v>
      </c>
      <c r="B130" s="2">
        <v>45984</v>
      </c>
      <c r="C130" t="s">
        <v>26</v>
      </c>
      <c r="D130" t="s">
        <v>23</v>
      </c>
      <c r="E130" t="s">
        <v>20</v>
      </c>
      <c r="F130" t="s">
        <v>14</v>
      </c>
      <c r="G130">
        <v>222</v>
      </c>
      <c r="H130">
        <v>233.03</v>
      </c>
      <c r="I130">
        <v>71</v>
      </c>
      <c r="J130" t="s">
        <v>15</v>
      </c>
      <c r="K130">
        <v>51732.66</v>
      </c>
      <c r="L130" t="str">
        <f t="shared" si="4"/>
        <v>Nov</v>
      </c>
      <c r="M130">
        <f t="shared" si="5"/>
        <v>2025</v>
      </c>
      <c r="N130">
        <f t="shared" si="6"/>
        <v>51732.66</v>
      </c>
      <c r="O130" t="str">
        <f t="shared" si="7"/>
        <v>Major Delay</v>
      </c>
    </row>
    <row r="131" spans="1:15" x14ac:dyDescent="0.25">
      <c r="A131">
        <v>130</v>
      </c>
      <c r="B131" s="2">
        <v>45983</v>
      </c>
      <c r="C131" t="s">
        <v>18</v>
      </c>
      <c r="D131" t="s">
        <v>19</v>
      </c>
      <c r="E131" t="s">
        <v>12</v>
      </c>
      <c r="F131" t="s">
        <v>21</v>
      </c>
      <c r="G131">
        <v>127</v>
      </c>
      <c r="H131">
        <v>540.44000000000005</v>
      </c>
      <c r="I131">
        <v>28</v>
      </c>
      <c r="J131" t="s">
        <v>15</v>
      </c>
      <c r="K131">
        <v>68635.88</v>
      </c>
      <c r="L131" t="str">
        <f t="shared" ref="L131:L194" si="8">TEXT(B131,"MMM")</f>
        <v>Nov</v>
      </c>
      <c r="M131">
        <f t="shared" ref="M131:M194" si="9">YEAR(B131)</f>
        <v>2025</v>
      </c>
      <c r="N131">
        <f t="shared" ref="N131:N194" si="10">G131*H131</f>
        <v>68635.88</v>
      </c>
      <c r="O131" t="str">
        <f t="shared" ref="O131:O194" si="11">IF(I131=0,"On Time",IF(I131&lt;=30,"Minor Delay",IF(I131&lt;=60,"Moderate Delay","Major Delay")))</f>
        <v>Minor Delay</v>
      </c>
    </row>
    <row r="132" spans="1:15" x14ac:dyDescent="0.25">
      <c r="A132">
        <v>131</v>
      </c>
      <c r="B132" s="2">
        <v>45813</v>
      </c>
      <c r="C132" t="s">
        <v>18</v>
      </c>
      <c r="D132" t="s">
        <v>13</v>
      </c>
      <c r="E132" t="s">
        <v>12</v>
      </c>
      <c r="F132" t="s">
        <v>14</v>
      </c>
      <c r="G132">
        <v>74</v>
      </c>
      <c r="H132">
        <v>233.75</v>
      </c>
      <c r="I132">
        <v>0</v>
      </c>
      <c r="J132" t="s">
        <v>15</v>
      </c>
      <c r="K132">
        <v>17297.5</v>
      </c>
      <c r="L132" t="str">
        <f t="shared" si="8"/>
        <v>Jun</v>
      </c>
      <c r="M132">
        <f t="shared" si="9"/>
        <v>2025</v>
      </c>
      <c r="N132">
        <f t="shared" si="10"/>
        <v>17297.5</v>
      </c>
      <c r="O132" t="str">
        <f t="shared" si="11"/>
        <v>On Time</v>
      </c>
    </row>
    <row r="133" spans="1:15" x14ac:dyDescent="0.25">
      <c r="A133">
        <v>132</v>
      </c>
      <c r="B133" s="2">
        <v>45958</v>
      </c>
      <c r="C133" t="s">
        <v>25</v>
      </c>
      <c r="D133" t="s">
        <v>27</v>
      </c>
      <c r="E133" t="s">
        <v>17</v>
      </c>
      <c r="F133" t="s">
        <v>21</v>
      </c>
      <c r="G133">
        <v>89</v>
      </c>
      <c r="H133">
        <v>715.21</v>
      </c>
      <c r="I133">
        <v>14</v>
      </c>
      <c r="J133" t="s">
        <v>15</v>
      </c>
      <c r="K133">
        <v>63653.69</v>
      </c>
      <c r="L133" t="str">
        <f t="shared" si="8"/>
        <v>Oct</v>
      </c>
      <c r="M133">
        <f t="shared" si="9"/>
        <v>2025</v>
      </c>
      <c r="N133">
        <f t="shared" si="10"/>
        <v>63653.69</v>
      </c>
      <c r="O133" t="str">
        <f t="shared" si="11"/>
        <v>Minor Delay</v>
      </c>
    </row>
    <row r="134" spans="1:15" x14ac:dyDescent="0.25">
      <c r="A134">
        <v>133</v>
      </c>
      <c r="B134" s="2">
        <v>45801</v>
      </c>
      <c r="C134" t="s">
        <v>16</v>
      </c>
      <c r="D134" t="s">
        <v>20</v>
      </c>
      <c r="E134" t="s">
        <v>17</v>
      </c>
      <c r="F134" t="s">
        <v>21</v>
      </c>
      <c r="G134">
        <v>144</v>
      </c>
      <c r="H134">
        <v>220.78</v>
      </c>
      <c r="I134">
        <v>2</v>
      </c>
      <c r="J134" t="s">
        <v>15</v>
      </c>
      <c r="K134">
        <v>31792.32</v>
      </c>
      <c r="L134" t="str">
        <f t="shared" si="8"/>
        <v>May</v>
      </c>
      <c r="M134">
        <f t="shared" si="9"/>
        <v>2025</v>
      </c>
      <c r="N134">
        <f t="shared" si="10"/>
        <v>31792.32</v>
      </c>
      <c r="O134" t="str">
        <f t="shared" si="11"/>
        <v>Minor Delay</v>
      </c>
    </row>
    <row r="135" spans="1:15" x14ac:dyDescent="0.25">
      <c r="A135">
        <v>134</v>
      </c>
      <c r="B135" s="2">
        <v>45689</v>
      </c>
      <c r="C135" t="s">
        <v>18</v>
      </c>
      <c r="D135" t="s">
        <v>22</v>
      </c>
      <c r="E135" t="s">
        <v>17</v>
      </c>
      <c r="F135" t="s">
        <v>24</v>
      </c>
      <c r="G135">
        <v>98</v>
      </c>
      <c r="H135">
        <v>776.47</v>
      </c>
      <c r="I135">
        <v>26</v>
      </c>
      <c r="J135" t="s">
        <v>30</v>
      </c>
      <c r="K135">
        <v>76094.06</v>
      </c>
      <c r="L135" t="str">
        <f t="shared" si="8"/>
        <v>Feb</v>
      </c>
      <c r="M135">
        <f t="shared" si="9"/>
        <v>2025</v>
      </c>
      <c r="N135">
        <f t="shared" si="10"/>
        <v>76094.06</v>
      </c>
      <c r="O135" t="str">
        <f t="shared" si="11"/>
        <v>Minor Delay</v>
      </c>
    </row>
    <row r="136" spans="1:15" x14ac:dyDescent="0.25">
      <c r="A136">
        <v>135</v>
      </c>
      <c r="B136" s="2">
        <v>45997</v>
      </c>
      <c r="C136" t="s">
        <v>11</v>
      </c>
      <c r="D136" t="s">
        <v>20</v>
      </c>
      <c r="E136" t="s">
        <v>12</v>
      </c>
      <c r="F136" t="s">
        <v>21</v>
      </c>
      <c r="G136">
        <v>213</v>
      </c>
      <c r="H136">
        <v>501.89</v>
      </c>
      <c r="I136">
        <v>63</v>
      </c>
      <c r="J136" t="s">
        <v>15</v>
      </c>
      <c r="K136">
        <v>106902.57</v>
      </c>
      <c r="L136" t="str">
        <f t="shared" si="8"/>
        <v>Dec</v>
      </c>
      <c r="M136">
        <f t="shared" si="9"/>
        <v>2025</v>
      </c>
      <c r="N136">
        <f t="shared" si="10"/>
        <v>106902.56999999999</v>
      </c>
      <c r="O136" t="str">
        <f t="shared" si="11"/>
        <v>Major Delay</v>
      </c>
    </row>
    <row r="137" spans="1:15" x14ac:dyDescent="0.25">
      <c r="A137">
        <v>136</v>
      </c>
      <c r="B137" s="2">
        <v>45693</v>
      </c>
      <c r="C137" t="s">
        <v>31</v>
      </c>
      <c r="D137" t="s">
        <v>29</v>
      </c>
      <c r="E137" t="s">
        <v>23</v>
      </c>
      <c r="F137" t="s">
        <v>14</v>
      </c>
      <c r="G137">
        <v>200</v>
      </c>
      <c r="H137">
        <v>219.8</v>
      </c>
      <c r="I137">
        <v>25</v>
      </c>
      <c r="J137" t="s">
        <v>30</v>
      </c>
      <c r="K137">
        <v>43960</v>
      </c>
      <c r="L137" t="str">
        <f t="shared" si="8"/>
        <v>Feb</v>
      </c>
      <c r="M137">
        <f t="shared" si="9"/>
        <v>2025</v>
      </c>
      <c r="N137">
        <f t="shared" si="10"/>
        <v>43960</v>
      </c>
      <c r="O137" t="str">
        <f t="shared" si="11"/>
        <v>Minor Delay</v>
      </c>
    </row>
    <row r="138" spans="1:15" x14ac:dyDescent="0.25">
      <c r="A138">
        <v>137</v>
      </c>
      <c r="B138" s="2">
        <v>45963</v>
      </c>
      <c r="C138" t="s">
        <v>16</v>
      </c>
      <c r="D138" t="s">
        <v>22</v>
      </c>
      <c r="E138" t="s">
        <v>29</v>
      </c>
      <c r="F138" t="s">
        <v>24</v>
      </c>
      <c r="G138">
        <v>269</v>
      </c>
      <c r="H138">
        <v>788.18</v>
      </c>
      <c r="I138">
        <v>51</v>
      </c>
      <c r="J138" t="s">
        <v>15</v>
      </c>
      <c r="K138">
        <v>212020.42</v>
      </c>
      <c r="L138" t="str">
        <f t="shared" si="8"/>
        <v>Nov</v>
      </c>
      <c r="M138">
        <f t="shared" si="9"/>
        <v>2025</v>
      </c>
      <c r="N138">
        <f t="shared" si="10"/>
        <v>212020.41999999998</v>
      </c>
      <c r="O138" t="str">
        <f t="shared" si="11"/>
        <v>Moderate Delay</v>
      </c>
    </row>
    <row r="139" spans="1:15" x14ac:dyDescent="0.25">
      <c r="A139">
        <v>138</v>
      </c>
      <c r="B139" s="2">
        <v>45725</v>
      </c>
      <c r="C139" t="s">
        <v>16</v>
      </c>
      <c r="D139" t="s">
        <v>12</v>
      </c>
      <c r="E139" t="s">
        <v>13</v>
      </c>
      <c r="F139" t="s">
        <v>24</v>
      </c>
      <c r="G139">
        <v>252</v>
      </c>
      <c r="H139">
        <v>643.44000000000005</v>
      </c>
      <c r="I139">
        <v>17</v>
      </c>
      <c r="J139" t="s">
        <v>15</v>
      </c>
      <c r="K139">
        <v>162146.88</v>
      </c>
      <c r="L139" t="str">
        <f t="shared" si="8"/>
        <v>Mar</v>
      </c>
      <c r="M139">
        <f t="shared" si="9"/>
        <v>2025</v>
      </c>
      <c r="N139">
        <f t="shared" si="10"/>
        <v>162146.88</v>
      </c>
      <c r="O139" t="str">
        <f t="shared" si="11"/>
        <v>Minor Delay</v>
      </c>
    </row>
    <row r="140" spans="1:15" x14ac:dyDescent="0.25">
      <c r="A140">
        <v>139</v>
      </c>
      <c r="B140" s="2">
        <v>45793</v>
      </c>
      <c r="C140" t="s">
        <v>16</v>
      </c>
      <c r="D140" t="s">
        <v>13</v>
      </c>
      <c r="E140" t="s">
        <v>19</v>
      </c>
      <c r="F140" t="s">
        <v>14</v>
      </c>
      <c r="G140">
        <v>239</v>
      </c>
      <c r="H140">
        <v>371.51</v>
      </c>
      <c r="I140">
        <v>26</v>
      </c>
      <c r="J140" t="s">
        <v>15</v>
      </c>
      <c r="K140">
        <v>88790.89</v>
      </c>
      <c r="L140" t="str">
        <f t="shared" si="8"/>
        <v>May</v>
      </c>
      <c r="M140">
        <f t="shared" si="9"/>
        <v>2025</v>
      </c>
      <c r="N140">
        <f t="shared" si="10"/>
        <v>88790.89</v>
      </c>
      <c r="O140" t="str">
        <f t="shared" si="11"/>
        <v>Minor Delay</v>
      </c>
    </row>
    <row r="141" spans="1:15" x14ac:dyDescent="0.25">
      <c r="A141">
        <v>140</v>
      </c>
      <c r="B141" s="2">
        <v>45889</v>
      </c>
      <c r="C141" t="s">
        <v>31</v>
      </c>
      <c r="D141" t="s">
        <v>22</v>
      </c>
      <c r="E141" t="s">
        <v>12</v>
      </c>
      <c r="F141" t="s">
        <v>14</v>
      </c>
      <c r="G141">
        <v>292</v>
      </c>
      <c r="H141">
        <v>515.17999999999995</v>
      </c>
      <c r="I141">
        <v>25</v>
      </c>
      <c r="J141" t="s">
        <v>15</v>
      </c>
      <c r="K141">
        <v>150432.56</v>
      </c>
      <c r="L141" t="str">
        <f t="shared" si="8"/>
        <v>Aug</v>
      </c>
      <c r="M141">
        <f t="shared" si="9"/>
        <v>2025</v>
      </c>
      <c r="N141">
        <f t="shared" si="10"/>
        <v>150432.56</v>
      </c>
      <c r="O141" t="str">
        <f t="shared" si="11"/>
        <v>Minor Delay</v>
      </c>
    </row>
    <row r="142" spans="1:15" x14ac:dyDescent="0.25">
      <c r="A142">
        <v>141</v>
      </c>
      <c r="B142" s="2">
        <v>45892</v>
      </c>
      <c r="C142" t="s">
        <v>25</v>
      </c>
      <c r="D142" t="s">
        <v>27</v>
      </c>
      <c r="E142" t="s">
        <v>23</v>
      </c>
      <c r="F142" t="s">
        <v>14</v>
      </c>
      <c r="G142">
        <v>65</v>
      </c>
      <c r="H142">
        <v>798.95</v>
      </c>
      <c r="I142">
        <v>35</v>
      </c>
      <c r="J142" t="s">
        <v>15</v>
      </c>
      <c r="K142">
        <v>51931.75</v>
      </c>
      <c r="L142" t="str">
        <f t="shared" si="8"/>
        <v>Aug</v>
      </c>
      <c r="M142">
        <f t="shared" si="9"/>
        <v>2025</v>
      </c>
      <c r="N142">
        <f t="shared" si="10"/>
        <v>51931.75</v>
      </c>
      <c r="O142" t="str">
        <f t="shared" si="11"/>
        <v>Moderate Delay</v>
      </c>
    </row>
    <row r="143" spans="1:15" x14ac:dyDescent="0.25">
      <c r="A143">
        <v>142</v>
      </c>
      <c r="B143" s="2">
        <v>45699</v>
      </c>
      <c r="C143" t="s">
        <v>26</v>
      </c>
      <c r="D143" t="s">
        <v>20</v>
      </c>
      <c r="E143" t="s">
        <v>12</v>
      </c>
      <c r="F143" t="s">
        <v>21</v>
      </c>
      <c r="G143">
        <v>87</v>
      </c>
      <c r="H143">
        <v>108.6</v>
      </c>
      <c r="I143">
        <v>0</v>
      </c>
      <c r="J143" t="s">
        <v>15</v>
      </c>
      <c r="K143">
        <v>9448.2000000000007</v>
      </c>
      <c r="L143" t="str">
        <f t="shared" si="8"/>
        <v>Feb</v>
      </c>
      <c r="M143">
        <f t="shared" si="9"/>
        <v>2025</v>
      </c>
      <c r="N143">
        <f t="shared" si="10"/>
        <v>9448.1999999999989</v>
      </c>
      <c r="O143" t="str">
        <f t="shared" si="11"/>
        <v>On Time</v>
      </c>
    </row>
    <row r="144" spans="1:15" x14ac:dyDescent="0.25">
      <c r="A144">
        <v>143</v>
      </c>
      <c r="B144" s="2">
        <v>45853</v>
      </c>
      <c r="C144" t="s">
        <v>31</v>
      </c>
      <c r="D144" t="s">
        <v>27</v>
      </c>
      <c r="E144" t="s">
        <v>22</v>
      </c>
      <c r="F144" t="s">
        <v>21</v>
      </c>
      <c r="G144">
        <v>125</v>
      </c>
      <c r="H144">
        <v>395.75</v>
      </c>
      <c r="I144">
        <v>10</v>
      </c>
      <c r="J144" t="s">
        <v>15</v>
      </c>
      <c r="K144">
        <v>49468.75</v>
      </c>
      <c r="L144" t="str">
        <f t="shared" si="8"/>
        <v>Jul</v>
      </c>
      <c r="M144">
        <f t="shared" si="9"/>
        <v>2025</v>
      </c>
      <c r="N144">
        <f t="shared" si="10"/>
        <v>49468.75</v>
      </c>
      <c r="O144" t="str">
        <f t="shared" si="11"/>
        <v>Minor Delay</v>
      </c>
    </row>
    <row r="145" spans="1:15" x14ac:dyDescent="0.25">
      <c r="A145">
        <v>144</v>
      </c>
      <c r="B145" s="2">
        <v>45878</v>
      </c>
      <c r="C145" t="s">
        <v>18</v>
      </c>
      <c r="D145" t="s">
        <v>27</v>
      </c>
      <c r="E145" t="s">
        <v>19</v>
      </c>
      <c r="F145" t="s">
        <v>14</v>
      </c>
      <c r="G145">
        <v>155</v>
      </c>
      <c r="H145">
        <v>310.81</v>
      </c>
      <c r="I145">
        <v>12</v>
      </c>
      <c r="J145" t="s">
        <v>15</v>
      </c>
      <c r="K145">
        <v>48175.55</v>
      </c>
      <c r="L145" t="str">
        <f t="shared" si="8"/>
        <v>Aug</v>
      </c>
      <c r="M145">
        <f t="shared" si="9"/>
        <v>2025</v>
      </c>
      <c r="N145">
        <f t="shared" si="10"/>
        <v>48175.55</v>
      </c>
      <c r="O145" t="str">
        <f t="shared" si="11"/>
        <v>Minor Delay</v>
      </c>
    </row>
    <row r="146" spans="1:15" x14ac:dyDescent="0.25">
      <c r="A146">
        <v>145</v>
      </c>
      <c r="B146" s="2">
        <v>45818</v>
      </c>
      <c r="C146" t="s">
        <v>18</v>
      </c>
      <c r="D146" t="s">
        <v>17</v>
      </c>
      <c r="E146" t="s">
        <v>12</v>
      </c>
      <c r="F146" t="s">
        <v>24</v>
      </c>
      <c r="G146">
        <v>220</v>
      </c>
      <c r="H146">
        <v>248.62</v>
      </c>
      <c r="I146">
        <v>56</v>
      </c>
      <c r="J146" t="s">
        <v>15</v>
      </c>
      <c r="K146">
        <v>54696.4</v>
      </c>
      <c r="L146" t="str">
        <f t="shared" si="8"/>
        <v>Jun</v>
      </c>
      <c r="M146">
        <f t="shared" si="9"/>
        <v>2025</v>
      </c>
      <c r="N146">
        <f t="shared" si="10"/>
        <v>54696.4</v>
      </c>
      <c r="O146" t="str">
        <f t="shared" si="11"/>
        <v>Moderate Delay</v>
      </c>
    </row>
    <row r="147" spans="1:15" x14ac:dyDescent="0.25">
      <c r="A147">
        <v>146</v>
      </c>
      <c r="B147" s="2">
        <v>45705</v>
      </c>
      <c r="C147" t="s">
        <v>18</v>
      </c>
      <c r="D147" t="s">
        <v>12</v>
      </c>
      <c r="E147" t="s">
        <v>29</v>
      </c>
      <c r="F147" t="s">
        <v>14</v>
      </c>
      <c r="G147">
        <v>240</v>
      </c>
      <c r="H147">
        <v>606.71</v>
      </c>
      <c r="I147">
        <v>9</v>
      </c>
      <c r="J147" t="s">
        <v>30</v>
      </c>
      <c r="K147">
        <v>145610.4</v>
      </c>
      <c r="L147" t="str">
        <f t="shared" si="8"/>
        <v>Feb</v>
      </c>
      <c r="M147">
        <f t="shared" si="9"/>
        <v>2025</v>
      </c>
      <c r="N147">
        <f t="shared" si="10"/>
        <v>145610.40000000002</v>
      </c>
      <c r="O147" t="str">
        <f t="shared" si="11"/>
        <v>Minor Delay</v>
      </c>
    </row>
    <row r="148" spans="1:15" x14ac:dyDescent="0.25">
      <c r="A148">
        <v>147</v>
      </c>
      <c r="B148" s="2">
        <v>45958</v>
      </c>
      <c r="C148" t="s">
        <v>31</v>
      </c>
      <c r="D148" t="s">
        <v>27</v>
      </c>
      <c r="E148" t="s">
        <v>13</v>
      </c>
      <c r="F148" t="s">
        <v>21</v>
      </c>
      <c r="G148">
        <v>134</v>
      </c>
      <c r="H148">
        <v>555.80999999999995</v>
      </c>
      <c r="I148">
        <v>0</v>
      </c>
      <c r="J148" t="s">
        <v>30</v>
      </c>
      <c r="K148">
        <v>74478.539999999994</v>
      </c>
      <c r="L148" t="str">
        <f t="shared" si="8"/>
        <v>Oct</v>
      </c>
      <c r="M148">
        <f t="shared" si="9"/>
        <v>2025</v>
      </c>
      <c r="N148">
        <f t="shared" si="10"/>
        <v>74478.539999999994</v>
      </c>
      <c r="O148" t="str">
        <f t="shared" si="11"/>
        <v>On Time</v>
      </c>
    </row>
    <row r="149" spans="1:15" x14ac:dyDescent="0.25">
      <c r="A149">
        <v>148</v>
      </c>
      <c r="B149" s="2">
        <v>45805</v>
      </c>
      <c r="C149" t="s">
        <v>31</v>
      </c>
      <c r="D149" t="s">
        <v>17</v>
      </c>
      <c r="E149" t="s">
        <v>13</v>
      </c>
      <c r="F149" t="s">
        <v>24</v>
      </c>
      <c r="G149">
        <v>140</v>
      </c>
      <c r="H149">
        <v>136.66</v>
      </c>
      <c r="I149">
        <v>47</v>
      </c>
      <c r="J149" t="s">
        <v>15</v>
      </c>
      <c r="K149">
        <v>19132.400000000001</v>
      </c>
      <c r="L149" t="str">
        <f t="shared" si="8"/>
        <v>May</v>
      </c>
      <c r="M149">
        <f t="shared" si="9"/>
        <v>2025</v>
      </c>
      <c r="N149">
        <f t="shared" si="10"/>
        <v>19132.399999999998</v>
      </c>
      <c r="O149" t="str">
        <f t="shared" si="11"/>
        <v>Moderate Delay</v>
      </c>
    </row>
    <row r="150" spans="1:15" x14ac:dyDescent="0.25">
      <c r="A150">
        <v>149</v>
      </c>
      <c r="B150" s="2">
        <v>45772</v>
      </c>
      <c r="C150" t="s">
        <v>16</v>
      </c>
      <c r="D150" t="s">
        <v>29</v>
      </c>
      <c r="E150" t="s">
        <v>27</v>
      </c>
      <c r="F150" t="s">
        <v>24</v>
      </c>
      <c r="G150">
        <v>266</v>
      </c>
      <c r="H150">
        <v>471.64</v>
      </c>
      <c r="I150">
        <v>35</v>
      </c>
      <c r="J150" t="s">
        <v>15</v>
      </c>
      <c r="K150">
        <v>125456.24</v>
      </c>
      <c r="L150" t="str">
        <f t="shared" si="8"/>
        <v>Apr</v>
      </c>
      <c r="M150">
        <f t="shared" si="9"/>
        <v>2025</v>
      </c>
      <c r="N150">
        <f t="shared" si="10"/>
        <v>125456.23999999999</v>
      </c>
      <c r="O150" t="str">
        <f t="shared" si="11"/>
        <v>Moderate Delay</v>
      </c>
    </row>
    <row r="151" spans="1:15" x14ac:dyDescent="0.25">
      <c r="A151">
        <v>150</v>
      </c>
      <c r="B151" s="2">
        <v>45969</v>
      </c>
      <c r="C151" t="s">
        <v>25</v>
      </c>
      <c r="D151" t="s">
        <v>17</v>
      </c>
      <c r="E151" t="s">
        <v>13</v>
      </c>
      <c r="F151" t="s">
        <v>21</v>
      </c>
      <c r="G151">
        <v>118</v>
      </c>
      <c r="H151">
        <v>81.430000000000007</v>
      </c>
      <c r="I151">
        <v>33</v>
      </c>
      <c r="J151" t="s">
        <v>15</v>
      </c>
      <c r="K151">
        <v>9608.74</v>
      </c>
      <c r="L151" t="str">
        <f t="shared" si="8"/>
        <v>Nov</v>
      </c>
      <c r="M151">
        <f t="shared" si="9"/>
        <v>2025</v>
      </c>
      <c r="N151">
        <f t="shared" si="10"/>
        <v>9608.7400000000016</v>
      </c>
      <c r="O151" t="str">
        <f t="shared" si="11"/>
        <v>Moderate Delay</v>
      </c>
    </row>
    <row r="152" spans="1:15" x14ac:dyDescent="0.25">
      <c r="A152">
        <v>151</v>
      </c>
      <c r="B152" s="2">
        <v>45837</v>
      </c>
      <c r="C152" t="s">
        <v>16</v>
      </c>
      <c r="D152" t="s">
        <v>23</v>
      </c>
      <c r="E152" t="s">
        <v>17</v>
      </c>
      <c r="F152" t="s">
        <v>14</v>
      </c>
      <c r="G152">
        <v>272</v>
      </c>
      <c r="H152">
        <v>166.01</v>
      </c>
      <c r="I152">
        <v>14</v>
      </c>
      <c r="J152" t="s">
        <v>15</v>
      </c>
      <c r="K152">
        <v>45154.720000000001</v>
      </c>
      <c r="L152" t="str">
        <f t="shared" si="8"/>
        <v>Jun</v>
      </c>
      <c r="M152">
        <f t="shared" si="9"/>
        <v>2025</v>
      </c>
      <c r="N152">
        <f t="shared" si="10"/>
        <v>45154.720000000001</v>
      </c>
      <c r="O152" t="str">
        <f t="shared" si="11"/>
        <v>Minor Delay</v>
      </c>
    </row>
    <row r="153" spans="1:15" x14ac:dyDescent="0.25">
      <c r="A153">
        <v>152</v>
      </c>
      <c r="B153" s="2">
        <v>45929</v>
      </c>
      <c r="C153" t="s">
        <v>11</v>
      </c>
      <c r="D153" t="s">
        <v>13</v>
      </c>
      <c r="E153" t="s">
        <v>29</v>
      </c>
      <c r="F153" t="s">
        <v>24</v>
      </c>
      <c r="G153">
        <v>157</v>
      </c>
      <c r="H153">
        <v>395.7</v>
      </c>
      <c r="I153">
        <v>12</v>
      </c>
      <c r="J153" t="s">
        <v>15</v>
      </c>
      <c r="K153">
        <v>62124.9</v>
      </c>
      <c r="L153" t="str">
        <f t="shared" si="8"/>
        <v>Sep</v>
      </c>
      <c r="M153">
        <f t="shared" si="9"/>
        <v>2025</v>
      </c>
      <c r="N153">
        <f t="shared" si="10"/>
        <v>62124.9</v>
      </c>
      <c r="O153" t="str">
        <f t="shared" si="11"/>
        <v>Minor Delay</v>
      </c>
    </row>
    <row r="154" spans="1:15" x14ac:dyDescent="0.25">
      <c r="A154">
        <v>153</v>
      </c>
      <c r="B154" s="2">
        <v>45948</v>
      </c>
      <c r="C154" t="s">
        <v>31</v>
      </c>
      <c r="D154" t="s">
        <v>23</v>
      </c>
      <c r="E154" t="s">
        <v>17</v>
      </c>
      <c r="F154" t="s">
        <v>14</v>
      </c>
      <c r="G154">
        <v>276</v>
      </c>
      <c r="H154">
        <v>98.93</v>
      </c>
      <c r="I154">
        <v>39</v>
      </c>
      <c r="J154" t="s">
        <v>15</v>
      </c>
      <c r="K154">
        <v>27304.68</v>
      </c>
      <c r="L154" t="str">
        <f t="shared" si="8"/>
        <v>Oct</v>
      </c>
      <c r="M154">
        <f t="shared" si="9"/>
        <v>2025</v>
      </c>
      <c r="N154">
        <f t="shared" si="10"/>
        <v>27304.68</v>
      </c>
      <c r="O154" t="str">
        <f t="shared" si="11"/>
        <v>Moderate Delay</v>
      </c>
    </row>
    <row r="155" spans="1:15" x14ac:dyDescent="0.25">
      <c r="A155">
        <v>154</v>
      </c>
      <c r="B155" s="2">
        <v>45996</v>
      </c>
      <c r="C155" t="s">
        <v>18</v>
      </c>
      <c r="D155" t="s">
        <v>23</v>
      </c>
      <c r="E155" t="s">
        <v>27</v>
      </c>
      <c r="F155" t="s">
        <v>24</v>
      </c>
      <c r="G155">
        <v>205</v>
      </c>
      <c r="H155">
        <v>387.11</v>
      </c>
      <c r="I155">
        <v>48</v>
      </c>
      <c r="J155" t="s">
        <v>15</v>
      </c>
      <c r="K155">
        <v>79357.55</v>
      </c>
      <c r="L155" t="str">
        <f t="shared" si="8"/>
        <v>Dec</v>
      </c>
      <c r="M155">
        <f t="shared" si="9"/>
        <v>2025</v>
      </c>
      <c r="N155">
        <f t="shared" si="10"/>
        <v>79357.55</v>
      </c>
      <c r="O155" t="str">
        <f t="shared" si="11"/>
        <v>Moderate Delay</v>
      </c>
    </row>
    <row r="156" spans="1:15" x14ac:dyDescent="0.25">
      <c r="A156">
        <v>155</v>
      </c>
      <c r="B156" s="2">
        <v>45834</v>
      </c>
      <c r="C156" t="s">
        <v>18</v>
      </c>
      <c r="D156" t="s">
        <v>27</v>
      </c>
      <c r="E156" t="s">
        <v>12</v>
      </c>
      <c r="F156" t="s">
        <v>14</v>
      </c>
      <c r="G156">
        <v>122</v>
      </c>
      <c r="H156">
        <v>561.88</v>
      </c>
      <c r="I156">
        <v>0</v>
      </c>
      <c r="J156" t="s">
        <v>15</v>
      </c>
      <c r="K156">
        <v>68549.36</v>
      </c>
      <c r="L156" t="str">
        <f t="shared" si="8"/>
        <v>Jun</v>
      </c>
      <c r="M156">
        <f t="shared" si="9"/>
        <v>2025</v>
      </c>
      <c r="N156">
        <f t="shared" si="10"/>
        <v>68549.36</v>
      </c>
      <c r="O156" t="str">
        <f t="shared" si="11"/>
        <v>On Time</v>
      </c>
    </row>
    <row r="157" spans="1:15" x14ac:dyDescent="0.25">
      <c r="A157">
        <v>156</v>
      </c>
      <c r="B157" s="2">
        <v>45964</v>
      </c>
      <c r="C157" t="s">
        <v>16</v>
      </c>
      <c r="D157" t="s">
        <v>19</v>
      </c>
      <c r="E157" t="s">
        <v>20</v>
      </c>
      <c r="F157" t="s">
        <v>14</v>
      </c>
      <c r="G157">
        <v>102</v>
      </c>
      <c r="H157">
        <v>283.05</v>
      </c>
      <c r="I157">
        <v>3</v>
      </c>
      <c r="J157" t="s">
        <v>15</v>
      </c>
      <c r="K157">
        <v>28871.1</v>
      </c>
      <c r="L157" t="str">
        <f t="shared" si="8"/>
        <v>Nov</v>
      </c>
      <c r="M157">
        <f t="shared" si="9"/>
        <v>2025</v>
      </c>
      <c r="N157">
        <f t="shared" si="10"/>
        <v>28871.100000000002</v>
      </c>
      <c r="O157" t="str">
        <f t="shared" si="11"/>
        <v>Minor Delay</v>
      </c>
    </row>
    <row r="158" spans="1:15" x14ac:dyDescent="0.25">
      <c r="A158">
        <v>157</v>
      </c>
      <c r="B158" s="2">
        <v>45806</v>
      </c>
      <c r="C158" t="s">
        <v>26</v>
      </c>
      <c r="D158" t="s">
        <v>29</v>
      </c>
      <c r="E158" t="s">
        <v>22</v>
      </c>
      <c r="F158" t="s">
        <v>14</v>
      </c>
      <c r="G158">
        <v>51</v>
      </c>
      <c r="H158">
        <v>428.07</v>
      </c>
      <c r="I158">
        <v>8</v>
      </c>
      <c r="J158" t="s">
        <v>15</v>
      </c>
      <c r="K158">
        <v>21831.57</v>
      </c>
      <c r="L158" t="str">
        <f t="shared" si="8"/>
        <v>May</v>
      </c>
      <c r="M158">
        <f t="shared" si="9"/>
        <v>2025</v>
      </c>
      <c r="N158">
        <f t="shared" si="10"/>
        <v>21831.57</v>
      </c>
      <c r="O158" t="str">
        <f t="shared" si="11"/>
        <v>Minor Delay</v>
      </c>
    </row>
    <row r="159" spans="1:15" x14ac:dyDescent="0.25">
      <c r="A159">
        <v>158</v>
      </c>
      <c r="B159" s="2">
        <v>45694</v>
      </c>
      <c r="C159" t="s">
        <v>18</v>
      </c>
      <c r="D159" t="s">
        <v>19</v>
      </c>
      <c r="E159" t="s">
        <v>17</v>
      </c>
      <c r="F159" t="s">
        <v>21</v>
      </c>
      <c r="G159">
        <v>60</v>
      </c>
      <c r="H159">
        <v>382.8</v>
      </c>
      <c r="I159">
        <v>25</v>
      </c>
      <c r="J159" t="s">
        <v>15</v>
      </c>
      <c r="K159">
        <v>22968</v>
      </c>
      <c r="L159" t="str">
        <f t="shared" si="8"/>
        <v>Feb</v>
      </c>
      <c r="M159">
        <f t="shared" si="9"/>
        <v>2025</v>
      </c>
      <c r="N159">
        <f t="shared" si="10"/>
        <v>22968</v>
      </c>
      <c r="O159" t="str">
        <f t="shared" si="11"/>
        <v>Minor Delay</v>
      </c>
    </row>
    <row r="160" spans="1:15" x14ac:dyDescent="0.25">
      <c r="A160">
        <v>159</v>
      </c>
      <c r="B160" s="2">
        <v>45952</v>
      </c>
      <c r="C160" t="s">
        <v>18</v>
      </c>
      <c r="D160" t="s">
        <v>12</v>
      </c>
      <c r="E160" t="s">
        <v>17</v>
      </c>
      <c r="F160" t="s">
        <v>21</v>
      </c>
      <c r="G160">
        <v>153</v>
      </c>
      <c r="H160">
        <v>585.03</v>
      </c>
      <c r="I160">
        <v>9</v>
      </c>
      <c r="J160" t="s">
        <v>15</v>
      </c>
      <c r="K160">
        <v>89509.59</v>
      </c>
      <c r="L160" t="str">
        <f t="shared" si="8"/>
        <v>Oct</v>
      </c>
      <c r="M160">
        <f t="shared" si="9"/>
        <v>2025</v>
      </c>
      <c r="N160">
        <f t="shared" si="10"/>
        <v>89509.59</v>
      </c>
      <c r="O160" t="str">
        <f t="shared" si="11"/>
        <v>Minor Delay</v>
      </c>
    </row>
    <row r="161" spans="1:15" x14ac:dyDescent="0.25">
      <c r="A161">
        <v>160</v>
      </c>
      <c r="B161" s="2">
        <v>45974</v>
      </c>
      <c r="C161" t="s">
        <v>18</v>
      </c>
      <c r="D161" t="s">
        <v>22</v>
      </c>
      <c r="E161" t="s">
        <v>29</v>
      </c>
      <c r="F161" t="s">
        <v>21</v>
      </c>
      <c r="G161">
        <v>285</v>
      </c>
      <c r="H161">
        <v>327.77</v>
      </c>
      <c r="I161">
        <v>26</v>
      </c>
      <c r="J161" t="s">
        <v>15</v>
      </c>
      <c r="K161">
        <v>93414.45</v>
      </c>
      <c r="L161" t="str">
        <f t="shared" si="8"/>
        <v>Nov</v>
      </c>
      <c r="M161">
        <f t="shared" si="9"/>
        <v>2025</v>
      </c>
      <c r="N161">
        <f t="shared" si="10"/>
        <v>93414.45</v>
      </c>
      <c r="O161" t="str">
        <f t="shared" si="11"/>
        <v>Minor Delay</v>
      </c>
    </row>
    <row r="162" spans="1:15" x14ac:dyDescent="0.25">
      <c r="A162">
        <v>161</v>
      </c>
      <c r="B162" s="2">
        <v>45881</v>
      </c>
      <c r="C162" t="s">
        <v>31</v>
      </c>
      <c r="D162" t="s">
        <v>12</v>
      </c>
      <c r="E162" t="s">
        <v>23</v>
      </c>
      <c r="F162" t="s">
        <v>24</v>
      </c>
      <c r="G162">
        <v>184</v>
      </c>
      <c r="H162">
        <v>118.2</v>
      </c>
      <c r="I162">
        <v>48</v>
      </c>
      <c r="J162" t="s">
        <v>15</v>
      </c>
      <c r="K162">
        <v>21748.799999999999</v>
      </c>
      <c r="L162" t="str">
        <f t="shared" si="8"/>
        <v>Aug</v>
      </c>
      <c r="M162">
        <f t="shared" si="9"/>
        <v>2025</v>
      </c>
      <c r="N162">
        <f t="shared" si="10"/>
        <v>21748.799999999999</v>
      </c>
      <c r="O162" t="str">
        <f t="shared" si="11"/>
        <v>Moderate Delay</v>
      </c>
    </row>
    <row r="163" spans="1:15" x14ac:dyDescent="0.25">
      <c r="A163">
        <v>162</v>
      </c>
      <c r="B163" s="2">
        <v>45919</v>
      </c>
      <c r="C163" t="s">
        <v>25</v>
      </c>
      <c r="D163" t="s">
        <v>29</v>
      </c>
      <c r="E163" t="s">
        <v>12</v>
      </c>
      <c r="F163" t="s">
        <v>14</v>
      </c>
      <c r="G163">
        <v>185</v>
      </c>
      <c r="H163">
        <v>437.36</v>
      </c>
      <c r="I163">
        <v>0</v>
      </c>
      <c r="J163" t="s">
        <v>30</v>
      </c>
      <c r="K163">
        <v>80911.600000000006</v>
      </c>
      <c r="L163" t="str">
        <f t="shared" si="8"/>
        <v>Sep</v>
      </c>
      <c r="M163">
        <f t="shared" si="9"/>
        <v>2025</v>
      </c>
      <c r="N163">
        <f t="shared" si="10"/>
        <v>80911.600000000006</v>
      </c>
      <c r="O163" t="str">
        <f t="shared" si="11"/>
        <v>On Time</v>
      </c>
    </row>
    <row r="164" spans="1:15" x14ac:dyDescent="0.25">
      <c r="A164">
        <v>163</v>
      </c>
      <c r="B164" s="2">
        <v>45988</v>
      </c>
      <c r="C164" t="s">
        <v>11</v>
      </c>
      <c r="D164" t="s">
        <v>22</v>
      </c>
      <c r="E164" t="s">
        <v>17</v>
      </c>
      <c r="F164" t="s">
        <v>14</v>
      </c>
      <c r="G164">
        <v>76</v>
      </c>
      <c r="H164">
        <v>168.37</v>
      </c>
      <c r="I164">
        <v>31</v>
      </c>
      <c r="J164" t="s">
        <v>15</v>
      </c>
      <c r="K164">
        <v>12796.12</v>
      </c>
      <c r="L164" t="str">
        <f t="shared" si="8"/>
        <v>Nov</v>
      </c>
      <c r="M164">
        <f t="shared" si="9"/>
        <v>2025</v>
      </c>
      <c r="N164">
        <f t="shared" si="10"/>
        <v>12796.12</v>
      </c>
      <c r="O164" t="str">
        <f t="shared" si="11"/>
        <v>Moderate Delay</v>
      </c>
    </row>
    <row r="165" spans="1:15" x14ac:dyDescent="0.25">
      <c r="A165">
        <v>164</v>
      </c>
      <c r="B165" s="2">
        <v>45979</v>
      </c>
      <c r="C165" t="s">
        <v>18</v>
      </c>
      <c r="D165" t="s">
        <v>12</v>
      </c>
      <c r="E165" t="s">
        <v>19</v>
      </c>
      <c r="F165" t="s">
        <v>24</v>
      </c>
      <c r="G165">
        <v>243</v>
      </c>
      <c r="H165">
        <v>477.16</v>
      </c>
      <c r="I165">
        <v>52</v>
      </c>
      <c r="J165" t="s">
        <v>15</v>
      </c>
      <c r="K165">
        <v>115949.88</v>
      </c>
      <c r="L165" t="str">
        <f t="shared" si="8"/>
        <v>Nov</v>
      </c>
      <c r="M165">
        <f t="shared" si="9"/>
        <v>2025</v>
      </c>
      <c r="N165">
        <f t="shared" si="10"/>
        <v>115949.88</v>
      </c>
      <c r="O165" t="str">
        <f t="shared" si="11"/>
        <v>Moderate Delay</v>
      </c>
    </row>
    <row r="166" spans="1:15" x14ac:dyDescent="0.25">
      <c r="A166">
        <v>165</v>
      </c>
      <c r="B166" s="2">
        <v>45735</v>
      </c>
      <c r="C166" t="s">
        <v>18</v>
      </c>
      <c r="D166" t="s">
        <v>22</v>
      </c>
      <c r="E166" t="s">
        <v>17</v>
      </c>
      <c r="F166" t="s">
        <v>14</v>
      </c>
      <c r="G166">
        <v>170</v>
      </c>
      <c r="H166">
        <v>387.23</v>
      </c>
      <c r="I166">
        <v>13</v>
      </c>
      <c r="J166" t="s">
        <v>15</v>
      </c>
      <c r="K166">
        <v>65829.100000000006</v>
      </c>
      <c r="L166" t="str">
        <f t="shared" si="8"/>
        <v>Mar</v>
      </c>
      <c r="M166">
        <f t="shared" si="9"/>
        <v>2025</v>
      </c>
      <c r="N166">
        <f t="shared" si="10"/>
        <v>65829.100000000006</v>
      </c>
      <c r="O166" t="str">
        <f t="shared" si="11"/>
        <v>Minor Delay</v>
      </c>
    </row>
    <row r="167" spans="1:15" x14ac:dyDescent="0.25">
      <c r="A167">
        <v>166</v>
      </c>
      <c r="B167" s="2">
        <v>45816</v>
      </c>
      <c r="C167" t="s">
        <v>18</v>
      </c>
      <c r="D167" t="s">
        <v>27</v>
      </c>
      <c r="E167" t="s">
        <v>12</v>
      </c>
      <c r="F167" t="s">
        <v>24</v>
      </c>
      <c r="G167">
        <v>59</v>
      </c>
      <c r="H167">
        <v>102.1</v>
      </c>
      <c r="I167">
        <v>38</v>
      </c>
      <c r="J167" t="s">
        <v>30</v>
      </c>
      <c r="K167">
        <v>6023.9</v>
      </c>
      <c r="L167" t="str">
        <f t="shared" si="8"/>
        <v>Jun</v>
      </c>
      <c r="M167">
        <f t="shared" si="9"/>
        <v>2025</v>
      </c>
      <c r="N167">
        <f t="shared" si="10"/>
        <v>6023.9</v>
      </c>
      <c r="O167" t="str">
        <f t="shared" si="11"/>
        <v>Moderate Delay</v>
      </c>
    </row>
    <row r="168" spans="1:15" x14ac:dyDescent="0.25">
      <c r="A168">
        <v>167</v>
      </c>
      <c r="B168" s="2">
        <v>45972</v>
      </c>
      <c r="C168" t="s">
        <v>31</v>
      </c>
      <c r="D168" t="s">
        <v>12</v>
      </c>
      <c r="E168" t="s">
        <v>29</v>
      </c>
      <c r="F168" t="s">
        <v>21</v>
      </c>
      <c r="G168">
        <v>148</v>
      </c>
      <c r="H168">
        <v>402.41</v>
      </c>
      <c r="I168">
        <v>0</v>
      </c>
      <c r="J168" t="s">
        <v>30</v>
      </c>
      <c r="K168">
        <v>59556.68</v>
      </c>
      <c r="L168" t="str">
        <f t="shared" si="8"/>
        <v>Nov</v>
      </c>
      <c r="M168">
        <f t="shared" si="9"/>
        <v>2025</v>
      </c>
      <c r="N168">
        <f t="shared" si="10"/>
        <v>59556.68</v>
      </c>
      <c r="O168" t="str">
        <f t="shared" si="11"/>
        <v>On Time</v>
      </c>
    </row>
    <row r="169" spans="1:15" x14ac:dyDescent="0.25">
      <c r="A169">
        <v>168</v>
      </c>
      <c r="B169" s="2">
        <v>45822</v>
      </c>
      <c r="C169" t="s">
        <v>31</v>
      </c>
      <c r="D169" t="s">
        <v>20</v>
      </c>
      <c r="E169" t="s">
        <v>19</v>
      </c>
      <c r="F169" t="s">
        <v>24</v>
      </c>
      <c r="G169">
        <v>178</v>
      </c>
      <c r="H169">
        <v>171.64</v>
      </c>
      <c r="I169">
        <v>5</v>
      </c>
      <c r="J169" t="s">
        <v>15</v>
      </c>
      <c r="K169">
        <v>30551.919999999998</v>
      </c>
      <c r="L169" t="str">
        <f t="shared" si="8"/>
        <v>Jun</v>
      </c>
      <c r="M169">
        <f t="shared" si="9"/>
        <v>2025</v>
      </c>
      <c r="N169">
        <f t="shared" si="10"/>
        <v>30551.919999999998</v>
      </c>
      <c r="O169" t="str">
        <f t="shared" si="11"/>
        <v>Minor Delay</v>
      </c>
    </row>
    <row r="170" spans="1:15" x14ac:dyDescent="0.25">
      <c r="A170">
        <v>169</v>
      </c>
      <c r="B170" s="2">
        <v>45701</v>
      </c>
      <c r="C170" t="s">
        <v>31</v>
      </c>
      <c r="D170" t="s">
        <v>12</v>
      </c>
      <c r="E170" t="s">
        <v>17</v>
      </c>
      <c r="F170" t="s">
        <v>21</v>
      </c>
      <c r="G170">
        <v>94</v>
      </c>
      <c r="H170">
        <v>88.97</v>
      </c>
      <c r="I170">
        <v>0</v>
      </c>
      <c r="J170" t="s">
        <v>15</v>
      </c>
      <c r="K170">
        <v>8363.18</v>
      </c>
      <c r="L170" t="str">
        <f t="shared" si="8"/>
        <v>Feb</v>
      </c>
      <c r="M170">
        <f t="shared" si="9"/>
        <v>2025</v>
      </c>
      <c r="N170">
        <f t="shared" si="10"/>
        <v>8363.18</v>
      </c>
      <c r="O170" t="str">
        <f t="shared" si="11"/>
        <v>On Time</v>
      </c>
    </row>
    <row r="171" spans="1:15" x14ac:dyDescent="0.25">
      <c r="A171">
        <v>170</v>
      </c>
      <c r="B171" s="2">
        <v>45848</v>
      </c>
      <c r="C171" t="s">
        <v>26</v>
      </c>
      <c r="D171" t="s">
        <v>29</v>
      </c>
      <c r="E171" t="s">
        <v>17</v>
      </c>
      <c r="F171" t="s">
        <v>24</v>
      </c>
      <c r="G171">
        <v>154</v>
      </c>
      <c r="H171">
        <v>633.1</v>
      </c>
      <c r="I171">
        <v>0</v>
      </c>
      <c r="J171" t="s">
        <v>15</v>
      </c>
      <c r="K171">
        <v>97497.4</v>
      </c>
      <c r="L171" t="str">
        <f t="shared" si="8"/>
        <v>Jul</v>
      </c>
      <c r="M171">
        <f t="shared" si="9"/>
        <v>2025</v>
      </c>
      <c r="N171">
        <f t="shared" si="10"/>
        <v>97497.400000000009</v>
      </c>
      <c r="O171" t="str">
        <f t="shared" si="11"/>
        <v>On Time</v>
      </c>
    </row>
    <row r="172" spans="1:15" x14ac:dyDescent="0.25">
      <c r="A172">
        <v>171</v>
      </c>
      <c r="B172" s="2">
        <v>45691</v>
      </c>
      <c r="C172" t="s">
        <v>26</v>
      </c>
      <c r="D172" t="s">
        <v>13</v>
      </c>
      <c r="E172" t="s">
        <v>17</v>
      </c>
      <c r="F172" t="s">
        <v>14</v>
      </c>
      <c r="G172">
        <v>192</v>
      </c>
      <c r="H172">
        <v>562</v>
      </c>
      <c r="I172">
        <v>11</v>
      </c>
      <c r="J172" t="s">
        <v>15</v>
      </c>
      <c r="K172">
        <v>107904</v>
      </c>
      <c r="L172" t="str">
        <f t="shared" si="8"/>
        <v>Feb</v>
      </c>
      <c r="M172">
        <f t="shared" si="9"/>
        <v>2025</v>
      </c>
      <c r="N172">
        <f t="shared" si="10"/>
        <v>107904</v>
      </c>
      <c r="O172" t="str">
        <f t="shared" si="11"/>
        <v>Minor Delay</v>
      </c>
    </row>
    <row r="173" spans="1:15" x14ac:dyDescent="0.25">
      <c r="A173">
        <v>172</v>
      </c>
      <c r="B173" s="2">
        <v>45699</v>
      </c>
      <c r="C173" t="s">
        <v>31</v>
      </c>
      <c r="D173" t="s">
        <v>29</v>
      </c>
      <c r="E173" t="s">
        <v>17</v>
      </c>
      <c r="F173" t="s">
        <v>21</v>
      </c>
      <c r="G173">
        <v>86</v>
      </c>
      <c r="H173">
        <v>738.39</v>
      </c>
      <c r="I173">
        <v>59</v>
      </c>
      <c r="J173" t="s">
        <v>15</v>
      </c>
      <c r="K173">
        <v>63501.54</v>
      </c>
      <c r="L173" t="str">
        <f t="shared" si="8"/>
        <v>Feb</v>
      </c>
      <c r="M173">
        <f t="shared" si="9"/>
        <v>2025</v>
      </c>
      <c r="N173">
        <f t="shared" si="10"/>
        <v>63501.54</v>
      </c>
      <c r="O173" t="str">
        <f t="shared" si="11"/>
        <v>Moderate Delay</v>
      </c>
    </row>
    <row r="174" spans="1:15" x14ac:dyDescent="0.25">
      <c r="A174">
        <v>173</v>
      </c>
      <c r="B174" s="2">
        <v>45962</v>
      </c>
      <c r="C174" t="s">
        <v>25</v>
      </c>
      <c r="D174" t="s">
        <v>17</v>
      </c>
      <c r="E174" t="s">
        <v>29</v>
      </c>
      <c r="F174" t="s">
        <v>14</v>
      </c>
      <c r="G174">
        <v>129</v>
      </c>
      <c r="H174">
        <v>473.6</v>
      </c>
      <c r="I174">
        <v>6</v>
      </c>
      <c r="J174" t="s">
        <v>15</v>
      </c>
      <c r="K174">
        <v>61094.400000000001</v>
      </c>
      <c r="L174" t="str">
        <f t="shared" si="8"/>
        <v>Nov</v>
      </c>
      <c r="M174">
        <f t="shared" si="9"/>
        <v>2025</v>
      </c>
      <c r="N174">
        <f t="shared" si="10"/>
        <v>61094.400000000001</v>
      </c>
      <c r="O174" t="str">
        <f t="shared" si="11"/>
        <v>Minor Delay</v>
      </c>
    </row>
    <row r="175" spans="1:15" x14ac:dyDescent="0.25">
      <c r="A175">
        <v>174</v>
      </c>
      <c r="B175" s="2">
        <v>45988</v>
      </c>
      <c r="C175" t="s">
        <v>25</v>
      </c>
      <c r="D175" t="s">
        <v>27</v>
      </c>
      <c r="E175" t="s">
        <v>12</v>
      </c>
      <c r="F175" t="s">
        <v>24</v>
      </c>
      <c r="G175">
        <v>180</v>
      </c>
      <c r="H175">
        <v>327.75</v>
      </c>
      <c r="I175">
        <v>2</v>
      </c>
      <c r="J175" t="s">
        <v>15</v>
      </c>
      <c r="K175">
        <v>58995</v>
      </c>
      <c r="L175" t="str">
        <f t="shared" si="8"/>
        <v>Nov</v>
      </c>
      <c r="M175">
        <f t="shared" si="9"/>
        <v>2025</v>
      </c>
      <c r="N175">
        <f t="shared" si="10"/>
        <v>58995</v>
      </c>
      <c r="O175" t="str">
        <f t="shared" si="11"/>
        <v>Minor Delay</v>
      </c>
    </row>
    <row r="176" spans="1:15" x14ac:dyDescent="0.25">
      <c r="A176">
        <v>175</v>
      </c>
      <c r="B176" s="2">
        <v>45832</v>
      </c>
      <c r="C176" t="s">
        <v>18</v>
      </c>
      <c r="D176" t="s">
        <v>29</v>
      </c>
      <c r="E176" t="s">
        <v>23</v>
      </c>
      <c r="F176" t="s">
        <v>14</v>
      </c>
      <c r="G176">
        <v>107</v>
      </c>
      <c r="H176">
        <v>799.98</v>
      </c>
      <c r="I176">
        <v>31</v>
      </c>
      <c r="J176" t="s">
        <v>15</v>
      </c>
      <c r="K176">
        <v>85597.86</v>
      </c>
      <c r="L176" t="str">
        <f t="shared" si="8"/>
        <v>Jun</v>
      </c>
      <c r="M176">
        <f t="shared" si="9"/>
        <v>2025</v>
      </c>
      <c r="N176">
        <f t="shared" si="10"/>
        <v>85597.86</v>
      </c>
      <c r="O176" t="str">
        <f t="shared" si="11"/>
        <v>Moderate Delay</v>
      </c>
    </row>
    <row r="177" spans="1:15" x14ac:dyDescent="0.25">
      <c r="A177">
        <v>176</v>
      </c>
      <c r="B177" s="2">
        <v>45996</v>
      </c>
      <c r="C177" t="s">
        <v>26</v>
      </c>
      <c r="D177" t="s">
        <v>27</v>
      </c>
      <c r="E177" t="s">
        <v>13</v>
      </c>
      <c r="F177" t="s">
        <v>21</v>
      </c>
      <c r="G177">
        <v>83</v>
      </c>
      <c r="H177">
        <v>501.96</v>
      </c>
      <c r="I177">
        <v>37</v>
      </c>
      <c r="J177" t="s">
        <v>15</v>
      </c>
      <c r="K177">
        <v>41662.68</v>
      </c>
      <c r="L177" t="str">
        <f t="shared" si="8"/>
        <v>Dec</v>
      </c>
      <c r="M177">
        <f t="shared" si="9"/>
        <v>2025</v>
      </c>
      <c r="N177">
        <f t="shared" si="10"/>
        <v>41662.68</v>
      </c>
      <c r="O177" t="str">
        <f t="shared" si="11"/>
        <v>Moderate Delay</v>
      </c>
    </row>
    <row r="178" spans="1:15" x14ac:dyDescent="0.25">
      <c r="A178">
        <v>177</v>
      </c>
      <c r="B178" s="2">
        <v>45882</v>
      </c>
      <c r="C178" t="s">
        <v>16</v>
      </c>
      <c r="D178" t="s">
        <v>29</v>
      </c>
      <c r="E178" t="s">
        <v>19</v>
      </c>
      <c r="F178" t="s">
        <v>24</v>
      </c>
      <c r="G178">
        <v>143</v>
      </c>
      <c r="H178">
        <v>560.51</v>
      </c>
      <c r="I178">
        <v>22</v>
      </c>
      <c r="J178" t="s">
        <v>15</v>
      </c>
      <c r="K178">
        <v>80152.929999999993</v>
      </c>
      <c r="L178" t="str">
        <f t="shared" si="8"/>
        <v>Aug</v>
      </c>
      <c r="M178">
        <f t="shared" si="9"/>
        <v>2025</v>
      </c>
      <c r="N178">
        <f t="shared" si="10"/>
        <v>80152.929999999993</v>
      </c>
      <c r="O178" t="str">
        <f t="shared" si="11"/>
        <v>Minor Delay</v>
      </c>
    </row>
    <row r="179" spans="1:15" x14ac:dyDescent="0.25">
      <c r="A179">
        <v>178</v>
      </c>
      <c r="B179" s="2">
        <v>45931</v>
      </c>
      <c r="C179" t="s">
        <v>11</v>
      </c>
      <c r="D179" t="s">
        <v>20</v>
      </c>
      <c r="E179" t="s">
        <v>19</v>
      </c>
      <c r="F179" t="s">
        <v>24</v>
      </c>
      <c r="G179">
        <v>297</v>
      </c>
      <c r="H179">
        <v>658.38</v>
      </c>
      <c r="I179">
        <v>47</v>
      </c>
      <c r="J179" t="s">
        <v>15</v>
      </c>
      <c r="K179">
        <v>195538.86</v>
      </c>
      <c r="L179" t="str">
        <f t="shared" si="8"/>
        <v>Oct</v>
      </c>
      <c r="M179">
        <f t="shared" si="9"/>
        <v>2025</v>
      </c>
      <c r="N179">
        <f t="shared" si="10"/>
        <v>195538.86</v>
      </c>
      <c r="O179" t="str">
        <f t="shared" si="11"/>
        <v>Moderate Delay</v>
      </c>
    </row>
    <row r="180" spans="1:15" x14ac:dyDescent="0.25">
      <c r="A180">
        <v>179</v>
      </c>
      <c r="B180" s="2">
        <v>46005</v>
      </c>
      <c r="C180" t="s">
        <v>31</v>
      </c>
      <c r="D180" t="s">
        <v>19</v>
      </c>
      <c r="E180" t="s">
        <v>17</v>
      </c>
      <c r="F180" t="s">
        <v>24</v>
      </c>
      <c r="G180">
        <v>168</v>
      </c>
      <c r="H180">
        <v>629.38</v>
      </c>
      <c r="I180">
        <v>25</v>
      </c>
      <c r="J180" t="s">
        <v>15</v>
      </c>
      <c r="K180">
        <v>105735.84</v>
      </c>
      <c r="L180" t="str">
        <f t="shared" si="8"/>
        <v>Dec</v>
      </c>
      <c r="M180">
        <f t="shared" si="9"/>
        <v>2025</v>
      </c>
      <c r="N180">
        <f t="shared" si="10"/>
        <v>105735.84</v>
      </c>
      <c r="O180" t="str">
        <f t="shared" si="11"/>
        <v>Minor Delay</v>
      </c>
    </row>
    <row r="181" spans="1:15" x14ac:dyDescent="0.25">
      <c r="A181">
        <v>180</v>
      </c>
      <c r="B181" s="2">
        <v>45967</v>
      </c>
      <c r="C181" t="s">
        <v>11</v>
      </c>
      <c r="D181" t="s">
        <v>29</v>
      </c>
      <c r="E181" t="s">
        <v>23</v>
      </c>
      <c r="F181" t="s">
        <v>24</v>
      </c>
      <c r="G181">
        <v>63</v>
      </c>
      <c r="H181">
        <v>534.47</v>
      </c>
      <c r="I181">
        <v>0</v>
      </c>
      <c r="J181" t="s">
        <v>30</v>
      </c>
      <c r="K181">
        <v>33671.61</v>
      </c>
      <c r="L181" t="str">
        <f t="shared" si="8"/>
        <v>Nov</v>
      </c>
      <c r="M181">
        <f t="shared" si="9"/>
        <v>2025</v>
      </c>
      <c r="N181">
        <f t="shared" si="10"/>
        <v>33671.61</v>
      </c>
      <c r="O181" t="str">
        <f t="shared" si="11"/>
        <v>On Time</v>
      </c>
    </row>
    <row r="182" spans="1:15" x14ac:dyDescent="0.25">
      <c r="A182">
        <v>181</v>
      </c>
      <c r="B182" s="2">
        <v>46022</v>
      </c>
      <c r="C182" t="s">
        <v>31</v>
      </c>
      <c r="D182" t="s">
        <v>27</v>
      </c>
      <c r="E182" t="s">
        <v>12</v>
      </c>
      <c r="F182" t="s">
        <v>14</v>
      </c>
      <c r="G182">
        <v>122</v>
      </c>
      <c r="H182">
        <v>122.07</v>
      </c>
      <c r="I182">
        <v>34</v>
      </c>
      <c r="J182" t="s">
        <v>15</v>
      </c>
      <c r="K182">
        <v>14892.54</v>
      </c>
      <c r="L182" t="str">
        <f t="shared" si="8"/>
        <v>Dec</v>
      </c>
      <c r="M182">
        <f t="shared" si="9"/>
        <v>2025</v>
      </c>
      <c r="N182">
        <f t="shared" si="10"/>
        <v>14892.539999999999</v>
      </c>
      <c r="O182" t="str">
        <f t="shared" si="11"/>
        <v>Moderate Delay</v>
      </c>
    </row>
    <row r="183" spans="1:15" x14ac:dyDescent="0.25">
      <c r="A183">
        <v>182</v>
      </c>
      <c r="B183" s="2">
        <v>45771</v>
      </c>
      <c r="C183" t="s">
        <v>18</v>
      </c>
      <c r="D183" t="s">
        <v>17</v>
      </c>
      <c r="E183" t="s">
        <v>12</v>
      </c>
      <c r="F183" t="s">
        <v>24</v>
      </c>
      <c r="G183">
        <v>288</v>
      </c>
      <c r="H183">
        <v>79.739999999999995</v>
      </c>
      <c r="I183">
        <v>43</v>
      </c>
      <c r="J183" t="s">
        <v>15</v>
      </c>
      <c r="K183">
        <v>22965.119999999999</v>
      </c>
      <c r="L183" t="str">
        <f t="shared" si="8"/>
        <v>Apr</v>
      </c>
      <c r="M183">
        <f t="shared" si="9"/>
        <v>2025</v>
      </c>
      <c r="N183">
        <f t="shared" si="10"/>
        <v>22965.119999999999</v>
      </c>
      <c r="O183" t="str">
        <f t="shared" si="11"/>
        <v>Moderate Delay</v>
      </c>
    </row>
    <row r="184" spans="1:15" x14ac:dyDescent="0.25">
      <c r="A184">
        <v>183</v>
      </c>
      <c r="B184" s="2">
        <v>45778</v>
      </c>
      <c r="C184" t="s">
        <v>18</v>
      </c>
      <c r="D184" t="s">
        <v>27</v>
      </c>
      <c r="E184" t="s">
        <v>22</v>
      </c>
      <c r="F184" t="s">
        <v>14</v>
      </c>
      <c r="G184">
        <v>145</v>
      </c>
      <c r="H184">
        <v>226.16</v>
      </c>
      <c r="I184">
        <v>15</v>
      </c>
      <c r="J184" t="s">
        <v>15</v>
      </c>
      <c r="K184">
        <v>32793.199999999997</v>
      </c>
      <c r="L184" t="str">
        <f t="shared" si="8"/>
        <v>May</v>
      </c>
      <c r="M184">
        <f t="shared" si="9"/>
        <v>2025</v>
      </c>
      <c r="N184">
        <f t="shared" si="10"/>
        <v>32793.199999999997</v>
      </c>
      <c r="O184" t="str">
        <f t="shared" si="11"/>
        <v>Minor Delay</v>
      </c>
    </row>
    <row r="185" spans="1:15" x14ac:dyDescent="0.25">
      <c r="A185">
        <v>184</v>
      </c>
      <c r="B185" s="2">
        <v>45728</v>
      </c>
      <c r="C185" t="s">
        <v>16</v>
      </c>
      <c r="D185" t="s">
        <v>22</v>
      </c>
      <c r="E185" t="s">
        <v>29</v>
      </c>
      <c r="F185" t="s">
        <v>24</v>
      </c>
      <c r="G185">
        <v>284</v>
      </c>
      <c r="H185">
        <v>674.02</v>
      </c>
      <c r="I185">
        <v>30</v>
      </c>
      <c r="J185" t="s">
        <v>15</v>
      </c>
      <c r="K185">
        <v>191421.68</v>
      </c>
      <c r="L185" t="str">
        <f t="shared" si="8"/>
        <v>Mar</v>
      </c>
      <c r="M185">
        <f t="shared" si="9"/>
        <v>2025</v>
      </c>
      <c r="N185">
        <f t="shared" si="10"/>
        <v>191421.68</v>
      </c>
      <c r="O185" t="str">
        <f t="shared" si="11"/>
        <v>Minor Delay</v>
      </c>
    </row>
    <row r="186" spans="1:15" x14ac:dyDescent="0.25">
      <c r="A186">
        <v>185</v>
      </c>
      <c r="B186" s="2">
        <v>45887</v>
      </c>
      <c r="C186" t="s">
        <v>31</v>
      </c>
      <c r="D186" t="s">
        <v>29</v>
      </c>
      <c r="E186" t="s">
        <v>27</v>
      </c>
      <c r="F186" t="s">
        <v>14</v>
      </c>
      <c r="G186">
        <v>281</v>
      </c>
      <c r="H186">
        <v>118.63</v>
      </c>
      <c r="I186">
        <v>18</v>
      </c>
      <c r="J186" t="s">
        <v>15</v>
      </c>
      <c r="K186">
        <v>33335.03</v>
      </c>
      <c r="L186" t="str">
        <f t="shared" si="8"/>
        <v>Aug</v>
      </c>
      <c r="M186">
        <f t="shared" si="9"/>
        <v>2025</v>
      </c>
      <c r="N186">
        <f t="shared" si="10"/>
        <v>33335.03</v>
      </c>
      <c r="O186" t="str">
        <f t="shared" si="11"/>
        <v>Minor Delay</v>
      </c>
    </row>
    <row r="187" spans="1:15" x14ac:dyDescent="0.25">
      <c r="A187">
        <v>186</v>
      </c>
      <c r="B187" s="2">
        <v>45714</v>
      </c>
      <c r="C187" t="s">
        <v>26</v>
      </c>
      <c r="D187" t="s">
        <v>27</v>
      </c>
      <c r="E187" t="s">
        <v>17</v>
      </c>
      <c r="F187" t="s">
        <v>14</v>
      </c>
      <c r="G187">
        <v>127</v>
      </c>
      <c r="H187">
        <v>150.16999999999999</v>
      </c>
      <c r="I187">
        <v>67</v>
      </c>
      <c r="J187" t="s">
        <v>15</v>
      </c>
      <c r="K187">
        <v>19071.59</v>
      </c>
      <c r="L187" t="str">
        <f t="shared" si="8"/>
        <v>Feb</v>
      </c>
      <c r="M187">
        <f t="shared" si="9"/>
        <v>2025</v>
      </c>
      <c r="N187">
        <f t="shared" si="10"/>
        <v>19071.59</v>
      </c>
      <c r="O187" t="str">
        <f t="shared" si="11"/>
        <v>Major Delay</v>
      </c>
    </row>
    <row r="188" spans="1:15" x14ac:dyDescent="0.25">
      <c r="A188">
        <v>187</v>
      </c>
      <c r="B188" s="2">
        <v>45714</v>
      </c>
      <c r="C188" t="s">
        <v>18</v>
      </c>
      <c r="D188" t="s">
        <v>20</v>
      </c>
      <c r="E188" t="s">
        <v>12</v>
      </c>
      <c r="F188" t="s">
        <v>21</v>
      </c>
      <c r="G188">
        <v>187</v>
      </c>
      <c r="H188">
        <v>72.16</v>
      </c>
      <c r="I188">
        <v>1</v>
      </c>
      <c r="J188" t="s">
        <v>15</v>
      </c>
      <c r="K188">
        <v>13493.92</v>
      </c>
      <c r="L188" t="str">
        <f t="shared" si="8"/>
        <v>Feb</v>
      </c>
      <c r="M188">
        <f t="shared" si="9"/>
        <v>2025</v>
      </c>
      <c r="N188">
        <f t="shared" si="10"/>
        <v>13493.92</v>
      </c>
      <c r="O188" t="str">
        <f t="shared" si="11"/>
        <v>Minor Delay</v>
      </c>
    </row>
    <row r="189" spans="1:15" x14ac:dyDescent="0.25">
      <c r="A189">
        <v>188</v>
      </c>
      <c r="B189" s="2">
        <v>45972</v>
      </c>
      <c r="C189" t="s">
        <v>26</v>
      </c>
      <c r="D189" t="s">
        <v>17</v>
      </c>
      <c r="E189" t="s">
        <v>13</v>
      </c>
      <c r="F189" t="s">
        <v>14</v>
      </c>
      <c r="G189">
        <v>196</v>
      </c>
      <c r="H189">
        <v>368.26</v>
      </c>
      <c r="I189">
        <v>18</v>
      </c>
      <c r="J189" t="s">
        <v>15</v>
      </c>
      <c r="K189">
        <v>72178.960000000006</v>
      </c>
      <c r="L189" t="str">
        <f t="shared" si="8"/>
        <v>Nov</v>
      </c>
      <c r="M189">
        <f t="shared" si="9"/>
        <v>2025</v>
      </c>
      <c r="N189">
        <f t="shared" si="10"/>
        <v>72178.959999999992</v>
      </c>
      <c r="O189" t="str">
        <f t="shared" si="11"/>
        <v>Minor Delay</v>
      </c>
    </row>
    <row r="190" spans="1:15" x14ac:dyDescent="0.25">
      <c r="A190">
        <v>189</v>
      </c>
      <c r="B190" s="2">
        <v>45692</v>
      </c>
      <c r="C190" t="s">
        <v>31</v>
      </c>
      <c r="D190" t="s">
        <v>12</v>
      </c>
      <c r="E190" t="s">
        <v>17</v>
      </c>
      <c r="F190" t="s">
        <v>21</v>
      </c>
      <c r="G190">
        <v>179</v>
      </c>
      <c r="H190">
        <v>641.95000000000005</v>
      </c>
      <c r="I190">
        <v>14</v>
      </c>
      <c r="J190" t="s">
        <v>30</v>
      </c>
      <c r="K190">
        <v>114909.05</v>
      </c>
      <c r="L190" t="str">
        <f t="shared" si="8"/>
        <v>Feb</v>
      </c>
      <c r="M190">
        <f t="shared" si="9"/>
        <v>2025</v>
      </c>
      <c r="N190">
        <f t="shared" si="10"/>
        <v>114909.05</v>
      </c>
      <c r="O190" t="str">
        <f t="shared" si="11"/>
        <v>Minor Delay</v>
      </c>
    </row>
    <row r="191" spans="1:15" x14ac:dyDescent="0.25">
      <c r="A191">
        <v>190</v>
      </c>
      <c r="B191" s="2">
        <v>45849</v>
      </c>
      <c r="C191" t="s">
        <v>26</v>
      </c>
      <c r="D191" t="s">
        <v>13</v>
      </c>
      <c r="E191" t="s">
        <v>20</v>
      </c>
      <c r="F191" t="s">
        <v>21</v>
      </c>
      <c r="G191">
        <v>54</v>
      </c>
      <c r="H191">
        <v>324.25</v>
      </c>
      <c r="I191">
        <v>19</v>
      </c>
      <c r="J191" t="s">
        <v>15</v>
      </c>
      <c r="K191">
        <v>17509.5</v>
      </c>
      <c r="L191" t="str">
        <f t="shared" si="8"/>
        <v>Jul</v>
      </c>
      <c r="M191">
        <f t="shared" si="9"/>
        <v>2025</v>
      </c>
      <c r="N191">
        <f t="shared" si="10"/>
        <v>17509.5</v>
      </c>
      <c r="O191" t="str">
        <f t="shared" si="11"/>
        <v>Minor Delay</v>
      </c>
    </row>
    <row r="192" spans="1:15" x14ac:dyDescent="0.25">
      <c r="A192">
        <v>191</v>
      </c>
      <c r="B192" s="2">
        <v>45955</v>
      </c>
      <c r="C192" t="s">
        <v>25</v>
      </c>
      <c r="D192" t="s">
        <v>19</v>
      </c>
      <c r="E192" t="s">
        <v>12</v>
      </c>
      <c r="F192" t="s">
        <v>24</v>
      </c>
      <c r="G192">
        <v>84</v>
      </c>
      <c r="H192">
        <v>92.81</v>
      </c>
      <c r="I192">
        <v>0</v>
      </c>
      <c r="J192" t="s">
        <v>15</v>
      </c>
      <c r="K192">
        <v>7796.04</v>
      </c>
      <c r="L192" t="str">
        <f t="shared" si="8"/>
        <v>Oct</v>
      </c>
      <c r="M192">
        <f t="shared" si="9"/>
        <v>2025</v>
      </c>
      <c r="N192">
        <f t="shared" si="10"/>
        <v>7796.04</v>
      </c>
      <c r="O192" t="str">
        <f t="shared" si="11"/>
        <v>On Time</v>
      </c>
    </row>
    <row r="193" spans="1:15" x14ac:dyDescent="0.25">
      <c r="A193">
        <v>192</v>
      </c>
      <c r="B193" s="2">
        <v>45981</v>
      </c>
      <c r="C193" t="s">
        <v>11</v>
      </c>
      <c r="D193" t="s">
        <v>20</v>
      </c>
      <c r="E193" t="s">
        <v>27</v>
      </c>
      <c r="F193" t="s">
        <v>14</v>
      </c>
      <c r="G193">
        <v>66</v>
      </c>
      <c r="H193">
        <v>589.87</v>
      </c>
      <c r="I193">
        <v>6</v>
      </c>
      <c r="J193" t="s">
        <v>30</v>
      </c>
      <c r="K193">
        <v>38931.42</v>
      </c>
      <c r="L193" t="str">
        <f t="shared" si="8"/>
        <v>Nov</v>
      </c>
      <c r="M193">
        <f t="shared" si="9"/>
        <v>2025</v>
      </c>
      <c r="N193">
        <f t="shared" si="10"/>
        <v>38931.42</v>
      </c>
      <c r="O193" t="str">
        <f t="shared" si="11"/>
        <v>Minor Delay</v>
      </c>
    </row>
    <row r="194" spans="1:15" x14ac:dyDescent="0.25">
      <c r="A194">
        <v>193</v>
      </c>
      <c r="B194" s="2">
        <v>45761</v>
      </c>
      <c r="C194" t="s">
        <v>16</v>
      </c>
      <c r="D194" t="s">
        <v>13</v>
      </c>
      <c r="E194" t="s">
        <v>22</v>
      </c>
      <c r="F194" t="s">
        <v>14</v>
      </c>
      <c r="G194">
        <v>276</v>
      </c>
      <c r="H194">
        <v>91.01</v>
      </c>
      <c r="I194">
        <v>47</v>
      </c>
      <c r="J194" t="s">
        <v>28</v>
      </c>
      <c r="K194">
        <v>25118.76</v>
      </c>
      <c r="L194" t="str">
        <f t="shared" si="8"/>
        <v>Apr</v>
      </c>
      <c r="M194">
        <f t="shared" si="9"/>
        <v>2025</v>
      </c>
      <c r="N194">
        <f t="shared" si="10"/>
        <v>25118.760000000002</v>
      </c>
      <c r="O194" t="str">
        <f t="shared" si="11"/>
        <v>Moderate Delay</v>
      </c>
    </row>
    <row r="195" spans="1:15" x14ac:dyDescent="0.25">
      <c r="A195">
        <v>194</v>
      </c>
      <c r="B195" s="2">
        <v>45787</v>
      </c>
      <c r="C195" t="s">
        <v>16</v>
      </c>
      <c r="D195" t="s">
        <v>27</v>
      </c>
      <c r="E195" t="s">
        <v>20</v>
      </c>
      <c r="F195" t="s">
        <v>21</v>
      </c>
      <c r="G195">
        <v>98</v>
      </c>
      <c r="H195">
        <v>271.72000000000003</v>
      </c>
      <c r="I195">
        <v>7</v>
      </c>
      <c r="J195" t="s">
        <v>30</v>
      </c>
      <c r="K195">
        <v>26628.560000000001</v>
      </c>
      <c r="L195" t="str">
        <f t="shared" ref="L195:L258" si="12">TEXT(B195,"MMM")</f>
        <v>May</v>
      </c>
      <c r="M195">
        <f t="shared" ref="M195:M258" si="13">YEAR(B195)</f>
        <v>2025</v>
      </c>
      <c r="N195">
        <f t="shared" ref="N195:N258" si="14">G195*H195</f>
        <v>26628.560000000001</v>
      </c>
      <c r="O195" t="str">
        <f t="shared" ref="O195:O258" si="15">IF(I195=0,"On Time",IF(I195&lt;=30,"Minor Delay",IF(I195&lt;=60,"Moderate Delay","Major Delay")))</f>
        <v>Minor Delay</v>
      </c>
    </row>
    <row r="196" spans="1:15" x14ac:dyDescent="0.25">
      <c r="A196">
        <v>195</v>
      </c>
      <c r="B196" s="2">
        <v>45797</v>
      </c>
      <c r="C196" t="s">
        <v>16</v>
      </c>
      <c r="D196" t="s">
        <v>13</v>
      </c>
      <c r="E196" t="s">
        <v>17</v>
      </c>
      <c r="F196" t="s">
        <v>24</v>
      </c>
      <c r="G196">
        <v>161</v>
      </c>
      <c r="H196">
        <v>718.22</v>
      </c>
      <c r="I196">
        <v>17</v>
      </c>
      <c r="J196" t="s">
        <v>15</v>
      </c>
      <c r="K196">
        <v>115633.42</v>
      </c>
      <c r="L196" t="str">
        <f t="shared" si="12"/>
        <v>May</v>
      </c>
      <c r="M196">
        <f t="shared" si="13"/>
        <v>2025</v>
      </c>
      <c r="N196">
        <f t="shared" si="14"/>
        <v>115633.42</v>
      </c>
      <c r="O196" t="str">
        <f t="shared" si="15"/>
        <v>Minor Delay</v>
      </c>
    </row>
    <row r="197" spans="1:15" x14ac:dyDescent="0.25">
      <c r="A197">
        <v>196</v>
      </c>
      <c r="B197" s="2">
        <v>46012</v>
      </c>
      <c r="C197" t="s">
        <v>18</v>
      </c>
      <c r="D197" t="s">
        <v>29</v>
      </c>
      <c r="E197" t="s">
        <v>27</v>
      </c>
      <c r="F197" t="s">
        <v>24</v>
      </c>
      <c r="G197">
        <v>286</v>
      </c>
      <c r="H197">
        <v>650</v>
      </c>
      <c r="I197">
        <v>0</v>
      </c>
      <c r="J197" t="s">
        <v>15</v>
      </c>
      <c r="K197">
        <v>185900</v>
      </c>
      <c r="L197" t="str">
        <f t="shared" si="12"/>
        <v>Dec</v>
      </c>
      <c r="M197">
        <f t="shared" si="13"/>
        <v>2025</v>
      </c>
      <c r="N197">
        <f t="shared" si="14"/>
        <v>185900</v>
      </c>
      <c r="O197" t="str">
        <f t="shared" si="15"/>
        <v>On Time</v>
      </c>
    </row>
    <row r="198" spans="1:15" x14ac:dyDescent="0.25">
      <c r="A198">
        <v>197</v>
      </c>
      <c r="B198" s="2">
        <v>45698</v>
      </c>
      <c r="C198" t="s">
        <v>18</v>
      </c>
      <c r="D198" t="s">
        <v>12</v>
      </c>
      <c r="E198" t="s">
        <v>20</v>
      </c>
      <c r="F198" t="s">
        <v>21</v>
      </c>
      <c r="G198">
        <v>260</v>
      </c>
      <c r="H198">
        <v>193.54</v>
      </c>
      <c r="I198">
        <v>16</v>
      </c>
      <c r="J198" t="s">
        <v>15</v>
      </c>
      <c r="K198">
        <v>50320.4</v>
      </c>
      <c r="L198" t="str">
        <f t="shared" si="12"/>
        <v>Feb</v>
      </c>
      <c r="M198">
        <f t="shared" si="13"/>
        <v>2025</v>
      </c>
      <c r="N198">
        <f t="shared" si="14"/>
        <v>50320.4</v>
      </c>
      <c r="O198" t="str">
        <f t="shared" si="15"/>
        <v>Minor Delay</v>
      </c>
    </row>
    <row r="199" spans="1:15" x14ac:dyDescent="0.25">
      <c r="A199">
        <v>198</v>
      </c>
      <c r="B199" s="2">
        <v>45886</v>
      </c>
      <c r="C199" t="s">
        <v>31</v>
      </c>
      <c r="D199" t="s">
        <v>23</v>
      </c>
      <c r="E199" t="s">
        <v>22</v>
      </c>
      <c r="F199" t="s">
        <v>21</v>
      </c>
      <c r="G199">
        <v>159</v>
      </c>
      <c r="H199">
        <v>183.32</v>
      </c>
      <c r="I199">
        <v>31</v>
      </c>
      <c r="J199" t="s">
        <v>15</v>
      </c>
      <c r="K199">
        <v>29147.88</v>
      </c>
      <c r="L199" t="str">
        <f t="shared" si="12"/>
        <v>Aug</v>
      </c>
      <c r="M199">
        <f t="shared" si="13"/>
        <v>2025</v>
      </c>
      <c r="N199">
        <f t="shared" si="14"/>
        <v>29147.879999999997</v>
      </c>
      <c r="O199" t="str">
        <f t="shared" si="15"/>
        <v>Moderate Delay</v>
      </c>
    </row>
    <row r="200" spans="1:15" x14ac:dyDescent="0.25">
      <c r="A200">
        <v>199</v>
      </c>
      <c r="B200" s="2">
        <v>45838</v>
      </c>
      <c r="C200" t="s">
        <v>31</v>
      </c>
      <c r="D200" t="s">
        <v>20</v>
      </c>
      <c r="E200" t="s">
        <v>13</v>
      </c>
      <c r="F200" t="s">
        <v>24</v>
      </c>
      <c r="G200">
        <v>120</v>
      </c>
      <c r="H200">
        <v>533.21</v>
      </c>
      <c r="I200">
        <v>22</v>
      </c>
      <c r="J200" t="s">
        <v>15</v>
      </c>
      <c r="K200">
        <v>63985.2</v>
      </c>
      <c r="L200" t="str">
        <f t="shared" si="12"/>
        <v>Jun</v>
      </c>
      <c r="M200">
        <f t="shared" si="13"/>
        <v>2025</v>
      </c>
      <c r="N200">
        <f t="shared" si="14"/>
        <v>63985.200000000004</v>
      </c>
      <c r="O200" t="str">
        <f t="shared" si="15"/>
        <v>Minor Delay</v>
      </c>
    </row>
    <row r="201" spans="1:15" x14ac:dyDescent="0.25">
      <c r="A201">
        <v>200</v>
      </c>
      <c r="B201" s="2">
        <v>45920</v>
      </c>
      <c r="C201" t="s">
        <v>25</v>
      </c>
      <c r="D201" t="s">
        <v>17</v>
      </c>
      <c r="E201" t="s">
        <v>22</v>
      </c>
      <c r="F201" t="s">
        <v>21</v>
      </c>
      <c r="G201">
        <v>90</v>
      </c>
      <c r="H201">
        <v>765.06</v>
      </c>
      <c r="I201">
        <v>11</v>
      </c>
      <c r="J201" t="s">
        <v>15</v>
      </c>
      <c r="K201">
        <v>68855.399999999994</v>
      </c>
      <c r="L201" t="str">
        <f t="shared" si="12"/>
        <v>Sep</v>
      </c>
      <c r="M201">
        <f t="shared" si="13"/>
        <v>2025</v>
      </c>
      <c r="N201">
        <f t="shared" si="14"/>
        <v>68855.399999999994</v>
      </c>
      <c r="O201" t="str">
        <f t="shared" si="15"/>
        <v>Minor Delay</v>
      </c>
    </row>
    <row r="202" spans="1:15" x14ac:dyDescent="0.25">
      <c r="A202">
        <v>201</v>
      </c>
      <c r="B202" s="2">
        <v>45722</v>
      </c>
      <c r="C202" t="s">
        <v>16</v>
      </c>
      <c r="D202" t="s">
        <v>20</v>
      </c>
      <c r="E202" t="s">
        <v>13</v>
      </c>
      <c r="F202" t="s">
        <v>14</v>
      </c>
      <c r="G202">
        <v>249</v>
      </c>
      <c r="H202">
        <v>537.41999999999996</v>
      </c>
      <c r="I202">
        <v>0</v>
      </c>
      <c r="J202" t="s">
        <v>15</v>
      </c>
      <c r="K202">
        <v>133817.57999999999</v>
      </c>
      <c r="L202" t="str">
        <f t="shared" si="12"/>
        <v>Mar</v>
      </c>
      <c r="M202">
        <f t="shared" si="13"/>
        <v>2025</v>
      </c>
      <c r="N202">
        <f t="shared" si="14"/>
        <v>133817.57999999999</v>
      </c>
      <c r="O202" t="str">
        <f t="shared" si="15"/>
        <v>On Time</v>
      </c>
    </row>
    <row r="203" spans="1:15" x14ac:dyDescent="0.25">
      <c r="A203">
        <v>202</v>
      </c>
      <c r="B203" s="2">
        <v>45847</v>
      </c>
      <c r="C203" t="s">
        <v>26</v>
      </c>
      <c r="D203" t="s">
        <v>29</v>
      </c>
      <c r="E203" t="s">
        <v>27</v>
      </c>
      <c r="F203" t="s">
        <v>24</v>
      </c>
      <c r="G203">
        <v>245</v>
      </c>
      <c r="H203">
        <v>116.9</v>
      </c>
      <c r="I203">
        <v>66</v>
      </c>
      <c r="J203" t="s">
        <v>15</v>
      </c>
      <c r="K203">
        <v>28640.5</v>
      </c>
      <c r="L203" t="str">
        <f t="shared" si="12"/>
        <v>Jul</v>
      </c>
      <c r="M203">
        <f t="shared" si="13"/>
        <v>2025</v>
      </c>
      <c r="N203">
        <f t="shared" si="14"/>
        <v>28640.5</v>
      </c>
      <c r="O203" t="str">
        <f t="shared" si="15"/>
        <v>Major Delay</v>
      </c>
    </row>
    <row r="204" spans="1:15" x14ac:dyDescent="0.25">
      <c r="A204">
        <v>203</v>
      </c>
      <c r="B204" s="2">
        <v>45818</v>
      </c>
      <c r="C204" t="s">
        <v>25</v>
      </c>
      <c r="D204" t="s">
        <v>22</v>
      </c>
      <c r="E204" t="s">
        <v>20</v>
      </c>
      <c r="F204" t="s">
        <v>24</v>
      </c>
      <c r="G204">
        <v>113</v>
      </c>
      <c r="H204">
        <v>770.78</v>
      </c>
      <c r="I204">
        <v>35</v>
      </c>
      <c r="J204" t="s">
        <v>15</v>
      </c>
      <c r="K204">
        <v>87098.14</v>
      </c>
      <c r="L204" t="str">
        <f t="shared" si="12"/>
        <v>Jun</v>
      </c>
      <c r="M204">
        <f t="shared" si="13"/>
        <v>2025</v>
      </c>
      <c r="N204">
        <f t="shared" si="14"/>
        <v>87098.14</v>
      </c>
      <c r="O204" t="str">
        <f t="shared" si="15"/>
        <v>Moderate Delay</v>
      </c>
    </row>
    <row r="205" spans="1:15" x14ac:dyDescent="0.25">
      <c r="A205">
        <v>204</v>
      </c>
      <c r="B205" s="2">
        <v>45792</v>
      </c>
      <c r="C205" t="s">
        <v>26</v>
      </c>
      <c r="D205" t="s">
        <v>27</v>
      </c>
      <c r="E205" t="s">
        <v>12</v>
      </c>
      <c r="F205" t="s">
        <v>21</v>
      </c>
      <c r="G205">
        <v>164</v>
      </c>
      <c r="H205">
        <v>218.78</v>
      </c>
      <c r="I205">
        <v>22</v>
      </c>
      <c r="J205" t="s">
        <v>15</v>
      </c>
      <c r="K205">
        <v>35879.919999999998</v>
      </c>
      <c r="L205" t="str">
        <f t="shared" si="12"/>
        <v>May</v>
      </c>
      <c r="M205">
        <f t="shared" si="13"/>
        <v>2025</v>
      </c>
      <c r="N205">
        <f t="shared" si="14"/>
        <v>35879.919999999998</v>
      </c>
      <c r="O205" t="str">
        <f t="shared" si="15"/>
        <v>Minor Delay</v>
      </c>
    </row>
    <row r="206" spans="1:15" x14ac:dyDescent="0.25">
      <c r="A206">
        <v>205</v>
      </c>
      <c r="B206" s="2">
        <v>45720</v>
      </c>
      <c r="C206" t="s">
        <v>11</v>
      </c>
      <c r="D206" t="s">
        <v>20</v>
      </c>
      <c r="E206" t="s">
        <v>19</v>
      </c>
      <c r="F206" t="s">
        <v>14</v>
      </c>
      <c r="G206">
        <v>165</v>
      </c>
      <c r="H206">
        <v>187.77</v>
      </c>
      <c r="I206">
        <v>0</v>
      </c>
      <c r="J206" t="s">
        <v>30</v>
      </c>
      <c r="K206">
        <v>30982.05</v>
      </c>
      <c r="L206" t="str">
        <f t="shared" si="12"/>
        <v>Mar</v>
      </c>
      <c r="M206">
        <f t="shared" si="13"/>
        <v>2025</v>
      </c>
      <c r="N206">
        <f t="shared" si="14"/>
        <v>30982.050000000003</v>
      </c>
      <c r="O206" t="str">
        <f t="shared" si="15"/>
        <v>On Time</v>
      </c>
    </row>
    <row r="207" spans="1:15" x14ac:dyDescent="0.25">
      <c r="A207">
        <v>206</v>
      </c>
      <c r="B207" s="2">
        <v>46021</v>
      </c>
      <c r="C207" t="s">
        <v>16</v>
      </c>
      <c r="D207" t="s">
        <v>22</v>
      </c>
      <c r="E207" t="s">
        <v>17</v>
      </c>
      <c r="F207" t="s">
        <v>21</v>
      </c>
      <c r="G207">
        <v>188</v>
      </c>
      <c r="H207">
        <v>274.87</v>
      </c>
      <c r="I207">
        <v>0</v>
      </c>
      <c r="J207" t="s">
        <v>15</v>
      </c>
      <c r="K207">
        <v>51675.56</v>
      </c>
      <c r="L207" t="str">
        <f t="shared" si="12"/>
        <v>Dec</v>
      </c>
      <c r="M207">
        <f t="shared" si="13"/>
        <v>2025</v>
      </c>
      <c r="N207">
        <f t="shared" si="14"/>
        <v>51675.56</v>
      </c>
      <c r="O207" t="str">
        <f t="shared" si="15"/>
        <v>On Time</v>
      </c>
    </row>
    <row r="208" spans="1:15" x14ac:dyDescent="0.25">
      <c r="A208">
        <v>207</v>
      </c>
      <c r="B208" s="2">
        <v>45843</v>
      </c>
      <c r="C208" t="s">
        <v>31</v>
      </c>
      <c r="D208" t="s">
        <v>29</v>
      </c>
      <c r="E208" t="s">
        <v>19</v>
      </c>
      <c r="F208" t="s">
        <v>14</v>
      </c>
      <c r="G208">
        <v>81</v>
      </c>
      <c r="H208">
        <v>789</v>
      </c>
      <c r="I208">
        <v>24</v>
      </c>
      <c r="J208" t="s">
        <v>15</v>
      </c>
      <c r="K208">
        <v>63909</v>
      </c>
      <c r="L208" t="str">
        <f t="shared" si="12"/>
        <v>Jul</v>
      </c>
      <c r="M208">
        <f t="shared" si="13"/>
        <v>2025</v>
      </c>
      <c r="N208">
        <f t="shared" si="14"/>
        <v>63909</v>
      </c>
      <c r="O208" t="str">
        <f t="shared" si="15"/>
        <v>Minor Delay</v>
      </c>
    </row>
    <row r="209" spans="1:15" x14ac:dyDescent="0.25">
      <c r="A209">
        <v>208</v>
      </c>
      <c r="B209" s="2">
        <v>45897</v>
      </c>
      <c r="C209" t="s">
        <v>31</v>
      </c>
      <c r="D209" t="s">
        <v>22</v>
      </c>
      <c r="E209" t="s">
        <v>17</v>
      </c>
      <c r="F209" t="s">
        <v>14</v>
      </c>
      <c r="G209">
        <v>206</v>
      </c>
      <c r="H209">
        <v>714.34</v>
      </c>
      <c r="I209">
        <v>2</v>
      </c>
      <c r="J209" t="s">
        <v>15</v>
      </c>
      <c r="K209">
        <v>147154.04</v>
      </c>
      <c r="L209" t="str">
        <f t="shared" si="12"/>
        <v>Aug</v>
      </c>
      <c r="M209">
        <f t="shared" si="13"/>
        <v>2025</v>
      </c>
      <c r="N209">
        <f t="shared" si="14"/>
        <v>147154.04</v>
      </c>
      <c r="O209" t="str">
        <f t="shared" si="15"/>
        <v>Minor Delay</v>
      </c>
    </row>
    <row r="210" spans="1:15" x14ac:dyDescent="0.25">
      <c r="A210">
        <v>209</v>
      </c>
      <c r="B210" s="2">
        <v>45927</v>
      </c>
      <c r="C210" t="s">
        <v>18</v>
      </c>
      <c r="D210" t="s">
        <v>17</v>
      </c>
      <c r="E210" t="s">
        <v>27</v>
      </c>
      <c r="F210" t="s">
        <v>24</v>
      </c>
      <c r="G210">
        <v>260</v>
      </c>
      <c r="H210">
        <v>485.43</v>
      </c>
      <c r="I210">
        <v>35</v>
      </c>
      <c r="J210" t="s">
        <v>15</v>
      </c>
      <c r="K210">
        <v>126211.8</v>
      </c>
      <c r="L210" t="str">
        <f t="shared" si="12"/>
        <v>Sep</v>
      </c>
      <c r="M210">
        <f t="shared" si="13"/>
        <v>2025</v>
      </c>
      <c r="N210">
        <f t="shared" si="14"/>
        <v>126211.8</v>
      </c>
      <c r="O210" t="str">
        <f t="shared" si="15"/>
        <v>Moderate Delay</v>
      </c>
    </row>
    <row r="211" spans="1:15" x14ac:dyDescent="0.25">
      <c r="A211">
        <v>210</v>
      </c>
      <c r="B211" s="2">
        <v>45723</v>
      </c>
      <c r="C211" t="s">
        <v>31</v>
      </c>
      <c r="D211" t="s">
        <v>20</v>
      </c>
      <c r="E211" t="s">
        <v>22</v>
      </c>
      <c r="F211" t="s">
        <v>21</v>
      </c>
      <c r="G211">
        <v>200</v>
      </c>
      <c r="H211">
        <v>194.65</v>
      </c>
      <c r="I211">
        <v>35</v>
      </c>
      <c r="J211" t="s">
        <v>30</v>
      </c>
      <c r="K211">
        <v>38930</v>
      </c>
      <c r="L211" t="str">
        <f t="shared" si="12"/>
        <v>Mar</v>
      </c>
      <c r="M211">
        <f t="shared" si="13"/>
        <v>2025</v>
      </c>
      <c r="N211">
        <f t="shared" si="14"/>
        <v>38930</v>
      </c>
      <c r="O211" t="str">
        <f t="shared" si="15"/>
        <v>Moderate Delay</v>
      </c>
    </row>
    <row r="212" spans="1:15" x14ac:dyDescent="0.25">
      <c r="A212">
        <v>211</v>
      </c>
      <c r="B212" s="2">
        <v>45721</v>
      </c>
      <c r="C212" t="s">
        <v>31</v>
      </c>
      <c r="D212" t="s">
        <v>17</v>
      </c>
      <c r="E212" t="s">
        <v>13</v>
      </c>
      <c r="F212" t="s">
        <v>14</v>
      </c>
      <c r="G212">
        <v>127</v>
      </c>
      <c r="H212">
        <v>181.85</v>
      </c>
      <c r="I212">
        <v>2</v>
      </c>
      <c r="J212" t="s">
        <v>15</v>
      </c>
      <c r="K212">
        <v>23094.95</v>
      </c>
      <c r="L212" t="str">
        <f t="shared" si="12"/>
        <v>Mar</v>
      </c>
      <c r="M212">
        <f t="shared" si="13"/>
        <v>2025</v>
      </c>
      <c r="N212">
        <f t="shared" si="14"/>
        <v>23094.95</v>
      </c>
      <c r="O212" t="str">
        <f t="shared" si="15"/>
        <v>Minor Delay</v>
      </c>
    </row>
    <row r="213" spans="1:15" x14ac:dyDescent="0.25">
      <c r="A213">
        <v>212</v>
      </c>
      <c r="B213" s="2">
        <v>45698</v>
      </c>
      <c r="C213" t="s">
        <v>26</v>
      </c>
      <c r="D213" t="s">
        <v>27</v>
      </c>
      <c r="E213" t="s">
        <v>23</v>
      </c>
      <c r="F213" t="s">
        <v>14</v>
      </c>
      <c r="G213">
        <v>212</v>
      </c>
      <c r="H213">
        <v>767.7</v>
      </c>
      <c r="I213">
        <v>55</v>
      </c>
      <c r="J213" t="s">
        <v>15</v>
      </c>
      <c r="K213">
        <v>162752.4</v>
      </c>
      <c r="L213" t="str">
        <f t="shared" si="12"/>
        <v>Feb</v>
      </c>
      <c r="M213">
        <f t="shared" si="13"/>
        <v>2025</v>
      </c>
      <c r="N213">
        <f t="shared" si="14"/>
        <v>162752.40000000002</v>
      </c>
      <c r="O213" t="str">
        <f t="shared" si="15"/>
        <v>Moderate Delay</v>
      </c>
    </row>
    <row r="214" spans="1:15" x14ac:dyDescent="0.25">
      <c r="A214">
        <v>213</v>
      </c>
      <c r="B214" s="2">
        <v>45915</v>
      </c>
      <c r="C214" t="s">
        <v>25</v>
      </c>
      <c r="D214" t="s">
        <v>23</v>
      </c>
      <c r="E214" t="s">
        <v>12</v>
      </c>
      <c r="F214" t="s">
        <v>14</v>
      </c>
      <c r="G214">
        <v>201</v>
      </c>
      <c r="H214">
        <v>756.79</v>
      </c>
      <c r="I214">
        <v>40</v>
      </c>
      <c r="J214" t="s">
        <v>15</v>
      </c>
      <c r="K214">
        <v>152114.79</v>
      </c>
      <c r="L214" t="str">
        <f t="shared" si="12"/>
        <v>Sep</v>
      </c>
      <c r="M214">
        <f t="shared" si="13"/>
        <v>2025</v>
      </c>
      <c r="N214">
        <f t="shared" si="14"/>
        <v>152114.78999999998</v>
      </c>
      <c r="O214" t="str">
        <f t="shared" si="15"/>
        <v>Moderate Delay</v>
      </c>
    </row>
    <row r="215" spans="1:15" x14ac:dyDescent="0.25">
      <c r="A215">
        <v>214</v>
      </c>
      <c r="B215" s="2">
        <v>45672</v>
      </c>
      <c r="C215" t="s">
        <v>16</v>
      </c>
      <c r="D215" t="s">
        <v>22</v>
      </c>
      <c r="E215" t="s">
        <v>13</v>
      </c>
      <c r="F215" t="s">
        <v>14</v>
      </c>
      <c r="G215">
        <v>292</v>
      </c>
      <c r="H215">
        <v>534.67999999999995</v>
      </c>
      <c r="I215">
        <v>50</v>
      </c>
      <c r="J215" t="s">
        <v>15</v>
      </c>
      <c r="K215">
        <v>156126.56</v>
      </c>
      <c r="L215" t="str">
        <f t="shared" si="12"/>
        <v>Jan</v>
      </c>
      <c r="M215">
        <f t="shared" si="13"/>
        <v>2025</v>
      </c>
      <c r="N215">
        <f t="shared" si="14"/>
        <v>156126.56</v>
      </c>
      <c r="O215" t="str">
        <f t="shared" si="15"/>
        <v>Moderate Delay</v>
      </c>
    </row>
    <row r="216" spans="1:15" x14ac:dyDescent="0.25">
      <c r="A216">
        <v>215</v>
      </c>
      <c r="B216" s="2">
        <v>45974</v>
      </c>
      <c r="C216" t="s">
        <v>25</v>
      </c>
      <c r="D216" t="s">
        <v>19</v>
      </c>
      <c r="E216" t="s">
        <v>20</v>
      </c>
      <c r="F216" t="s">
        <v>14</v>
      </c>
      <c r="G216">
        <v>177</v>
      </c>
      <c r="H216">
        <v>717.86</v>
      </c>
      <c r="I216">
        <v>0</v>
      </c>
      <c r="J216" t="s">
        <v>15</v>
      </c>
      <c r="K216">
        <v>127061.22</v>
      </c>
      <c r="L216" t="str">
        <f t="shared" si="12"/>
        <v>Nov</v>
      </c>
      <c r="M216">
        <f t="shared" si="13"/>
        <v>2025</v>
      </c>
      <c r="N216">
        <f t="shared" si="14"/>
        <v>127061.22</v>
      </c>
      <c r="O216" t="str">
        <f t="shared" si="15"/>
        <v>On Time</v>
      </c>
    </row>
    <row r="217" spans="1:15" x14ac:dyDescent="0.25">
      <c r="A217">
        <v>216</v>
      </c>
      <c r="B217" s="2">
        <v>45810</v>
      </c>
      <c r="C217" t="s">
        <v>18</v>
      </c>
      <c r="D217" t="s">
        <v>19</v>
      </c>
      <c r="E217" t="s">
        <v>20</v>
      </c>
      <c r="F217" t="s">
        <v>14</v>
      </c>
      <c r="G217">
        <v>226</v>
      </c>
      <c r="H217">
        <v>104.34</v>
      </c>
      <c r="I217">
        <v>9</v>
      </c>
      <c r="J217" t="s">
        <v>15</v>
      </c>
      <c r="K217">
        <v>23580.84</v>
      </c>
      <c r="L217" t="str">
        <f t="shared" si="12"/>
        <v>Jun</v>
      </c>
      <c r="M217">
        <f t="shared" si="13"/>
        <v>2025</v>
      </c>
      <c r="N217">
        <f t="shared" si="14"/>
        <v>23580.84</v>
      </c>
      <c r="O217" t="str">
        <f t="shared" si="15"/>
        <v>Minor Delay</v>
      </c>
    </row>
    <row r="218" spans="1:15" x14ac:dyDescent="0.25">
      <c r="A218">
        <v>217</v>
      </c>
      <c r="B218" s="2">
        <v>45762</v>
      </c>
      <c r="C218" t="s">
        <v>26</v>
      </c>
      <c r="D218" t="s">
        <v>20</v>
      </c>
      <c r="E218" t="s">
        <v>27</v>
      </c>
      <c r="F218" t="s">
        <v>21</v>
      </c>
      <c r="G218">
        <v>86</v>
      </c>
      <c r="H218">
        <v>291.31</v>
      </c>
      <c r="I218">
        <v>11</v>
      </c>
      <c r="J218" t="s">
        <v>30</v>
      </c>
      <c r="K218">
        <v>25052.66</v>
      </c>
      <c r="L218" t="str">
        <f t="shared" si="12"/>
        <v>Apr</v>
      </c>
      <c r="M218">
        <f t="shared" si="13"/>
        <v>2025</v>
      </c>
      <c r="N218">
        <f t="shared" si="14"/>
        <v>25052.66</v>
      </c>
      <c r="O218" t="str">
        <f t="shared" si="15"/>
        <v>Minor Delay</v>
      </c>
    </row>
    <row r="219" spans="1:15" x14ac:dyDescent="0.25">
      <c r="A219">
        <v>218</v>
      </c>
      <c r="B219" s="2">
        <v>45847</v>
      </c>
      <c r="C219" t="s">
        <v>31</v>
      </c>
      <c r="D219" t="s">
        <v>17</v>
      </c>
      <c r="E219" t="s">
        <v>29</v>
      </c>
      <c r="F219" t="s">
        <v>21</v>
      </c>
      <c r="G219">
        <v>77</v>
      </c>
      <c r="H219">
        <v>296.14999999999998</v>
      </c>
      <c r="I219">
        <v>0</v>
      </c>
      <c r="J219" t="s">
        <v>15</v>
      </c>
      <c r="K219">
        <v>22803.55</v>
      </c>
      <c r="L219" t="str">
        <f t="shared" si="12"/>
        <v>Jul</v>
      </c>
      <c r="M219">
        <f t="shared" si="13"/>
        <v>2025</v>
      </c>
      <c r="N219">
        <f t="shared" si="14"/>
        <v>22803.55</v>
      </c>
      <c r="O219" t="str">
        <f t="shared" si="15"/>
        <v>On Time</v>
      </c>
    </row>
    <row r="220" spans="1:15" x14ac:dyDescent="0.25">
      <c r="A220">
        <v>219</v>
      </c>
      <c r="B220" s="2">
        <v>45784</v>
      </c>
      <c r="C220" t="s">
        <v>11</v>
      </c>
      <c r="D220" t="s">
        <v>23</v>
      </c>
      <c r="E220" t="s">
        <v>27</v>
      </c>
      <c r="F220" t="s">
        <v>14</v>
      </c>
      <c r="G220">
        <v>62</v>
      </c>
      <c r="H220">
        <v>274.76</v>
      </c>
      <c r="I220">
        <v>0</v>
      </c>
      <c r="J220" t="s">
        <v>15</v>
      </c>
      <c r="K220">
        <v>17035.12</v>
      </c>
      <c r="L220" t="str">
        <f t="shared" si="12"/>
        <v>May</v>
      </c>
      <c r="M220">
        <f t="shared" si="13"/>
        <v>2025</v>
      </c>
      <c r="N220">
        <f t="shared" si="14"/>
        <v>17035.12</v>
      </c>
      <c r="O220" t="str">
        <f t="shared" si="15"/>
        <v>On Time</v>
      </c>
    </row>
    <row r="221" spans="1:15" x14ac:dyDescent="0.25">
      <c r="A221">
        <v>220</v>
      </c>
      <c r="B221" s="2">
        <v>45953</v>
      </c>
      <c r="C221" t="s">
        <v>25</v>
      </c>
      <c r="D221" t="s">
        <v>29</v>
      </c>
      <c r="E221" t="s">
        <v>17</v>
      </c>
      <c r="F221" t="s">
        <v>24</v>
      </c>
      <c r="G221">
        <v>98</v>
      </c>
      <c r="H221">
        <v>624.71</v>
      </c>
      <c r="I221">
        <v>42</v>
      </c>
      <c r="J221" t="s">
        <v>15</v>
      </c>
      <c r="K221">
        <v>61221.58</v>
      </c>
      <c r="L221" t="str">
        <f t="shared" si="12"/>
        <v>Oct</v>
      </c>
      <c r="M221">
        <f t="shared" si="13"/>
        <v>2025</v>
      </c>
      <c r="N221">
        <f t="shared" si="14"/>
        <v>61221.58</v>
      </c>
      <c r="O221" t="str">
        <f t="shared" si="15"/>
        <v>Moderate Delay</v>
      </c>
    </row>
    <row r="222" spans="1:15" x14ac:dyDescent="0.25">
      <c r="A222">
        <v>221</v>
      </c>
      <c r="B222" s="2">
        <v>45913</v>
      </c>
      <c r="C222" t="s">
        <v>26</v>
      </c>
      <c r="D222" t="s">
        <v>27</v>
      </c>
      <c r="E222" t="s">
        <v>20</v>
      </c>
      <c r="F222" t="s">
        <v>24</v>
      </c>
      <c r="G222">
        <v>55</v>
      </c>
      <c r="H222">
        <v>126.64</v>
      </c>
      <c r="I222">
        <v>0</v>
      </c>
      <c r="J222" t="s">
        <v>15</v>
      </c>
      <c r="K222">
        <v>6965.2</v>
      </c>
      <c r="L222" t="str">
        <f t="shared" si="12"/>
        <v>Sep</v>
      </c>
      <c r="M222">
        <f t="shared" si="13"/>
        <v>2025</v>
      </c>
      <c r="N222">
        <f t="shared" si="14"/>
        <v>6965.2</v>
      </c>
      <c r="O222" t="str">
        <f t="shared" si="15"/>
        <v>On Time</v>
      </c>
    </row>
    <row r="223" spans="1:15" x14ac:dyDescent="0.25">
      <c r="A223">
        <v>222</v>
      </c>
      <c r="B223" s="2">
        <v>45683</v>
      </c>
      <c r="C223" t="s">
        <v>26</v>
      </c>
      <c r="D223" t="s">
        <v>22</v>
      </c>
      <c r="E223" t="s">
        <v>13</v>
      </c>
      <c r="F223" t="s">
        <v>24</v>
      </c>
      <c r="G223">
        <v>202</v>
      </c>
      <c r="H223">
        <v>712.93</v>
      </c>
      <c r="I223">
        <v>37</v>
      </c>
      <c r="J223" t="s">
        <v>15</v>
      </c>
      <c r="K223">
        <v>144011.85999999999</v>
      </c>
      <c r="L223" t="str">
        <f t="shared" si="12"/>
        <v>Jan</v>
      </c>
      <c r="M223">
        <f t="shared" si="13"/>
        <v>2025</v>
      </c>
      <c r="N223">
        <f t="shared" si="14"/>
        <v>144011.85999999999</v>
      </c>
      <c r="O223" t="str">
        <f t="shared" si="15"/>
        <v>Moderate Delay</v>
      </c>
    </row>
    <row r="224" spans="1:15" x14ac:dyDescent="0.25">
      <c r="A224">
        <v>223</v>
      </c>
      <c r="B224" s="2">
        <v>45932</v>
      </c>
      <c r="C224" t="s">
        <v>16</v>
      </c>
      <c r="D224" t="s">
        <v>20</v>
      </c>
      <c r="E224" t="s">
        <v>23</v>
      </c>
      <c r="F224" t="s">
        <v>14</v>
      </c>
      <c r="G224">
        <v>160</v>
      </c>
      <c r="H224">
        <v>159.11000000000001</v>
      </c>
      <c r="I224">
        <v>17</v>
      </c>
      <c r="J224" t="s">
        <v>15</v>
      </c>
      <c r="K224">
        <v>25457.599999999999</v>
      </c>
      <c r="L224" t="str">
        <f t="shared" si="12"/>
        <v>Oct</v>
      </c>
      <c r="M224">
        <f t="shared" si="13"/>
        <v>2025</v>
      </c>
      <c r="N224">
        <f t="shared" si="14"/>
        <v>25457.600000000002</v>
      </c>
      <c r="O224" t="str">
        <f t="shared" si="15"/>
        <v>Minor Delay</v>
      </c>
    </row>
    <row r="225" spans="1:15" x14ac:dyDescent="0.25">
      <c r="A225">
        <v>224</v>
      </c>
      <c r="B225" s="2">
        <v>45684</v>
      </c>
      <c r="C225" t="s">
        <v>31</v>
      </c>
      <c r="D225" t="s">
        <v>13</v>
      </c>
      <c r="E225" t="s">
        <v>20</v>
      </c>
      <c r="F225" t="s">
        <v>21</v>
      </c>
      <c r="G225">
        <v>99</v>
      </c>
      <c r="H225">
        <v>328.27</v>
      </c>
      <c r="I225">
        <v>43</v>
      </c>
      <c r="J225" t="s">
        <v>15</v>
      </c>
      <c r="K225">
        <v>32498.73</v>
      </c>
      <c r="L225" t="str">
        <f t="shared" si="12"/>
        <v>Jan</v>
      </c>
      <c r="M225">
        <f t="shared" si="13"/>
        <v>2025</v>
      </c>
      <c r="N225">
        <f t="shared" si="14"/>
        <v>32498.73</v>
      </c>
      <c r="O225" t="str">
        <f t="shared" si="15"/>
        <v>Moderate Delay</v>
      </c>
    </row>
    <row r="226" spans="1:15" x14ac:dyDescent="0.25">
      <c r="A226">
        <v>225</v>
      </c>
      <c r="B226" s="2">
        <v>45939</v>
      </c>
      <c r="C226" t="s">
        <v>26</v>
      </c>
      <c r="D226" t="s">
        <v>17</v>
      </c>
      <c r="E226" t="s">
        <v>27</v>
      </c>
      <c r="F226" t="s">
        <v>21</v>
      </c>
      <c r="G226">
        <v>224</v>
      </c>
      <c r="H226">
        <v>512.16999999999996</v>
      </c>
      <c r="I226">
        <v>27</v>
      </c>
      <c r="J226" t="s">
        <v>15</v>
      </c>
      <c r="K226">
        <v>114726.08</v>
      </c>
      <c r="L226" t="str">
        <f t="shared" si="12"/>
        <v>Oct</v>
      </c>
      <c r="M226">
        <f t="shared" si="13"/>
        <v>2025</v>
      </c>
      <c r="N226">
        <f t="shared" si="14"/>
        <v>114726.07999999999</v>
      </c>
      <c r="O226" t="str">
        <f t="shared" si="15"/>
        <v>Minor Delay</v>
      </c>
    </row>
    <row r="227" spans="1:15" x14ac:dyDescent="0.25">
      <c r="A227">
        <v>226</v>
      </c>
      <c r="B227" s="2">
        <v>45731</v>
      </c>
      <c r="C227" t="s">
        <v>11</v>
      </c>
      <c r="D227" t="s">
        <v>22</v>
      </c>
      <c r="E227" t="s">
        <v>17</v>
      </c>
      <c r="F227" t="s">
        <v>21</v>
      </c>
      <c r="G227">
        <v>180</v>
      </c>
      <c r="H227">
        <v>357.03</v>
      </c>
      <c r="I227">
        <v>28</v>
      </c>
      <c r="J227" t="s">
        <v>15</v>
      </c>
      <c r="K227">
        <v>64265.4</v>
      </c>
      <c r="L227" t="str">
        <f t="shared" si="12"/>
        <v>Mar</v>
      </c>
      <c r="M227">
        <f t="shared" si="13"/>
        <v>2025</v>
      </c>
      <c r="N227">
        <f t="shared" si="14"/>
        <v>64265.399999999994</v>
      </c>
      <c r="O227" t="str">
        <f t="shared" si="15"/>
        <v>Minor Delay</v>
      </c>
    </row>
    <row r="228" spans="1:15" x14ac:dyDescent="0.25">
      <c r="A228">
        <v>227</v>
      </c>
      <c r="B228" s="2">
        <v>45828</v>
      </c>
      <c r="C228" t="s">
        <v>18</v>
      </c>
      <c r="D228" t="s">
        <v>13</v>
      </c>
      <c r="E228" t="s">
        <v>19</v>
      </c>
      <c r="F228" t="s">
        <v>21</v>
      </c>
      <c r="G228">
        <v>166</v>
      </c>
      <c r="H228">
        <v>170.22</v>
      </c>
      <c r="I228">
        <v>30</v>
      </c>
      <c r="J228" t="s">
        <v>30</v>
      </c>
      <c r="K228">
        <v>28256.52</v>
      </c>
      <c r="L228" t="str">
        <f t="shared" si="12"/>
        <v>Jun</v>
      </c>
      <c r="M228">
        <f t="shared" si="13"/>
        <v>2025</v>
      </c>
      <c r="N228">
        <f t="shared" si="14"/>
        <v>28256.52</v>
      </c>
      <c r="O228" t="str">
        <f t="shared" si="15"/>
        <v>Minor Delay</v>
      </c>
    </row>
    <row r="229" spans="1:15" x14ac:dyDescent="0.25">
      <c r="A229">
        <v>228</v>
      </c>
      <c r="B229" s="2">
        <v>45859</v>
      </c>
      <c r="C229" t="s">
        <v>31</v>
      </c>
      <c r="D229" t="s">
        <v>22</v>
      </c>
      <c r="E229" t="s">
        <v>29</v>
      </c>
      <c r="F229" t="s">
        <v>21</v>
      </c>
      <c r="G229">
        <v>265</v>
      </c>
      <c r="H229">
        <v>281.43</v>
      </c>
      <c r="I229">
        <v>11</v>
      </c>
      <c r="J229" t="s">
        <v>15</v>
      </c>
      <c r="K229">
        <v>74578.95</v>
      </c>
      <c r="L229" t="str">
        <f t="shared" si="12"/>
        <v>Jul</v>
      </c>
      <c r="M229">
        <f t="shared" si="13"/>
        <v>2025</v>
      </c>
      <c r="N229">
        <f t="shared" si="14"/>
        <v>74578.95</v>
      </c>
      <c r="O229" t="str">
        <f t="shared" si="15"/>
        <v>Minor Delay</v>
      </c>
    </row>
    <row r="230" spans="1:15" x14ac:dyDescent="0.25">
      <c r="A230">
        <v>229</v>
      </c>
      <c r="B230" s="2">
        <v>46020</v>
      </c>
      <c r="C230" t="s">
        <v>31</v>
      </c>
      <c r="D230" t="s">
        <v>27</v>
      </c>
      <c r="E230" t="s">
        <v>20</v>
      </c>
      <c r="F230" t="s">
        <v>24</v>
      </c>
      <c r="G230">
        <v>171</v>
      </c>
      <c r="H230">
        <v>663.65</v>
      </c>
      <c r="I230">
        <v>0</v>
      </c>
      <c r="J230" t="s">
        <v>30</v>
      </c>
      <c r="K230">
        <v>113484.15</v>
      </c>
      <c r="L230" t="str">
        <f t="shared" si="12"/>
        <v>Dec</v>
      </c>
      <c r="M230">
        <f t="shared" si="13"/>
        <v>2025</v>
      </c>
      <c r="N230">
        <f t="shared" si="14"/>
        <v>113484.15</v>
      </c>
      <c r="O230" t="str">
        <f t="shared" si="15"/>
        <v>On Time</v>
      </c>
    </row>
    <row r="231" spans="1:15" x14ac:dyDescent="0.25">
      <c r="A231">
        <v>230</v>
      </c>
      <c r="B231" s="2">
        <v>45963</v>
      </c>
      <c r="C231" t="s">
        <v>18</v>
      </c>
      <c r="D231" t="s">
        <v>23</v>
      </c>
      <c r="E231" t="s">
        <v>13</v>
      </c>
      <c r="F231" t="s">
        <v>24</v>
      </c>
      <c r="G231">
        <v>297</v>
      </c>
      <c r="H231">
        <v>545.14</v>
      </c>
      <c r="I231">
        <v>47</v>
      </c>
      <c r="J231" t="s">
        <v>30</v>
      </c>
      <c r="K231">
        <v>161906.57999999999</v>
      </c>
      <c r="L231" t="str">
        <f t="shared" si="12"/>
        <v>Nov</v>
      </c>
      <c r="M231">
        <f t="shared" si="13"/>
        <v>2025</v>
      </c>
      <c r="N231">
        <f t="shared" si="14"/>
        <v>161906.57999999999</v>
      </c>
      <c r="O231" t="str">
        <f t="shared" si="15"/>
        <v>Moderate Delay</v>
      </c>
    </row>
    <row r="232" spans="1:15" x14ac:dyDescent="0.25">
      <c r="A232">
        <v>231</v>
      </c>
      <c r="B232" s="2">
        <v>45956</v>
      </c>
      <c r="C232" t="s">
        <v>18</v>
      </c>
      <c r="D232" t="s">
        <v>19</v>
      </c>
      <c r="E232" t="s">
        <v>13</v>
      </c>
      <c r="F232" t="s">
        <v>14</v>
      </c>
      <c r="G232">
        <v>184</v>
      </c>
      <c r="H232">
        <v>525.48</v>
      </c>
      <c r="I232">
        <v>0</v>
      </c>
      <c r="J232" t="s">
        <v>15</v>
      </c>
      <c r="K232">
        <v>96688.320000000007</v>
      </c>
      <c r="L232" t="str">
        <f t="shared" si="12"/>
        <v>Oct</v>
      </c>
      <c r="M232">
        <f t="shared" si="13"/>
        <v>2025</v>
      </c>
      <c r="N232">
        <f t="shared" si="14"/>
        <v>96688.320000000007</v>
      </c>
      <c r="O232" t="str">
        <f t="shared" si="15"/>
        <v>On Time</v>
      </c>
    </row>
    <row r="233" spans="1:15" x14ac:dyDescent="0.25">
      <c r="A233">
        <v>232</v>
      </c>
      <c r="B233" s="2">
        <v>45951</v>
      </c>
      <c r="C233" t="s">
        <v>25</v>
      </c>
      <c r="D233" t="s">
        <v>19</v>
      </c>
      <c r="E233" t="s">
        <v>13</v>
      </c>
      <c r="F233" t="s">
        <v>14</v>
      </c>
      <c r="G233">
        <v>98</v>
      </c>
      <c r="H233">
        <v>74.010000000000005</v>
      </c>
      <c r="I233">
        <v>0</v>
      </c>
      <c r="J233" t="s">
        <v>15</v>
      </c>
      <c r="K233">
        <v>7252.98</v>
      </c>
      <c r="L233" t="str">
        <f t="shared" si="12"/>
        <v>Oct</v>
      </c>
      <c r="M233">
        <f t="shared" si="13"/>
        <v>2025</v>
      </c>
      <c r="N233">
        <f t="shared" si="14"/>
        <v>7252.9800000000005</v>
      </c>
      <c r="O233" t="str">
        <f t="shared" si="15"/>
        <v>On Time</v>
      </c>
    </row>
    <row r="234" spans="1:15" x14ac:dyDescent="0.25">
      <c r="A234">
        <v>233</v>
      </c>
      <c r="B234" s="2">
        <v>46011</v>
      </c>
      <c r="C234" t="s">
        <v>11</v>
      </c>
      <c r="D234" t="s">
        <v>29</v>
      </c>
      <c r="E234" t="s">
        <v>20</v>
      </c>
      <c r="F234" t="s">
        <v>24</v>
      </c>
      <c r="G234">
        <v>178</v>
      </c>
      <c r="H234">
        <v>633.48</v>
      </c>
      <c r="I234">
        <v>64</v>
      </c>
      <c r="J234" t="s">
        <v>15</v>
      </c>
      <c r="K234">
        <v>112759.44</v>
      </c>
      <c r="L234" t="str">
        <f t="shared" si="12"/>
        <v>Dec</v>
      </c>
      <c r="M234">
        <f t="shared" si="13"/>
        <v>2025</v>
      </c>
      <c r="N234">
        <f t="shared" si="14"/>
        <v>112759.44</v>
      </c>
      <c r="O234" t="str">
        <f t="shared" si="15"/>
        <v>Major Delay</v>
      </c>
    </row>
    <row r="235" spans="1:15" x14ac:dyDescent="0.25">
      <c r="A235">
        <v>234</v>
      </c>
      <c r="B235" s="2">
        <v>45923</v>
      </c>
      <c r="C235" t="s">
        <v>11</v>
      </c>
      <c r="D235" t="s">
        <v>13</v>
      </c>
      <c r="E235" t="s">
        <v>19</v>
      </c>
      <c r="F235" t="s">
        <v>21</v>
      </c>
      <c r="G235">
        <v>133</v>
      </c>
      <c r="H235">
        <v>798.61</v>
      </c>
      <c r="I235">
        <v>0</v>
      </c>
      <c r="J235" t="s">
        <v>15</v>
      </c>
      <c r="K235">
        <v>106215.13</v>
      </c>
      <c r="L235" t="str">
        <f t="shared" si="12"/>
        <v>Sep</v>
      </c>
      <c r="M235">
        <f t="shared" si="13"/>
        <v>2025</v>
      </c>
      <c r="N235">
        <f t="shared" si="14"/>
        <v>106215.13</v>
      </c>
      <c r="O235" t="str">
        <f t="shared" si="15"/>
        <v>On Time</v>
      </c>
    </row>
    <row r="236" spans="1:15" x14ac:dyDescent="0.25">
      <c r="A236">
        <v>235</v>
      </c>
      <c r="B236" s="2">
        <v>45746</v>
      </c>
      <c r="C236" t="s">
        <v>18</v>
      </c>
      <c r="D236" t="s">
        <v>17</v>
      </c>
      <c r="E236" t="s">
        <v>22</v>
      </c>
      <c r="F236" t="s">
        <v>21</v>
      </c>
      <c r="G236">
        <v>137</v>
      </c>
      <c r="H236">
        <v>464.24</v>
      </c>
      <c r="I236">
        <v>0</v>
      </c>
      <c r="J236" t="s">
        <v>15</v>
      </c>
      <c r="K236">
        <v>63600.88</v>
      </c>
      <c r="L236" t="str">
        <f t="shared" si="12"/>
        <v>Mar</v>
      </c>
      <c r="M236">
        <f t="shared" si="13"/>
        <v>2025</v>
      </c>
      <c r="N236">
        <f t="shared" si="14"/>
        <v>63600.880000000005</v>
      </c>
      <c r="O236" t="str">
        <f t="shared" si="15"/>
        <v>On Time</v>
      </c>
    </row>
    <row r="237" spans="1:15" x14ac:dyDescent="0.25">
      <c r="A237">
        <v>236</v>
      </c>
      <c r="B237" s="2">
        <v>45756</v>
      </c>
      <c r="C237" t="s">
        <v>11</v>
      </c>
      <c r="D237" t="s">
        <v>23</v>
      </c>
      <c r="E237" t="s">
        <v>27</v>
      </c>
      <c r="F237" t="s">
        <v>24</v>
      </c>
      <c r="G237">
        <v>192</v>
      </c>
      <c r="H237">
        <v>280.89</v>
      </c>
      <c r="I237">
        <v>0</v>
      </c>
      <c r="J237" t="s">
        <v>30</v>
      </c>
      <c r="K237">
        <v>53930.879999999997</v>
      </c>
      <c r="L237" t="str">
        <f t="shared" si="12"/>
        <v>Apr</v>
      </c>
      <c r="M237">
        <f t="shared" si="13"/>
        <v>2025</v>
      </c>
      <c r="N237">
        <f t="shared" si="14"/>
        <v>53930.879999999997</v>
      </c>
      <c r="O237" t="str">
        <f t="shared" si="15"/>
        <v>On Time</v>
      </c>
    </row>
    <row r="238" spans="1:15" x14ac:dyDescent="0.25">
      <c r="A238">
        <v>237</v>
      </c>
      <c r="B238" s="2">
        <v>46018</v>
      </c>
      <c r="C238" t="s">
        <v>11</v>
      </c>
      <c r="D238" t="s">
        <v>23</v>
      </c>
      <c r="E238" t="s">
        <v>22</v>
      </c>
      <c r="F238" t="s">
        <v>21</v>
      </c>
      <c r="G238">
        <v>230</v>
      </c>
      <c r="H238">
        <v>421.86</v>
      </c>
      <c r="I238">
        <v>0</v>
      </c>
      <c r="J238" t="s">
        <v>30</v>
      </c>
      <c r="K238">
        <v>97027.8</v>
      </c>
      <c r="L238" t="str">
        <f t="shared" si="12"/>
        <v>Dec</v>
      </c>
      <c r="M238">
        <f t="shared" si="13"/>
        <v>2025</v>
      </c>
      <c r="N238">
        <f t="shared" si="14"/>
        <v>97027.8</v>
      </c>
      <c r="O238" t="str">
        <f t="shared" si="15"/>
        <v>On Time</v>
      </c>
    </row>
    <row r="239" spans="1:15" x14ac:dyDescent="0.25">
      <c r="A239">
        <v>238</v>
      </c>
      <c r="B239" s="2">
        <v>45720</v>
      </c>
      <c r="C239" t="s">
        <v>31</v>
      </c>
      <c r="D239" t="s">
        <v>23</v>
      </c>
      <c r="E239" t="s">
        <v>22</v>
      </c>
      <c r="F239" t="s">
        <v>21</v>
      </c>
      <c r="G239">
        <v>189</v>
      </c>
      <c r="H239">
        <v>340.97</v>
      </c>
      <c r="I239">
        <v>24</v>
      </c>
      <c r="J239" t="s">
        <v>28</v>
      </c>
      <c r="K239">
        <v>64443.33</v>
      </c>
      <c r="L239" t="str">
        <f t="shared" si="12"/>
        <v>Mar</v>
      </c>
      <c r="M239">
        <f t="shared" si="13"/>
        <v>2025</v>
      </c>
      <c r="N239">
        <f t="shared" si="14"/>
        <v>64443.33</v>
      </c>
      <c r="O239" t="str">
        <f t="shared" si="15"/>
        <v>Minor Delay</v>
      </c>
    </row>
    <row r="240" spans="1:15" x14ac:dyDescent="0.25">
      <c r="A240">
        <v>239</v>
      </c>
      <c r="B240" s="2">
        <v>45806</v>
      </c>
      <c r="C240" t="s">
        <v>16</v>
      </c>
      <c r="D240" t="s">
        <v>22</v>
      </c>
      <c r="E240" t="s">
        <v>29</v>
      </c>
      <c r="F240" t="s">
        <v>24</v>
      </c>
      <c r="G240">
        <v>294</v>
      </c>
      <c r="H240">
        <v>588.46</v>
      </c>
      <c r="I240">
        <v>4</v>
      </c>
      <c r="J240" t="s">
        <v>15</v>
      </c>
      <c r="K240">
        <v>173007.24</v>
      </c>
      <c r="L240" t="str">
        <f t="shared" si="12"/>
        <v>May</v>
      </c>
      <c r="M240">
        <f t="shared" si="13"/>
        <v>2025</v>
      </c>
      <c r="N240">
        <f t="shared" si="14"/>
        <v>173007.24000000002</v>
      </c>
      <c r="O240" t="str">
        <f t="shared" si="15"/>
        <v>Minor Delay</v>
      </c>
    </row>
    <row r="241" spans="1:15" x14ac:dyDescent="0.25">
      <c r="A241">
        <v>240</v>
      </c>
      <c r="B241" s="2">
        <v>45761</v>
      </c>
      <c r="C241" t="s">
        <v>31</v>
      </c>
      <c r="D241" t="s">
        <v>20</v>
      </c>
      <c r="E241" t="s">
        <v>19</v>
      </c>
      <c r="F241" t="s">
        <v>24</v>
      </c>
      <c r="G241">
        <v>288</v>
      </c>
      <c r="H241">
        <v>475.89</v>
      </c>
      <c r="I241">
        <v>42</v>
      </c>
      <c r="J241" t="s">
        <v>15</v>
      </c>
      <c r="K241">
        <v>137056.32000000001</v>
      </c>
      <c r="L241" t="str">
        <f t="shared" si="12"/>
        <v>Apr</v>
      </c>
      <c r="M241">
        <f t="shared" si="13"/>
        <v>2025</v>
      </c>
      <c r="N241">
        <f t="shared" si="14"/>
        <v>137056.32000000001</v>
      </c>
      <c r="O241" t="str">
        <f t="shared" si="15"/>
        <v>Moderate Delay</v>
      </c>
    </row>
    <row r="242" spans="1:15" x14ac:dyDescent="0.25">
      <c r="A242">
        <v>241</v>
      </c>
      <c r="B242" s="2">
        <v>45782</v>
      </c>
      <c r="C242" t="s">
        <v>16</v>
      </c>
      <c r="D242" t="s">
        <v>12</v>
      </c>
      <c r="E242" t="s">
        <v>23</v>
      </c>
      <c r="F242" t="s">
        <v>21</v>
      </c>
      <c r="G242">
        <v>281</v>
      </c>
      <c r="H242">
        <v>452.97</v>
      </c>
      <c r="I242">
        <v>14</v>
      </c>
      <c r="J242" t="s">
        <v>15</v>
      </c>
      <c r="K242">
        <v>127284.57</v>
      </c>
      <c r="L242" t="str">
        <f t="shared" si="12"/>
        <v>May</v>
      </c>
      <c r="M242">
        <f t="shared" si="13"/>
        <v>2025</v>
      </c>
      <c r="N242">
        <f t="shared" si="14"/>
        <v>127284.57</v>
      </c>
      <c r="O242" t="str">
        <f t="shared" si="15"/>
        <v>Minor Delay</v>
      </c>
    </row>
    <row r="243" spans="1:15" x14ac:dyDescent="0.25">
      <c r="A243">
        <v>242</v>
      </c>
      <c r="B243" s="2">
        <v>46006</v>
      </c>
      <c r="C243" t="s">
        <v>11</v>
      </c>
      <c r="D243" t="s">
        <v>20</v>
      </c>
      <c r="E243" t="s">
        <v>12</v>
      </c>
      <c r="F243" t="s">
        <v>14</v>
      </c>
      <c r="G243">
        <v>296</v>
      </c>
      <c r="H243">
        <v>467.26</v>
      </c>
      <c r="I243">
        <v>13</v>
      </c>
      <c r="J243" t="s">
        <v>30</v>
      </c>
      <c r="K243">
        <v>138308.96</v>
      </c>
      <c r="L243" t="str">
        <f t="shared" si="12"/>
        <v>Dec</v>
      </c>
      <c r="M243">
        <f t="shared" si="13"/>
        <v>2025</v>
      </c>
      <c r="N243">
        <f t="shared" si="14"/>
        <v>138308.96</v>
      </c>
      <c r="O243" t="str">
        <f t="shared" si="15"/>
        <v>Minor Delay</v>
      </c>
    </row>
    <row r="244" spans="1:15" x14ac:dyDescent="0.25">
      <c r="A244">
        <v>243</v>
      </c>
      <c r="B244" s="2">
        <v>45902</v>
      </c>
      <c r="C244" t="s">
        <v>25</v>
      </c>
      <c r="D244" t="s">
        <v>17</v>
      </c>
      <c r="E244" t="s">
        <v>27</v>
      </c>
      <c r="F244" t="s">
        <v>14</v>
      </c>
      <c r="G244">
        <v>243</v>
      </c>
      <c r="H244">
        <v>773.3</v>
      </c>
      <c r="I244">
        <v>4</v>
      </c>
      <c r="J244" t="s">
        <v>30</v>
      </c>
      <c r="K244">
        <v>187911.9</v>
      </c>
      <c r="L244" t="str">
        <f t="shared" si="12"/>
        <v>Sep</v>
      </c>
      <c r="M244">
        <f t="shared" si="13"/>
        <v>2025</v>
      </c>
      <c r="N244">
        <f t="shared" si="14"/>
        <v>187911.9</v>
      </c>
      <c r="O244" t="str">
        <f t="shared" si="15"/>
        <v>Minor Delay</v>
      </c>
    </row>
    <row r="245" spans="1:15" x14ac:dyDescent="0.25">
      <c r="A245">
        <v>244</v>
      </c>
      <c r="B245" s="2">
        <v>45931</v>
      </c>
      <c r="C245" t="s">
        <v>25</v>
      </c>
      <c r="D245" t="s">
        <v>12</v>
      </c>
      <c r="E245" t="s">
        <v>23</v>
      </c>
      <c r="F245" t="s">
        <v>21</v>
      </c>
      <c r="G245">
        <v>267</v>
      </c>
      <c r="H245">
        <v>753.14</v>
      </c>
      <c r="I245">
        <v>52</v>
      </c>
      <c r="J245" t="s">
        <v>30</v>
      </c>
      <c r="K245">
        <v>201088.38</v>
      </c>
      <c r="L245" t="str">
        <f t="shared" si="12"/>
        <v>Oct</v>
      </c>
      <c r="M245">
        <f t="shared" si="13"/>
        <v>2025</v>
      </c>
      <c r="N245">
        <f t="shared" si="14"/>
        <v>201088.38</v>
      </c>
      <c r="O245" t="str">
        <f t="shared" si="15"/>
        <v>Moderate Delay</v>
      </c>
    </row>
    <row r="246" spans="1:15" x14ac:dyDescent="0.25">
      <c r="A246">
        <v>245</v>
      </c>
      <c r="B246" s="2">
        <v>45748</v>
      </c>
      <c r="C246" t="s">
        <v>16</v>
      </c>
      <c r="D246" t="s">
        <v>29</v>
      </c>
      <c r="E246" t="s">
        <v>20</v>
      </c>
      <c r="F246" t="s">
        <v>24</v>
      </c>
      <c r="G246">
        <v>251</v>
      </c>
      <c r="H246">
        <v>426.58</v>
      </c>
      <c r="I246">
        <v>78</v>
      </c>
      <c r="J246" t="s">
        <v>30</v>
      </c>
      <c r="K246">
        <v>107071.58</v>
      </c>
      <c r="L246" t="str">
        <f t="shared" si="12"/>
        <v>Apr</v>
      </c>
      <c r="M246">
        <f t="shared" si="13"/>
        <v>2025</v>
      </c>
      <c r="N246">
        <f t="shared" si="14"/>
        <v>107071.58</v>
      </c>
      <c r="O246" t="str">
        <f t="shared" si="15"/>
        <v>Major Delay</v>
      </c>
    </row>
    <row r="247" spans="1:15" x14ac:dyDescent="0.25">
      <c r="A247">
        <v>246</v>
      </c>
      <c r="B247" s="2">
        <v>45810</v>
      </c>
      <c r="C247" t="s">
        <v>31</v>
      </c>
      <c r="D247" t="s">
        <v>13</v>
      </c>
      <c r="E247" t="s">
        <v>12</v>
      </c>
      <c r="F247" t="s">
        <v>21</v>
      </c>
      <c r="G247">
        <v>77</v>
      </c>
      <c r="H247">
        <v>747.06</v>
      </c>
      <c r="I247">
        <v>0</v>
      </c>
      <c r="J247" t="s">
        <v>15</v>
      </c>
      <c r="K247">
        <v>57523.62</v>
      </c>
      <c r="L247" t="str">
        <f t="shared" si="12"/>
        <v>Jun</v>
      </c>
      <c r="M247">
        <f t="shared" si="13"/>
        <v>2025</v>
      </c>
      <c r="N247">
        <f t="shared" si="14"/>
        <v>57523.619999999995</v>
      </c>
      <c r="O247" t="str">
        <f t="shared" si="15"/>
        <v>On Time</v>
      </c>
    </row>
    <row r="248" spans="1:15" x14ac:dyDescent="0.25">
      <c r="A248">
        <v>247</v>
      </c>
      <c r="B248" s="2">
        <v>45726</v>
      </c>
      <c r="C248" t="s">
        <v>31</v>
      </c>
      <c r="D248" t="s">
        <v>20</v>
      </c>
      <c r="E248" t="s">
        <v>27</v>
      </c>
      <c r="F248" t="s">
        <v>24</v>
      </c>
      <c r="G248">
        <v>119</v>
      </c>
      <c r="H248">
        <v>202.68</v>
      </c>
      <c r="I248">
        <v>31</v>
      </c>
      <c r="J248" t="s">
        <v>15</v>
      </c>
      <c r="K248">
        <v>24118.92</v>
      </c>
      <c r="L248" t="str">
        <f t="shared" si="12"/>
        <v>Mar</v>
      </c>
      <c r="M248">
        <f t="shared" si="13"/>
        <v>2025</v>
      </c>
      <c r="N248">
        <f t="shared" si="14"/>
        <v>24118.920000000002</v>
      </c>
      <c r="O248" t="str">
        <f t="shared" si="15"/>
        <v>Moderate Delay</v>
      </c>
    </row>
    <row r="249" spans="1:15" x14ac:dyDescent="0.25">
      <c r="A249">
        <v>248</v>
      </c>
      <c r="B249" s="2">
        <v>45665</v>
      </c>
      <c r="C249" t="s">
        <v>25</v>
      </c>
      <c r="D249" t="s">
        <v>23</v>
      </c>
      <c r="E249" t="s">
        <v>29</v>
      </c>
      <c r="F249" t="s">
        <v>24</v>
      </c>
      <c r="G249">
        <v>252</v>
      </c>
      <c r="H249">
        <v>278.32</v>
      </c>
      <c r="I249">
        <v>29</v>
      </c>
      <c r="J249" t="s">
        <v>15</v>
      </c>
      <c r="K249">
        <v>70136.639999999999</v>
      </c>
      <c r="L249" t="str">
        <f t="shared" si="12"/>
        <v>Jan</v>
      </c>
      <c r="M249">
        <f t="shared" si="13"/>
        <v>2025</v>
      </c>
      <c r="N249">
        <f t="shared" si="14"/>
        <v>70136.639999999999</v>
      </c>
      <c r="O249" t="str">
        <f t="shared" si="15"/>
        <v>Minor Delay</v>
      </c>
    </row>
    <row r="250" spans="1:15" x14ac:dyDescent="0.25">
      <c r="A250">
        <v>249</v>
      </c>
      <c r="B250" s="2">
        <v>45970</v>
      </c>
      <c r="C250" t="s">
        <v>25</v>
      </c>
      <c r="D250" t="s">
        <v>19</v>
      </c>
      <c r="E250" t="s">
        <v>29</v>
      </c>
      <c r="F250" t="s">
        <v>24</v>
      </c>
      <c r="G250">
        <v>261</v>
      </c>
      <c r="H250">
        <v>376.5</v>
      </c>
      <c r="I250">
        <v>8</v>
      </c>
      <c r="J250" t="s">
        <v>15</v>
      </c>
      <c r="K250">
        <v>98266.5</v>
      </c>
      <c r="L250" t="str">
        <f t="shared" si="12"/>
        <v>Nov</v>
      </c>
      <c r="M250">
        <f t="shared" si="13"/>
        <v>2025</v>
      </c>
      <c r="N250">
        <f t="shared" si="14"/>
        <v>98266.5</v>
      </c>
      <c r="O250" t="str">
        <f t="shared" si="15"/>
        <v>Minor Delay</v>
      </c>
    </row>
    <row r="251" spans="1:15" x14ac:dyDescent="0.25">
      <c r="A251">
        <v>250</v>
      </c>
      <c r="B251" s="2">
        <v>45823</v>
      </c>
      <c r="C251" t="s">
        <v>11</v>
      </c>
      <c r="D251" t="s">
        <v>29</v>
      </c>
      <c r="E251" t="s">
        <v>27</v>
      </c>
      <c r="F251" t="s">
        <v>14</v>
      </c>
      <c r="G251">
        <v>116</v>
      </c>
      <c r="H251">
        <v>343.85</v>
      </c>
      <c r="I251">
        <v>42</v>
      </c>
      <c r="J251" t="s">
        <v>15</v>
      </c>
      <c r="K251">
        <v>39886.6</v>
      </c>
      <c r="L251" t="str">
        <f t="shared" si="12"/>
        <v>Jun</v>
      </c>
      <c r="M251">
        <f t="shared" si="13"/>
        <v>2025</v>
      </c>
      <c r="N251">
        <f t="shared" si="14"/>
        <v>39886.600000000006</v>
      </c>
      <c r="O251" t="str">
        <f t="shared" si="15"/>
        <v>Moderate Delay</v>
      </c>
    </row>
    <row r="252" spans="1:15" x14ac:dyDescent="0.25">
      <c r="A252">
        <v>251</v>
      </c>
      <c r="B252" s="2">
        <v>45812</v>
      </c>
      <c r="C252" t="s">
        <v>31</v>
      </c>
      <c r="D252" t="s">
        <v>23</v>
      </c>
      <c r="E252" t="s">
        <v>17</v>
      </c>
      <c r="F252" t="s">
        <v>21</v>
      </c>
      <c r="G252">
        <v>196</v>
      </c>
      <c r="H252">
        <v>68.459999999999994</v>
      </c>
      <c r="I252">
        <v>0</v>
      </c>
      <c r="J252" t="s">
        <v>15</v>
      </c>
      <c r="K252">
        <v>13418.16</v>
      </c>
      <c r="L252" t="str">
        <f t="shared" si="12"/>
        <v>Jun</v>
      </c>
      <c r="M252">
        <f t="shared" si="13"/>
        <v>2025</v>
      </c>
      <c r="N252">
        <f t="shared" si="14"/>
        <v>13418.159999999998</v>
      </c>
      <c r="O252" t="str">
        <f t="shared" si="15"/>
        <v>On Time</v>
      </c>
    </row>
    <row r="253" spans="1:15" x14ac:dyDescent="0.25">
      <c r="A253">
        <v>252</v>
      </c>
      <c r="B253" s="2">
        <v>45815</v>
      </c>
      <c r="C253" t="s">
        <v>11</v>
      </c>
      <c r="D253" t="s">
        <v>12</v>
      </c>
      <c r="E253" t="s">
        <v>27</v>
      </c>
      <c r="F253" t="s">
        <v>24</v>
      </c>
      <c r="G253">
        <v>225</v>
      </c>
      <c r="H253">
        <v>431.87</v>
      </c>
      <c r="I253">
        <v>0</v>
      </c>
      <c r="J253" t="s">
        <v>30</v>
      </c>
      <c r="K253">
        <v>97170.75</v>
      </c>
      <c r="L253" t="str">
        <f t="shared" si="12"/>
        <v>Jun</v>
      </c>
      <c r="M253">
        <f t="shared" si="13"/>
        <v>2025</v>
      </c>
      <c r="N253">
        <f t="shared" si="14"/>
        <v>97170.75</v>
      </c>
      <c r="O253" t="str">
        <f t="shared" si="15"/>
        <v>On Time</v>
      </c>
    </row>
    <row r="254" spans="1:15" x14ac:dyDescent="0.25">
      <c r="A254">
        <v>253</v>
      </c>
      <c r="B254" s="2">
        <v>45985</v>
      </c>
      <c r="C254" t="s">
        <v>26</v>
      </c>
      <c r="D254" t="s">
        <v>23</v>
      </c>
      <c r="E254" t="s">
        <v>12</v>
      </c>
      <c r="F254" t="s">
        <v>24</v>
      </c>
      <c r="G254">
        <v>207</v>
      </c>
      <c r="H254">
        <v>223.43</v>
      </c>
      <c r="I254">
        <v>47</v>
      </c>
      <c r="J254" t="s">
        <v>15</v>
      </c>
      <c r="K254">
        <v>46250.01</v>
      </c>
      <c r="L254" t="str">
        <f t="shared" si="12"/>
        <v>Nov</v>
      </c>
      <c r="M254">
        <f t="shared" si="13"/>
        <v>2025</v>
      </c>
      <c r="N254">
        <f t="shared" si="14"/>
        <v>46250.01</v>
      </c>
      <c r="O254" t="str">
        <f t="shared" si="15"/>
        <v>Moderate Delay</v>
      </c>
    </row>
    <row r="255" spans="1:15" x14ac:dyDescent="0.25">
      <c r="A255">
        <v>254</v>
      </c>
      <c r="B255" s="2">
        <v>46017</v>
      </c>
      <c r="C255" t="s">
        <v>31</v>
      </c>
      <c r="D255" t="s">
        <v>22</v>
      </c>
      <c r="E255" t="s">
        <v>20</v>
      </c>
      <c r="F255" t="s">
        <v>24</v>
      </c>
      <c r="G255">
        <v>243</v>
      </c>
      <c r="H255">
        <v>457.76</v>
      </c>
      <c r="I255">
        <v>12</v>
      </c>
      <c r="J255" t="s">
        <v>15</v>
      </c>
      <c r="K255">
        <v>111235.68</v>
      </c>
      <c r="L255" t="str">
        <f t="shared" si="12"/>
        <v>Dec</v>
      </c>
      <c r="M255">
        <f t="shared" si="13"/>
        <v>2025</v>
      </c>
      <c r="N255">
        <f t="shared" si="14"/>
        <v>111235.68</v>
      </c>
      <c r="O255" t="str">
        <f t="shared" si="15"/>
        <v>Minor Delay</v>
      </c>
    </row>
    <row r="256" spans="1:15" x14ac:dyDescent="0.25">
      <c r="A256">
        <v>255</v>
      </c>
      <c r="B256" s="2">
        <v>46006</v>
      </c>
      <c r="C256" t="s">
        <v>31</v>
      </c>
      <c r="D256" t="s">
        <v>19</v>
      </c>
      <c r="E256" t="s">
        <v>23</v>
      </c>
      <c r="F256" t="s">
        <v>14</v>
      </c>
      <c r="G256">
        <v>184</v>
      </c>
      <c r="H256">
        <v>390.59</v>
      </c>
      <c r="I256">
        <v>17</v>
      </c>
      <c r="J256" t="s">
        <v>15</v>
      </c>
      <c r="K256">
        <v>71868.56</v>
      </c>
      <c r="L256" t="str">
        <f t="shared" si="12"/>
        <v>Dec</v>
      </c>
      <c r="M256">
        <f t="shared" si="13"/>
        <v>2025</v>
      </c>
      <c r="N256">
        <f t="shared" si="14"/>
        <v>71868.56</v>
      </c>
      <c r="O256" t="str">
        <f t="shared" si="15"/>
        <v>Minor Delay</v>
      </c>
    </row>
    <row r="257" spans="1:15" x14ac:dyDescent="0.25">
      <c r="A257">
        <v>256</v>
      </c>
      <c r="B257" s="2">
        <v>45951</v>
      </c>
      <c r="C257" t="s">
        <v>31</v>
      </c>
      <c r="D257" t="s">
        <v>13</v>
      </c>
      <c r="E257" t="s">
        <v>23</v>
      </c>
      <c r="F257" t="s">
        <v>14</v>
      </c>
      <c r="G257">
        <v>92</v>
      </c>
      <c r="H257">
        <v>302.81</v>
      </c>
      <c r="I257">
        <v>10</v>
      </c>
      <c r="J257" t="s">
        <v>15</v>
      </c>
      <c r="K257">
        <v>27858.52</v>
      </c>
      <c r="L257" t="str">
        <f t="shared" si="12"/>
        <v>Oct</v>
      </c>
      <c r="M257">
        <f t="shared" si="13"/>
        <v>2025</v>
      </c>
      <c r="N257">
        <f t="shared" si="14"/>
        <v>27858.52</v>
      </c>
      <c r="O257" t="str">
        <f t="shared" si="15"/>
        <v>Minor Delay</v>
      </c>
    </row>
    <row r="258" spans="1:15" x14ac:dyDescent="0.25">
      <c r="A258">
        <v>257</v>
      </c>
      <c r="B258" s="2">
        <v>45956</v>
      </c>
      <c r="C258" t="s">
        <v>18</v>
      </c>
      <c r="D258" t="s">
        <v>12</v>
      </c>
      <c r="E258" t="s">
        <v>23</v>
      </c>
      <c r="F258" t="s">
        <v>14</v>
      </c>
      <c r="G258">
        <v>280</v>
      </c>
      <c r="H258">
        <v>437.68</v>
      </c>
      <c r="I258">
        <v>29</v>
      </c>
      <c r="J258" t="s">
        <v>15</v>
      </c>
      <c r="K258">
        <v>122550.39999999999</v>
      </c>
      <c r="L258" t="str">
        <f t="shared" si="12"/>
        <v>Oct</v>
      </c>
      <c r="M258">
        <f t="shared" si="13"/>
        <v>2025</v>
      </c>
      <c r="N258">
        <f t="shared" si="14"/>
        <v>122550.40000000001</v>
      </c>
      <c r="O258" t="str">
        <f t="shared" si="15"/>
        <v>Minor Delay</v>
      </c>
    </row>
    <row r="259" spans="1:15" x14ac:dyDescent="0.25">
      <c r="A259">
        <v>258</v>
      </c>
      <c r="B259" s="2">
        <v>45944</v>
      </c>
      <c r="C259" t="s">
        <v>18</v>
      </c>
      <c r="D259" t="s">
        <v>20</v>
      </c>
      <c r="E259" t="s">
        <v>13</v>
      </c>
      <c r="F259" t="s">
        <v>21</v>
      </c>
      <c r="G259">
        <v>256</v>
      </c>
      <c r="H259">
        <v>288.05</v>
      </c>
      <c r="I259">
        <v>0</v>
      </c>
      <c r="J259" t="s">
        <v>15</v>
      </c>
      <c r="K259">
        <v>73740.800000000003</v>
      </c>
      <c r="L259" t="str">
        <f t="shared" ref="L259:L322" si="16">TEXT(B259,"MMM")</f>
        <v>Oct</v>
      </c>
      <c r="M259">
        <f t="shared" ref="M259:M322" si="17">YEAR(B259)</f>
        <v>2025</v>
      </c>
      <c r="N259">
        <f t="shared" ref="N259:N322" si="18">G259*H259</f>
        <v>73740.800000000003</v>
      </c>
      <c r="O259" t="str">
        <f t="shared" ref="O259:O322" si="19">IF(I259=0,"On Time",IF(I259&lt;=30,"Minor Delay",IF(I259&lt;=60,"Moderate Delay","Major Delay")))</f>
        <v>On Time</v>
      </c>
    </row>
    <row r="260" spans="1:15" x14ac:dyDescent="0.25">
      <c r="A260">
        <v>259</v>
      </c>
      <c r="B260" s="2">
        <v>45769</v>
      </c>
      <c r="C260" t="s">
        <v>31</v>
      </c>
      <c r="D260" t="s">
        <v>23</v>
      </c>
      <c r="E260" t="s">
        <v>13</v>
      </c>
      <c r="F260" t="s">
        <v>14</v>
      </c>
      <c r="G260">
        <v>61</v>
      </c>
      <c r="H260">
        <v>373.54</v>
      </c>
      <c r="I260">
        <v>10</v>
      </c>
      <c r="J260" t="s">
        <v>15</v>
      </c>
      <c r="K260">
        <v>22785.94</v>
      </c>
      <c r="L260" t="str">
        <f t="shared" si="16"/>
        <v>Apr</v>
      </c>
      <c r="M260">
        <f t="shared" si="17"/>
        <v>2025</v>
      </c>
      <c r="N260">
        <f t="shared" si="18"/>
        <v>22785.940000000002</v>
      </c>
      <c r="O260" t="str">
        <f t="shared" si="19"/>
        <v>Minor Delay</v>
      </c>
    </row>
    <row r="261" spans="1:15" x14ac:dyDescent="0.25">
      <c r="A261">
        <v>260</v>
      </c>
      <c r="B261" s="2">
        <v>45674</v>
      </c>
      <c r="C261" t="s">
        <v>26</v>
      </c>
      <c r="D261" t="s">
        <v>12</v>
      </c>
      <c r="E261" t="s">
        <v>27</v>
      </c>
      <c r="F261" t="s">
        <v>24</v>
      </c>
      <c r="G261">
        <v>96</v>
      </c>
      <c r="H261">
        <v>629.04</v>
      </c>
      <c r="I261">
        <v>0</v>
      </c>
      <c r="J261" t="s">
        <v>15</v>
      </c>
      <c r="K261">
        <v>60387.839999999997</v>
      </c>
      <c r="L261" t="str">
        <f t="shared" si="16"/>
        <v>Jan</v>
      </c>
      <c r="M261">
        <f t="shared" si="17"/>
        <v>2025</v>
      </c>
      <c r="N261">
        <f t="shared" si="18"/>
        <v>60387.839999999997</v>
      </c>
      <c r="O261" t="str">
        <f t="shared" si="19"/>
        <v>On Time</v>
      </c>
    </row>
    <row r="262" spans="1:15" x14ac:dyDescent="0.25">
      <c r="A262">
        <v>261</v>
      </c>
      <c r="B262" s="2">
        <v>45853</v>
      </c>
      <c r="C262" t="s">
        <v>18</v>
      </c>
      <c r="D262" t="s">
        <v>17</v>
      </c>
      <c r="E262" t="s">
        <v>22</v>
      </c>
      <c r="F262" t="s">
        <v>24</v>
      </c>
      <c r="G262">
        <v>146</v>
      </c>
      <c r="H262">
        <v>119.38</v>
      </c>
      <c r="I262">
        <v>69</v>
      </c>
      <c r="J262" t="s">
        <v>15</v>
      </c>
      <c r="K262">
        <v>17429.48</v>
      </c>
      <c r="L262" t="str">
        <f t="shared" si="16"/>
        <v>Jul</v>
      </c>
      <c r="M262">
        <f t="shared" si="17"/>
        <v>2025</v>
      </c>
      <c r="N262">
        <f t="shared" si="18"/>
        <v>17429.48</v>
      </c>
      <c r="O262" t="str">
        <f t="shared" si="19"/>
        <v>Major Delay</v>
      </c>
    </row>
    <row r="263" spans="1:15" x14ac:dyDescent="0.25">
      <c r="A263">
        <v>262</v>
      </c>
      <c r="B263" s="2">
        <v>45749</v>
      </c>
      <c r="C263" t="s">
        <v>31</v>
      </c>
      <c r="D263" t="s">
        <v>22</v>
      </c>
      <c r="E263" t="s">
        <v>12</v>
      </c>
      <c r="F263" t="s">
        <v>24</v>
      </c>
      <c r="G263">
        <v>185</v>
      </c>
      <c r="H263">
        <v>154.24</v>
      </c>
      <c r="I263">
        <v>8</v>
      </c>
      <c r="J263" t="s">
        <v>30</v>
      </c>
      <c r="K263">
        <v>28534.400000000001</v>
      </c>
      <c r="L263" t="str">
        <f t="shared" si="16"/>
        <v>Apr</v>
      </c>
      <c r="M263">
        <f t="shared" si="17"/>
        <v>2025</v>
      </c>
      <c r="N263">
        <f t="shared" si="18"/>
        <v>28534.400000000001</v>
      </c>
      <c r="O263" t="str">
        <f t="shared" si="19"/>
        <v>Minor Delay</v>
      </c>
    </row>
    <row r="264" spans="1:15" x14ac:dyDescent="0.25">
      <c r="A264">
        <v>263</v>
      </c>
      <c r="B264" s="2">
        <v>45810</v>
      </c>
      <c r="C264" t="s">
        <v>18</v>
      </c>
      <c r="D264" t="s">
        <v>13</v>
      </c>
      <c r="E264" t="s">
        <v>12</v>
      </c>
      <c r="F264" t="s">
        <v>21</v>
      </c>
      <c r="G264">
        <v>234</v>
      </c>
      <c r="H264">
        <v>462.89</v>
      </c>
      <c r="I264">
        <v>0</v>
      </c>
      <c r="J264" t="s">
        <v>15</v>
      </c>
      <c r="K264">
        <v>108316.26</v>
      </c>
      <c r="L264" t="str">
        <f t="shared" si="16"/>
        <v>Jun</v>
      </c>
      <c r="M264">
        <f t="shared" si="17"/>
        <v>2025</v>
      </c>
      <c r="N264">
        <f t="shared" si="18"/>
        <v>108316.26</v>
      </c>
      <c r="O264" t="str">
        <f t="shared" si="19"/>
        <v>On Time</v>
      </c>
    </row>
    <row r="265" spans="1:15" x14ac:dyDescent="0.25">
      <c r="A265">
        <v>264</v>
      </c>
      <c r="B265" s="2">
        <v>45799</v>
      </c>
      <c r="C265" t="s">
        <v>11</v>
      </c>
      <c r="D265" t="s">
        <v>22</v>
      </c>
      <c r="E265" t="s">
        <v>29</v>
      </c>
      <c r="F265" t="s">
        <v>21</v>
      </c>
      <c r="G265">
        <v>245</v>
      </c>
      <c r="H265">
        <v>143.51</v>
      </c>
      <c r="I265">
        <v>10</v>
      </c>
      <c r="J265" t="s">
        <v>30</v>
      </c>
      <c r="K265">
        <v>35159.949999999997</v>
      </c>
      <c r="L265" t="str">
        <f t="shared" si="16"/>
        <v>May</v>
      </c>
      <c r="M265">
        <f t="shared" si="17"/>
        <v>2025</v>
      </c>
      <c r="N265">
        <f t="shared" si="18"/>
        <v>35159.949999999997</v>
      </c>
      <c r="O265" t="str">
        <f t="shared" si="19"/>
        <v>Minor Delay</v>
      </c>
    </row>
    <row r="266" spans="1:15" x14ac:dyDescent="0.25">
      <c r="A266">
        <v>265</v>
      </c>
      <c r="B266" s="2">
        <v>45781</v>
      </c>
      <c r="C266" t="s">
        <v>11</v>
      </c>
      <c r="D266" t="s">
        <v>17</v>
      </c>
      <c r="E266" t="s">
        <v>13</v>
      </c>
      <c r="F266" t="s">
        <v>14</v>
      </c>
      <c r="G266">
        <v>75</v>
      </c>
      <c r="H266">
        <v>499.52</v>
      </c>
      <c r="I266">
        <v>0</v>
      </c>
      <c r="J266" t="s">
        <v>30</v>
      </c>
      <c r="K266">
        <v>37464</v>
      </c>
      <c r="L266" t="str">
        <f t="shared" si="16"/>
        <v>May</v>
      </c>
      <c r="M266">
        <f t="shared" si="17"/>
        <v>2025</v>
      </c>
      <c r="N266">
        <f t="shared" si="18"/>
        <v>37464</v>
      </c>
      <c r="O266" t="str">
        <f t="shared" si="19"/>
        <v>On Time</v>
      </c>
    </row>
    <row r="267" spans="1:15" x14ac:dyDescent="0.25">
      <c r="A267">
        <v>266</v>
      </c>
      <c r="B267" s="2">
        <v>45863</v>
      </c>
      <c r="C267" t="s">
        <v>18</v>
      </c>
      <c r="D267" t="s">
        <v>19</v>
      </c>
      <c r="E267" t="s">
        <v>13</v>
      </c>
      <c r="F267" t="s">
        <v>14</v>
      </c>
      <c r="G267">
        <v>188</v>
      </c>
      <c r="H267">
        <v>220.78</v>
      </c>
      <c r="I267">
        <v>32</v>
      </c>
      <c r="J267" t="s">
        <v>30</v>
      </c>
      <c r="K267">
        <v>41506.639999999999</v>
      </c>
      <c r="L267" t="str">
        <f t="shared" si="16"/>
        <v>Jul</v>
      </c>
      <c r="M267">
        <f t="shared" si="17"/>
        <v>2025</v>
      </c>
      <c r="N267">
        <f t="shared" si="18"/>
        <v>41506.639999999999</v>
      </c>
      <c r="O267" t="str">
        <f t="shared" si="19"/>
        <v>Moderate Delay</v>
      </c>
    </row>
    <row r="268" spans="1:15" x14ac:dyDescent="0.25">
      <c r="A268">
        <v>267</v>
      </c>
      <c r="B268" s="2">
        <v>45915</v>
      </c>
      <c r="C268" t="s">
        <v>26</v>
      </c>
      <c r="D268" t="s">
        <v>13</v>
      </c>
      <c r="E268" t="s">
        <v>19</v>
      </c>
      <c r="F268" t="s">
        <v>14</v>
      </c>
      <c r="G268">
        <v>258</v>
      </c>
      <c r="H268">
        <v>738.13</v>
      </c>
      <c r="I268">
        <v>0</v>
      </c>
      <c r="J268" t="s">
        <v>15</v>
      </c>
      <c r="K268">
        <v>190437.54</v>
      </c>
      <c r="L268" t="str">
        <f t="shared" si="16"/>
        <v>Sep</v>
      </c>
      <c r="M268">
        <f t="shared" si="17"/>
        <v>2025</v>
      </c>
      <c r="N268">
        <f t="shared" si="18"/>
        <v>190437.54</v>
      </c>
      <c r="O268" t="str">
        <f t="shared" si="19"/>
        <v>On Time</v>
      </c>
    </row>
    <row r="269" spans="1:15" x14ac:dyDescent="0.25">
      <c r="A269">
        <v>268</v>
      </c>
      <c r="B269" s="2">
        <v>45812</v>
      </c>
      <c r="C269" t="s">
        <v>11</v>
      </c>
      <c r="D269" t="s">
        <v>22</v>
      </c>
      <c r="E269" t="s">
        <v>19</v>
      </c>
      <c r="F269" t="s">
        <v>21</v>
      </c>
      <c r="G269">
        <v>183</v>
      </c>
      <c r="H269">
        <v>223.57</v>
      </c>
      <c r="I269">
        <v>4</v>
      </c>
      <c r="J269" t="s">
        <v>15</v>
      </c>
      <c r="K269">
        <v>40913.31</v>
      </c>
      <c r="L269" t="str">
        <f t="shared" si="16"/>
        <v>Jun</v>
      </c>
      <c r="M269">
        <f t="shared" si="17"/>
        <v>2025</v>
      </c>
      <c r="N269">
        <f t="shared" si="18"/>
        <v>40913.31</v>
      </c>
      <c r="O269" t="str">
        <f t="shared" si="19"/>
        <v>Minor Delay</v>
      </c>
    </row>
    <row r="270" spans="1:15" x14ac:dyDescent="0.25">
      <c r="A270">
        <v>269</v>
      </c>
      <c r="B270" s="2">
        <v>45978</v>
      </c>
      <c r="C270" t="s">
        <v>25</v>
      </c>
      <c r="D270" t="s">
        <v>13</v>
      </c>
      <c r="E270" t="s">
        <v>19</v>
      </c>
      <c r="F270" t="s">
        <v>24</v>
      </c>
      <c r="G270">
        <v>192</v>
      </c>
      <c r="H270">
        <v>426.76</v>
      </c>
      <c r="I270">
        <v>78</v>
      </c>
      <c r="J270" t="s">
        <v>15</v>
      </c>
      <c r="K270">
        <v>81937.919999999998</v>
      </c>
      <c r="L270" t="str">
        <f t="shared" si="16"/>
        <v>Nov</v>
      </c>
      <c r="M270">
        <f t="shared" si="17"/>
        <v>2025</v>
      </c>
      <c r="N270">
        <f t="shared" si="18"/>
        <v>81937.919999999998</v>
      </c>
      <c r="O270" t="str">
        <f t="shared" si="19"/>
        <v>Major Delay</v>
      </c>
    </row>
    <row r="271" spans="1:15" x14ac:dyDescent="0.25">
      <c r="A271">
        <v>270</v>
      </c>
      <c r="B271" s="2">
        <v>46014</v>
      </c>
      <c r="C271" t="s">
        <v>18</v>
      </c>
      <c r="D271" t="s">
        <v>27</v>
      </c>
      <c r="E271" t="s">
        <v>22</v>
      </c>
      <c r="F271" t="s">
        <v>24</v>
      </c>
      <c r="G271">
        <v>88</v>
      </c>
      <c r="H271">
        <v>281.92</v>
      </c>
      <c r="I271">
        <v>9</v>
      </c>
      <c r="J271" t="s">
        <v>15</v>
      </c>
      <c r="K271">
        <v>24808.959999999999</v>
      </c>
      <c r="L271" t="str">
        <f t="shared" si="16"/>
        <v>Dec</v>
      </c>
      <c r="M271">
        <f t="shared" si="17"/>
        <v>2025</v>
      </c>
      <c r="N271">
        <f t="shared" si="18"/>
        <v>24808.960000000003</v>
      </c>
      <c r="O271" t="str">
        <f t="shared" si="19"/>
        <v>Minor Delay</v>
      </c>
    </row>
    <row r="272" spans="1:15" x14ac:dyDescent="0.25">
      <c r="A272">
        <v>271</v>
      </c>
      <c r="B272" s="2">
        <v>45781</v>
      </c>
      <c r="C272" t="s">
        <v>11</v>
      </c>
      <c r="D272" t="s">
        <v>27</v>
      </c>
      <c r="E272" t="s">
        <v>20</v>
      </c>
      <c r="F272" t="s">
        <v>24</v>
      </c>
      <c r="G272">
        <v>269</v>
      </c>
      <c r="H272">
        <v>583.61</v>
      </c>
      <c r="I272">
        <v>39</v>
      </c>
      <c r="J272" t="s">
        <v>15</v>
      </c>
      <c r="K272">
        <v>156991.09</v>
      </c>
      <c r="L272" t="str">
        <f t="shared" si="16"/>
        <v>May</v>
      </c>
      <c r="M272">
        <f t="shared" si="17"/>
        <v>2025</v>
      </c>
      <c r="N272">
        <f t="shared" si="18"/>
        <v>156991.09</v>
      </c>
      <c r="O272" t="str">
        <f t="shared" si="19"/>
        <v>Moderate Delay</v>
      </c>
    </row>
    <row r="273" spans="1:15" x14ac:dyDescent="0.25">
      <c r="A273">
        <v>272</v>
      </c>
      <c r="B273" s="2">
        <v>45856</v>
      </c>
      <c r="C273" t="s">
        <v>11</v>
      </c>
      <c r="D273" t="s">
        <v>17</v>
      </c>
      <c r="E273" t="s">
        <v>29</v>
      </c>
      <c r="F273" t="s">
        <v>24</v>
      </c>
      <c r="G273">
        <v>102</v>
      </c>
      <c r="H273">
        <v>304.39</v>
      </c>
      <c r="I273">
        <v>0</v>
      </c>
      <c r="J273" t="s">
        <v>15</v>
      </c>
      <c r="K273">
        <v>31047.78</v>
      </c>
      <c r="L273" t="str">
        <f t="shared" si="16"/>
        <v>Jul</v>
      </c>
      <c r="M273">
        <f t="shared" si="17"/>
        <v>2025</v>
      </c>
      <c r="N273">
        <f t="shared" si="18"/>
        <v>31047.78</v>
      </c>
      <c r="O273" t="str">
        <f t="shared" si="19"/>
        <v>On Time</v>
      </c>
    </row>
    <row r="274" spans="1:15" x14ac:dyDescent="0.25">
      <c r="A274">
        <v>273</v>
      </c>
      <c r="B274" s="2">
        <v>45705</v>
      </c>
      <c r="C274" t="s">
        <v>31</v>
      </c>
      <c r="D274" t="s">
        <v>20</v>
      </c>
      <c r="E274" t="s">
        <v>22</v>
      </c>
      <c r="F274" t="s">
        <v>21</v>
      </c>
      <c r="G274">
        <v>262</v>
      </c>
      <c r="H274">
        <v>200.96</v>
      </c>
      <c r="I274">
        <v>15</v>
      </c>
      <c r="J274" t="s">
        <v>15</v>
      </c>
      <c r="K274">
        <v>52651.519999999997</v>
      </c>
      <c r="L274" t="str">
        <f t="shared" si="16"/>
        <v>Feb</v>
      </c>
      <c r="M274">
        <f t="shared" si="17"/>
        <v>2025</v>
      </c>
      <c r="N274">
        <f t="shared" si="18"/>
        <v>52651.520000000004</v>
      </c>
      <c r="O274" t="str">
        <f t="shared" si="19"/>
        <v>Minor Delay</v>
      </c>
    </row>
    <row r="275" spans="1:15" x14ac:dyDescent="0.25">
      <c r="A275">
        <v>274</v>
      </c>
      <c r="B275" s="2">
        <v>45958</v>
      </c>
      <c r="C275" t="s">
        <v>25</v>
      </c>
      <c r="D275" t="s">
        <v>12</v>
      </c>
      <c r="E275" t="s">
        <v>23</v>
      </c>
      <c r="F275" t="s">
        <v>21</v>
      </c>
      <c r="G275">
        <v>193</v>
      </c>
      <c r="H275">
        <v>220.59</v>
      </c>
      <c r="I275">
        <v>57</v>
      </c>
      <c r="J275" t="s">
        <v>15</v>
      </c>
      <c r="K275">
        <v>42573.87</v>
      </c>
      <c r="L275" t="str">
        <f t="shared" si="16"/>
        <v>Oct</v>
      </c>
      <c r="M275">
        <f t="shared" si="17"/>
        <v>2025</v>
      </c>
      <c r="N275">
        <f t="shared" si="18"/>
        <v>42573.87</v>
      </c>
      <c r="O275" t="str">
        <f t="shared" si="19"/>
        <v>Moderate Delay</v>
      </c>
    </row>
    <row r="276" spans="1:15" x14ac:dyDescent="0.25">
      <c r="A276">
        <v>275</v>
      </c>
      <c r="B276" s="2">
        <v>45665</v>
      </c>
      <c r="C276" t="s">
        <v>11</v>
      </c>
      <c r="D276" t="s">
        <v>22</v>
      </c>
      <c r="E276" t="s">
        <v>23</v>
      </c>
      <c r="F276" t="s">
        <v>14</v>
      </c>
      <c r="G276">
        <v>296</v>
      </c>
      <c r="H276">
        <v>608.69000000000005</v>
      </c>
      <c r="I276">
        <v>19</v>
      </c>
      <c r="J276" t="s">
        <v>30</v>
      </c>
      <c r="K276">
        <v>180172.24</v>
      </c>
      <c r="L276" t="str">
        <f t="shared" si="16"/>
        <v>Jan</v>
      </c>
      <c r="M276">
        <f t="shared" si="17"/>
        <v>2025</v>
      </c>
      <c r="N276">
        <f t="shared" si="18"/>
        <v>180172.24000000002</v>
      </c>
      <c r="O276" t="str">
        <f t="shared" si="19"/>
        <v>Minor Delay</v>
      </c>
    </row>
    <row r="277" spans="1:15" x14ac:dyDescent="0.25">
      <c r="A277">
        <v>276</v>
      </c>
      <c r="B277" s="2">
        <v>45780</v>
      </c>
      <c r="C277" t="s">
        <v>31</v>
      </c>
      <c r="D277" t="s">
        <v>19</v>
      </c>
      <c r="E277" t="s">
        <v>20</v>
      </c>
      <c r="F277" t="s">
        <v>24</v>
      </c>
      <c r="G277">
        <v>248</v>
      </c>
      <c r="H277">
        <v>269.45999999999998</v>
      </c>
      <c r="I277">
        <v>0</v>
      </c>
      <c r="J277" t="s">
        <v>15</v>
      </c>
      <c r="K277">
        <v>66826.080000000002</v>
      </c>
      <c r="L277" t="str">
        <f t="shared" si="16"/>
        <v>May</v>
      </c>
      <c r="M277">
        <f t="shared" si="17"/>
        <v>2025</v>
      </c>
      <c r="N277">
        <f t="shared" si="18"/>
        <v>66826.080000000002</v>
      </c>
      <c r="O277" t="str">
        <f t="shared" si="19"/>
        <v>On Time</v>
      </c>
    </row>
    <row r="278" spans="1:15" x14ac:dyDescent="0.25">
      <c r="A278">
        <v>277</v>
      </c>
      <c r="B278" s="2">
        <v>45791</v>
      </c>
      <c r="C278" t="s">
        <v>26</v>
      </c>
      <c r="D278" t="s">
        <v>22</v>
      </c>
      <c r="E278" t="s">
        <v>23</v>
      </c>
      <c r="F278" t="s">
        <v>21</v>
      </c>
      <c r="G278">
        <v>275</v>
      </c>
      <c r="H278">
        <v>427.99</v>
      </c>
      <c r="I278">
        <v>77</v>
      </c>
      <c r="J278" t="s">
        <v>15</v>
      </c>
      <c r="K278">
        <v>117697.25</v>
      </c>
      <c r="L278" t="str">
        <f t="shared" si="16"/>
        <v>May</v>
      </c>
      <c r="M278">
        <f t="shared" si="17"/>
        <v>2025</v>
      </c>
      <c r="N278">
        <f t="shared" si="18"/>
        <v>117697.25</v>
      </c>
      <c r="O278" t="str">
        <f t="shared" si="19"/>
        <v>Major Delay</v>
      </c>
    </row>
    <row r="279" spans="1:15" x14ac:dyDescent="0.25">
      <c r="A279">
        <v>278</v>
      </c>
      <c r="B279" s="2">
        <v>45847</v>
      </c>
      <c r="C279" t="s">
        <v>26</v>
      </c>
      <c r="D279" t="s">
        <v>22</v>
      </c>
      <c r="E279" t="s">
        <v>19</v>
      </c>
      <c r="F279" t="s">
        <v>24</v>
      </c>
      <c r="G279">
        <v>61</v>
      </c>
      <c r="H279">
        <v>476.27</v>
      </c>
      <c r="I279">
        <v>60</v>
      </c>
      <c r="J279" t="s">
        <v>15</v>
      </c>
      <c r="K279">
        <v>29052.47</v>
      </c>
      <c r="L279" t="str">
        <f t="shared" si="16"/>
        <v>Jul</v>
      </c>
      <c r="M279">
        <f t="shared" si="17"/>
        <v>2025</v>
      </c>
      <c r="N279">
        <f t="shared" si="18"/>
        <v>29052.469999999998</v>
      </c>
      <c r="O279" t="str">
        <f t="shared" si="19"/>
        <v>Moderate Delay</v>
      </c>
    </row>
    <row r="280" spans="1:15" x14ac:dyDescent="0.25">
      <c r="A280">
        <v>279</v>
      </c>
      <c r="B280" s="2">
        <v>45791</v>
      </c>
      <c r="C280" t="s">
        <v>31</v>
      </c>
      <c r="D280" t="s">
        <v>29</v>
      </c>
      <c r="E280" t="s">
        <v>13</v>
      </c>
      <c r="F280" t="s">
        <v>21</v>
      </c>
      <c r="G280">
        <v>198</v>
      </c>
      <c r="H280">
        <v>592.80999999999995</v>
      </c>
      <c r="I280">
        <v>15</v>
      </c>
      <c r="J280" t="s">
        <v>15</v>
      </c>
      <c r="K280">
        <v>117376.38</v>
      </c>
      <c r="L280" t="str">
        <f t="shared" si="16"/>
        <v>May</v>
      </c>
      <c r="M280">
        <f t="shared" si="17"/>
        <v>2025</v>
      </c>
      <c r="N280">
        <f t="shared" si="18"/>
        <v>117376.37999999999</v>
      </c>
      <c r="O280" t="str">
        <f t="shared" si="19"/>
        <v>Minor Delay</v>
      </c>
    </row>
    <row r="281" spans="1:15" x14ac:dyDescent="0.25">
      <c r="A281">
        <v>280</v>
      </c>
      <c r="B281" s="2">
        <v>45939</v>
      </c>
      <c r="C281" t="s">
        <v>25</v>
      </c>
      <c r="D281" t="s">
        <v>19</v>
      </c>
      <c r="E281" t="s">
        <v>27</v>
      </c>
      <c r="F281" t="s">
        <v>21</v>
      </c>
      <c r="G281">
        <v>136</v>
      </c>
      <c r="H281">
        <v>250.42</v>
      </c>
      <c r="I281">
        <v>35</v>
      </c>
      <c r="J281" t="s">
        <v>30</v>
      </c>
      <c r="K281">
        <v>34057.120000000003</v>
      </c>
      <c r="L281" t="str">
        <f t="shared" si="16"/>
        <v>Oct</v>
      </c>
      <c r="M281">
        <f t="shared" si="17"/>
        <v>2025</v>
      </c>
      <c r="N281">
        <f t="shared" si="18"/>
        <v>34057.119999999995</v>
      </c>
      <c r="O281" t="str">
        <f t="shared" si="19"/>
        <v>Moderate Delay</v>
      </c>
    </row>
    <row r="282" spans="1:15" x14ac:dyDescent="0.25">
      <c r="A282">
        <v>281</v>
      </c>
      <c r="B282" s="2">
        <v>45744</v>
      </c>
      <c r="C282" t="s">
        <v>25</v>
      </c>
      <c r="D282" t="s">
        <v>20</v>
      </c>
      <c r="E282" t="s">
        <v>27</v>
      </c>
      <c r="F282" t="s">
        <v>24</v>
      </c>
      <c r="G282">
        <v>93</v>
      </c>
      <c r="H282">
        <v>163.57</v>
      </c>
      <c r="I282">
        <v>4</v>
      </c>
      <c r="J282" t="s">
        <v>30</v>
      </c>
      <c r="K282">
        <v>15212.01</v>
      </c>
      <c r="L282" t="str">
        <f t="shared" si="16"/>
        <v>Mar</v>
      </c>
      <c r="M282">
        <f t="shared" si="17"/>
        <v>2025</v>
      </c>
      <c r="N282">
        <f t="shared" si="18"/>
        <v>15212.01</v>
      </c>
      <c r="O282" t="str">
        <f t="shared" si="19"/>
        <v>Minor Delay</v>
      </c>
    </row>
    <row r="283" spans="1:15" x14ac:dyDescent="0.25">
      <c r="A283">
        <v>282</v>
      </c>
      <c r="B283" s="2">
        <v>45696</v>
      </c>
      <c r="C283" t="s">
        <v>25</v>
      </c>
      <c r="D283" t="s">
        <v>13</v>
      </c>
      <c r="E283" t="s">
        <v>12</v>
      </c>
      <c r="F283" t="s">
        <v>14</v>
      </c>
      <c r="G283">
        <v>245</v>
      </c>
      <c r="H283">
        <v>64.72</v>
      </c>
      <c r="I283">
        <v>15</v>
      </c>
      <c r="J283" t="s">
        <v>15</v>
      </c>
      <c r="K283">
        <v>15856.4</v>
      </c>
      <c r="L283" t="str">
        <f t="shared" si="16"/>
        <v>Feb</v>
      </c>
      <c r="M283">
        <f t="shared" si="17"/>
        <v>2025</v>
      </c>
      <c r="N283">
        <f t="shared" si="18"/>
        <v>15856.4</v>
      </c>
      <c r="O283" t="str">
        <f t="shared" si="19"/>
        <v>Minor Delay</v>
      </c>
    </row>
    <row r="284" spans="1:15" x14ac:dyDescent="0.25">
      <c r="A284">
        <v>283</v>
      </c>
      <c r="B284" s="2">
        <v>46020</v>
      </c>
      <c r="C284" t="s">
        <v>11</v>
      </c>
      <c r="D284" t="s">
        <v>19</v>
      </c>
      <c r="E284" t="s">
        <v>12</v>
      </c>
      <c r="F284" t="s">
        <v>14</v>
      </c>
      <c r="G284">
        <v>105</v>
      </c>
      <c r="H284">
        <v>434.24</v>
      </c>
      <c r="I284">
        <v>0</v>
      </c>
      <c r="J284" t="s">
        <v>15</v>
      </c>
      <c r="K284">
        <v>45595.199999999997</v>
      </c>
      <c r="L284" t="str">
        <f t="shared" si="16"/>
        <v>Dec</v>
      </c>
      <c r="M284">
        <f t="shared" si="17"/>
        <v>2025</v>
      </c>
      <c r="N284">
        <f t="shared" si="18"/>
        <v>45595.200000000004</v>
      </c>
      <c r="O284" t="str">
        <f t="shared" si="19"/>
        <v>On Time</v>
      </c>
    </row>
    <row r="285" spans="1:15" x14ac:dyDescent="0.25">
      <c r="A285">
        <v>284</v>
      </c>
      <c r="B285" s="2">
        <v>45666</v>
      </c>
      <c r="C285" t="s">
        <v>16</v>
      </c>
      <c r="D285" t="s">
        <v>20</v>
      </c>
      <c r="E285" t="s">
        <v>27</v>
      </c>
      <c r="F285" t="s">
        <v>21</v>
      </c>
      <c r="G285">
        <v>191</v>
      </c>
      <c r="H285">
        <v>364.39</v>
      </c>
      <c r="I285">
        <v>44</v>
      </c>
      <c r="J285" t="s">
        <v>15</v>
      </c>
      <c r="K285">
        <v>69598.490000000005</v>
      </c>
      <c r="L285" t="str">
        <f t="shared" si="16"/>
        <v>Jan</v>
      </c>
      <c r="M285">
        <f t="shared" si="17"/>
        <v>2025</v>
      </c>
      <c r="N285">
        <f t="shared" si="18"/>
        <v>69598.489999999991</v>
      </c>
      <c r="O285" t="str">
        <f t="shared" si="19"/>
        <v>Moderate Delay</v>
      </c>
    </row>
    <row r="286" spans="1:15" x14ac:dyDescent="0.25">
      <c r="A286">
        <v>285</v>
      </c>
      <c r="B286" s="2">
        <v>45666</v>
      </c>
      <c r="C286" t="s">
        <v>31</v>
      </c>
      <c r="D286" t="s">
        <v>23</v>
      </c>
      <c r="E286" t="s">
        <v>22</v>
      </c>
      <c r="F286" t="s">
        <v>21</v>
      </c>
      <c r="G286">
        <v>222</v>
      </c>
      <c r="H286">
        <v>378.62</v>
      </c>
      <c r="I286">
        <v>34</v>
      </c>
      <c r="J286" t="s">
        <v>30</v>
      </c>
      <c r="K286">
        <v>84053.64</v>
      </c>
      <c r="L286" t="str">
        <f t="shared" si="16"/>
        <v>Jan</v>
      </c>
      <c r="M286">
        <f t="shared" si="17"/>
        <v>2025</v>
      </c>
      <c r="N286">
        <f t="shared" si="18"/>
        <v>84053.64</v>
      </c>
      <c r="O286" t="str">
        <f t="shared" si="19"/>
        <v>Moderate Delay</v>
      </c>
    </row>
    <row r="287" spans="1:15" x14ac:dyDescent="0.25">
      <c r="A287">
        <v>286</v>
      </c>
      <c r="B287" s="2">
        <v>45781</v>
      </c>
      <c r="C287" t="s">
        <v>11</v>
      </c>
      <c r="D287" t="s">
        <v>27</v>
      </c>
      <c r="E287" t="s">
        <v>29</v>
      </c>
      <c r="F287" t="s">
        <v>21</v>
      </c>
      <c r="G287">
        <v>184</v>
      </c>
      <c r="H287">
        <v>246.79</v>
      </c>
      <c r="I287">
        <v>14</v>
      </c>
      <c r="J287" t="s">
        <v>15</v>
      </c>
      <c r="K287">
        <v>45409.36</v>
      </c>
      <c r="L287" t="str">
        <f t="shared" si="16"/>
        <v>May</v>
      </c>
      <c r="M287">
        <f t="shared" si="17"/>
        <v>2025</v>
      </c>
      <c r="N287">
        <f t="shared" si="18"/>
        <v>45409.36</v>
      </c>
      <c r="O287" t="str">
        <f t="shared" si="19"/>
        <v>Minor Delay</v>
      </c>
    </row>
    <row r="288" spans="1:15" x14ac:dyDescent="0.25">
      <c r="A288">
        <v>287</v>
      </c>
      <c r="B288" s="2">
        <v>45849</v>
      </c>
      <c r="C288" t="s">
        <v>18</v>
      </c>
      <c r="D288" t="s">
        <v>17</v>
      </c>
      <c r="E288" t="s">
        <v>12</v>
      </c>
      <c r="F288" t="s">
        <v>24</v>
      </c>
      <c r="G288">
        <v>194</v>
      </c>
      <c r="H288">
        <v>239.97</v>
      </c>
      <c r="I288">
        <v>13</v>
      </c>
      <c r="J288" t="s">
        <v>30</v>
      </c>
      <c r="K288">
        <v>46554.18</v>
      </c>
      <c r="L288" t="str">
        <f t="shared" si="16"/>
        <v>Jul</v>
      </c>
      <c r="M288">
        <f t="shared" si="17"/>
        <v>2025</v>
      </c>
      <c r="N288">
        <f t="shared" si="18"/>
        <v>46554.18</v>
      </c>
      <c r="O288" t="str">
        <f t="shared" si="19"/>
        <v>Minor Delay</v>
      </c>
    </row>
    <row r="289" spans="1:15" x14ac:dyDescent="0.25">
      <c r="A289">
        <v>288</v>
      </c>
      <c r="B289" s="2">
        <v>45705</v>
      </c>
      <c r="C289" t="s">
        <v>18</v>
      </c>
      <c r="D289" t="s">
        <v>12</v>
      </c>
      <c r="E289" t="s">
        <v>13</v>
      </c>
      <c r="F289" t="s">
        <v>24</v>
      </c>
      <c r="G289">
        <v>146</v>
      </c>
      <c r="H289">
        <v>469</v>
      </c>
      <c r="I289">
        <v>0</v>
      </c>
      <c r="J289" t="s">
        <v>15</v>
      </c>
      <c r="K289">
        <v>68474</v>
      </c>
      <c r="L289" t="str">
        <f t="shared" si="16"/>
        <v>Feb</v>
      </c>
      <c r="M289">
        <f t="shared" si="17"/>
        <v>2025</v>
      </c>
      <c r="N289">
        <f t="shared" si="18"/>
        <v>68474</v>
      </c>
      <c r="O289" t="str">
        <f t="shared" si="19"/>
        <v>On Time</v>
      </c>
    </row>
    <row r="290" spans="1:15" x14ac:dyDescent="0.25">
      <c r="A290">
        <v>289</v>
      </c>
      <c r="B290" s="2">
        <v>45700</v>
      </c>
      <c r="C290" t="s">
        <v>18</v>
      </c>
      <c r="D290" t="s">
        <v>13</v>
      </c>
      <c r="E290" t="s">
        <v>19</v>
      </c>
      <c r="F290" t="s">
        <v>24</v>
      </c>
      <c r="G290">
        <v>215</v>
      </c>
      <c r="H290">
        <v>640.44000000000005</v>
      </c>
      <c r="I290">
        <v>0</v>
      </c>
      <c r="J290" t="s">
        <v>15</v>
      </c>
      <c r="K290">
        <v>137694.6</v>
      </c>
      <c r="L290" t="str">
        <f t="shared" si="16"/>
        <v>Feb</v>
      </c>
      <c r="M290">
        <f t="shared" si="17"/>
        <v>2025</v>
      </c>
      <c r="N290">
        <f t="shared" si="18"/>
        <v>137694.6</v>
      </c>
      <c r="O290" t="str">
        <f t="shared" si="19"/>
        <v>On Time</v>
      </c>
    </row>
    <row r="291" spans="1:15" x14ac:dyDescent="0.25">
      <c r="A291">
        <v>290</v>
      </c>
      <c r="B291" s="2">
        <v>45775</v>
      </c>
      <c r="C291" t="s">
        <v>11</v>
      </c>
      <c r="D291" t="s">
        <v>27</v>
      </c>
      <c r="E291" t="s">
        <v>13</v>
      </c>
      <c r="F291" t="s">
        <v>21</v>
      </c>
      <c r="G291">
        <v>277</v>
      </c>
      <c r="H291">
        <v>479.42</v>
      </c>
      <c r="I291">
        <v>0</v>
      </c>
      <c r="J291" t="s">
        <v>15</v>
      </c>
      <c r="K291">
        <v>132799.34</v>
      </c>
      <c r="L291" t="str">
        <f t="shared" si="16"/>
        <v>Apr</v>
      </c>
      <c r="M291">
        <f t="shared" si="17"/>
        <v>2025</v>
      </c>
      <c r="N291">
        <f t="shared" si="18"/>
        <v>132799.34</v>
      </c>
      <c r="O291" t="str">
        <f t="shared" si="19"/>
        <v>On Time</v>
      </c>
    </row>
    <row r="292" spans="1:15" x14ac:dyDescent="0.25">
      <c r="A292">
        <v>291</v>
      </c>
      <c r="B292" s="2">
        <v>45936</v>
      </c>
      <c r="C292" t="s">
        <v>31</v>
      </c>
      <c r="D292" t="s">
        <v>12</v>
      </c>
      <c r="E292" t="s">
        <v>22</v>
      </c>
      <c r="F292" t="s">
        <v>21</v>
      </c>
      <c r="G292">
        <v>58</v>
      </c>
      <c r="H292">
        <v>192.72</v>
      </c>
      <c r="I292">
        <v>22</v>
      </c>
      <c r="J292" t="s">
        <v>15</v>
      </c>
      <c r="K292">
        <v>11177.76</v>
      </c>
      <c r="L292" t="str">
        <f t="shared" si="16"/>
        <v>Oct</v>
      </c>
      <c r="M292">
        <f t="shared" si="17"/>
        <v>2025</v>
      </c>
      <c r="N292">
        <f t="shared" si="18"/>
        <v>11177.76</v>
      </c>
      <c r="O292" t="str">
        <f t="shared" si="19"/>
        <v>Minor Delay</v>
      </c>
    </row>
    <row r="293" spans="1:15" x14ac:dyDescent="0.25">
      <c r="A293">
        <v>292</v>
      </c>
      <c r="B293" s="2">
        <v>45697</v>
      </c>
      <c r="C293" t="s">
        <v>26</v>
      </c>
      <c r="D293" t="s">
        <v>29</v>
      </c>
      <c r="E293" t="s">
        <v>20</v>
      </c>
      <c r="F293" t="s">
        <v>14</v>
      </c>
      <c r="G293">
        <v>194</v>
      </c>
      <c r="H293">
        <v>237.95</v>
      </c>
      <c r="I293">
        <v>16</v>
      </c>
      <c r="J293" t="s">
        <v>30</v>
      </c>
      <c r="K293">
        <v>46162.3</v>
      </c>
      <c r="L293" t="str">
        <f t="shared" si="16"/>
        <v>Feb</v>
      </c>
      <c r="M293">
        <f t="shared" si="17"/>
        <v>2025</v>
      </c>
      <c r="N293">
        <f t="shared" si="18"/>
        <v>46162.299999999996</v>
      </c>
      <c r="O293" t="str">
        <f t="shared" si="19"/>
        <v>Minor Delay</v>
      </c>
    </row>
    <row r="294" spans="1:15" x14ac:dyDescent="0.25">
      <c r="A294">
        <v>293</v>
      </c>
      <c r="B294" s="2">
        <v>45854</v>
      </c>
      <c r="C294" t="s">
        <v>25</v>
      </c>
      <c r="D294" t="s">
        <v>17</v>
      </c>
      <c r="E294" t="s">
        <v>22</v>
      </c>
      <c r="F294" t="s">
        <v>14</v>
      </c>
      <c r="G294">
        <v>252</v>
      </c>
      <c r="H294">
        <v>791.47</v>
      </c>
      <c r="I294">
        <v>15</v>
      </c>
      <c r="J294" t="s">
        <v>30</v>
      </c>
      <c r="K294">
        <v>199450.44</v>
      </c>
      <c r="L294" t="str">
        <f t="shared" si="16"/>
        <v>Jul</v>
      </c>
      <c r="M294">
        <f t="shared" si="17"/>
        <v>2025</v>
      </c>
      <c r="N294">
        <f t="shared" si="18"/>
        <v>199450.44</v>
      </c>
      <c r="O294" t="str">
        <f t="shared" si="19"/>
        <v>Minor Delay</v>
      </c>
    </row>
    <row r="295" spans="1:15" x14ac:dyDescent="0.25">
      <c r="A295">
        <v>294</v>
      </c>
      <c r="B295" s="2">
        <v>45881</v>
      </c>
      <c r="C295" t="s">
        <v>11</v>
      </c>
      <c r="D295" t="s">
        <v>13</v>
      </c>
      <c r="E295" t="s">
        <v>29</v>
      </c>
      <c r="F295" t="s">
        <v>14</v>
      </c>
      <c r="G295">
        <v>137</v>
      </c>
      <c r="H295">
        <v>507.82</v>
      </c>
      <c r="I295">
        <v>0</v>
      </c>
      <c r="J295" t="s">
        <v>15</v>
      </c>
      <c r="K295">
        <v>69571.34</v>
      </c>
      <c r="L295" t="str">
        <f t="shared" si="16"/>
        <v>Aug</v>
      </c>
      <c r="M295">
        <f t="shared" si="17"/>
        <v>2025</v>
      </c>
      <c r="N295">
        <f t="shared" si="18"/>
        <v>69571.34</v>
      </c>
      <c r="O295" t="str">
        <f t="shared" si="19"/>
        <v>On Time</v>
      </c>
    </row>
    <row r="296" spans="1:15" x14ac:dyDescent="0.25">
      <c r="A296">
        <v>295</v>
      </c>
      <c r="B296" s="2">
        <v>45673</v>
      </c>
      <c r="C296" t="s">
        <v>25</v>
      </c>
      <c r="D296" t="s">
        <v>17</v>
      </c>
      <c r="E296" t="s">
        <v>22</v>
      </c>
      <c r="F296" t="s">
        <v>24</v>
      </c>
      <c r="G296">
        <v>250</v>
      </c>
      <c r="H296">
        <v>794.51</v>
      </c>
      <c r="I296">
        <v>0</v>
      </c>
      <c r="J296" t="s">
        <v>30</v>
      </c>
      <c r="K296">
        <v>198627.5</v>
      </c>
      <c r="L296" t="str">
        <f t="shared" si="16"/>
        <v>Jan</v>
      </c>
      <c r="M296">
        <f t="shared" si="17"/>
        <v>2025</v>
      </c>
      <c r="N296">
        <f t="shared" si="18"/>
        <v>198627.5</v>
      </c>
      <c r="O296" t="str">
        <f t="shared" si="19"/>
        <v>On Time</v>
      </c>
    </row>
    <row r="297" spans="1:15" x14ac:dyDescent="0.25">
      <c r="A297">
        <v>296</v>
      </c>
      <c r="B297" s="2">
        <v>46006</v>
      </c>
      <c r="C297" t="s">
        <v>31</v>
      </c>
      <c r="D297" t="s">
        <v>17</v>
      </c>
      <c r="E297" t="s">
        <v>29</v>
      </c>
      <c r="F297" t="s">
        <v>21</v>
      </c>
      <c r="G297">
        <v>147</v>
      </c>
      <c r="H297">
        <v>123.41</v>
      </c>
      <c r="I297">
        <v>21</v>
      </c>
      <c r="J297" t="s">
        <v>15</v>
      </c>
      <c r="K297">
        <v>18141.27</v>
      </c>
      <c r="L297" t="str">
        <f t="shared" si="16"/>
        <v>Dec</v>
      </c>
      <c r="M297">
        <f t="shared" si="17"/>
        <v>2025</v>
      </c>
      <c r="N297">
        <f t="shared" si="18"/>
        <v>18141.27</v>
      </c>
      <c r="O297" t="str">
        <f t="shared" si="19"/>
        <v>Minor Delay</v>
      </c>
    </row>
    <row r="298" spans="1:15" x14ac:dyDescent="0.25">
      <c r="A298">
        <v>297</v>
      </c>
      <c r="B298" s="2">
        <v>45700</v>
      </c>
      <c r="C298" t="s">
        <v>26</v>
      </c>
      <c r="D298" t="s">
        <v>19</v>
      </c>
      <c r="E298" t="s">
        <v>12</v>
      </c>
      <c r="F298" t="s">
        <v>14</v>
      </c>
      <c r="G298">
        <v>147</v>
      </c>
      <c r="H298">
        <v>586.64</v>
      </c>
      <c r="I298">
        <v>0</v>
      </c>
      <c r="J298" t="s">
        <v>15</v>
      </c>
      <c r="K298">
        <v>86236.08</v>
      </c>
      <c r="L298" t="str">
        <f t="shared" si="16"/>
        <v>Feb</v>
      </c>
      <c r="M298">
        <f t="shared" si="17"/>
        <v>2025</v>
      </c>
      <c r="N298">
        <f t="shared" si="18"/>
        <v>86236.08</v>
      </c>
      <c r="O298" t="str">
        <f t="shared" si="19"/>
        <v>On Time</v>
      </c>
    </row>
    <row r="299" spans="1:15" x14ac:dyDescent="0.25">
      <c r="A299">
        <v>298</v>
      </c>
      <c r="B299" s="2">
        <v>45660</v>
      </c>
      <c r="C299" t="s">
        <v>26</v>
      </c>
      <c r="D299" t="s">
        <v>12</v>
      </c>
      <c r="E299" t="s">
        <v>29</v>
      </c>
      <c r="F299" t="s">
        <v>24</v>
      </c>
      <c r="G299">
        <v>142</v>
      </c>
      <c r="H299">
        <v>623.4</v>
      </c>
      <c r="I299">
        <v>0</v>
      </c>
      <c r="J299" t="s">
        <v>15</v>
      </c>
      <c r="K299">
        <v>88522.8</v>
      </c>
      <c r="L299" t="str">
        <f t="shared" si="16"/>
        <v>Jan</v>
      </c>
      <c r="M299">
        <f t="shared" si="17"/>
        <v>2025</v>
      </c>
      <c r="N299">
        <f t="shared" si="18"/>
        <v>88522.8</v>
      </c>
      <c r="O299" t="str">
        <f t="shared" si="19"/>
        <v>On Time</v>
      </c>
    </row>
    <row r="300" spans="1:15" x14ac:dyDescent="0.25">
      <c r="A300">
        <v>299</v>
      </c>
      <c r="B300" s="2">
        <v>45878</v>
      </c>
      <c r="C300" t="s">
        <v>18</v>
      </c>
      <c r="D300" t="s">
        <v>12</v>
      </c>
      <c r="E300" t="s">
        <v>19</v>
      </c>
      <c r="F300" t="s">
        <v>21</v>
      </c>
      <c r="G300">
        <v>192</v>
      </c>
      <c r="H300">
        <v>439.21</v>
      </c>
      <c r="I300">
        <v>28</v>
      </c>
      <c r="J300" t="s">
        <v>15</v>
      </c>
      <c r="K300">
        <v>84328.320000000007</v>
      </c>
      <c r="L300" t="str">
        <f t="shared" si="16"/>
        <v>Aug</v>
      </c>
      <c r="M300">
        <f t="shared" si="17"/>
        <v>2025</v>
      </c>
      <c r="N300">
        <f t="shared" si="18"/>
        <v>84328.319999999992</v>
      </c>
      <c r="O300" t="str">
        <f t="shared" si="19"/>
        <v>Minor Delay</v>
      </c>
    </row>
    <row r="301" spans="1:15" x14ac:dyDescent="0.25">
      <c r="A301">
        <v>300</v>
      </c>
      <c r="B301" s="2">
        <v>45664</v>
      </c>
      <c r="C301" t="s">
        <v>26</v>
      </c>
      <c r="D301" t="s">
        <v>22</v>
      </c>
      <c r="E301" t="s">
        <v>20</v>
      </c>
      <c r="F301" t="s">
        <v>24</v>
      </c>
      <c r="G301">
        <v>149</v>
      </c>
      <c r="H301">
        <v>636.59</v>
      </c>
      <c r="I301">
        <v>26</v>
      </c>
      <c r="J301" t="s">
        <v>15</v>
      </c>
      <c r="K301">
        <v>94851.91</v>
      </c>
      <c r="L301" t="str">
        <f t="shared" si="16"/>
        <v>Jan</v>
      </c>
      <c r="M301">
        <f t="shared" si="17"/>
        <v>2025</v>
      </c>
      <c r="N301">
        <f t="shared" si="18"/>
        <v>94851.91</v>
      </c>
      <c r="O301" t="str">
        <f t="shared" si="19"/>
        <v>Minor Delay</v>
      </c>
    </row>
    <row r="302" spans="1:15" x14ac:dyDescent="0.25">
      <c r="A302">
        <v>301</v>
      </c>
      <c r="B302" s="2">
        <v>45950</v>
      </c>
      <c r="C302" t="s">
        <v>31</v>
      </c>
      <c r="D302" t="s">
        <v>27</v>
      </c>
      <c r="E302" t="s">
        <v>19</v>
      </c>
      <c r="F302" t="s">
        <v>14</v>
      </c>
      <c r="G302">
        <v>225</v>
      </c>
      <c r="H302">
        <v>341.74</v>
      </c>
      <c r="I302">
        <v>33</v>
      </c>
      <c r="J302" t="s">
        <v>15</v>
      </c>
      <c r="K302">
        <v>76891.5</v>
      </c>
      <c r="L302" t="str">
        <f t="shared" si="16"/>
        <v>Oct</v>
      </c>
      <c r="M302">
        <f t="shared" si="17"/>
        <v>2025</v>
      </c>
      <c r="N302">
        <f t="shared" si="18"/>
        <v>76891.5</v>
      </c>
      <c r="O302" t="str">
        <f t="shared" si="19"/>
        <v>Moderate Delay</v>
      </c>
    </row>
    <row r="303" spans="1:15" x14ac:dyDescent="0.25">
      <c r="A303">
        <v>302</v>
      </c>
      <c r="B303" s="2">
        <v>45880</v>
      </c>
      <c r="C303" t="s">
        <v>26</v>
      </c>
      <c r="D303" t="s">
        <v>12</v>
      </c>
      <c r="E303" t="s">
        <v>19</v>
      </c>
      <c r="F303" t="s">
        <v>24</v>
      </c>
      <c r="G303">
        <v>126</v>
      </c>
      <c r="H303">
        <v>418.33</v>
      </c>
      <c r="I303">
        <v>36</v>
      </c>
      <c r="J303" t="s">
        <v>15</v>
      </c>
      <c r="K303">
        <v>52709.58</v>
      </c>
      <c r="L303" t="str">
        <f t="shared" si="16"/>
        <v>Aug</v>
      </c>
      <c r="M303">
        <f t="shared" si="17"/>
        <v>2025</v>
      </c>
      <c r="N303">
        <f t="shared" si="18"/>
        <v>52709.579999999994</v>
      </c>
      <c r="O303" t="str">
        <f t="shared" si="19"/>
        <v>Moderate Delay</v>
      </c>
    </row>
    <row r="304" spans="1:15" x14ac:dyDescent="0.25">
      <c r="A304">
        <v>303</v>
      </c>
      <c r="B304" s="2">
        <v>45978</v>
      </c>
      <c r="C304" t="s">
        <v>18</v>
      </c>
      <c r="D304" t="s">
        <v>23</v>
      </c>
      <c r="E304" t="s">
        <v>19</v>
      </c>
      <c r="F304" t="s">
        <v>21</v>
      </c>
      <c r="G304">
        <v>207</v>
      </c>
      <c r="H304">
        <v>204.71</v>
      </c>
      <c r="I304">
        <v>36</v>
      </c>
      <c r="J304" t="s">
        <v>30</v>
      </c>
      <c r="K304">
        <v>42374.97</v>
      </c>
      <c r="L304" t="str">
        <f t="shared" si="16"/>
        <v>Nov</v>
      </c>
      <c r="M304">
        <f t="shared" si="17"/>
        <v>2025</v>
      </c>
      <c r="N304">
        <f t="shared" si="18"/>
        <v>42374.97</v>
      </c>
      <c r="O304" t="str">
        <f t="shared" si="19"/>
        <v>Moderate Delay</v>
      </c>
    </row>
    <row r="305" spans="1:15" x14ac:dyDescent="0.25">
      <c r="A305">
        <v>304</v>
      </c>
      <c r="B305" s="2">
        <v>45826</v>
      </c>
      <c r="C305" t="s">
        <v>18</v>
      </c>
      <c r="D305" t="s">
        <v>22</v>
      </c>
      <c r="E305" t="s">
        <v>20</v>
      </c>
      <c r="F305" t="s">
        <v>24</v>
      </c>
      <c r="G305">
        <v>160</v>
      </c>
      <c r="H305">
        <v>663.45</v>
      </c>
      <c r="I305">
        <v>33</v>
      </c>
      <c r="J305" t="s">
        <v>30</v>
      </c>
      <c r="K305">
        <v>106152</v>
      </c>
      <c r="L305" t="str">
        <f t="shared" si="16"/>
        <v>Jun</v>
      </c>
      <c r="M305">
        <f t="shared" si="17"/>
        <v>2025</v>
      </c>
      <c r="N305">
        <f t="shared" si="18"/>
        <v>106152</v>
      </c>
      <c r="O305" t="str">
        <f t="shared" si="19"/>
        <v>Moderate Delay</v>
      </c>
    </row>
    <row r="306" spans="1:15" x14ac:dyDescent="0.25">
      <c r="A306">
        <v>305</v>
      </c>
      <c r="B306" s="2">
        <v>45822</v>
      </c>
      <c r="C306" t="s">
        <v>31</v>
      </c>
      <c r="D306" t="s">
        <v>29</v>
      </c>
      <c r="E306" t="s">
        <v>22</v>
      </c>
      <c r="F306" t="s">
        <v>21</v>
      </c>
      <c r="G306">
        <v>101</v>
      </c>
      <c r="H306">
        <v>414.47</v>
      </c>
      <c r="I306">
        <v>31</v>
      </c>
      <c r="J306" t="s">
        <v>15</v>
      </c>
      <c r="K306">
        <v>41861.47</v>
      </c>
      <c r="L306" t="str">
        <f t="shared" si="16"/>
        <v>Jun</v>
      </c>
      <c r="M306">
        <f t="shared" si="17"/>
        <v>2025</v>
      </c>
      <c r="N306">
        <f t="shared" si="18"/>
        <v>41861.47</v>
      </c>
      <c r="O306" t="str">
        <f t="shared" si="19"/>
        <v>Moderate Delay</v>
      </c>
    </row>
    <row r="307" spans="1:15" x14ac:dyDescent="0.25">
      <c r="A307">
        <v>306</v>
      </c>
      <c r="B307" s="2">
        <v>45824</v>
      </c>
      <c r="C307" t="s">
        <v>18</v>
      </c>
      <c r="D307" t="s">
        <v>20</v>
      </c>
      <c r="E307" t="s">
        <v>19</v>
      </c>
      <c r="F307" t="s">
        <v>24</v>
      </c>
      <c r="G307">
        <v>259</v>
      </c>
      <c r="H307">
        <v>641.54</v>
      </c>
      <c r="I307">
        <v>42</v>
      </c>
      <c r="J307" t="s">
        <v>15</v>
      </c>
      <c r="K307">
        <v>166158.85999999999</v>
      </c>
      <c r="L307" t="str">
        <f t="shared" si="16"/>
        <v>Jun</v>
      </c>
      <c r="M307">
        <f t="shared" si="17"/>
        <v>2025</v>
      </c>
      <c r="N307">
        <f t="shared" si="18"/>
        <v>166158.85999999999</v>
      </c>
      <c r="O307" t="str">
        <f t="shared" si="19"/>
        <v>Moderate Delay</v>
      </c>
    </row>
    <row r="308" spans="1:15" x14ac:dyDescent="0.25">
      <c r="A308">
        <v>307</v>
      </c>
      <c r="B308" s="2">
        <v>46007</v>
      </c>
      <c r="C308" t="s">
        <v>31</v>
      </c>
      <c r="D308" t="s">
        <v>19</v>
      </c>
      <c r="E308" t="s">
        <v>29</v>
      </c>
      <c r="F308" t="s">
        <v>14</v>
      </c>
      <c r="G308">
        <v>293</v>
      </c>
      <c r="H308">
        <v>598.14</v>
      </c>
      <c r="I308">
        <v>36</v>
      </c>
      <c r="J308" t="s">
        <v>15</v>
      </c>
      <c r="K308">
        <v>175255.02</v>
      </c>
      <c r="L308" t="str">
        <f t="shared" si="16"/>
        <v>Dec</v>
      </c>
      <c r="M308">
        <f t="shared" si="17"/>
        <v>2025</v>
      </c>
      <c r="N308">
        <f t="shared" si="18"/>
        <v>175255.02</v>
      </c>
      <c r="O308" t="str">
        <f t="shared" si="19"/>
        <v>Moderate Delay</v>
      </c>
    </row>
    <row r="309" spans="1:15" x14ac:dyDescent="0.25">
      <c r="A309">
        <v>308</v>
      </c>
      <c r="B309" s="2">
        <v>46002</v>
      </c>
      <c r="C309" t="s">
        <v>18</v>
      </c>
      <c r="D309" t="s">
        <v>12</v>
      </c>
      <c r="E309" t="s">
        <v>20</v>
      </c>
      <c r="F309" t="s">
        <v>14</v>
      </c>
      <c r="G309">
        <v>212</v>
      </c>
      <c r="H309">
        <v>284.10000000000002</v>
      </c>
      <c r="I309">
        <v>13</v>
      </c>
      <c r="J309" t="s">
        <v>15</v>
      </c>
      <c r="K309">
        <v>60229.2</v>
      </c>
      <c r="L309" t="str">
        <f t="shared" si="16"/>
        <v>Dec</v>
      </c>
      <c r="M309">
        <f t="shared" si="17"/>
        <v>2025</v>
      </c>
      <c r="N309">
        <f t="shared" si="18"/>
        <v>60229.200000000004</v>
      </c>
      <c r="O309" t="str">
        <f t="shared" si="19"/>
        <v>Minor Delay</v>
      </c>
    </row>
    <row r="310" spans="1:15" x14ac:dyDescent="0.25">
      <c r="A310">
        <v>309</v>
      </c>
      <c r="B310" s="2">
        <v>45851</v>
      </c>
      <c r="C310" t="s">
        <v>16</v>
      </c>
      <c r="D310" t="s">
        <v>29</v>
      </c>
      <c r="E310" t="s">
        <v>20</v>
      </c>
      <c r="F310" t="s">
        <v>24</v>
      </c>
      <c r="G310">
        <v>203</v>
      </c>
      <c r="H310">
        <v>414.63</v>
      </c>
      <c r="I310">
        <v>0</v>
      </c>
      <c r="J310" t="s">
        <v>30</v>
      </c>
      <c r="K310">
        <v>84169.89</v>
      </c>
      <c r="L310" t="str">
        <f t="shared" si="16"/>
        <v>Jul</v>
      </c>
      <c r="M310">
        <f t="shared" si="17"/>
        <v>2025</v>
      </c>
      <c r="N310">
        <f t="shared" si="18"/>
        <v>84169.89</v>
      </c>
      <c r="O310" t="str">
        <f t="shared" si="19"/>
        <v>On Time</v>
      </c>
    </row>
    <row r="311" spans="1:15" x14ac:dyDescent="0.25">
      <c r="A311">
        <v>310</v>
      </c>
      <c r="B311" s="2">
        <v>45842</v>
      </c>
      <c r="C311" t="s">
        <v>25</v>
      </c>
      <c r="D311" t="s">
        <v>17</v>
      </c>
      <c r="E311" t="s">
        <v>13</v>
      </c>
      <c r="F311" t="s">
        <v>21</v>
      </c>
      <c r="G311">
        <v>202</v>
      </c>
      <c r="H311">
        <v>532.25</v>
      </c>
      <c r="I311">
        <v>37</v>
      </c>
      <c r="J311" t="s">
        <v>15</v>
      </c>
      <c r="K311">
        <v>107514.5</v>
      </c>
      <c r="L311" t="str">
        <f t="shared" si="16"/>
        <v>Jul</v>
      </c>
      <c r="M311">
        <f t="shared" si="17"/>
        <v>2025</v>
      </c>
      <c r="N311">
        <f t="shared" si="18"/>
        <v>107514.5</v>
      </c>
      <c r="O311" t="str">
        <f t="shared" si="19"/>
        <v>Moderate Delay</v>
      </c>
    </row>
    <row r="312" spans="1:15" x14ac:dyDescent="0.25">
      <c r="A312">
        <v>311</v>
      </c>
      <c r="B312" s="2">
        <v>45743</v>
      </c>
      <c r="C312" t="s">
        <v>25</v>
      </c>
      <c r="D312" t="s">
        <v>19</v>
      </c>
      <c r="E312" t="s">
        <v>17</v>
      </c>
      <c r="F312" t="s">
        <v>21</v>
      </c>
      <c r="G312">
        <v>61</v>
      </c>
      <c r="H312">
        <v>476.78</v>
      </c>
      <c r="I312">
        <v>0</v>
      </c>
      <c r="J312" t="s">
        <v>30</v>
      </c>
      <c r="K312">
        <v>29083.58</v>
      </c>
      <c r="L312" t="str">
        <f t="shared" si="16"/>
        <v>Mar</v>
      </c>
      <c r="M312">
        <f t="shared" si="17"/>
        <v>2025</v>
      </c>
      <c r="N312">
        <f t="shared" si="18"/>
        <v>29083.579999999998</v>
      </c>
      <c r="O312" t="str">
        <f t="shared" si="19"/>
        <v>On Time</v>
      </c>
    </row>
    <row r="313" spans="1:15" x14ac:dyDescent="0.25">
      <c r="A313">
        <v>312</v>
      </c>
      <c r="B313" s="2">
        <v>45712</v>
      </c>
      <c r="C313" t="s">
        <v>16</v>
      </c>
      <c r="D313" t="s">
        <v>22</v>
      </c>
      <c r="E313" t="s">
        <v>20</v>
      </c>
      <c r="F313" t="s">
        <v>14</v>
      </c>
      <c r="G313">
        <v>116</v>
      </c>
      <c r="H313">
        <v>224.28</v>
      </c>
      <c r="I313">
        <v>0</v>
      </c>
      <c r="J313" t="s">
        <v>15</v>
      </c>
      <c r="K313">
        <v>26016.48</v>
      </c>
      <c r="L313" t="str">
        <f t="shared" si="16"/>
        <v>Feb</v>
      </c>
      <c r="M313">
        <f t="shared" si="17"/>
        <v>2025</v>
      </c>
      <c r="N313">
        <f t="shared" si="18"/>
        <v>26016.48</v>
      </c>
      <c r="O313" t="str">
        <f t="shared" si="19"/>
        <v>On Time</v>
      </c>
    </row>
    <row r="314" spans="1:15" x14ac:dyDescent="0.25">
      <c r="A314">
        <v>313</v>
      </c>
      <c r="B314" s="2">
        <v>45886</v>
      </c>
      <c r="C314" t="s">
        <v>26</v>
      </c>
      <c r="D314" t="s">
        <v>27</v>
      </c>
      <c r="E314" t="s">
        <v>19</v>
      </c>
      <c r="F314" t="s">
        <v>24</v>
      </c>
      <c r="G314">
        <v>168</v>
      </c>
      <c r="H314">
        <v>631.53</v>
      </c>
      <c r="I314">
        <v>0</v>
      </c>
      <c r="J314" t="s">
        <v>15</v>
      </c>
      <c r="K314">
        <v>106097.04</v>
      </c>
      <c r="L314" t="str">
        <f t="shared" si="16"/>
        <v>Aug</v>
      </c>
      <c r="M314">
        <f t="shared" si="17"/>
        <v>2025</v>
      </c>
      <c r="N314">
        <f t="shared" si="18"/>
        <v>106097.04</v>
      </c>
      <c r="O314" t="str">
        <f t="shared" si="19"/>
        <v>On Time</v>
      </c>
    </row>
    <row r="315" spans="1:15" x14ac:dyDescent="0.25">
      <c r="A315">
        <v>314</v>
      </c>
      <c r="B315" s="2">
        <v>45711</v>
      </c>
      <c r="C315" t="s">
        <v>26</v>
      </c>
      <c r="D315" t="s">
        <v>13</v>
      </c>
      <c r="E315" t="s">
        <v>27</v>
      </c>
      <c r="F315" t="s">
        <v>24</v>
      </c>
      <c r="G315">
        <v>285</v>
      </c>
      <c r="H315">
        <v>771.68</v>
      </c>
      <c r="I315">
        <v>4</v>
      </c>
      <c r="J315" t="s">
        <v>15</v>
      </c>
      <c r="K315">
        <v>219928.8</v>
      </c>
      <c r="L315" t="str">
        <f t="shared" si="16"/>
        <v>Feb</v>
      </c>
      <c r="M315">
        <f t="shared" si="17"/>
        <v>2025</v>
      </c>
      <c r="N315">
        <f t="shared" si="18"/>
        <v>219928.8</v>
      </c>
      <c r="O315" t="str">
        <f t="shared" si="19"/>
        <v>Minor Delay</v>
      </c>
    </row>
    <row r="316" spans="1:15" x14ac:dyDescent="0.25">
      <c r="A316">
        <v>315</v>
      </c>
      <c r="B316" s="2">
        <v>45817</v>
      </c>
      <c r="C316" t="s">
        <v>26</v>
      </c>
      <c r="D316" t="s">
        <v>29</v>
      </c>
      <c r="E316" t="s">
        <v>17</v>
      </c>
      <c r="F316" t="s">
        <v>24</v>
      </c>
      <c r="G316">
        <v>250</v>
      </c>
      <c r="H316">
        <v>213.08</v>
      </c>
      <c r="I316">
        <v>0</v>
      </c>
      <c r="J316" t="s">
        <v>15</v>
      </c>
      <c r="K316">
        <v>53270</v>
      </c>
      <c r="L316" t="str">
        <f t="shared" si="16"/>
        <v>Jun</v>
      </c>
      <c r="M316">
        <f t="shared" si="17"/>
        <v>2025</v>
      </c>
      <c r="N316">
        <f t="shared" si="18"/>
        <v>53270</v>
      </c>
      <c r="O316" t="str">
        <f t="shared" si="19"/>
        <v>On Time</v>
      </c>
    </row>
    <row r="317" spans="1:15" x14ac:dyDescent="0.25">
      <c r="A317">
        <v>316</v>
      </c>
      <c r="B317" s="2">
        <v>45692</v>
      </c>
      <c r="C317" t="s">
        <v>26</v>
      </c>
      <c r="D317" t="s">
        <v>20</v>
      </c>
      <c r="E317" t="s">
        <v>22</v>
      </c>
      <c r="F317" t="s">
        <v>14</v>
      </c>
      <c r="G317">
        <v>257</v>
      </c>
      <c r="H317">
        <v>585.98</v>
      </c>
      <c r="I317">
        <v>23</v>
      </c>
      <c r="J317" t="s">
        <v>15</v>
      </c>
      <c r="K317">
        <v>150596.85999999999</v>
      </c>
      <c r="L317" t="str">
        <f t="shared" si="16"/>
        <v>Feb</v>
      </c>
      <c r="M317">
        <f t="shared" si="17"/>
        <v>2025</v>
      </c>
      <c r="N317">
        <f t="shared" si="18"/>
        <v>150596.86000000002</v>
      </c>
      <c r="O317" t="str">
        <f t="shared" si="19"/>
        <v>Minor Delay</v>
      </c>
    </row>
    <row r="318" spans="1:15" x14ac:dyDescent="0.25">
      <c r="A318">
        <v>317</v>
      </c>
      <c r="B318" s="2">
        <v>46004</v>
      </c>
      <c r="C318" t="s">
        <v>11</v>
      </c>
      <c r="D318" t="s">
        <v>22</v>
      </c>
      <c r="E318" t="s">
        <v>12</v>
      </c>
      <c r="F318" t="s">
        <v>21</v>
      </c>
      <c r="G318">
        <v>112</v>
      </c>
      <c r="H318">
        <v>441.84</v>
      </c>
      <c r="I318">
        <v>0</v>
      </c>
      <c r="J318" t="s">
        <v>15</v>
      </c>
      <c r="K318">
        <v>49486.080000000002</v>
      </c>
      <c r="L318" t="str">
        <f t="shared" si="16"/>
        <v>Dec</v>
      </c>
      <c r="M318">
        <f t="shared" si="17"/>
        <v>2025</v>
      </c>
      <c r="N318">
        <f t="shared" si="18"/>
        <v>49486.079999999994</v>
      </c>
      <c r="O318" t="str">
        <f t="shared" si="19"/>
        <v>On Time</v>
      </c>
    </row>
    <row r="319" spans="1:15" x14ac:dyDescent="0.25">
      <c r="A319">
        <v>318</v>
      </c>
      <c r="B319" s="2">
        <v>45865</v>
      </c>
      <c r="C319" t="s">
        <v>25</v>
      </c>
      <c r="D319" t="s">
        <v>20</v>
      </c>
      <c r="E319" t="s">
        <v>19</v>
      </c>
      <c r="F319" t="s">
        <v>14</v>
      </c>
      <c r="G319">
        <v>97</v>
      </c>
      <c r="H319">
        <v>533.95000000000005</v>
      </c>
      <c r="I319">
        <v>12</v>
      </c>
      <c r="J319" t="s">
        <v>15</v>
      </c>
      <c r="K319">
        <v>51793.15</v>
      </c>
      <c r="L319" t="str">
        <f t="shared" si="16"/>
        <v>Jul</v>
      </c>
      <c r="M319">
        <f t="shared" si="17"/>
        <v>2025</v>
      </c>
      <c r="N319">
        <f t="shared" si="18"/>
        <v>51793.15</v>
      </c>
      <c r="O319" t="str">
        <f t="shared" si="19"/>
        <v>Minor Delay</v>
      </c>
    </row>
    <row r="320" spans="1:15" x14ac:dyDescent="0.25">
      <c r="A320">
        <v>319</v>
      </c>
      <c r="B320" s="2">
        <v>45888</v>
      </c>
      <c r="C320" t="s">
        <v>31</v>
      </c>
      <c r="D320" t="s">
        <v>13</v>
      </c>
      <c r="E320" t="s">
        <v>23</v>
      </c>
      <c r="F320" t="s">
        <v>24</v>
      </c>
      <c r="G320">
        <v>149</v>
      </c>
      <c r="H320">
        <v>63.29</v>
      </c>
      <c r="I320">
        <v>24</v>
      </c>
      <c r="J320" t="s">
        <v>15</v>
      </c>
      <c r="K320">
        <v>9430.2099999999991</v>
      </c>
      <c r="L320" t="str">
        <f t="shared" si="16"/>
        <v>Aug</v>
      </c>
      <c r="M320">
        <f t="shared" si="17"/>
        <v>2025</v>
      </c>
      <c r="N320">
        <f t="shared" si="18"/>
        <v>9430.2099999999991</v>
      </c>
      <c r="O320" t="str">
        <f t="shared" si="19"/>
        <v>Minor Delay</v>
      </c>
    </row>
    <row r="321" spans="1:15" x14ac:dyDescent="0.25">
      <c r="A321">
        <v>320</v>
      </c>
      <c r="B321" s="2">
        <v>45932</v>
      </c>
      <c r="C321" t="s">
        <v>11</v>
      </c>
      <c r="D321" t="s">
        <v>12</v>
      </c>
      <c r="E321" t="s">
        <v>29</v>
      </c>
      <c r="F321" t="s">
        <v>24</v>
      </c>
      <c r="G321">
        <v>133</v>
      </c>
      <c r="H321">
        <v>205.83</v>
      </c>
      <c r="I321">
        <v>39</v>
      </c>
      <c r="J321" t="s">
        <v>15</v>
      </c>
      <c r="K321">
        <v>27375.39</v>
      </c>
      <c r="L321" t="str">
        <f t="shared" si="16"/>
        <v>Oct</v>
      </c>
      <c r="M321">
        <f t="shared" si="17"/>
        <v>2025</v>
      </c>
      <c r="N321">
        <f t="shared" si="18"/>
        <v>27375.390000000003</v>
      </c>
      <c r="O321" t="str">
        <f t="shared" si="19"/>
        <v>Moderate Delay</v>
      </c>
    </row>
    <row r="322" spans="1:15" x14ac:dyDescent="0.25">
      <c r="A322">
        <v>321</v>
      </c>
      <c r="B322" s="2">
        <v>45963</v>
      </c>
      <c r="C322" t="s">
        <v>18</v>
      </c>
      <c r="D322" t="s">
        <v>20</v>
      </c>
      <c r="E322" t="s">
        <v>22</v>
      </c>
      <c r="F322" t="s">
        <v>21</v>
      </c>
      <c r="G322">
        <v>150</v>
      </c>
      <c r="H322">
        <v>494.38</v>
      </c>
      <c r="I322">
        <v>0</v>
      </c>
      <c r="J322" t="s">
        <v>15</v>
      </c>
      <c r="K322">
        <v>74157</v>
      </c>
      <c r="L322" t="str">
        <f t="shared" si="16"/>
        <v>Nov</v>
      </c>
      <c r="M322">
        <f t="shared" si="17"/>
        <v>2025</v>
      </c>
      <c r="N322">
        <f t="shared" si="18"/>
        <v>74157</v>
      </c>
      <c r="O322" t="str">
        <f t="shared" si="19"/>
        <v>On Time</v>
      </c>
    </row>
    <row r="323" spans="1:15" x14ac:dyDescent="0.25">
      <c r="A323">
        <v>322</v>
      </c>
      <c r="B323" s="2">
        <v>46002</v>
      </c>
      <c r="C323" t="s">
        <v>11</v>
      </c>
      <c r="D323" t="s">
        <v>23</v>
      </c>
      <c r="E323" t="s">
        <v>12</v>
      </c>
      <c r="F323" t="s">
        <v>24</v>
      </c>
      <c r="G323">
        <v>80</v>
      </c>
      <c r="H323">
        <v>236.54</v>
      </c>
      <c r="I323">
        <v>59</v>
      </c>
      <c r="J323" t="s">
        <v>15</v>
      </c>
      <c r="K323">
        <v>18923.2</v>
      </c>
      <c r="L323" t="str">
        <f t="shared" ref="L323:L386" si="20">TEXT(B323,"MMM")</f>
        <v>Dec</v>
      </c>
      <c r="M323">
        <f t="shared" ref="M323:M386" si="21">YEAR(B323)</f>
        <v>2025</v>
      </c>
      <c r="N323">
        <f t="shared" ref="N323:N386" si="22">G323*H323</f>
        <v>18923.2</v>
      </c>
      <c r="O323" t="str">
        <f t="shared" ref="O323:O386" si="23">IF(I323=0,"On Time",IF(I323&lt;=30,"Minor Delay",IF(I323&lt;=60,"Moderate Delay","Major Delay")))</f>
        <v>Moderate Delay</v>
      </c>
    </row>
    <row r="324" spans="1:15" x14ac:dyDescent="0.25">
      <c r="A324">
        <v>323</v>
      </c>
      <c r="B324" s="2">
        <v>45919</v>
      </c>
      <c r="C324" t="s">
        <v>18</v>
      </c>
      <c r="D324" t="s">
        <v>22</v>
      </c>
      <c r="E324" t="s">
        <v>29</v>
      </c>
      <c r="F324" t="s">
        <v>24</v>
      </c>
      <c r="G324">
        <v>202</v>
      </c>
      <c r="H324">
        <v>162.02000000000001</v>
      </c>
      <c r="I324">
        <v>8</v>
      </c>
      <c r="J324" t="s">
        <v>15</v>
      </c>
      <c r="K324">
        <v>32728.04</v>
      </c>
      <c r="L324" t="str">
        <f t="shared" si="20"/>
        <v>Sep</v>
      </c>
      <c r="M324">
        <f t="shared" si="21"/>
        <v>2025</v>
      </c>
      <c r="N324">
        <f t="shared" si="22"/>
        <v>32728.04</v>
      </c>
      <c r="O324" t="str">
        <f t="shared" si="23"/>
        <v>Minor Delay</v>
      </c>
    </row>
    <row r="325" spans="1:15" x14ac:dyDescent="0.25">
      <c r="A325">
        <v>324</v>
      </c>
      <c r="B325" s="2">
        <v>45908</v>
      </c>
      <c r="C325" t="s">
        <v>26</v>
      </c>
      <c r="D325" t="s">
        <v>29</v>
      </c>
      <c r="E325" t="s">
        <v>19</v>
      </c>
      <c r="F325" t="s">
        <v>14</v>
      </c>
      <c r="G325">
        <v>97</v>
      </c>
      <c r="H325">
        <v>292.79000000000002</v>
      </c>
      <c r="I325">
        <v>30</v>
      </c>
      <c r="J325" t="s">
        <v>15</v>
      </c>
      <c r="K325">
        <v>28400.63</v>
      </c>
      <c r="L325" t="str">
        <f t="shared" si="20"/>
        <v>Sep</v>
      </c>
      <c r="M325">
        <f t="shared" si="21"/>
        <v>2025</v>
      </c>
      <c r="N325">
        <f t="shared" si="22"/>
        <v>28400.63</v>
      </c>
      <c r="O325" t="str">
        <f t="shared" si="23"/>
        <v>Minor Delay</v>
      </c>
    </row>
    <row r="326" spans="1:15" x14ac:dyDescent="0.25">
      <c r="A326">
        <v>325</v>
      </c>
      <c r="B326" s="2">
        <v>45662</v>
      </c>
      <c r="C326" t="s">
        <v>18</v>
      </c>
      <c r="D326" t="s">
        <v>13</v>
      </c>
      <c r="E326" t="s">
        <v>17</v>
      </c>
      <c r="F326" t="s">
        <v>14</v>
      </c>
      <c r="G326">
        <v>99</v>
      </c>
      <c r="H326">
        <v>663.26</v>
      </c>
      <c r="I326">
        <v>48</v>
      </c>
      <c r="J326" t="s">
        <v>15</v>
      </c>
      <c r="K326">
        <v>65662.740000000005</v>
      </c>
      <c r="L326" t="str">
        <f t="shared" si="20"/>
        <v>Jan</v>
      </c>
      <c r="M326">
        <f t="shared" si="21"/>
        <v>2025</v>
      </c>
      <c r="N326">
        <f t="shared" si="22"/>
        <v>65662.740000000005</v>
      </c>
      <c r="O326" t="str">
        <f t="shared" si="23"/>
        <v>Moderate Delay</v>
      </c>
    </row>
    <row r="327" spans="1:15" x14ac:dyDescent="0.25">
      <c r="A327">
        <v>326</v>
      </c>
      <c r="B327" s="2">
        <v>46021</v>
      </c>
      <c r="C327" t="s">
        <v>18</v>
      </c>
      <c r="D327" t="s">
        <v>20</v>
      </c>
      <c r="E327" t="s">
        <v>17</v>
      </c>
      <c r="F327" t="s">
        <v>24</v>
      </c>
      <c r="G327">
        <v>92</v>
      </c>
      <c r="H327">
        <v>121.18</v>
      </c>
      <c r="I327">
        <v>13</v>
      </c>
      <c r="J327" t="s">
        <v>15</v>
      </c>
      <c r="K327">
        <v>11148.56</v>
      </c>
      <c r="L327" t="str">
        <f t="shared" si="20"/>
        <v>Dec</v>
      </c>
      <c r="M327">
        <f t="shared" si="21"/>
        <v>2025</v>
      </c>
      <c r="N327">
        <f t="shared" si="22"/>
        <v>11148.560000000001</v>
      </c>
      <c r="O327" t="str">
        <f t="shared" si="23"/>
        <v>Minor Delay</v>
      </c>
    </row>
    <row r="328" spans="1:15" x14ac:dyDescent="0.25">
      <c r="A328">
        <v>327</v>
      </c>
      <c r="B328" s="2">
        <v>45674</v>
      </c>
      <c r="C328" t="s">
        <v>26</v>
      </c>
      <c r="D328" t="s">
        <v>19</v>
      </c>
      <c r="E328" t="s">
        <v>22</v>
      </c>
      <c r="F328" t="s">
        <v>14</v>
      </c>
      <c r="G328">
        <v>187</v>
      </c>
      <c r="H328">
        <v>273.62</v>
      </c>
      <c r="I328">
        <v>26</v>
      </c>
      <c r="J328" t="s">
        <v>15</v>
      </c>
      <c r="K328">
        <v>51166.94</v>
      </c>
      <c r="L328" t="str">
        <f t="shared" si="20"/>
        <v>Jan</v>
      </c>
      <c r="M328">
        <f t="shared" si="21"/>
        <v>2025</v>
      </c>
      <c r="N328">
        <f t="shared" si="22"/>
        <v>51166.94</v>
      </c>
      <c r="O328" t="str">
        <f t="shared" si="23"/>
        <v>Minor Delay</v>
      </c>
    </row>
    <row r="329" spans="1:15" x14ac:dyDescent="0.25">
      <c r="A329">
        <v>328</v>
      </c>
      <c r="B329" s="2">
        <v>45951</v>
      </c>
      <c r="C329" t="s">
        <v>16</v>
      </c>
      <c r="D329" t="s">
        <v>20</v>
      </c>
      <c r="E329" t="s">
        <v>12</v>
      </c>
      <c r="F329" t="s">
        <v>24</v>
      </c>
      <c r="G329">
        <v>248</v>
      </c>
      <c r="H329">
        <v>461.9</v>
      </c>
      <c r="I329">
        <v>0</v>
      </c>
      <c r="J329" t="s">
        <v>28</v>
      </c>
      <c r="K329">
        <v>114551.2</v>
      </c>
      <c r="L329" t="str">
        <f t="shared" si="20"/>
        <v>Oct</v>
      </c>
      <c r="M329">
        <f t="shared" si="21"/>
        <v>2025</v>
      </c>
      <c r="N329">
        <f t="shared" si="22"/>
        <v>114551.2</v>
      </c>
      <c r="O329" t="str">
        <f t="shared" si="23"/>
        <v>On Time</v>
      </c>
    </row>
    <row r="330" spans="1:15" x14ac:dyDescent="0.25">
      <c r="A330">
        <v>329</v>
      </c>
      <c r="B330" s="2">
        <v>45883</v>
      </c>
      <c r="C330" t="s">
        <v>31</v>
      </c>
      <c r="D330" t="s">
        <v>27</v>
      </c>
      <c r="E330" t="s">
        <v>13</v>
      </c>
      <c r="F330" t="s">
        <v>14</v>
      </c>
      <c r="G330">
        <v>158</v>
      </c>
      <c r="H330">
        <v>135.79</v>
      </c>
      <c r="I330">
        <v>40</v>
      </c>
      <c r="J330" t="s">
        <v>15</v>
      </c>
      <c r="K330">
        <v>21454.82</v>
      </c>
      <c r="L330" t="str">
        <f t="shared" si="20"/>
        <v>Aug</v>
      </c>
      <c r="M330">
        <f t="shared" si="21"/>
        <v>2025</v>
      </c>
      <c r="N330">
        <f t="shared" si="22"/>
        <v>21454.82</v>
      </c>
      <c r="O330" t="str">
        <f t="shared" si="23"/>
        <v>Moderate Delay</v>
      </c>
    </row>
    <row r="331" spans="1:15" x14ac:dyDescent="0.25">
      <c r="A331">
        <v>330</v>
      </c>
      <c r="B331" s="2">
        <v>45792</v>
      </c>
      <c r="C331" t="s">
        <v>26</v>
      </c>
      <c r="D331" t="s">
        <v>13</v>
      </c>
      <c r="E331" t="s">
        <v>27</v>
      </c>
      <c r="F331" t="s">
        <v>14</v>
      </c>
      <c r="G331">
        <v>162</v>
      </c>
      <c r="H331">
        <v>700.31</v>
      </c>
      <c r="I331">
        <v>0</v>
      </c>
      <c r="J331" t="s">
        <v>15</v>
      </c>
      <c r="K331">
        <v>113450.22</v>
      </c>
      <c r="L331" t="str">
        <f t="shared" si="20"/>
        <v>May</v>
      </c>
      <c r="M331">
        <f t="shared" si="21"/>
        <v>2025</v>
      </c>
      <c r="N331">
        <f t="shared" si="22"/>
        <v>113450.21999999999</v>
      </c>
      <c r="O331" t="str">
        <f t="shared" si="23"/>
        <v>On Time</v>
      </c>
    </row>
    <row r="332" spans="1:15" x14ac:dyDescent="0.25">
      <c r="A332">
        <v>331</v>
      </c>
      <c r="B332" s="2">
        <v>45959</v>
      </c>
      <c r="C332" t="s">
        <v>25</v>
      </c>
      <c r="D332" t="s">
        <v>19</v>
      </c>
      <c r="E332" t="s">
        <v>23</v>
      </c>
      <c r="F332" t="s">
        <v>24</v>
      </c>
      <c r="G332">
        <v>270</v>
      </c>
      <c r="H332">
        <v>585.96</v>
      </c>
      <c r="I332">
        <v>9</v>
      </c>
      <c r="J332" t="s">
        <v>15</v>
      </c>
      <c r="K332">
        <v>158209.20000000001</v>
      </c>
      <c r="L332" t="str">
        <f t="shared" si="20"/>
        <v>Oct</v>
      </c>
      <c r="M332">
        <f t="shared" si="21"/>
        <v>2025</v>
      </c>
      <c r="N332">
        <f t="shared" si="22"/>
        <v>158209.20000000001</v>
      </c>
      <c r="O332" t="str">
        <f t="shared" si="23"/>
        <v>Minor Delay</v>
      </c>
    </row>
    <row r="333" spans="1:15" x14ac:dyDescent="0.25">
      <c r="A333">
        <v>332</v>
      </c>
      <c r="B333" s="2">
        <v>45688</v>
      </c>
      <c r="C333" t="s">
        <v>31</v>
      </c>
      <c r="D333" t="s">
        <v>19</v>
      </c>
      <c r="E333" t="s">
        <v>23</v>
      </c>
      <c r="F333" t="s">
        <v>24</v>
      </c>
      <c r="G333">
        <v>186</v>
      </c>
      <c r="H333">
        <v>268</v>
      </c>
      <c r="I333">
        <v>8</v>
      </c>
      <c r="J333" t="s">
        <v>15</v>
      </c>
      <c r="K333">
        <v>49848</v>
      </c>
      <c r="L333" t="str">
        <f t="shared" si="20"/>
        <v>Jan</v>
      </c>
      <c r="M333">
        <f t="shared" si="21"/>
        <v>2025</v>
      </c>
      <c r="N333">
        <f t="shared" si="22"/>
        <v>49848</v>
      </c>
      <c r="O333" t="str">
        <f t="shared" si="23"/>
        <v>Minor Delay</v>
      </c>
    </row>
    <row r="334" spans="1:15" x14ac:dyDescent="0.25">
      <c r="A334">
        <v>333</v>
      </c>
      <c r="B334" s="2">
        <v>45806</v>
      </c>
      <c r="C334" t="s">
        <v>31</v>
      </c>
      <c r="D334" t="s">
        <v>22</v>
      </c>
      <c r="E334" t="s">
        <v>23</v>
      </c>
      <c r="F334" t="s">
        <v>24</v>
      </c>
      <c r="G334">
        <v>293</v>
      </c>
      <c r="H334">
        <v>694.93</v>
      </c>
      <c r="I334">
        <v>57</v>
      </c>
      <c r="J334" t="s">
        <v>15</v>
      </c>
      <c r="K334">
        <v>203614.49</v>
      </c>
      <c r="L334" t="str">
        <f t="shared" si="20"/>
        <v>May</v>
      </c>
      <c r="M334">
        <f t="shared" si="21"/>
        <v>2025</v>
      </c>
      <c r="N334">
        <f t="shared" si="22"/>
        <v>203614.49</v>
      </c>
      <c r="O334" t="str">
        <f t="shared" si="23"/>
        <v>Moderate Delay</v>
      </c>
    </row>
    <row r="335" spans="1:15" x14ac:dyDescent="0.25">
      <c r="A335">
        <v>334</v>
      </c>
      <c r="B335" s="2">
        <v>45799</v>
      </c>
      <c r="C335" t="s">
        <v>25</v>
      </c>
      <c r="D335" t="s">
        <v>17</v>
      </c>
      <c r="E335" t="s">
        <v>13</v>
      </c>
      <c r="F335" t="s">
        <v>14</v>
      </c>
      <c r="G335">
        <v>229</v>
      </c>
      <c r="H335">
        <v>700.9</v>
      </c>
      <c r="I335">
        <v>16</v>
      </c>
      <c r="J335" t="s">
        <v>15</v>
      </c>
      <c r="K335">
        <v>160506.1</v>
      </c>
      <c r="L335" t="str">
        <f t="shared" si="20"/>
        <v>May</v>
      </c>
      <c r="M335">
        <f t="shared" si="21"/>
        <v>2025</v>
      </c>
      <c r="N335">
        <f t="shared" si="22"/>
        <v>160506.1</v>
      </c>
      <c r="O335" t="str">
        <f t="shared" si="23"/>
        <v>Minor Delay</v>
      </c>
    </row>
    <row r="336" spans="1:15" x14ac:dyDescent="0.25">
      <c r="A336">
        <v>335</v>
      </c>
      <c r="B336" s="2">
        <v>46004</v>
      </c>
      <c r="C336" t="s">
        <v>18</v>
      </c>
      <c r="D336" t="s">
        <v>22</v>
      </c>
      <c r="E336" t="s">
        <v>19</v>
      </c>
      <c r="F336" t="s">
        <v>24</v>
      </c>
      <c r="G336">
        <v>86</v>
      </c>
      <c r="H336">
        <v>487.29</v>
      </c>
      <c r="I336">
        <v>16</v>
      </c>
      <c r="J336" t="s">
        <v>15</v>
      </c>
      <c r="K336">
        <v>41906.94</v>
      </c>
      <c r="L336" t="str">
        <f t="shared" si="20"/>
        <v>Dec</v>
      </c>
      <c r="M336">
        <f t="shared" si="21"/>
        <v>2025</v>
      </c>
      <c r="N336">
        <f t="shared" si="22"/>
        <v>41906.94</v>
      </c>
      <c r="O336" t="str">
        <f t="shared" si="23"/>
        <v>Minor Delay</v>
      </c>
    </row>
    <row r="337" spans="1:15" x14ac:dyDescent="0.25">
      <c r="A337">
        <v>336</v>
      </c>
      <c r="B337" s="2">
        <v>45921</v>
      </c>
      <c r="C337" t="s">
        <v>25</v>
      </c>
      <c r="D337" t="s">
        <v>12</v>
      </c>
      <c r="E337" t="s">
        <v>20</v>
      </c>
      <c r="F337" t="s">
        <v>24</v>
      </c>
      <c r="G337">
        <v>227</v>
      </c>
      <c r="H337">
        <v>752.89</v>
      </c>
      <c r="I337">
        <v>45</v>
      </c>
      <c r="J337" t="s">
        <v>15</v>
      </c>
      <c r="K337">
        <v>170906.03</v>
      </c>
      <c r="L337" t="str">
        <f t="shared" si="20"/>
        <v>Sep</v>
      </c>
      <c r="M337">
        <f t="shared" si="21"/>
        <v>2025</v>
      </c>
      <c r="N337">
        <f t="shared" si="22"/>
        <v>170906.03</v>
      </c>
      <c r="O337" t="str">
        <f t="shared" si="23"/>
        <v>Moderate Delay</v>
      </c>
    </row>
    <row r="338" spans="1:15" x14ac:dyDescent="0.25">
      <c r="A338">
        <v>337</v>
      </c>
      <c r="B338" s="2">
        <v>45955</v>
      </c>
      <c r="C338" t="s">
        <v>16</v>
      </c>
      <c r="D338" t="s">
        <v>20</v>
      </c>
      <c r="E338" t="s">
        <v>22</v>
      </c>
      <c r="F338" t="s">
        <v>21</v>
      </c>
      <c r="G338">
        <v>73</v>
      </c>
      <c r="H338">
        <v>600.89</v>
      </c>
      <c r="I338">
        <v>0</v>
      </c>
      <c r="J338" t="s">
        <v>15</v>
      </c>
      <c r="K338">
        <v>43864.97</v>
      </c>
      <c r="L338" t="str">
        <f t="shared" si="20"/>
        <v>Oct</v>
      </c>
      <c r="M338">
        <f t="shared" si="21"/>
        <v>2025</v>
      </c>
      <c r="N338">
        <f t="shared" si="22"/>
        <v>43864.97</v>
      </c>
      <c r="O338" t="str">
        <f t="shared" si="23"/>
        <v>On Time</v>
      </c>
    </row>
    <row r="339" spans="1:15" x14ac:dyDescent="0.25">
      <c r="A339">
        <v>338</v>
      </c>
      <c r="B339" s="2">
        <v>45769</v>
      </c>
      <c r="C339" t="s">
        <v>18</v>
      </c>
      <c r="D339" t="s">
        <v>12</v>
      </c>
      <c r="E339" t="s">
        <v>20</v>
      </c>
      <c r="F339" t="s">
        <v>14</v>
      </c>
      <c r="G339">
        <v>176</v>
      </c>
      <c r="H339">
        <v>258.72000000000003</v>
      </c>
      <c r="I339">
        <v>29</v>
      </c>
      <c r="J339" t="s">
        <v>30</v>
      </c>
      <c r="K339">
        <v>45534.720000000001</v>
      </c>
      <c r="L339" t="str">
        <f t="shared" si="20"/>
        <v>Apr</v>
      </c>
      <c r="M339">
        <f t="shared" si="21"/>
        <v>2025</v>
      </c>
      <c r="N339">
        <f t="shared" si="22"/>
        <v>45534.720000000001</v>
      </c>
      <c r="O339" t="str">
        <f t="shared" si="23"/>
        <v>Minor Delay</v>
      </c>
    </row>
    <row r="340" spans="1:15" x14ac:dyDescent="0.25">
      <c r="A340">
        <v>339</v>
      </c>
      <c r="B340" s="2">
        <v>45947</v>
      </c>
      <c r="C340" t="s">
        <v>18</v>
      </c>
      <c r="D340" t="s">
        <v>22</v>
      </c>
      <c r="E340" t="s">
        <v>29</v>
      </c>
      <c r="F340" t="s">
        <v>24</v>
      </c>
      <c r="G340">
        <v>278</v>
      </c>
      <c r="H340">
        <v>565.09</v>
      </c>
      <c r="I340">
        <v>30</v>
      </c>
      <c r="J340" t="s">
        <v>15</v>
      </c>
      <c r="K340">
        <v>157095.01999999999</v>
      </c>
      <c r="L340" t="str">
        <f t="shared" si="20"/>
        <v>Oct</v>
      </c>
      <c r="M340">
        <f t="shared" si="21"/>
        <v>2025</v>
      </c>
      <c r="N340">
        <f t="shared" si="22"/>
        <v>157095.02000000002</v>
      </c>
      <c r="O340" t="str">
        <f t="shared" si="23"/>
        <v>Minor Delay</v>
      </c>
    </row>
    <row r="341" spans="1:15" x14ac:dyDescent="0.25">
      <c r="A341">
        <v>340</v>
      </c>
      <c r="B341" s="2">
        <v>45721</v>
      </c>
      <c r="C341" t="s">
        <v>11</v>
      </c>
      <c r="D341" t="s">
        <v>20</v>
      </c>
      <c r="E341" t="s">
        <v>13</v>
      </c>
      <c r="F341" t="s">
        <v>24</v>
      </c>
      <c r="G341">
        <v>166</v>
      </c>
      <c r="H341">
        <v>60.5</v>
      </c>
      <c r="I341">
        <v>23</v>
      </c>
      <c r="J341" t="s">
        <v>30</v>
      </c>
      <c r="K341">
        <v>10043</v>
      </c>
      <c r="L341" t="str">
        <f t="shared" si="20"/>
        <v>Mar</v>
      </c>
      <c r="M341">
        <f t="shared" si="21"/>
        <v>2025</v>
      </c>
      <c r="N341">
        <f t="shared" si="22"/>
        <v>10043</v>
      </c>
      <c r="O341" t="str">
        <f t="shared" si="23"/>
        <v>Minor Delay</v>
      </c>
    </row>
    <row r="342" spans="1:15" x14ac:dyDescent="0.25">
      <c r="A342">
        <v>341</v>
      </c>
      <c r="B342" s="2">
        <v>45990</v>
      </c>
      <c r="C342" t="s">
        <v>26</v>
      </c>
      <c r="D342" t="s">
        <v>19</v>
      </c>
      <c r="E342" t="s">
        <v>29</v>
      </c>
      <c r="F342" t="s">
        <v>14</v>
      </c>
      <c r="G342">
        <v>273</v>
      </c>
      <c r="H342">
        <v>750.22</v>
      </c>
      <c r="I342">
        <v>14</v>
      </c>
      <c r="J342" t="s">
        <v>15</v>
      </c>
      <c r="K342">
        <v>204810.06</v>
      </c>
      <c r="L342" t="str">
        <f t="shared" si="20"/>
        <v>Nov</v>
      </c>
      <c r="M342">
        <f t="shared" si="21"/>
        <v>2025</v>
      </c>
      <c r="N342">
        <f t="shared" si="22"/>
        <v>204810.06</v>
      </c>
      <c r="O342" t="str">
        <f t="shared" si="23"/>
        <v>Minor Delay</v>
      </c>
    </row>
    <row r="343" spans="1:15" x14ac:dyDescent="0.25">
      <c r="A343">
        <v>342</v>
      </c>
      <c r="B343" s="2">
        <v>45684</v>
      </c>
      <c r="C343" t="s">
        <v>18</v>
      </c>
      <c r="D343" t="s">
        <v>22</v>
      </c>
      <c r="E343" t="s">
        <v>29</v>
      </c>
      <c r="F343" t="s">
        <v>21</v>
      </c>
      <c r="G343">
        <v>128</v>
      </c>
      <c r="H343">
        <v>597.23</v>
      </c>
      <c r="I343">
        <v>56</v>
      </c>
      <c r="J343" t="s">
        <v>15</v>
      </c>
      <c r="K343">
        <v>76445.440000000002</v>
      </c>
      <c r="L343" t="str">
        <f t="shared" si="20"/>
        <v>Jan</v>
      </c>
      <c r="M343">
        <f t="shared" si="21"/>
        <v>2025</v>
      </c>
      <c r="N343">
        <f t="shared" si="22"/>
        <v>76445.440000000002</v>
      </c>
      <c r="O343" t="str">
        <f t="shared" si="23"/>
        <v>Moderate Delay</v>
      </c>
    </row>
    <row r="344" spans="1:15" x14ac:dyDescent="0.25">
      <c r="A344">
        <v>343</v>
      </c>
      <c r="B344" s="2">
        <v>46018</v>
      </c>
      <c r="C344" t="s">
        <v>16</v>
      </c>
      <c r="D344" t="s">
        <v>17</v>
      </c>
      <c r="E344" t="s">
        <v>12</v>
      </c>
      <c r="F344" t="s">
        <v>14</v>
      </c>
      <c r="G344">
        <v>104</v>
      </c>
      <c r="H344">
        <v>412.84</v>
      </c>
      <c r="I344">
        <v>32</v>
      </c>
      <c r="J344" t="s">
        <v>15</v>
      </c>
      <c r="K344">
        <v>42935.360000000001</v>
      </c>
      <c r="L344" t="str">
        <f t="shared" si="20"/>
        <v>Dec</v>
      </c>
      <c r="M344">
        <f t="shared" si="21"/>
        <v>2025</v>
      </c>
      <c r="N344">
        <f t="shared" si="22"/>
        <v>42935.360000000001</v>
      </c>
      <c r="O344" t="str">
        <f t="shared" si="23"/>
        <v>Moderate Delay</v>
      </c>
    </row>
    <row r="345" spans="1:15" x14ac:dyDescent="0.25">
      <c r="A345">
        <v>344</v>
      </c>
      <c r="B345" s="2">
        <v>46014</v>
      </c>
      <c r="C345" t="s">
        <v>26</v>
      </c>
      <c r="D345" t="s">
        <v>13</v>
      </c>
      <c r="E345" t="s">
        <v>12</v>
      </c>
      <c r="F345" t="s">
        <v>14</v>
      </c>
      <c r="G345">
        <v>270</v>
      </c>
      <c r="H345">
        <v>372.51</v>
      </c>
      <c r="I345">
        <v>33</v>
      </c>
      <c r="J345" t="s">
        <v>15</v>
      </c>
      <c r="K345">
        <v>100577.7</v>
      </c>
      <c r="L345" t="str">
        <f t="shared" si="20"/>
        <v>Dec</v>
      </c>
      <c r="M345">
        <f t="shared" si="21"/>
        <v>2025</v>
      </c>
      <c r="N345">
        <f t="shared" si="22"/>
        <v>100577.7</v>
      </c>
      <c r="O345" t="str">
        <f t="shared" si="23"/>
        <v>Moderate Delay</v>
      </c>
    </row>
    <row r="346" spans="1:15" x14ac:dyDescent="0.25">
      <c r="A346">
        <v>345</v>
      </c>
      <c r="B346" s="2">
        <v>45854</v>
      </c>
      <c r="C346" t="s">
        <v>16</v>
      </c>
      <c r="D346" t="s">
        <v>12</v>
      </c>
      <c r="E346" t="s">
        <v>23</v>
      </c>
      <c r="F346" t="s">
        <v>21</v>
      </c>
      <c r="G346">
        <v>256</v>
      </c>
      <c r="H346">
        <v>135.80000000000001</v>
      </c>
      <c r="I346">
        <v>0</v>
      </c>
      <c r="J346" t="s">
        <v>15</v>
      </c>
      <c r="K346">
        <v>34764.800000000003</v>
      </c>
      <c r="L346" t="str">
        <f t="shared" si="20"/>
        <v>Jul</v>
      </c>
      <c r="M346">
        <f t="shared" si="21"/>
        <v>2025</v>
      </c>
      <c r="N346">
        <f t="shared" si="22"/>
        <v>34764.800000000003</v>
      </c>
      <c r="O346" t="str">
        <f t="shared" si="23"/>
        <v>On Time</v>
      </c>
    </row>
    <row r="347" spans="1:15" x14ac:dyDescent="0.25">
      <c r="A347">
        <v>346</v>
      </c>
      <c r="B347" s="2">
        <v>45693</v>
      </c>
      <c r="C347" t="s">
        <v>31</v>
      </c>
      <c r="D347" t="s">
        <v>29</v>
      </c>
      <c r="E347" t="s">
        <v>19</v>
      </c>
      <c r="F347" t="s">
        <v>21</v>
      </c>
      <c r="G347">
        <v>52</v>
      </c>
      <c r="H347">
        <v>511.64</v>
      </c>
      <c r="I347">
        <v>67</v>
      </c>
      <c r="J347" t="s">
        <v>15</v>
      </c>
      <c r="K347">
        <v>26605.279999999999</v>
      </c>
      <c r="L347" t="str">
        <f t="shared" si="20"/>
        <v>Feb</v>
      </c>
      <c r="M347">
        <f t="shared" si="21"/>
        <v>2025</v>
      </c>
      <c r="N347">
        <f t="shared" si="22"/>
        <v>26605.279999999999</v>
      </c>
      <c r="O347" t="str">
        <f t="shared" si="23"/>
        <v>Major Delay</v>
      </c>
    </row>
    <row r="348" spans="1:15" x14ac:dyDescent="0.25">
      <c r="A348">
        <v>347</v>
      </c>
      <c r="B348" s="2">
        <v>45979</v>
      </c>
      <c r="C348" t="s">
        <v>25</v>
      </c>
      <c r="D348" t="s">
        <v>22</v>
      </c>
      <c r="E348" t="s">
        <v>19</v>
      </c>
      <c r="F348" t="s">
        <v>14</v>
      </c>
      <c r="G348">
        <v>285</v>
      </c>
      <c r="H348">
        <v>364.67</v>
      </c>
      <c r="I348">
        <v>0</v>
      </c>
      <c r="J348" t="s">
        <v>15</v>
      </c>
      <c r="K348">
        <v>103930.95</v>
      </c>
      <c r="L348" t="str">
        <f t="shared" si="20"/>
        <v>Nov</v>
      </c>
      <c r="M348">
        <f t="shared" si="21"/>
        <v>2025</v>
      </c>
      <c r="N348">
        <f t="shared" si="22"/>
        <v>103930.95000000001</v>
      </c>
      <c r="O348" t="str">
        <f t="shared" si="23"/>
        <v>On Time</v>
      </c>
    </row>
    <row r="349" spans="1:15" x14ac:dyDescent="0.25">
      <c r="A349">
        <v>348</v>
      </c>
      <c r="B349" s="2">
        <v>45721</v>
      </c>
      <c r="C349" t="s">
        <v>31</v>
      </c>
      <c r="D349" t="s">
        <v>12</v>
      </c>
      <c r="E349" t="s">
        <v>19</v>
      </c>
      <c r="F349" t="s">
        <v>21</v>
      </c>
      <c r="G349">
        <v>148</v>
      </c>
      <c r="H349">
        <v>320.14</v>
      </c>
      <c r="I349">
        <v>0</v>
      </c>
      <c r="J349" t="s">
        <v>15</v>
      </c>
      <c r="K349">
        <v>47380.72</v>
      </c>
      <c r="L349" t="str">
        <f t="shared" si="20"/>
        <v>Mar</v>
      </c>
      <c r="M349">
        <f t="shared" si="21"/>
        <v>2025</v>
      </c>
      <c r="N349">
        <f t="shared" si="22"/>
        <v>47380.72</v>
      </c>
      <c r="O349" t="str">
        <f t="shared" si="23"/>
        <v>On Time</v>
      </c>
    </row>
    <row r="350" spans="1:15" x14ac:dyDescent="0.25">
      <c r="A350">
        <v>349</v>
      </c>
      <c r="B350" s="2">
        <v>45799</v>
      </c>
      <c r="C350" t="s">
        <v>25</v>
      </c>
      <c r="D350" t="s">
        <v>29</v>
      </c>
      <c r="E350" t="s">
        <v>23</v>
      </c>
      <c r="F350" t="s">
        <v>14</v>
      </c>
      <c r="G350">
        <v>113</v>
      </c>
      <c r="H350">
        <v>469.51</v>
      </c>
      <c r="I350">
        <v>0</v>
      </c>
      <c r="J350" t="s">
        <v>15</v>
      </c>
      <c r="K350">
        <v>53054.63</v>
      </c>
      <c r="L350" t="str">
        <f t="shared" si="20"/>
        <v>May</v>
      </c>
      <c r="M350">
        <f t="shared" si="21"/>
        <v>2025</v>
      </c>
      <c r="N350">
        <f t="shared" si="22"/>
        <v>53054.63</v>
      </c>
      <c r="O350" t="str">
        <f t="shared" si="23"/>
        <v>On Time</v>
      </c>
    </row>
    <row r="351" spans="1:15" x14ac:dyDescent="0.25">
      <c r="A351">
        <v>350</v>
      </c>
      <c r="B351" s="2">
        <v>45763</v>
      </c>
      <c r="C351" t="s">
        <v>31</v>
      </c>
      <c r="D351" t="s">
        <v>13</v>
      </c>
      <c r="E351" t="s">
        <v>22</v>
      </c>
      <c r="F351" t="s">
        <v>21</v>
      </c>
      <c r="G351">
        <v>180</v>
      </c>
      <c r="H351">
        <v>199.6</v>
      </c>
      <c r="I351">
        <v>0</v>
      </c>
      <c r="J351" t="s">
        <v>15</v>
      </c>
      <c r="K351">
        <v>35928</v>
      </c>
      <c r="L351" t="str">
        <f t="shared" si="20"/>
        <v>Apr</v>
      </c>
      <c r="M351">
        <f t="shared" si="21"/>
        <v>2025</v>
      </c>
      <c r="N351">
        <f t="shared" si="22"/>
        <v>35928</v>
      </c>
      <c r="O351" t="str">
        <f t="shared" si="23"/>
        <v>On Time</v>
      </c>
    </row>
    <row r="352" spans="1:15" x14ac:dyDescent="0.25">
      <c r="A352">
        <v>351</v>
      </c>
      <c r="B352" s="2">
        <v>45911</v>
      </c>
      <c r="C352" t="s">
        <v>18</v>
      </c>
      <c r="D352" t="s">
        <v>13</v>
      </c>
      <c r="E352" t="s">
        <v>23</v>
      </c>
      <c r="F352" t="s">
        <v>14</v>
      </c>
      <c r="G352">
        <v>111</v>
      </c>
      <c r="H352">
        <v>429.69</v>
      </c>
      <c r="I352">
        <v>0</v>
      </c>
      <c r="J352" t="s">
        <v>30</v>
      </c>
      <c r="K352">
        <v>47695.59</v>
      </c>
      <c r="L352" t="str">
        <f t="shared" si="20"/>
        <v>Sep</v>
      </c>
      <c r="M352">
        <f t="shared" si="21"/>
        <v>2025</v>
      </c>
      <c r="N352">
        <f t="shared" si="22"/>
        <v>47695.59</v>
      </c>
      <c r="O352" t="str">
        <f t="shared" si="23"/>
        <v>On Time</v>
      </c>
    </row>
    <row r="353" spans="1:15" x14ac:dyDescent="0.25">
      <c r="A353">
        <v>352</v>
      </c>
      <c r="B353" s="2">
        <v>45725</v>
      </c>
      <c r="C353" t="s">
        <v>18</v>
      </c>
      <c r="D353" t="s">
        <v>22</v>
      </c>
      <c r="E353" t="s">
        <v>17</v>
      </c>
      <c r="F353" t="s">
        <v>21</v>
      </c>
      <c r="G353">
        <v>157</v>
      </c>
      <c r="H353">
        <v>330.41</v>
      </c>
      <c r="I353">
        <v>2</v>
      </c>
      <c r="J353" t="s">
        <v>15</v>
      </c>
      <c r="K353">
        <v>51874.37</v>
      </c>
      <c r="L353" t="str">
        <f t="shared" si="20"/>
        <v>Mar</v>
      </c>
      <c r="M353">
        <f t="shared" si="21"/>
        <v>2025</v>
      </c>
      <c r="N353">
        <f t="shared" si="22"/>
        <v>51874.37</v>
      </c>
      <c r="O353" t="str">
        <f t="shared" si="23"/>
        <v>Minor Delay</v>
      </c>
    </row>
    <row r="354" spans="1:15" x14ac:dyDescent="0.25">
      <c r="A354">
        <v>353</v>
      </c>
      <c r="B354" s="2">
        <v>45666</v>
      </c>
      <c r="C354" t="s">
        <v>31</v>
      </c>
      <c r="D354" t="s">
        <v>20</v>
      </c>
      <c r="E354" t="s">
        <v>12</v>
      </c>
      <c r="F354" t="s">
        <v>14</v>
      </c>
      <c r="G354">
        <v>53</v>
      </c>
      <c r="H354">
        <v>254.02</v>
      </c>
      <c r="I354">
        <v>28</v>
      </c>
      <c r="J354" t="s">
        <v>15</v>
      </c>
      <c r="K354">
        <v>13463.06</v>
      </c>
      <c r="L354" t="str">
        <f t="shared" si="20"/>
        <v>Jan</v>
      </c>
      <c r="M354">
        <f t="shared" si="21"/>
        <v>2025</v>
      </c>
      <c r="N354">
        <f t="shared" si="22"/>
        <v>13463.060000000001</v>
      </c>
      <c r="O354" t="str">
        <f t="shared" si="23"/>
        <v>Minor Delay</v>
      </c>
    </row>
    <row r="355" spans="1:15" x14ac:dyDescent="0.25">
      <c r="A355">
        <v>354</v>
      </c>
      <c r="B355" s="2">
        <v>45979</v>
      </c>
      <c r="C355" t="s">
        <v>25</v>
      </c>
      <c r="D355" t="s">
        <v>27</v>
      </c>
      <c r="E355" t="s">
        <v>23</v>
      </c>
      <c r="F355" t="s">
        <v>21</v>
      </c>
      <c r="G355">
        <v>246</v>
      </c>
      <c r="H355">
        <v>367.42</v>
      </c>
      <c r="I355">
        <v>22</v>
      </c>
      <c r="J355" t="s">
        <v>15</v>
      </c>
      <c r="K355">
        <v>90385.32</v>
      </c>
      <c r="L355" t="str">
        <f t="shared" si="20"/>
        <v>Nov</v>
      </c>
      <c r="M355">
        <f t="shared" si="21"/>
        <v>2025</v>
      </c>
      <c r="N355">
        <f t="shared" si="22"/>
        <v>90385.32</v>
      </c>
      <c r="O355" t="str">
        <f t="shared" si="23"/>
        <v>Minor Delay</v>
      </c>
    </row>
    <row r="356" spans="1:15" x14ac:dyDescent="0.25">
      <c r="A356">
        <v>355</v>
      </c>
      <c r="B356" s="2">
        <v>45800</v>
      </c>
      <c r="C356" t="s">
        <v>16</v>
      </c>
      <c r="D356" t="s">
        <v>12</v>
      </c>
      <c r="E356" t="s">
        <v>19</v>
      </c>
      <c r="F356" t="s">
        <v>24</v>
      </c>
      <c r="G356">
        <v>70</v>
      </c>
      <c r="H356">
        <v>438.37</v>
      </c>
      <c r="I356">
        <v>33</v>
      </c>
      <c r="J356" t="s">
        <v>15</v>
      </c>
      <c r="K356">
        <v>30685.9</v>
      </c>
      <c r="L356" t="str">
        <f t="shared" si="20"/>
        <v>May</v>
      </c>
      <c r="M356">
        <f t="shared" si="21"/>
        <v>2025</v>
      </c>
      <c r="N356">
        <f t="shared" si="22"/>
        <v>30685.9</v>
      </c>
      <c r="O356" t="str">
        <f t="shared" si="23"/>
        <v>Moderate Delay</v>
      </c>
    </row>
    <row r="357" spans="1:15" x14ac:dyDescent="0.25">
      <c r="A357">
        <v>356</v>
      </c>
      <c r="B357" s="2">
        <v>45816</v>
      </c>
      <c r="C357" t="s">
        <v>25</v>
      </c>
      <c r="D357" t="s">
        <v>17</v>
      </c>
      <c r="E357" t="s">
        <v>12</v>
      </c>
      <c r="F357" t="s">
        <v>24</v>
      </c>
      <c r="G357">
        <v>236</v>
      </c>
      <c r="H357">
        <v>765.54</v>
      </c>
      <c r="I357">
        <v>63</v>
      </c>
      <c r="J357" t="s">
        <v>15</v>
      </c>
      <c r="K357">
        <v>180667.44</v>
      </c>
      <c r="L357" t="str">
        <f t="shared" si="20"/>
        <v>Jun</v>
      </c>
      <c r="M357">
        <f t="shared" si="21"/>
        <v>2025</v>
      </c>
      <c r="N357">
        <f t="shared" si="22"/>
        <v>180667.44</v>
      </c>
      <c r="O357" t="str">
        <f t="shared" si="23"/>
        <v>Major Delay</v>
      </c>
    </row>
    <row r="358" spans="1:15" x14ac:dyDescent="0.25">
      <c r="A358">
        <v>357</v>
      </c>
      <c r="B358" s="2">
        <v>45880</v>
      </c>
      <c r="C358" t="s">
        <v>16</v>
      </c>
      <c r="D358" t="s">
        <v>19</v>
      </c>
      <c r="E358" t="s">
        <v>12</v>
      </c>
      <c r="F358" t="s">
        <v>24</v>
      </c>
      <c r="G358">
        <v>206</v>
      </c>
      <c r="H358">
        <v>510.54</v>
      </c>
      <c r="I358">
        <v>5</v>
      </c>
      <c r="J358" t="s">
        <v>15</v>
      </c>
      <c r="K358">
        <v>105171.24</v>
      </c>
      <c r="L358" t="str">
        <f t="shared" si="20"/>
        <v>Aug</v>
      </c>
      <c r="M358">
        <f t="shared" si="21"/>
        <v>2025</v>
      </c>
      <c r="N358">
        <f t="shared" si="22"/>
        <v>105171.24</v>
      </c>
      <c r="O358" t="str">
        <f t="shared" si="23"/>
        <v>Minor Delay</v>
      </c>
    </row>
    <row r="359" spans="1:15" x14ac:dyDescent="0.25">
      <c r="A359">
        <v>358</v>
      </c>
      <c r="B359" s="2">
        <v>46020</v>
      </c>
      <c r="C359" t="s">
        <v>11</v>
      </c>
      <c r="D359" t="s">
        <v>12</v>
      </c>
      <c r="E359" t="s">
        <v>13</v>
      </c>
      <c r="F359" t="s">
        <v>21</v>
      </c>
      <c r="G359">
        <v>52</v>
      </c>
      <c r="H359">
        <v>181.24</v>
      </c>
      <c r="I359">
        <v>58</v>
      </c>
      <c r="J359" t="s">
        <v>30</v>
      </c>
      <c r="K359">
        <v>9424.48</v>
      </c>
      <c r="L359" t="str">
        <f t="shared" si="20"/>
        <v>Dec</v>
      </c>
      <c r="M359">
        <f t="shared" si="21"/>
        <v>2025</v>
      </c>
      <c r="N359">
        <f t="shared" si="22"/>
        <v>9424.48</v>
      </c>
      <c r="O359" t="str">
        <f t="shared" si="23"/>
        <v>Moderate Delay</v>
      </c>
    </row>
    <row r="360" spans="1:15" x14ac:dyDescent="0.25">
      <c r="A360">
        <v>359</v>
      </c>
      <c r="B360" s="2">
        <v>45743</v>
      </c>
      <c r="C360" t="s">
        <v>26</v>
      </c>
      <c r="D360" t="s">
        <v>27</v>
      </c>
      <c r="E360" t="s">
        <v>23</v>
      </c>
      <c r="F360" t="s">
        <v>14</v>
      </c>
      <c r="G360">
        <v>241</v>
      </c>
      <c r="H360">
        <v>638.03</v>
      </c>
      <c r="I360">
        <v>13</v>
      </c>
      <c r="J360" t="s">
        <v>15</v>
      </c>
      <c r="K360">
        <v>153765.23000000001</v>
      </c>
      <c r="L360" t="str">
        <f t="shared" si="20"/>
        <v>Mar</v>
      </c>
      <c r="M360">
        <f t="shared" si="21"/>
        <v>2025</v>
      </c>
      <c r="N360">
        <f t="shared" si="22"/>
        <v>153765.22999999998</v>
      </c>
      <c r="O360" t="str">
        <f t="shared" si="23"/>
        <v>Minor Delay</v>
      </c>
    </row>
    <row r="361" spans="1:15" x14ac:dyDescent="0.25">
      <c r="A361">
        <v>360</v>
      </c>
      <c r="B361" s="2">
        <v>45877</v>
      </c>
      <c r="C361" t="s">
        <v>26</v>
      </c>
      <c r="D361" t="s">
        <v>13</v>
      </c>
      <c r="E361" t="s">
        <v>17</v>
      </c>
      <c r="F361" t="s">
        <v>21</v>
      </c>
      <c r="G361">
        <v>66</v>
      </c>
      <c r="H361">
        <v>254.58</v>
      </c>
      <c r="I361">
        <v>71</v>
      </c>
      <c r="J361" t="s">
        <v>30</v>
      </c>
      <c r="K361">
        <v>16802.28</v>
      </c>
      <c r="L361" t="str">
        <f t="shared" si="20"/>
        <v>Aug</v>
      </c>
      <c r="M361">
        <f t="shared" si="21"/>
        <v>2025</v>
      </c>
      <c r="N361">
        <f t="shared" si="22"/>
        <v>16802.280000000002</v>
      </c>
      <c r="O361" t="str">
        <f t="shared" si="23"/>
        <v>Major Delay</v>
      </c>
    </row>
    <row r="362" spans="1:15" x14ac:dyDescent="0.25">
      <c r="A362">
        <v>361</v>
      </c>
      <c r="B362" s="2">
        <v>45891</v>
      </c>
      <c r="C362" t="s">
        <v>31</v>
      </c>
      <c r="D362" t="s">
        <v>12</v>
      </c>
      <c r="E362" t="s">
        <v>27</v>
      </c>
      <c r="F362" t="s">
        <v>24</v>
      </c>
      <c r="G362">
        <v>64</v>
      </c>
      <c r="H362">
        <v>429.71</v>
      </c>
      <c r="I362">
        <v>0</v>
      </c>
      <c r="J362" t="s">
        <v>15</v>
      </c>
      <c r="K362">
        <v>27501.439999999999</v>
      </c>
      <c r="L362" t="str">
        <f t="shared" si="20"/>
        <v>Aug</v>
      </c>
      <c r="M362">
        <f t="shared" si="21"/>
        <v>2025</v>
      </c>
      <c r="N362">
        <f t="shared" si="22"/>
        <v>27501.439999999999</v>
      </c>
      <c r="O362" t="str">
        <f t="shared" si="23"/>
        <v>On Time</v>
      </c>
    </row>
    <row r="363" spans="1:15" x14ac:dyDescent="0.25">
      <c r="A363">
        <v>362</v>
      </c>
      <c r="B363" s="2">
        <v>45774</v>
      </c>
      <c r="C363" t="s">
        <v>25</v>
      </c>
      <c r="D363" t="s">
        <v>12</v>
      </c>
      <c r="E363" t="s">
        <v>29</v>
      </c>
      <c r="F363" t="s">
        <v>21</v>
      </c>
      <c r="G363">
        <v>50</v>
      </c>
      <c r="H363">
        <v>92.59</v>
      </c>
      <c r="I363">
        <v>10</v>
      </c>
      <c r="J363" t="s">
        <v>30</v>
      </c>
      <c r="K363">
        <v>4629.5</v>
      </c>
      <c r="L363" t="str">
        <f t="shared" si="20"/>
        <v>Apr</v>
      </c>
      <c r="M363">
        <f t="shared" si="21"/>
        <v>2025</v>
      </c>
      <c r="N363">
        <f t="shared" si="22"/>
        <v>4629.5</v>
      </c>
      <c r="O363" t="str">
        <f t="shared" si="23"/>
        <v>Minor Delay</v>
      </c>
    </row>
    <row r="364" spans="1:15" x14ac:dyDescent="0.25">
      <c r="A364">
        <v>363</v>
      </c>
      <c r="B364" s="2">
        <v>45899</v>
      </c>
      <c r="C364" t="s">
        <v>26</v>
      </c>
      <c r="D364" t="s">
        <v>19</v>
      </c>
      <c r="E364" t="s">
        <v>13</v>
      </c>
      <c r="F364" t="s">
        <v>24</v>
      </c>
      <c r="G364">
        <v>285</v>
      </c>
      <c r="H364">
        <v>171.06</v>
      </c>
      <c r="I364">
        <v>64</v>
      </c>
      <c r="J364" t="s">
        <v>15</v>
      </c>
      <c r="K364">
        <v>48752.1</v>
      </c>
      <c r="L364" t="str">
        <f t="shared" si="20"/>
        <v>Aug</v>
      </c>
      <c r="M364">
        <f t="shared" si="21"/>
        <v>2025</v>
      </c>
      <c r="N364">
        <f t="shared" si="22"/>
        <v>48752.1</v>
      </c>
      <c r="O364" t="str">
        <f t="shared" si="23"/>
        <v>Major Delay</v>
      </c>
    </row>
    <row r="365" spans="1:15" x14ac:dyDescent="0.25">
      <c r="A365">
        <v>364</v>
      </c>
      <c r="B365" s="2">
        <v>45822</v>
      </c>
      <c r="C365" t="s">
        <v>11</v>
      </c>
      <c r="D365" t="s">
        <v>17</v>
      </c>
      <c r="E365" t="s">
        <v>19</v>
      </c>
      <c r="F365" t="s">
        <v>24</v>
      </c>
      <c r="G365">
        <v>284</v>
      </c>
      <c r="H365">
        <v>593.01</v>
      </c>
      <c r="I365">
        <v>0</v>
      </c>
      <c r="J365" t="s">
        <v>15</v>
      </c>
      <c r="K365">
        <v>168414.84</v>
      </c>
      <c r="L365" t="str">
        <f t="shared" si="20"/>
        <v>Jun</v>
      </c>
      <c r="M365">
        <f t="shared" si="21"/>
        <v>2025</v>
      </c>
      <c r="N365">
        <f t="shared" si="22"/>
        <v>168414.84</v>
      </c>
      <c r="O365" t="str">
        <f t="shared" si="23"/>
        <v>On Time</v>
      </c>
    </row>
    <row r="366" spans="1:15" x14ac:dyDescent="0.25">
      <c r="A366">
        <v>365</v>
      </c>
      <c r="B366" s="2">
        <v>45719</v>
      </c>
      <c r="C366" t="s">
        <v>31</v>
      </c>
      <c r="D366" t="s">
        <v>12</v>
      </c>
      <c r="E366" t="s">
        <v>17</v>
      </c>
      <c r="F366" t="s">
        <v>21</v>
      </c>
      <c r="G366">
        <v>280</v>
      </c>
      <c r="H366">
        <v>98.98</v>
      </c>
      <c r="I366">
        <v>25</v>
      </c>
      <c r="J366" t="s">
        <v>15</v>
      </c>
      <c r="K366">
        <v>27714.400000000001</v>
      </c>
      <c r="L366" t="str">
        <f t="shared" si="20"/>
        <v>Mar</v>
      </c>
      <c r="M366">
        <f t="shared" si="21"/>
        <v>2025</v>
      </c>
      <c r="N366">
        <f t="shared" si="22"/>
        <v>27714.400000000001</v>
      </c>
      <c r="O366" t="str">
        <f t="shared" si="23"/>
        <v>Minor Delay</v>
      </c>
    </row>
    <row r="367" spans="1:15" x14ac:dyDescent="0.25">
      <c r="A367">
        <v>366</v>
      </c>
      <c r="B367" s="2">
        <v>45896</v>
      </c>
      <c r="C367" t="s">
        <v>26</v>
      </c>
      <c r="D367" t="s">
        <v>17</v>
      </c>
      <c r="E367" t="s">
        <v>12</v>
      </c>
      <c r="F367" t="s">
        <v>24</v>
      </c>
      <c r="G367">
        <v>133</v>
      </c>
      <c r="H367">
        <v>123.93</v>
      </c>
      <c r="I367">
        <v>49</v>
      </c>
      <c r="J367" t="s">
        <v>15</v>
      </c>
      <c r="K367">
        <v>16482.689999999999</v>
      </c>
      <c r="L367" t="str">
        <f t="shared" si="20"/>
        <v>Aug</v>
      </c>
      <c r="M367">
        <f t="shared" si="21"/>
        <v>2025</v>
      </c>
      <c r="N367">
        <f t="shared" si="22"/>
        <v>16482.690000000002</v>
      </c>
      <c r="O367" t="str">
        <f t="shared" si="23"/>
        <v>Moderate Delay</v>
      </c>
    </row>
    <row r="368" spans="1:15" x14ac:dyDescent="0.25">
      <c r="A368">
        <v>367</v>
      </c>
      <c r="B368" s="2">
        <v>45807</v>
      </c>
      <c r="C368" t="s">
        <v>31</v>
      </c>
      <c r="D368" t="s">
        <v>22</v>
      </c>
      <c r="E368" t="s">
        <v>19</v>
      </c>
      <c r="F368" t="s">
        <v>24</v>
      </c>
      <c r="G368">
        <v>239</v>
      </c>
      <c r="H368">
        <v>520.80999999999995</v>
      </c>
      <c r="I368">
        <v>0</v>
      </c>
      <c r="J368" t="s">
        <v>15</v>
      </c>
      <c r="K368">
        <v>124473.59</v>
      </c>
      <c r="L368" t="str">
        <f t="shared" si="20"/>
        <v>May</v>
      </c>
      <c r="M368">
        <f t="shared" si="21"/>
        <v>2025</v>
      </c>
      <c r="N368">
        <f t="shared" si="22"/>
        <v>124473.58999999998</v>
      </c>
      <c r="O368" t="str">
        <f t="shared" si="23"/>
        <v>On Time</v>
      </c>
    </row>
    <row r="369" spans="1:15" x14ac:dyDescent="0.25">
      <c r="A369">
        <v>368</v>
      </c>
      <c r="B369" s="2">
        <v>45735</v>
      </c>
      <c r="C369" t="s">
        <v>16</v>
      </c>
      <c r="D369" t="s">
        <v>19</v>
      </c>
      <c r="E369" t="s">
        <v>23</v>
      </c>
      <c r="F369" t="s">
        <v>24</v>
      </c>
      <c r="G369">
        <v>56</v>
      </c>
      <c r="H369">
        <v>232.42</v>
      </c>
      <c r="I369">
        <v>27</v>
      </c>
      <c r="J369" t="s">
        <v>15</v>
      </c>
      <c r="K369">
        <v>13015.52</v>
      </c>
      <c r="L369" t="str">
        <f t="shared" si="20"/>
        <v>Mar</v>
      </c>
      <c r="M369">
        <f t="shared" si="21"/>
        <v>2025</v>
      </c>
      <c r="N369">
        <f t="shared" si="22"/>
        <v>13015.519999999999</v>
      </c>
      <c r="O369" t="str">
        <f t="shared" si="23"/>
        <v>Minor Delay</v>
      </c>
    </row>
    <row r="370" spans="1:15" x14ac:dyDescent="0.25">
      <c r="A370">
        <v>369</v>
      </c>
      <c r="B370" s="2">
        <v>45658</v>
      </c>
      <c r="C370" t="s">
        <v>25</v>
      </c>
      <c r="D370" t="s">
        <v>13</v>
      </c>
      <c r="E370" t="s">
        <v>17</v>
      </c>
      <c r="F370" t="s">
        <v>24</v>
      </c>
      <c r="G370">
        <v>267</v>
      </c>
      <c r="H370">
        <v>606.17999999999995</v>
      </c>
      <c r="I370">
        <v>14</v>
      </c>
      <c r="J370" t="s">
        <v>28</v>
      </c>
      <c r="K370">
        <v>161850.06</v>
      </c>
      <c r="L370" t="str">
        <f t="shared" si="20"/>
        <v>Jan</v>
      </c>
      <c r="M370">
        <f t="shared" si="21"/>
        <v>2025</v>
      </c>
      <c r="N370">
        <f t="shared" si="22"/>
        <v>161850.06</v>
      </c>
      <c r="O370" t="str">
        <f t="shared" si="23"/>
        <v>Minor Delay</v>
      </c>
    </row>
    <row r="371" spans="1:15" x14ac:dyDescent="0.25">
      <c r="A371">
        <v>370</v>
      </c>
      <c r="B371" s="2">
        <v>45688</v>
      </c>
      <c r="C371" t="s">
        <v>11</v>
      </c>
      <c r="D371" t="s">
        <v>17</v>
      </c>
      <c r="E371" t="s">
        <v>27</v>
      </c>
      <c r="F371" t="s">
        <v>21</v>
      </c>
      <c r="G371">
        <v>121</v>
      </c>
      <c r="H371">
        <v>128.84</v>
      </c>
      <c r="I371">
        <v>35</v>
      </c>
      <c r="J371" t="s">
        <v>30</v>
      </c>
      <c r="K371">
        <v>15589.64</v>
      </c>
      <c r="L371" t="str">
        <f t="shared" si="20"/>
        <v>Jan</v>
      </c>
      <c r="M371">
        <f t="shared" si="21"/>
        <v>2025</v>
      </c>
      <c r="N371">
        <f t="shared" si="22"/>
        <v>15589.640000000001</v>
      </c>
      <c r="O371" t="str">
        <f t="shared" si="23"/>
        <v>Moderate Delay</v>
      </c>
    </row>
    <row r="372" spans="1:15" x14ac:dyDescent="0.25">
      <c r="A372">
        <v>371</v>
      </c>
      <c r="B372" s="2">
        <v>46016</v>
      </c>
      <c r="C372" t="s">
        <v>26</v>
      </c>
      <c r="D372" t="s">
        <v>27</v>
      </c>
      <c r="E372" t="s">
        <v>17</v>
      </c>
      <c r="F372" t="s">
        <v>24</v>
      </c>
      <c r="G372">
        <v>299</v>
      </c>
      <c r="H372">
        <v>613.45000000000005</v>
      </c>
      <c r="I372">
        <v>0</v>
      </c>
      <c r="J372" t="s">
        <v>15</v>
      </c>
      <c r="K372">
        <v>183421.55</v>
      </c>
      <c r="L372" t="str">
        <f t="shared" si="20"/>
        <v>Dec</v>
      </c>
      <c r="M372">
        <f t="shared" si="21"/>
        <v>2025</v>
      </c>
      <c r="N372">
        <f t="shared" si="22"/>
        <v>183421.55000000002</v>
      </c>
      <c r="O372" t="str">
        <f t="shared" si="23"/>
        <v>On Time</v>
      </c>
    </row>
    <row r="373" spans="1:15" x14ac:dyDescent="0.25">
      <c r="A373">
        <v>372</v>
      </c>
      <c r="B373" s="2">
        <v>45961</v>
      </c>
      <c r="C373" t="s">
        <v>31</v>
      </c>
      <c r="D373" t="s">
        <v>17</v>
      </c>
      <c r="E373" t="s">
        <v>12</v>
      </c>
      <c r="F373" t="s">
        <v>14</v>
      </c>
      <c r="G373">
        <v>161</v>
      </c>
      <c r="H373">
        <v>550.21</v>
      </c>
      <c r="I373">
        <v>5</v>
      </c>
      <c r="J373" t="s">
        <v>15</v>
      </c>
      <c r="K373">
        <v>88583.81</v>
      </c>
      <c r="L373" t="str">
        <f t="shared" si="20"/>
        <v>Oct</v>
      </c>
      <c r="M373">
        <f t="shared" si="21"/>
        <v>2025</v>
      </c>
      <c r="N373">
        <f t="shared" si="22"/>
        <v>88583.810000000012</v>
      </c>
      <c r="O373" t="str">
        <f t="shared" si="23"/>
        <v>Minor Delay</v>
      </c>
    </row>
    <row r="374" spans="1:15" x14ac:dyDescent="0.25">
      <c r="A374">
        <v>373</v>
      </c>
      <c r="B374" s="2">
        <v>45819</v>
      </c>
      <c r="C374" t="s">
        <v>18</v>
      </c>
      <c r="D374" t="s">
        <v>23</v>
      </c>
      <c r="E374" t="s">
        <v>22</v>
      </c>
      <c r="F374" t="s">
        <v>21</v>
      </c>
      <c r="G374">
        <v>262</v>
      </c>
      <c r="H374">
        <v>604.16</v>
      </c>
      <c r="I374">
        <v>11</v>
      </c>
      <c r="J374" t="s">
        <v>15</v>
      </c>
      <c r="K374">
        <v>158289.92000000001</v>
      </c>
      <c r="L374" t="str">
        <f t="shared" si="20"/>
        <v>Jun</v>
      </c>
      <c r="M374">
        <f t="shared" si="21"/>
        <v>2025</v>
      </c>
      <c r="N374">
        <f t="shared" si="22"/>
        <v>158289.91999999998</v>
      </c>
      <c r="O374" t="str">
        <f t="shared" si="23"/>
        <v>Minor Delay</v>
      </c>
    </row>
    <row r="375" spans="1:15" x14ac:dyDescent="0.25">
      <c r="A375">
        <v>374</v>
      </c>
      <c r="B375" s="2">
        <v>45957</v>
      </c>
      <c r="C375" t="s">
        <v>16</v>
      </c>
      <c r="D375" t="s">
        <v>19</v>
      </c>
      <c r="E375" t="s">
        <v>29</v>
      </c>
      <c r="F375" t="s">
        <v>14</v>
      </c>
      <c r="G375">
        <v>77</v>
      </c>
      <c r="H375">
        <v>181.64</v>
      </c>
      <c r="I375">
        <v>38</v>
      </c>
      <c r="J375" t="s">
        <v>15</v>
      </c>
      <c r="K375">
        <v>13986.28</v>
      </c>
      <c r="L375" t="str">
        <f t="shared" si="20"/>
        <v>Oct</v>
      </c>
      <c r="M375">
        <f t="shared" si="21"/>
        <v>2025</v>
      </c>
      <c r="N375">
        <f t="shared" si="22"/>
        <v>13986.279999999999</v>
      </c>
      <c r="O375" t="str">
        <f t="shared" si="23"/>
        <v>Moderate Delay</v>
      </c>
    </row>
    <row r="376" spans="1:15" x14ac:dyDescent="0.25">
      <c r="A376">
        <v>375</v>
      </c>
      <c r="B376" s="2">
        <v>45932</v>
      </c>
      <c r="C376" t="s">
        <v>26</v>
      </c>
      <c r="D376" t="s">
        <v>17</v>
      </c>
      <c r="E376" t="s">
        <v>12</v>
      </c>
      <c r="F376" t="s">
        <v>14</v>
      </c>
      <c r="G376">
        <v>165</v>
      </c>
      <c r="H376">
        <v>288.14999999999998</v>
      </c>
      <c r="I376">
        <v>18</v>
      </c>
      <c r="J376" t="s">
        <v>15</v>
      </c>
      <c r="K376">
        <v>47544.75</v>
      </c>
      <c r="L376" t="str">
        <f t="shared" si="20"/>
        <v>Oct</v>
      </c>
      <c r="M376">
        <f t="shared" si="21"/>
        <v>2025</v>
      </c>
      <c r="N376">
        <f t="shared" si="22"/>
        <v>47544.749999999993</v>
      </c>
      <c r="O376" t="str">
        <f t="shared" si="23"/>
        <v>Minor Delay</v>
      </c>
    </row>
    <row r="377" spans="1:15" x14ac:dyDescent="0.25">
      <c r="A377">
        <v>376</v>
      </c>
      <c r="B377" s="2">
        <v>45768</v>
      </c>
      <c r="C377" t="s">
        <v>26</v>
      </c>
      <c r="D377" t="s">
        <v>23</v>
      </c>
      <c r="E377" t="s">
        <v>13</v>
      </c>
      <c r="F377" t="s">
        <v>14</v>
      </c>
      <c r="G377">
        <v>73</v>
      </c>
      <c r="H377">
        <v>586.26</v>
      </c>
      <c r="I377">
        <v>32</v>
      </c>
      <c r="J377" t="s">
        <v>30</v>
      </c>
      <c r="K377">
        <v>42796.98</v>
      </c>
      <c r="L377" t="str">
        <f t="shared" si="20"/>
        <v>Apr</v>
      </c>
      <c r="M377">
        <f t="shared" si="21"/>
        <v>2025</v>
      </c>
      <c r="N377">
        <f t="shared" si="22"/>
        <v>42796.979999999996</v>
      </c>
      <c r="O377" t="str">
        <f t="shared" si="23"/>
        <v>Moderate Delay</v>
      </c>
    </row>
    <row r="378" spans="1:15" x14ac:dyDescent="0.25">
      <c r="A378">
        <v>377</v>
      </c>
      <c r="B378" s="2">
        <v>46004</v>
      </c>
      <c r="C378" t="s">
        <v>26</v>
      </c>
      <c r="D378" t="s">
        <v>17</v>
      </c>
      <c r="E378" t="s">
        <v>13</v>
      </c>
      <c r="F378" t="s">
        <v>24</v>
      </c>
      <c r="G378">
        <v>259</v>
      </c>
      <c r="H378">
        <v>793.1</v>
      </c>
      <c r="I378">
        <v>44</v>
      </c>
      <c r="J378" t="s">
        <v>15</v>
      </c>
      <c r="K378">
        <v>205412.9</v>
      </c>
      <c r="L378" t="str">
        <f t="shared" si="20"/>
        <v>Dec</v>
      </c>
      <c r="M378">
        <f t="shared" si="21"/>
        <v>2025</v>
      </c>
      <c r="N378">
        <f t="shared" si="22"/>
        <v>205412.9</v>
      </c>
      <c r="O378" t="str">
        <f t="shared" si="23"/>
        <v>Moderate Delay</v>
      </c>
    </row>
    <row r="379" spans="1:15" x14ac:dyDescent="0.25">
      <c r="A379">
        <v>378</v>
      </c>
      <c r="B379" s="2">
        <v>45706</v>
      </c>
      <c r="C379" t="s">
        <v>18</v>
      </c>
      <c r="D379" t="s">
        <v>27</v>
      </c>
      <c r="E379" t="s">
        <v>19</v>
      </c>
      <c r="F379" t="s">
        <v>14</v>
      </c>
      <c r="G379">
        <v>255</v>
      </c>
      <c r="H379">
        <v>647.41999999999996</v>
      </c>
      <c r="I379">
        <v>24</v>
      </c>
      <c r="J379" t="s">
        <v>15</v>
      </c>
      <c r="K379">
        <v>165092.1</v>
      </c>
      <c r="L379" t="str">
        <f t="shared" si="20"/>
        <v>Feb</v>
      </c>
      <c r="M379">
        <f t="shared" si="21"/>
        <v>2025</v>
      </c>
      <c r="N379">
        <f t="shared" si="22"/>
        <v>165092.09999999998</v>
      </c>
      <c r="O379" t="str">
        <f t="shared" si="23"/>
        <v>Minor Delay</v>
      </c>
    </row>
    <row r="380" spans="1:15" x14ac:dyDescent="0.25">
      <c r="A380">
        <v>379</v>
      </c>
      <c r="B380" s="2">
        <v>45724</v>
      </c>
      <c r="C380" t="s">
        <v>11</v>
      </c>
      <c r="D380" t="s">
        <v>13</v>
      </c>
      <c r="E380" t="s">
        <v>23</v>
      </c>
      <c r="F380" t="s">
        <v>24</v>
      </c>
      <c r="G380">
        <v>145</v>
      </c>
      <c r="H380">
        <v>567.85</v>
      </c>
      <c r="I380">
        <v>29</v>
      </c>
      <c r="J380" t="s">
        <v>15</v>
      </c>
      <c r="K380">
        <v>82338.25</v>
      </c>
      <c r="L380" t="str">
        <f t="shared" si="20"/>
        <v>Mar</v>
      </c>
      <c r="M380">
        <f t="shared" si="21"/>
        <v>2025</v>
      </c>
      <c r="N380">
        <f t="shared" si="22"/>
        <v>82338.25</v>
      </c>
      <c r="O380" t="str">
        <f t="shared" si="23"/>
        <v>Minor Delay</v>
      </c>
    </row>
    <row r="381" spans="1:15" x14ac:dyDescent="0.25">
      <c r="A381">
        <v>380</v>
      </c>
      <c r="B381" s="2">
        <v>45691</v>
      </c>
      <c r="C381" t="s">
        <v>11</v>
      </c>
      <c r="D381" t="s">
        <v>12</v>
      </c>
      <c r="E381" t="s">
        <v>13</v>
      </c>
      <c r="F381" t="s">
        <v>21</v>
      </c>
      <c r="G381">
        <v>163</v>
      </c>
      <c r="H381">
        <v>658.88</v>
      </c>
      <c r="I381">
        <v>15</v>
      </c>
      <c r="J381" t="s">
        <v>15</v>
      </c>
      <c r="K381">
        <v>107397.44</v>
      </c>
      <c r="L381" t="str">
        <f t="shared" si="20"/>
        <v>Feb</v>
      </c>
      <c r="M381">
        <f t="shared" si="21"/>
        <v>2025</v>
      </c>
      <c r="N381">
        <f t="shared" si="22"/>
        <v>107397.44</v>
      </c>
      <c r="O381" t="str">
        <f t="shared" si="23"/>
        <v>Minor Delay</v>
      </c>
    </row>
    <row r="382" spans="1:15" x14ac:dyDescent="0.25">
      <c r="A382">
        <v>381</v>
      </c>
      <c r="B382" s="2">
        <v>45679</v>
      </c>
      <c r="C382" t="s">
        <v>18</v>
      </c>
      <c r="D382" t="s">
        <v>22</v>
      </c>
      <c r="E382" t="s">
        <v>12</v>
      </c>
      <c r="F382" t="s">
        <v>14</v>
      </c>
      <c r="G382">
        <v>93</v>
      </c>
      <c r="H382">
        <v>743.86</v>
      </c>
      <c r="I382">
        <v>0</v>
      </c>
      <c r="J382" t="s">
        <v>15</v>
      </c>
      <c r="K382">
        <v>69178.98</v>
      </c>
      <c r="L382" t="str">
        <f t="shared" si="20"/>
        <v>Jan</v>
      </c>
      <c r="M382">
        <f t="shared" si="21"/>
        <v>2025</v>
      </c>
      <c r="N382">
        <f t="shared" si="22"/>
        <v>69178.98</v>
      </c>
      <c r="O382" t="str">
        <f t="shared" si="23"/>
        <v>On Time</v>
      </c>
    </row>
    <row r="383" spans="1:15" x14ac:dyDescent="0.25">
      <c r="A383">
        <v>382</v>
      </c>
      <c r="B383" s="2">
        <v>45746</v>
      </c>
      <c r="C383" t="s">
        <v>26</v>
      </c>
      <c r="D383" t="s">
        <v>17</v>
      </c>
      <c r="E383" t="s">
        <v>20</v>
      </c>
      <c r="F383" t="s">
        <v>14</v>
      </c>
      <c r="G383">
        <v>282</v>
      </c>
      <c r="H383">
        <v>198.49</v>
      </c>
      <c r="I383">
        <v>36</v>
      </c>
      <c r="J383" t="s">
        <v>15</v>
      </c>
      <c r="K383">
        <v>55974.18</v>
      </c>
      <c r="L383" t="str">
        <f t="shared" si="20"/>
        <v>Mar</v>
      </c>
      <c r="M383">
        <f t="shared" si="21"/>
        <v>2025</v>
      </c>
      <c r="N383">
        <f t="shared" si="22"/>
        <v>55974.18</v>
      </c>
      <c r="O383" t="str">
        <f t="shared" si="23"/>
        <v>Moderate Delay</v>
      </c>
    </row>
    <row r="384" spans="1:15" x14ac:dyDescent="0.25">
      <c r="A384">
        <v>383</v>
      </c>
      <c r="B384" s="2">
        <v>45972</v>
      </c>
      <c r="C384" t="s">
        <v>31</v>
      </c>
      <c r="D384" t="s">
        <v>29</v>
      </c>
      <c r="E384" t="s">
        <v>13</v>
      </c>
      <c r="F384" t="s">
        <v>21</v>
      </c>
      <c r="G384">
        <v>112</v>
      </c>
      <c r="H384">
        <v>538.99</v>
      </c>
      <c r="I384">
        <v>0</v>
      </c>
      <c r="J384" t="s">
        <v>15</v>
      </c>
      <c r="K384">
        <v>60366.879999999997</v>
      </c>
      <c r="L384" t="str">
        <f t="shared" si="20"/>
        <v>Nov</v>
      </c>
      <c r="M384">
        <f t="shared" si="21"/>
        <v>2025</v>
      </c>
      <c r="N384">
        <f t="shared" si="22"/>
        <v>60366.880000000005</v>
      </c>
      <c r="O384" t="str">
        <f t="shared" si="23"/>
        <v>On Time</v>
      </c>
    </row>
    <row r="385" spans="1:15" x14ac:dyDescent="0.25">
      <c r="A385">
        <v>384</v>
      </c>
      <c r="B385" s="2">
        <v>45854</v>
      </c>
      <c r="C385" t="s">
        <v>11</v>
      </c>
      <c r="D385" t="s">
        <v>12</v>
      </c>
      <c r="E385" t="s">
        <v>22</v>
      </c>
      <c r="F385" t="s">
        <v>24</v>
      </c>
      <c r="G385">
        <v>101</v>
      </c>
      <c r="H385">
        <v>535.55999999999995</v>
      </c>
      <c r="I385">
        <v>20</v>
      </c>
      <c r="J385" t="s">
        <v>15</v>
      </c>
      <c r="K385">
        <v>54091.56</v>
      </c>
      <c r="L385" t="str">
        <f t="shared" si="20"/>
        <v>Jul</v>
      </c>
      <c r="M385">
        <f t="shared" si="21"/>
        <v>2025</v>
      </c>
      <c r="N385">
        <f t="shared" si="22"/>
        <v>54091.56</v>
      </c>
      <c r="O385" t="str">
        <f t="shared" si="23"/>
        <v>Minor Delay</v>
      </c>
    </row>
    <row r="386" spans="1:15" x14ac:dyDescent="0.25">
      <c r="A386">
        <v>385</v>
      </c>
      <c r="B386" s="2">
        <v>45853</v>
      </c>
      <c r="C386" t="s">
        <v>25</v>
      </c>
      <c r="D386" t="s">
        <v>19</v>
      </c>
      <c r="E386" t="s">
        <v>13</v>
      </c>
      <c r="F386" t="s">
        <v>24</v>
      </c>
      <c r="G386">
        <v>172</v>
      </c>
      <c r="H386">
        <v>462.94</v>
      </c>
      <c r="I386">
        <v>0</v>
      </c>
      <c r="J386" t="s">
        <v>15</v>
      </c>
      <c r="K386">
        <v>79625.679999999993</v>
      </c>
      <c r="L386" t="str">
        <f t="shared" si="20"/>
        <v>Jul</v>
      </c>
      <c r="M386">
        <f t="shared" si="21"/>
        <v>2025</v>
      </c>
      <c r="N386">
        <f t="shared" si="22"/>
        <v>79625.679999999993</v>
      </c>
      <c r="O386" t="str">
        <f t="shared" si="23"/>
        <v>On Time</v>
      </c>
    </row>
    <row r="387" spans="1:15" x14ac:dyDescent="0.25">
      <c r="A387">
        <v>386</v>
      </c>
      <c r="B387" s="2">
        <v>45750</v>
      </c>
      <c r="C387" t="s">
        <v>16</v>
      </c>
      <c r="D387" t="s">
        <v>17</v>
      </c>
      <c r="E387" t="s">
        <v>23</v>
      </c>
      <c r="F387" t="s">
        <v>24</v>
      </c>
      <c r="G387">
        <v>202</v>
      </c>
      <c r="H387">
        <v>222.07</v>
      </c>
      <c r="I387">
        <v>25</v>
      </c>
      <c r="J387" t="s">
        <v>30</v>
      </c>
      <c r="K387">
        <v>44858.14</v>
      </c>
      <c r="L387" t="str">
        <f t="shared" ref="L387:L450" si="24">TEXT(B387,"MMM")</f>
        <v>Apr</v>
      </c>
      <c r="M387">
        <f t="shared" ref="M387:M450" si="25">YEAR(B387)</f>
        <v>2025</v>
      </c>
      <c r="N387">
        <f t="shared" ref="N387:N450" si="26">G387*H387</f>
        <v>44858.14</v>
      </c>
      <c r="O387" t="str">
        <f t="shared" ref="O387:O450" si="27">IF(I387=0,"On Time",IF(I387&lt;=30,"Minor Delay",IF(I387&lt;=60,"Moderate Delay","Major Delay")))</f>
        <v>Minor Delay</v>
      </c>
    </row>
    <row r="388" spans="1:15" x14ac:dyDescent="0.25">
      <c r="A388">
        <v>387</v>
      </c>
      <c r="B388" s="2">
        <v>45899</v>
      </c>
      <c r="C388" t="s">
        <v>31</v>
      </c>
      <c r="D388" t="s">
        <v>23</v>
      </c>
      <c r="E388" t="s">
        <v>13</v>
      </c>
      <c r="F388" t="s">
        <v>24</v>
      </c>
      <c r="G388">
        <v>246</v>
      </c>
      <c r="H388">
        <v>492.15</v>
      </c>
      <c r="I388">
        <v>21</v>
      </c>
      <c r="J388" t="s">
        <v>15</v>
      </c>
      <c r="K388">
        <v>121068.9</v>
      </c>
      <c r="L388" t="str">
        <f t="shared" si="24"/>
        <v>Aug</v>
      </c>
      <c r="M388">
        <f t="shared" si="25"/>
        <v>2025</v>
      </c>
      <c r="N388">
        <f t="shared" si="26"/>
        <v>121068.9</v>
      </c>
      <c r="O388" t="str">
        <f t="shared" si="27"/>
        <v>Minor Delay</v>
      </c>
    </row>
    <row r="389" spans="1:15" x14ac:dyDescent="0.25">
      <c r="A389">
        <v>388</v>
      </c>
      <c r="B389" s="2">
        <v>45931</v>
      </c>
      <c r="C389" t="s">
        <v>25</v>
      </c>
      <c r="D389" t="s">
        <v>19</v>
      </c>
      <c r="E389" t="s">
        <v>22</v>
      </c>
      <c r="F389" t="s">
        <v>14</v>
      </c>
      <c r="G389">
        <v>245</v>
      </c>
      <c r="H389">
        <v>797.33</v>
      </c>
      <c r="I389">
        <v>34</v>
      </c>
      <c r="J389" t="s">
        <v>15</v>
      </c>
      <c r="K389">
        <v>195345.85</v>
      </c>
      <c r="L389" t="str">
        <f t="shared" si="24"/>
        <v>Oct</v>
      </c>
      <c r="M389">
        <f t="shared" si="25"/>
        <v>2025</v>
      </c>
      <c r="N389">
        <f t="shared" si="26"/>
        <v>195345.85</v>
      </c>
      <c r="O389" t="str">
        <f t="shared" si="27"/>
        <v>Moderate Delay</v>
      </c>
    </row>
    <row r="390" spans="1:15" x14ac:dyDescent="0.25">
      <c r="A390">
        <v>389</v>
      </c>
      <c r="B390" s="2">
        <v>45746</v>
      </c>
      <c r="C390" t="s">
        <v>11</v>
      </c>
      <c r="D390" t="s">
        <v>17</v>
      </c>
      <c r="E390" t="s">
        <v>22</v>
      </c>
      <c r="F390" t="s">
        <v>14</v>
      </c>
      <c r="G390">
        <v>201</v>
      </c>
      <c r="H390">
        <v>295.32</v>
      </c>
      <c r="I390">
        <v>18</v>
      </c>
      <c r="J390" t="s">
        <v>15</v>
      </c>
      <c r="K390">
        <v>59359.32</v>
      </c>
      <c r="L390" t="str">
        <f t="shared" si="24"/>
        <v>Mar</v>
      </c>
      <c r="M390">
        <f t="shared" si="25"/>
        <v>2025</v>
      </c>
      <c r="N390">
        <f t="shared" si="26"/>
        <v>59359.32</v>
      </c>
      <c r="O390" t="str">
        <f t="shared" si="27"/>
        <v>Minor Delay</v>
      </c>
    </row>
    <row r="391" spans="1:15" x14ac:dyDescent="0.25">
      <c r="A391">
        <v>390</v>
      </c>
      <c r="B391" s="2">
        <v>45946</v>
      </c>
      <c r="C391" t="s">
        <v>11</v>
      </c>
      <c r="D391" t="s">
        <v>22</v>
      </c>
      <c r="E391" t="s">
        <v>29</v>
      </c>
      <c r="F391" t="s">
        <v>24</v>
      </c>
      <c r="G391">
        <v>188</v>
      </c>
      <c r="H391">
        <v>288.7</v>
      </c>
      <c r="I391">
        <v>0</v>
      </c>
      <c r="J391" t="s">
        <v>15</v>
      </c>
      <c r="K391">
        <v>54275.6</v>
      </c>
      <c r="L391" t="str">
        <f t="shared" si="24"/>
        <v>Oct</v>
      </c>
      <c r="M391">
        <f t="shared" si="25"/>
        <v>2025</v>
      </c>
      <c r="N391">
        <f t="shared" si="26"/>
        <v>54275.6</v>
      </c>
      <c r="O391" t="str">
        <f t="shared" si="27"/>
        <v>On Time</v>
      </c>
    </row>
    <row r="392" spans="1:15" x14ac:dyDescent="0.25">
      <c r="A392">
        <v>391</v>
      </c>
      <c r="B392" s="2">
        <v>45777</v>
      </c>
      <c r="C392" t="s">
        <v>31</v>
      </c>
      <c r="D392" t="s">
        <v>12</v>
      </c>
      <c r="E392" t="s">
        <v>13</v>
      </c>
      <c r="F392" t="s">
        <v>14</v>
      </c>
      <c r="G392">
        <v>55</v>
      </c>
      <c r="H392">
        <v>449.57</v>
      </c>
      <c r="I392">
        <v>75</v>
      </c>
      <c r="J392" t="s">
        <v>15</v>
      </c>
      <c r="K392">
        <v>24726.35</v>
      </c>
      <c r="L392" t="str">
        <f t="shared" si="24"/>
        <v>Apr</v>
      </c>
      <c r="M392">
        <f t="shared" si="25"/>
        <v>2025</v>
      </c>
      <c r="N392">
        <f t="shared" si="26"/>
        <v>24726.35</v>
      </c>
      <c r="O392" t="str">
        <f t="shared" si="27"/>
        <v>Major Delay</v>
      </c>
    </row>
    <row r="393" spans="1:15" x14ac:dyDescent="0.25">
      <c r="A393">
        <v>392</v>
      </c>
      <c r="B393" s="2">
        <v>45748</v>
      </c>
      <c r="C393" t="s">
        <v>26</v>
      </c>
      <c r="D393" t="s">
        <v>29</v>
      </c>
      <c r="E393" t="s">
        <v>17</v>
      </c>
      <c r="F393" t="s">
        <v>14</v>
      </c>
      <c r="G393">
        <v>55</v>
      </c>
      <c r="H393">
        <v>169.31</v>
      </c>
      <c r="I393">
        <v>20</v>
      </c>
      <c r="J393" t="s">
        <v>15</v>
      </c>
      <c r="K393">
        <v>9312.0499999999993</v>
      </c>
      <c r="L393" t="str">
        <f t="shared" si="24"/>
        <v>Apr</v>
      </c>
      <c r="M393">
        <f t="shared" si="25"/>
        <v>2025</v>
      </c>
      <c r="N393">
        <f t="shared" si="26"/>
        <v>9312.0499999999993</v>
      </c>
      <c r="O393" t="str">
        <f t="shared" si="27"/>
        <v>Minor Delay</v>
      </c>
    </row>
    <row r="394" spans="1:15" x14ac:dyDescent="0.25">
      <c r="A394">
        <v>393</v>
      </c>
      <c r="B394" s="2">
        <v>45927</v>
      </c>
      <c r="C394" t="s">
        <v>26</v>
      </c>
      <c r="D394" t="s">
        <v>29</v>
      </c>
      <c r="E394" t="s">
        <v>12</v>
      </c>
      <c r="F394" t="s">
        <v>14</v>
      </c>
      <c r="G394">
        <v>145</v>
      </c>
      <c r="H394">
        <v>581.36</v>
      </c>
      <c r="I394">
        <v>2</v>
      </c>
      <c r="J394" t="s">
        <v>15</v>
      </c>
      <c r="K394">
        <v>84297.2</v>
      </c>
      <c r="L394" t="str">
        <f t="shared" si="24"/>
        <v>Sep</v>
      </c>
      <c r="M394">
        <f t="shared" si="25"/>
        <v>2025</v>
      </c>
      <c r="N394">
        <f t="shared" si="26"/>
        <v>84297.2</v>
      </c>
      <c r="O394" t="str">
        <f t="shared" si="27"/>
        <v>Minor Delay</v>
      </c>
    </row>
    <row r="395" spans="1:15" x14ac:dyDescent="0.25">
      <c r="A395">
        <v>394</v>
      </c>
      <c r="B395" s="2">
        <v>45738</v>
      </c>
      <c r="C395" t="s">
        <v>25</v>
      </c>
      <c r="D395" t="s">
        <v>22</v>
      </c>
      <c r="E395" t="s">
        <v>29</v>
      </c>
      <c r="F395" t="s">
        <v>24</v>
      </c>
      <c r="G395">
        <v>252</v>
      </c>
      <c r="H395">
        <v>533.05999999999995</v>
      </c>
      <c r="I395">
        <v>0</v>
      </c>
      <c r="J395" t="s">
        <v>15</v>
      </c>
      <c r="K395">
        <v>134331.12</v>
      </c>
      <c r="L395" t="str">
        <f t="shared" si="24"/>
        <v>Mar</v>
      </c>
      <c r="M395">
        <f t="shared" si="25"/>
        <v>2025</v>
      </c>
      <c r="N395">
        <f t="shared" si="26"/>
        <v>134331.12</v>
      </c>
      <c r="O395" t="str">
        <f t="shared" si="27"/>
        <v>On Time</v>
      </c>
    </row>
    <row r="396" spans="1:15" x14ac:dyDescent="0.25">
      <c r="A396">
        <v>395</v>
      </c>
      <c r="B396" s="2">
        <v>46020</v>
      </c>
      <c r="C396" t="s">
        <v>31</v>
      </c>
      <c r="D396" t="s">
        <v>22</v>
      </c>
      <c r="E396" t="s">
        <v>29</v>
      </c>
      <c r="F396" t="s">
        <v>21</v>
      </c>
      <c r="G396">
        <v>277</v>
      </c>
      <c r="H396">
        <v>747.35</v>
      </c>
      <c r="I396">
        <v>24</v>
      </c>
      <c r="J396" t="s">
        <v>15</v>
      </c>
      <c r="K396">
        <v>207015.95</v>
      </c>
      <c r="L396" t="str">
        <f t="shared" si="24"/>
        <v>Dec</v>
      </c>
      <c r="M396">
        <f t="shared" si="25"/>
        <v>2025</v>
      </c>
      <c r="N396">
        <f t="shared" si="26"/>
        <v>207015.95</v>
      </c>
      <c r="O396" t="str">
        <f t="shared" si="27"/>
        <v>Minor Delay</v>
      </c>
    </row>
    <row r="397" spans="1:15" x14ac:dyDescent="0.25">
      <c r="A397">
        <v>396</v>
      </c>
      <c r="B397" s="2">
        <v>45815</v>
      </c>
      <c r="C397" t="s">
        <v>25</v>
      </c>
      <c r="D397" t="s">
        <v>29</v>
      </c>
      <c r="E397" t="s">
        <v>20</v>
      </c>
      <c r="F397" t="s">
        <v>21</v>
      </c>
      <c r="G397">
        <v>125</v>
      </c>
      <c r="H397">
        <v>154.24</v>
      </c>
      <c r="I397">
        <v>2</v>
      </c>
      <c r="J397" t="s">
        <v>15</v>
      </c>
      <c r="K397">
        <v>19280</v>
      </c>
      <c r="L397" t="str">
        <f t="shared" si="24"/>
        <v>Jun</v>
      </c>
      <c r="M397">
        <f t="shared" si="25"/>
        <v>2025</v>
      </c>
      <c r="N397">
        <f t="shared" si="26"/>
        <v>19280</v>
      </c>
      <c r="O397" t="str">
        <f t="shared" si="27"/>
        <v>Minor Delay</v>
      </c>
    </row>
    <row r="398" spans="1:15" x14ac:dyDescent="0.25">
      <c r="A398">
        <v>397</v>
      </c>
      <c r="B398" s="2">
        <v>45751</v>
      </c>
      <c r="C398" t="s">
        <v>31</v>
      </c>
      <c r="D398" t="s">
        <v>17</v>
      </c>
      <c r="E398" t="s">
        <v>13</v>
      </c>
      <c r="F398" t="s">
        <v>24</v>
      </c>
      <c r="G398">
        <v>285</v>
      </c>
      <c r="H398">
        <v>658.52</v>
      </c>
      <c r="I398">
        <v>0</v>
      </c>
      <c r="J398" t="s">
        <v>15</v>
      </c>
      <c r="K398">
        <v>187678.2</v>
      </c>
      <c r="L398" t="str">
        <f t="shared" si="24"/>
        <v>Apr</v>
      </c>
      <c r="M398">
        <f t="shared" si="25"/>
        <v>2025</v>
      </c>
      <c r="N398">
        <f t="shared" si="26"/>
        <v>187678.19999999998</v>
      </c>
      <c r="O398" t="str">
        <f t="shared" si="27"/>
        <v>On Time</v>
      </c>
    </row>
    <row r="399" spans="1:15" x14ac:dyDescent="0.25">
      <c r="A399">
        <v>398</v>
      </c>
      <c r="B399" s="2">
        <v>45827</v>
      </c>
      <c r="C399" t="s">
        <v>25</v>
      </c>
      <c r="D399" t="s">
        <v>20</v>
      </c>
      <c r="E399" t="s">
        <v>29</v>
      </c>
      <c r="F399" t="s">
        <v>14</v>
      </c>
      <c r="G399">
        <v>110</v>
      </c>
      <c r="H399">
        <v>316.64</v>
      </c>
      <c r="I399">
        <v>0</v>
      </c>
      <c r="J399" t="s">
        <v>15</v>
      </c>
      <c r="K399">
        <v>34830.400000000001</v>
      </c>
      <c r="L399" t="str">
        <f t="shared" si="24"/>
        <v>Jun</v>
      </c>
      <c r="M399">
        <f t="shared" si="25"/>
        <v>2025</v>
      </c>
      <c r="N399">
        <f t="shared" si="26"/>
        <v>34830.400000000001</v>
      </c>
      <c r="O399" t="str">
        <f t="shared" si="27"/>
        <v>On Time</v>
      </c>
    </row>
    <row r="400" spans="1:15" x14ac:dyDescent="0.25">
      <c r="A400">
        <v>399</v>
      </c>
      <c r="B400" s="2">
        <v>45886</v>
      </c>
      <c r="C400" t="s">
        <v>16</v>
      </c>
      <c r="D400" t="s">
        <v>12</v>
      </c>
      <c r="E400" t="s">
        <v>17</v>
      </c>
      <c r="F400" t="s">
        <v>24</v>
      </c>
      <c r="G400">
        <v>103</v>
      </c>
      <c r="H400">
        <v>244.66</v>
      </c>
      <c r="I400">
        <v>37</v>
      </c>
      <c r="J400" t="s">
        <v>15</v>
      </c>
      <c r="K400">
        <v>25199.98</v>
      </c>
      <c r="L400" t="str">
        <f t="shared" si="24"/>
        <v>Aug</v>
      </c>
      <c r="M400">
        <f t="shared" si="25"/>
        <v>2025</v>
      </c>
      <c r="N400">
        <f t="shared" si="26"/>
        <v>25199.98</v>
      </c>
      <c r="O400" t="str">
        <f t="shared" si="27"/>
        <v>Moderate Delay</v>
      </c>
    </row>
    <row r="401" spans="1:15" x14ac:dyDescent="0.25">
      <c r="A401">
        <v>400</v>
      </c>
      <c r="B401" s="2">
        <v>45855</v>
      </c>
      <c r="C401" t="s">
        <v>18</v>
      </c>
      <c r="D401" t="s">
        <v>13</v>
      </c>
      <c r="E401" t="s">
        <v>12</v>
      </c>
      <c r="F401" t="s">
        <v>21</v>
      </c>
      <c r="G401">
        <v>157</v>
      </c>
      <c r="H401">
        <v>777.14</v>
      </c>
      <c r="I401">
        <v>27</v>
      </c>
      <c r="J401" t="s">
        <v>30</v>
      </c>
      <c r="K401">
        <v>122010.98</v>
      </c>
      <c r="L401" t="str">
        <f t="shared" si="24"/>
        <v>Jul</v>
      </c>
      <c r="M401">
        <f t="shared" si="25"/>
        <v>2025</v>
      </c>
      <c r="N401">
        <f t="shared" si="26"/>
        <v>122010.98</v>
      </c>
      <c r="O401" t="str">
        <f t="shared" si="27"/>
        <v>Minor Delay</v>
      </c>
    </row>
    <row r="402" spans="1:15" x14ac:dyDescent="0.25">
      <c r="A402">
        <v>401</v>
      </c>
      <c r="B402" s="2">
        <v>45837</v>
      </c>
      <c r="C402" t="s">
        <v>31</v>
      </c>
      <c r="D402" t="s">
        <v>20</v>
      </c>
      <c r="E402" t="s">
        <v>17</v>
      </c>
      <c r="F402" t="s">
        <v>24</v>
      </c>
      <c r="G402">
        <v>75</v>
      </c>
      <c r="H402">
        <v>673.32</v>
      </c>
      <c r="I402">
        <v>27</v>
      </c>
      <c r="J402" t="s">
        <v>15</v>
      </c>
      <c r="K402">
        <v>50499</v>
      </c>
      <c r="L402" t="str">
        <f t="shared" si="24"/>
        <v>Jun</v>
      </c>
      <c r="M402">
        <f t="shared" si="25"/>
        <v>2025</v>
      </c>
      <c r="N402">
        <f t="shared" si="26"/>
        <v>50499.000000000007</v>
      </c>
      <c r="O402" t="str">
        <f t="shared" si="27"/>
        <v>Minor Delay</v>
      </c>
    </row>
    <row r="403" spans="1:15" x14ac:dyDescent="0.25">
      <c r="A403">
        <v>402</v>
      </c>
      <c r="B403" s="2">
        <v>45889</v>
      </c>
      <c r="C403" t="s">
        <v>16</v>
      </c>
      <c r="D403" t="s">
        <v>19</v>
      </c>
      <c r="E403" t="s">
        <v>29</v>
      </c>
      <c r="F403" t="s">
        <v>14</v>
      </c>
      <c r="G403">
        <v>125</v>
      </c>
      <c r="H403">
        <v>74.86</v>
      </c>
      <c r="I403">
        <v>0</v>
      </c>
      <c r="J403" t="s">
        <v>15</v>
      </c>
      <c r="K403">
        <v>9357.5</v>
      </c>
      <c r="L403" t="str">
        <f t="shared" si="24"/>
        <v>Aug</v>
      </c>
      <c r="M403">
        <f t="shared" si="25"/>
        <v>2025</v>
      </c>
      <c r="N403">
        <f t="shared" si="26"/>
        <v>9357.5</v>
      </c>
      <c r="O403" t="str">
        <f t="shared" si="27"/>
        <v>On Time</v>
      </c>
    </row>
    <row r="404" spans="1:15" x14ac:dyDescent="0.25">
      <c r="A404">
        <v>403</v>
      </c>
      <c r="B404" s="2">
        <v>45833</v>
      </c>
      <c r="C404" t="s">
        <v>11</v>
      </c>
      <c r="D404" t="s">
        <v>12</v>
      </c>
      <c r="E404" t="s">
        <v>29</v>
      </c>
      <c r="F404" t="s">
        <v>24</v>
      </c>
      <c r="G404">
        <v>91</v>
      </c>
      <c r="H404">
        <v>601.66999999999996</v>
      </c>
      <c r="I404">
        <v>0</v>
      </c>
      <c r="J404" t="s">
        <v>15</v>
      </c>
      <c r="K404">
        <v>54751.97</v>
      </c>
      <c r="L404" t="str">
        <f t="shared" si="24"/>
        <v>Jun</v>
      </c>
      <c r="M404">
        <f t="shared" si="25"/>
        <v>2025</v>
      </c>
      <c r="N404">
        <f t="shared" si="26"/>
        <v>54751.969999999994</v>
      </c>
      <c r="O404" t="str">
        <f t="shared" si="27"/>
        <v>On Time</v>
      </c>
    </row>
    <row r="405" spans="1:15" x14ac:dyDescent="0.25">
      <c r="A405">
        <v>404</v>
      </c>
      <c r="B405" s="2">
        <v>45878</v>
      </c>
      <c r="C405" t="s">
        <v>25</v>
      </c>
      <c r="D405" t="s">
        <v>20</v>
      </c>
      <c r="E405" t="s">
        <v>13</v>
      </c>
      <c r="F405" t="s">
        <v>14</v>
      </c>
      <c r="G405">
        <v>205</v>
      </c>
      <c r="H405">
        <v>718.42</v>
      </c>
      <c r="I405">
        <v>4</v>
      </c>
      <c r="J405" t="s">
        <v>15</v>
      </c>
      <c r="K405">
        <v>147276.1</v>
      </c>
      <c r="L405" t="str">
        <f t="shared" si="24"/>
        <v>Aug</v>
      </c>
      <c r="M405">
        <f t="shared" si="25"/>
        <v>2025</v>
      </c>
      <c r="N405">
        <f t="shared" si="26"/>
        <v>147276.1</v>
      </c>
      <c r="O405" t="str">
        <f t="shared" si="27"/>
        <v>Minor Delay</v>
      </c>
    </row>
    <row r="406" spans="1:15" x14ac:dyDescent="0.25">
      <c r="A406">
        <v>405</v>
      </c>
      <c r="B406" s="2">
        <v>45763</v>
      </c>
      <c r="C406" t="s">
        <v>11</v>
      </c>
      <c r="D406" t="s">
        <v>12</v>
      </c>
      <c r="E406" t="s">
        <v>17</v>
      </c>
      <c r="F406" t="s">
        <v>24</v>
      </c>
      <c r="G406">
        <v>228</v>
      </c>
      <c r="H406">
        <v>470.04</v>
      </c>
      <c r="I406">
        <v>47</v>
      </c>
      <c r="J406" t="s">
        <v>15</v>
      </c>
      <c r="K406">
        <v>107169.12</v>
      </c>
      <c r="L406" t="str">
        <f t="shared" si="24"/>
        <v>Apr</v>
      </c>
      <c r="M406">
        <f t="shared" si="25"/>
        <v>2025</v>
      </c>
      <c r="N406">
        <f t="shared" si="26"/>
        <v>107169.12000000001</v>
      </c>
      <c r="O406" t="str">
        <f t="shared" si="27"/>
        <v>Moderate Delay</v>
      </c>
    </row>
    <row r="407" spans="1:15" x14ac:dyDescent="0.25">
      <c r="A407">
        <v>406</v>
      </c>
      <c r="B407" s="2">
        <v>45707</v>
      </c>
      <c r="C407" t="s">
        <v>16</v>
      </c>
      <c r="D407" t="s">
        <v>23</v>
      </c>
      <c r="E407" t="s">
        <v>19</v>
      </c>
      <c r="F407" t="s">
        <v>24</v>
      </c>
      <c r="G407">
        <v>196</v>
      </c>
      <c r="H407">
        <v>466.75</v>
      </c>
      <c r="I407">
        <v>5</v>
      </c>
      <c r="J407" t="s">
        <v>15</v>
      </c>
      <c r="K407">
        <v>91483</v>
      </c>
      <c r="L407" t="str">
        <f t="shared" si="24"/>
        <v>Feb</v>
      </c>
      <c r="M407">
        <f t="shared" si="25"/>
        <v>2025</v>
      </c>
      <c r="N407">
        <f t="shared" si="26"/>
        <v>91483</v>
      </c>
      <c r="O407" t="str">
        <f t="shared" si="27"/>
        <v>Minor Delay</v>
      </c>
    </row>
    <row r="408" spans="1:15" x14ac:dyDescent="0.25">
      <c r="A408">
        <v>407</v>
      </c>
      <c r="B408" s="2">
        <v>45659</v>
      </c>
      <c r="C408" t="s">
        <v>18</v>
      </c>
      <c r="D408" t="s">
        <v>13</v>
      </c>
      <c r="E408" t="s">
        <v>17</v>
      </c>
      <c r="F408" t="s">
        <v>14</v>
      </c>
      <c r="G408">
        <v>125</v>
      </c>
      <c r="H408">
        <v>669.68</v>
      </c>
      <c r="I408">
        <v>0</v>
      </c>
      <c r="J408" t="s">
        <v>15</v>
      </c>
      <c r="K408">
        <v>83710</v>
      </c>
      <c r="L408" t="str">
        <f t="shared" si="24"/>
        <v>Jan</v>
      </c>
      <c r="M408">
        <f t="shared" si="25"/>
        <v>2025</v>
      </c>
      <c r="N408">
        <f t="shared" si="26"/>
        <v>83710</v>
      </c>
      <c r="O408" t="str">
        <f t="shared" si="27"/>
        <v>On Time</v>
      </c>
    </row>
    <row r="409" spans="1:15" x14ac:dyDescent="0.25">
      <c r="A409">
        <v>408</v>
      </c>
      <c r="B409" s="2">
        <v>45984</v>
      </c>
      <c r="C409" t="s">
        <v>26</v>
      </c>
      <c r="D409" t="s">
        <v>19</v>
      </c>
      <c r="E409" t="s">
        <v>29</v>
      </c>
      <c r="F409" t="s">
        <v>14</v>
      </c>
      <c r="G409">
        <v>171</v>
      </c>
      <c r="H409">
        <v>684.39</v>
      </c>
      <c r="I409">
        <v>0</v>
      </c>
      <c r="J409" t="s">
        <v>15</v>
      </c>
      <c r="K409">
        <v>117030.69</v>
      </c>
      <c r="L409" t="str">
        <f t="shared" si="24"/>
        <v>Nov</v>
      </c>
      <c r="M409">
        <f t="shared" si="25"/>
        <v>2025</v>
      </c>
      <c r="N409">
        <f t="shared" si="26"/>
        <v>117030.69</v>
      </c>
      <c r="O409" t="str">
        <f t="shared" si="27"/>
        <v>On Time</v>
      </c>
    </row>
    <row r="410" spans="1:15" x14ac:dyDescent="0.25">
      <c r="A410">
        <v>409</v>
      </c>
      <c r="B410" s="2">
        <v>45908</v>
      </c>
      <c r="C410" t="s">
        <v>25</v>
      </c>
      <c r="D410" t="s">
        <v>17</v>
      </c>
      <c r="E410" t="s">
        <v>27</v>
      </c>
      <c r="F410" t="s">
        <v>24</v>
      </c>
      <c r="G410">
        <v>73</v>
      </c>
      <c r="H410">
        <v>534.98</v>
      </c>
      <c r="I410">
        <v>1</v>
      </c>
      <c r="J410" t="s">
        <v>15</v>
      </c>
      <c r="K410">
        <v>39053.54</v>
      </c>
      <c r="L410" t="str">
        <f t="shared" si="24"/>
        <v>Sep</v>
      </c>
      <c r="M410">
        <f t="shared" si="25"/>
        <v>2025</v>
      </c>
      <c r="N410">
        <f t="shared" si="26"/>
        <v>39053.54</v>
      </c>
      <c r="O410" t="str">
        <f t="shared" si="27"/>
        <v>Minor Delay</v>
      </c>
    </row>
    <row r="411" spans="1:15" x14ac:dyDescent="0.25">
      <c r="A411">
        <v>410</v>
      </c>
      <c r="B411" s="2">
        <v>45680</v>
      </c>
      <c r="C411" t="s">
        <v>26</v>
      </c>
      <c r="D411" t="s">
        <v>29</v>
      </c>
      <c r="E411" t="s">
        <v>27</v>
      </c>
      <c r="F411" t="s">
        <v>24</v>
      </c>
      <c r="G411">
        <v>169</v>
      </c>
      <c r="H411">
        <v>254.92</v>
      </c>
      <c r="I411">
        <v>35</v>
      </c>
      <c r="J411" t="s">
        <v>30</v>
      </c>
      <c r="K411">
        <v>43081.48</v>
      </c>
      <c r="L411" t="str">
        <f t="shared" si="24"/>
        <v>Jan</v>
      </c>
      <c r="M411">
        <f t="shared" si="25"/>
        <v>2025</v>
      </c>
      <c r="N411">
        <f t="shared" si="26"/>
        <v>43081.479999999996</v>
      </c>
      <c r="O411" t="str">
        <f t="shared" si="27"/>
        <v>Moderate Delay</v>
      </c>
    </row>
    <row r="412" spans="1:15" x14ac:dyDescent="0.25">
      <c r="A412">
        <v>411</v>
      </c>
      <c r="B412" s="2">
        <v>46014</v>
      </c>
      <c r="C412" t="s">
        <v>25</v>
      </c>
      <c r="D412" t="s">
        <v>13</v>
      </c>
      <c r="E412" t="s">
        <v>19</v>
      </c>
      <c r="F412" t="s">
        <v>14</v>
      </c>
      <c r="G412">
        <v>71</v>
      </c>
      <c r="H412">
        <v>554.41999999999996</v>
      </c>
      <c r="I412">
        <v>29</v>
      </c>
      <c r="J412" t="s">
        <v>15</v>
      </c>
      <c r="K412">
        <v>39363.82</v>
      </c>
      <c r="L412" t="str">
        <f t="shared" si="24"/>
        <v>Dec</v>
      </c>
      <c r="M412">
        <f t="shared" si="25"/>
        <v>2025</v>
      </c>
      <c r="N412">
        <f t="shared" si="26"/>
        <v>39363.82</v>
      </c>
      <c r="O412" t="str">
        <f t="shared" si="27"/>
        <v>Minor Delay</v>
      </c>
    </row>
    <row r="413" spans="1:15" x14ac:dyDescent="0.25">
      <c r="A413">
        <v>412</v>
      </c>
      <c r="B413" s="2">
        <v>45856</v>
      </c>
      <c r="C413" t="s">
        <v>31</v>
      </c>
      <c r="D413" t="s">
        <v>19</v>
      </c>
      <c r="E413" t="s">
        <v>13</v>
      </c>
      <c r="F413" t="s">
        <v>24</v>
      </c>
      <c r="G413">
        <v>297</v>
      </c>
      <c r="H413">
        <v>456.28</v>
      </c>
      <c r="I413">
        <v>0</v>
      </c>
      <c r="J413" t="s">
        <v>30</v>
      </c>
      <c r="K413">
        <v>135515.16</v>
      </c>
      <c r="L413" t="str">
        <f t="shared" si="24"/>
        <v>Jul</v>
      </c>
      <c r="M413">
        <f t="shared" si="25"/>
        <v>2025</v>
      </c>
      <c r="N413">
        <f t="shared" si="26"/>
        <v>135515.16</v>
      </c>
      <c r="O413" t="str">
        <f t="shared" si="27"/>
        <v>On Time</v>
      </c>
    </row>
    <row r="414" spans="1:15" x14ac:dyDescent="0.25">
      <c r="A414">
        <v>413</v>
      </c>
      <c r="B414" s="2">
        <v>45901</v>
      </c>
      <c r="C414" t="s">
        <v>26</v>
      </c>
      <c r="D414" t="s">
        <v>20</v>
      </c>
      <c r="E414" t="s">
        <v>19</v>
      </c>
      <c r="F414" t="s">
        <v>14</v>
      </c>
      <c r="G414">
        <v>151</v>
      </c>
      <c r="H414">
        <v>728.06</v>
      </c>
      <c r="I414">
        <v>13</v>
      </c>
      <c r="J414" t="s">
        <v>30</v>
      </c>
      <c r="K414">
        <v>109937.06</v>
      </c>
      <c r="L414" t="str">
        <f t="shared" si="24"/>
        <v>Sep</v>
      </c>
      <c r="M414">
        <f t="shared" si="25"/>
        <v>2025</v>
      </c>
      <c r="N414">
        <f t="shared" si="26"/>
        <v>109937.06</v>
      </c>
      <c r="O414" t="str">
        <f t="shared" si="27"/>
        <v>Minor Delay</v>
      </c>
    </row>
    <row r="415" spans="1:15" x14ac:dyDescent="0.25">
      <c r="A415">
        <v>414</v>
      </c>
      <c r="B415" s="2">
        <v>45887</v>
      </c>
      <c r="C415" t="s">
        <v>11</v>
      </c>
      <c r="D415" t="s">
        <v>29</v>
      </c>
      <c r="E415" t="s">
        <v>12</v>
      </c>
      <c r="F415" t="s">
        <v>14</v>
      </c>
      <c r="G415">
        <v>298</v>
      </c>
      <c r="H415">
        <v>216.8</v>
      </c>
      <c r="I415">
        <v>0</v>
      </c>
      <c r="J415" t="s">
        <v>15</v>
      </c>
      <c r="K415">
        <v>64606.400000000001</v>
      </c>
      <c r="L415" t="str">
        <f t="shared" si="24"/>
        <v>Aug</v>
      </c>
      <c r="M415">
        <f t="shared" si="25"/>
        <v>2025</v>
      </c>
      <c r="N415">
        <f t="shared" si="26"/>
        <v>64606.400000000001</v>
      </c>
      <c r="O415" t="str">
        <f t="shared" si="27"/>
        <v>On Time</v>
      </c>
    </row>
    <row r="416" spans="1:15" x14ac:dyDescent="0.25">
      <c r="A416">
        <v>415</v>
      </c>
      <c r="B416" s="2">
        <v>45698</v>
      </c>
      <c r="C416" t="s">
        <v>25</v>
      </c>
      <c r="D416" t="s">
        <v>13</v>
      </c>
      <c r="E416" t="s">
        <v>20</v>
      </c>
      <c r="F416" t="s">
        <v>24</v>
      </c>
      <c r="G416">
        <v>101</v>
      </c>
      <c r="H416">
        <v>797.98</v>
      </c>
      <c r="I416">
        <v>0</v>
      </c>
      <c r="J416" t="s">
        <v>15</v>
      </c>
      <c r="K416">
        <v>80595.98</v>
      </c>
      <c r="L416" t="str">
        <f t="shared" si="24"/>
        <v>Feb</v>
      </c>
      <c r="M416">
        <f t="shared" si="25"/>
        <v>2025</v>
      </c>
      <c r="N416">
        <f t="shared" si="26"/>
        <v>80595.98</v>
      </c>
      <c r="O416" t="str">
        <f t="shared" si="27"/>
        <v>On Time</v>
      </c>
    </row>
    <row r="417" spans="1:15" x14ac:dyDescent="0.25">
      <c r="A417">
        <v>416</v>
      </c>
      <c r="B417" s="2">
        <v>45856</v>
      </c>
      <c r="C417" t="s">
        <v>31</v>
      </c>
      <c r="D417" t="s">
        <v>12</v>
      </c>
      <c r="E417" t="s">
        <v>29</v>
      </c>
      <c r="F417" t="s">
        <v>24</v>
      </c>
      <c r="G417">
        <v>191</v>
      </c>
      <c r="H417">
        <v>301.33</v>
      </c>
      <c r="I417">
        <v>0</v>
      </c>
      <c r="J417" t="s">
        <v>15</v>
      </c>
      <c r="K417">
        <v>57554.03</v>
      </c>
      <c r="L417" t="str">
        <f t="shared" si="24"/>
        <v>Jul</v>
      </c>
      <c r="M417">
        <f t="shared" si="25"/>
        <v>2025</v>
      </c>
      <c r="N417">
        <f t="shared" si="26"/>
        <v>57554.03</v>
      </c>
      <c r="O417" t="str">
        <f t="shared" si="27"/>
        <v>On Time</v>
      </c>
    </row>
    <row r="418" spans="1:15" x14ac:dyDescent="0.25">
      <c r="A418">
        <v>417</v>
      </c>
      <c r="B418" s="2">
        <v>46016</v>
      </c>
      <c r="C418" t="s">
        <v>31</v>
      </c>
      <c r="D418" t="s">
        <v>20</v>
      </c>
      <c r="E418" t="s">
        <v>13</v>
      </c>
      <c r="F418" t="s">
        <v>21</v>
      </c>
      <c r="G418">
        <v>183</v>
      </c>
      <c r="H418">
        <v>638.45000000000005</v>
      </c>
      <c r="I418">
        <v>30</v>
      </c>
      <c r="J418" t="s">
        <v>15</v>
      </c>
      <c r="K418">
        <v>116836.35</v>
      </c>
      <c r="L418" t="str">
        <f t="shared" si="24"/>
        <v>Dec</v>
      </c>
      <c r="M418">
        <f t="shared" si="25"/>
        <v>2025</v>
      </c>
      <c r="N418">
        <f t="shared" si="26"/>
        <v>116836.35</v>
      </c>
      <c r="O418" t="str">
        <f t="shared" si="27"/>
        <v>Minor Delay</v>
      </c>
    </row>
    <row r="419" spans="1:15" x14ac:dyDescent="0.25">
      <c r="A419">
        <v>418</v>
      </c>
      <c r="B419" s="2">
        <v>45946</v>
      </c>
      <c r="C419" t="s">
        <v>16</v>
      </c>
      <c r="D419" t="s">
        <v>12</v>
      </c>
      <c r="E419" t="s">
        <v>29</v>
      </c>
      <c r="F419" t="s">
        <v>24</v>
      </c>
      <c r="G419">
        <v>272</v>
      </c>
      <c r="H419">
        <v>456.37</v>
      </c>
      <c r="I419">
        <v>29</v>
      </c>
      <c r="J419" t="s">
        <v>15</v>
      </c>
      <c r="K419">
        <v>124132.64</v>
      </c>
      <c r="L419" t="str">
        <f t="shared" si="24"/>
        <v>Oct</v>
      </c>
      <c r="M419">
        <f t="shared" si="25"/>
        <v>2025</v>
      </c>
      <c r="N419">
        <f t="shared" si="26"/>
        <v>124132.64</v>
      </c>
      <c r="O419" t="str">
        <f t="shared" si="27"/>
        <v>Minor Delay</v>
      </c>
    </row>
    <row r="420" spans="1:15" x14ac:dyDescent="0.25">
      <c r="A420">
        <v>419</v>
      </c>
      <c r="B420" s="2">
        <v>45854</v>
      </c>
      <c r="C420" t="s">
        <v>25</v>
      </c>
      <c r="D420" t="s">
        <v>17</v>
      </c>
      <c r="E420" t="s">
        <v>23</v>
      </c>
      <c r="F420" t="s">
        <v>24</v>
      </c>
      <c r="G420">
        <v>196</v>
      </c>
      <c r="H420">
        <v>510.63</v>
      </c>
      <c r="I420">
        <v>39</v>
      </c>
      <c r="J420" t="s">
        <v>15</v>
      </c>
      <c r="K420">
        <v>100083.48</v>
      </c>
      <c r="L420" t="str">
        <f t="shared" si="24"/>
        <v>Jul</v>
      </c>
      <c r="M420">
        <f t="shared" si="25"/>
        <v>2025</v>
      </c>
      <c r="N420">
        <f t="shared" si="26"/>
        <v>100083.48</v>
      </c>
      <c r="O420" t="str">
        <f t="shared" si="27"/>
        <v>Moderate Delay</v>
      </c>
    </row>
    <row r="421" spans="1:15" x14ac:dyDescent="0.25">
      <c r="A421">
        <v>420</v>
      </c>
      <c r="B421" s="2">
        <v>45860</v>
      </c>
      <c r="C421" t="s">
        <v>26</v>
      </c>
      <c r="D421" t="s">
        <v>17</v>
      </c>
      <c r="E421" t="s">
        <v>13</v>
      </c>
      <c r="F421" t="s">
        <v>21</v>
      </c>
      <c r="G421">
        <v>110</v>
      </c>
      <c r="H421">
        <v>96.48</v>
      </c>
      <c r="I421">
        <v>24</v>
      </c>
      <c r="J421" t="s">
        <v>15</v>
      </c>
      <c r="K421">
        <v>10612.8</v>
      </c>
      <c r="L421" t="str">
        <f t="shared" si="24"/>
        <v>Jul</v>
      </c>
      <c r="M421">
        <f t="shared" si="25"/>
        <v>2025</v>
      </c>
      <c r="N421">
        <f t="shared" si="26"/>
        <v>10612.800000000001</v>
      </c>
      <c r="O421" t="str">
        <f t="shared" si="27"/>
        <v>Minor Delay</v>
      </c>
    </row>
    <row r="422" spans="1:15" x14ac:dyDescent="0.25">
      <c r="A422">
        <v>421</v>
      </c>
      <c r="B422" s="2">
        <v>45668</v>
      </c>
      <c r="C422" t="s">
        <v>26</v>
      </c>
      <c r="D422" t="s">
        <v>23</v>
      </c>
      <c r="E422" t="s">
        <v>17</v>
      </c>
      <c r="F422" t="s">
        <v>24</v>
      </c>
      <c r="G422">
        <v>129</v>
      </c>
      <c r="H422">
        <v>267.45999999999998</v>
      </c>
      <c r="I422">
        <v>0</v>
      </c>
      <c r="J422" t="s">
        <v>15</v>
      </c>
      <c r="K422">
        <v>34502.339999999997</v>
      </c>
      <c r="L422" t="str">
        <f t="shared" si="24"/>
        <v>Jan</v>
      </c>
      <c r="M422">
        <f t="shared" si="25"/>
        <v>2025</v>
      </c>
      <c r="N422">
        <f t="shared" si="26"/>
        <v>34502.339999999997</v>
      </c>
      <c r="O422" t="str">
        <f t="shared" si="27"/>
        <v>On Time</v>
      </c>
    </row>
    <row r="423" spans="1:15" x14ac:dyDescent="0.25">
      <c r="A423">
        <v>422</v>
      </c>
      <c r="B423" s="2">
        <v>45811</v>
      </c>
      <c r="C423" t="s">
        <v>25</v>
      </c>
      <c r="D423" t="s">
        <v>19</v>
      </c>
      <c r="E423" t="s">
        <v>29</v>
      </c>
      <c r="F423" t="s">
        <v>24</v>
      </c>
      <c r="G423">
        <v>248</v>
      </c>
      <c r="H423">
        <v>671.11</v>
      </c>
      <c r="I423">
        <v>22</v>
      </c>
      <c r="J423" t="s">
        <v>15</v>
      </c>
      <c r="K423">
        <v>166435.28</v>
      </c>
      <c r="L423" t="str">
        <f t="shared" si="24"/>
        <v>Jun</v>
      </c>
      <c r="M423">
        <f t="shared" si="25"/>
        <v>2025</v>
      </c>
      <c r="N423">
        <f t="shared" si="26"/>
        <v>166435.28</v>
      </c>
      <c r="O423" t="str">
        <f t="shared" si="27"/>
        <v>Minor Delay</v>
      </c>
    </row>
    <row r="424" spans="1:15" x14ac:dyDescent="0.25">
      <c r="A424">
        <v>423</v>
      </c>
      <c r="B424" s="2">
        <v>45754</v>
      </c>
      <c r="C424" t="s">
        <v>18</v>
      </c>
      <c r="D424" t="s">
        <v>17</v>
      </c>
      <c r="E424" t="s">
        <v>12</v>
      </c>
      <c r="F424" t="s">
        <v>14</v>
      </c>
      <c r="G424">
        <v>283</v>
      </c>
      <c r="H424">
        <v>669.74</v>
      </c>
      <c r="I424">
        <v>17</v>
      </c>
      <c r="J424" t="s">
        <v>30</v>
      </c>
      <c r="K424">
        <v>189536.42</v>
      </c>
      <c r="L424" t="str">
        <f t="shared" si="24"/>
        <v>Apr</v>
      </c>
      <c r="M424">
        <f t="shared" si="25"/>
        <v>2025</v>
      </c>
      <c r="N424">
        <f t="shared" si="26"/>
        <v>189536.42</v>
      </c>
      <c r="O424" t="str">
        <f t="shared" si="27"/>
        <v>Minor Delay</v>
      </c>
    </row>
    <row r="425" spans="1:15" x14ac:dyDescent="0.25">
      <c r="A425">
        <v>424</v>
      </c>
      <c r="B425" s="2">
        <v>45691</v>
      </c>
      <c r="C425" t="s">
        <v>26</v>
      </c>
      <c r="D425" t="s">
        <v>13</v>
      </c>
      <c r="E425" t="s">
        <v>19</v>
      </c>
      <c r="F425" t="s">
        <v>21</v>
      </c>
      <c r="G425">
        <v>179</v>
      </c>
      <c r="H425">
        <v>358.51</v>
      </c>
      <c r="I425">
        <v>0</v>
      </c>
      <c r="J425" t="s">
        <v>15</v>
      </c>
      <c r="K425">
        <v>64173.29</v>
      </c>
      <c r="L425" t="str">
        <f t="shared" si="24"/>
        <v>Feb</v>
      </c>
      <c r="M425">
        <f t="shared" si="25"/>
        <v>2025</v>
      </c>
      <c r="N425">
        <f t="shared" si="26"/>
        <v>64173.29</v>
      </c>
      <c r="O425" t="str">
        <f t="shared" si="27"/>
        <v>On Time</v>
      </c>
    </row>
    <row r="426" spans="1:15" x14ac:dyDescent="0.25">
      <c r="A426">
        <v>425</v>
      </c>
      <c r="B426" s="2">
        <v>45746</v>
      </c>
      <c r="C426" t="s">
        <v>11</v>
      </c>
      <c r="D426" t="s">
        <v>27</v>
      </c>
      <c r="E426" t="s">
        <v>13</v>
      </c>
      <c r="F426" t="s">
        <v>14</v>
      </c>
      <c r="G426">
        <v>264</v>
      </c>
      <c r="H426">
        <v>102.64</v>
      </c>
      <c r="I426">
        <v>27</v>
      </c>
      <c r="J426" t="s">
        <v>15</v>
      </c>
      <c r="K426">
        <v>27096.959999999999</v>
      </c>
      <c r="L426" t="str">
        <f t="shared" si="24"/>
        <v>Mar</v>
      </c>
      <c r="M426">
        <f t="shared" si="25"/>
        <v>2025</v>
      </c>
      <c r="N426">
        <f t="shared" si="26"/>
        <v>27096.959999999999</v>
      </c>
      <c r="O426" t="str">
        <f t="shared" si="27"/>
        <v>Minor Delay</v>
      </c>
    </row>
    <row r="427" spans="1:15" x14ac:dyDescent="0.25">
      <c r="A427">
        <v>426</v>
      </c>
      <c r="B427" s="2">
        <v>45846</v>
      </c>
      <c r="C427" t="s">
        <v>18</v>
      </c>
      <c r="D427" t="s">
        <v>19</v>
      </c>
      <c r="E427" t="s">
        <v>22</v>
      </c>
      <c r="F427" t="s">
        <v>21</v>
      </c>
      <c r="G427">
        <v>151</v>
      </c>
      <c r="H427">
        <v>530.20000000000005</v>
      </c>
      <c r="I427">
        <v>21</v>
      </c>
      <c r="J427" t="s">
        <v>15</v>
      </c>
      <c r="K427">
        <v>80060.2</v>
      </c>
      <c r="L427" t="str">
        <f t="shared" si="24"/>
        <v>Jul</v>
      </c>
      <c r="M427">
        <f t="shared" si="25"/>
        <v>2025</v>
      </c>
      <c r="N427">
        <f t="shared" si="26"/>
        <v>80060.200000000012</v>
      </c>
      <c r="O427" t="str">
        <f t="shared" si="27"/>
        <v>Minor Delay</v>
      </c>
    </row>
    <row r="428" spans="1:15" x14ac:dyDescent="0.25">
      <c r="A428">
        <v>427</v>
      </c>
      <c r="B428" s="2">
        <v>45848</v>
      </c>
      <c r="C428" t="s">
        <v>18</v>
      </c>
      <c r="D428" t="s">
        <v>13</v>
      </c>
      <c r="E428" t="s">
        <v>23</v>
      </c>
      <c r="F428" t="s">
        <v>21</v>
      </c>
      <c r="G428">
        <v>164</v>
      </c>
      <c r="H428">
        <v>191.41</v>
      </c>
      <c r="I428">
        <v>42</v>
      </c>
      <c r="J428" t="s">
        <v>15</v>
      </c>
      <c r="K428">
        <v>31391.24</v>
      </c>
      <c r="L428" t="str">
        <f t="shared" si="24"/>
        <v>Jul</v>
      </c>
      <c r="M428">
        <f t="shared" si="25"/>
        <v>2025</v>
      </c>
      <c r="N428">
        <f t="shared" si="26"/>
        <v>31391.239999999998</v>
      </c>
      <c r="O428" t="str">
        <f t="shared" si="27"/>
        <v>Moderate Delay</v>
      </c>
    </row>
    <row r="429" spans="1:15" x14ac:dyDescent="0.25">
      <c r="A429">
        <v>428</v>
      </c>
      <c r="B429" s="2">
        <v>46010</v>
      </c>
      <c r="C429" t="s">
        <v>16</v>
      </c>
      <c r="D429" t="s">
        <v>29</v>
      </c>
      <c r="E429" t="s">
        <v>22</v>
      </c>
      <c r="F429" t="s">
        <v>24</v>
      </c>
      <c r="G429">
        <v>57</v>
      </c>
      <c r="H429">
        <v>346.06</v>
      </c>
      <c r="I429">
        <v>0</v>
      </c>
      <c r="J429" t="s">
        <v>15</v>
      </c>
      <c r="K429">
        <v>19725.419999999998</v>
      </c>
      <c r="L429" t="str">
        <f t="shared" si="24"/>
        <v>Dec</v>
      </c>
      <c r="M429">
        <f t="shared" si="25"/>
        <v>2025</v>
      </c>
      <c r="N429">
        <f t="shared" si="26"/>
        <v>19725.420000000002</v>
      </c>
      <c r="O429" t="str">
        <f t="shared" si="27"/>
        <v>On Time</v>
      </c>
    </row>
    <row r="430" spans="1:15" x14ac:dyDescent="0.25">
      <c r="A430">
        <v>429</v>
      </c>
      <c r="B430" s="2">
        <v>45989</v>
      </c>
      <c r="C430" t="s">
        <v>11</v>
      </c>
      <c r="D430" t="s">
        <v>19</v>
      </c>
      <c r="E430" t="s">
        <v>23</v>
      </c>
      <c r="F430" t="s">
        <v>21</v>
      </c>
      <c r="G430">
        <v>102</v>
      </c>
      <c r="H430">
        <v>259.12</v>
      </c>
      <c r="I430">
        <v>15</v>
      </c>
      <c r="J430" t="s">
        <v>15</v>
      </c>
      <c r="K430">
        <v>26430.240000000002</v>
      </c>
      <c r="L430" t="str">
        <f t="shared" si="24"/>
        <v>Nov</v>
      </c>
      <c r="M430">
        <f t="shared" si="25"/>
        <v>2025</v>
      </c>
      <c r="N430">
        <f t="shared" si="26"/>
        <v>26430.240000000002</v>
      </c>
      <c r="O430" t="str">
        <f t="shared" si="27"/>
        <v>Minor Delay</v>
      </c>
    </row>
    <row r="431" spans="1:15" x14ac:dyDescent="0.25">
      <c r="A431">
        <v>430</v>
      </c>
      <c r="B431" s="2">
        <v>45725</v>
      </c>
      <c r="C431" t="s">
        <v>25</v>
      </c>
      <c r="D431" t="s">
        <v>13</v>
      </c>
      <c r="E431" t="s">
        <v>27</v>
      </c>
      <c r="F431" t="s">
        <v>14</v>
      </c>
      <c r="G431">
        <v>203</v>
      </c>
      <c r="H431">
        <v>652.64</v>
      </c>
      <c r="I431">
        <v>22</v>
      </c>
      <c r="J431" t="s">
        <v>15</v>
      </c>
      <c r="K431">
        <v>132485.92000000001</v>
      </c>
      <c r="L431" t="str">
        <f t="shared" si="24"/>
        <v>Mar</v>
      </c>
      <c r="M431">
        <f t="shared" si="25"/>
        <v>2025</v>
      </c>
      <c r="N431">
        <f t="shared" si="26"/>
        <v>132485.91999999998</v>
      </c>
      <c r="O431" t="str">
        <f t="shared" si="27"/>
        <v>Minor Delay</v>
      </c>
    </row>
    <row r="432" spans="1:15" x14ac:dyDescent="0.25">
      <c r="A432">
        <v>431</v>
      </c>
      <c r="B432" s="2">
        <v>45874</v>
      </c>
      <c r="C432" t="s">
        <v>18</v>
      </c>
      <c r="D432" t="s">
        <v>23</v>
      </c>
      <c r="E432" t="s">
        <v>22</v>
      </c>
      <c r="F432" t="s">
        <v>24</v>
      </c>
      <c r="G432">
        <v>167</v>
      </c>
      <c r="H432">
        <v>246.48</v>
      </c>
      <c r="I432">
        <v>0</v>
      </c>
      <c r="J432" t="s">
        <v>30</v>
      </c>
      <c r="K432">
        <v>41162.160000000003</v>
      </c>
      <c r="L432" t="str">
        <f t="shared" si="24"/>
        <v>Aug</v>
      </c>
      <c r="M432">
        <f t="shared" si="25"/>
        <v>2025</v>
      </c>
      <c r="N432">
        <f t="shared" si="26"/>
        <v>41162.159999999996</v>
      </c>
      <c r="O432" t="str">
        <f t="shared" si="27"/>
        <v>On Time</v>
      </c>
    </row>
    <row r="433" spans="1:15" x14ac:dyDescent="0.25">
      <c r="A433">
        <v>432</v>
      </c>
      <c r="B433" s="2">
        <v>45661</v>
      </c>
      <c r="C433" t="s">
        <v>31</v>
      </c>
      <c r="D433" t="s">
        <v>17</v>
      </c>
      <c r="E433" t="s">
        <v>12</v>
      </c>
      <c r="F433" t="s">
        <v>21</v>
      </c>
      <c r="G433">
        <v>297</v>
      </c>
      <c r="H433">
        <v>684.03</v>
      </c>
      <c r="I433">
        <v>27</v>
      </c>
      <c r="J433" t="s">
        <v>15</v>
      </c>
      <c r="K433">
        <v>203156.91</v>
      </c>
      <c r="L433" t="str">
        <f t="shared" si="24"/>
        <v>Jan</v>
      </c>
      <c r="M433">
        <f t="shared" si="25"/>
        <v>2025</v>
      </c>
      <c r="N433">
        <f t="shared" si="26"/>
        <v>203156.91</v>
      </c>
      <c r="O433" t="str">
        <f t="shared" si="27"/>
        <v>Minor Delay</v>
      </c>
    </row>
    <row r="434" spans="1:15" x14ac:dyDescent="0.25">
      <c r="A434">
        <v>433</v>
      </c>
      <c r="B434" s="2">
        <v>46008</v>
      </c>
      <c r="C434" t="s">
        <v>16</v>
      </c>
      <c r="D434" t="s">
        <v>23</v>
      </c>
      <c r="E434" t="s">
        <v>22</v>
      </c>
      <c r="F434" t="s">
        <v>24</v>
      </c>
      <c r="G434">
        <v>66</v>
      </c>
      <c r="H434">
        <v>308.85000000000002</v>
      </c>
      <c r="I434">
        <v>16</v>
      </c>
      <c r="J434" t="s">
        <v>15</v>
      </c>
      <c r="K434">
        <v>20384.099999999999</v>
      </c>
      <c r="L434" t="str">
        <f t="shared" si="24"/>
        <v>Dec</v>
      </c>
      <c r="M434">
        <f t="shared" si="25"/>
        <v>2025</v>
      </c>
      <c r="N434">
        <f t="shared" si="26"/>
        <v>20384.100000000002</v>
      </c>
      <c r="O434" t="str">
        <f t="shared" si="27"/>
        <v>Minor Delay</v>
      </c>
    </row>
    <row r="435" spans="1:15" x14ac:dyDescent="0.25">
      <c r="A435">
        <v>434</v>
      </c>
      <c r="B435" s="2">
        <v>45734</v>
      </c>
      <c r="C435" t="s">
        <v>31</v>
      </c>
      <c r="D435" t="s">
        <v>23</v>
      </c>
      <c r="E435" t="s">
        <v>19</v>
      </c>
      <c r="F435" t="s">
        <v>14</v>
      </c>
      <c r="G435">
        <v>280</v>
      </c>
      <c r="H435">
        <v>102.01</v>
      </c>
      <c r="I435">
        <v>41</v>
      </c>
      <c r="J435" t="s">
        <v>30</v>
      </c>
      <c r="K435">
        <v>28562.799999999999</v>
      </c>
      <c r="L435" t="str">
        <f t="shared" si="24"/>
        <v>Mar</v>
      </c>
      <c r="M435">
        <f t="shared" si="25"/>
        <v>2025</v>
      </c>
      <c r="N435">
        <f t="shared" si="26"/>
        <v>28562.800000000003</v>
      </c>
      <c r="O435" t="str">
        <f t="shared" si="27"/>
        <v>Moderate Delay</v>
      </c>
    </row>
    <row r="436" spans="1:15" x14ac:dyDescent="0.25">
      <c r="A436">
        <v>435</v>
      </c>
      <c r="B436" s="2">
        <v>46006</v>
      </c>
      <c r="C436" t="s">
        <v>11</v>
      </c>
      <c r="D436" t="s">
        <v>17</v>
      </c>
      <c r="E436" t="s">
        <v>22</v>
      </c>
      <c r="F436" t="s">
        <v>21</v>
      </c>
      <c r="G436">
        <v>56</v>
      </c>
      <c r="H436">
        <v>545</v>
      </c>
      <c r="I436">
        <v>39</v>
      </c>
      <c r="J436" t="s">
        <v>15</v>
      </c>
      <c r="K436">
        <v>30520</v>
      </c>
      <c r="L436" t="str">
        <f t="shared" si="24"/>
        <v>Dec</v>
      </c>
      <c r="M436">
        <f t="shared" si="25"/>
        <v>2025</v>
      </c>
      <c r="N436">
        <f t="shared" si="26"/>
        <v>30520</v>
      </c>
      <c r="O436" t="str">
        <f t="shared" si="27"/>
        <v>Moderate Delay</v>
      </c>
    </row>
    <row r="437" spans="1:15" x14ac:dyDescent="0.25">
      <c r="A437">
        <v>436</v>
      </c>
      <c r="B437" s="2">
        <v>45956</v>
      </c>
      <c r="C437" t="s">
        <v>25</v>
      </c>
      <c r="D437" t="s">
        <v>17</v>
      </c>
      <c r="E437" t="s">
        <v>13</v>
      </c>
      <c r="F437" t="s">
        <v>21</v>
      </c>
      <c r="G437">
        <v>258</v>
      </c>
      <c r="H437">
        <v>200.54</v>
      </c>
      <c r="I437">
        <v>19</v>
      </c>
      <c r="J437" t="s">
        <v>15</v>
      </c>
      <c r="K437">
        <v>51739.32</v>
      </c>
      <c r="L437" t="str">
        <f t="shared" si="24"/>
        <v>Oct</v>
      </c>
      <c r="M437">
        <f t="shared" si="25"/>
        <v>2025</v>
      </c>
      <c r="N437">
        <f t="shared" si="26"/>
        <v>51739.32</v>
      </c>
      <c r="O437" t="str">
        <f t="shared" si="27"/>
        <v>Minor Delay</v>
      </c>
    </row>
    <row r="438" spans="1:15" x14ac:dyDescent="0.25">
      <c r="A438">
        <v>437</v>
      </c>
      <c r="B438" s="2">
        <v>46001</v>
      </c>
      <c r="C438" t="s">
        <v>26</v>
      </c>
      <c r="D438" t="s">
        <v>19</v>
      </c>
      <c r="E438" t="s">
        <v>27</v>
      </c>
      <c r="F438" t="s">
        <v>21</v>
      </c>
      <c r="G438">
        <v>126</v>
      </c>
      <c r="H438">
        <v>685.61</v>
      </c>
      <c r="I438">
        <v>47</v>
      </c>
      <c r="J438" t="s">
        <v>15</v>
      </c>
      <c r="K438">
        <v>86386.86</v>
      </c>
      <c r="L438" t="str">
        <f t="shared" si="24"/>
        <v>Dec</v>
      </c>
      <c r="M438">
        <f t="shared" si="25"/>
        <v>2025</v>
      </c>
      <c r="N438">
        <f t="shared" si="26"/>
        <v>86386.86</v>
      </c>
      <c r="O438" t="str">
        <f t="shared" si="27"/>
        <v>Moderate Delay</v>
      </c>
    </row>
    <row r="439" spans="1:15" x14ac:dyDescent="0.25">
      <c r="A439">
        <v>438</v>
      </c>
      <c r="B439" s="2">
        <v>45723</v>
      </c>
      <c r="C439" t="s">
        <v>25</v>
      </c>
      <c r="D439" t="s">
        <v>12</v>
      </c>
      <c r="E439" t="s">
        <v>27</v>
      </c>
      <c r="F439" t="s">
        <v>24</v>
      </c>
      <c r="G439">
        <v>235</v>
      </c>
      <c r="H439">
        <v>658.17</v>
      </c>
      <c r="I439">
        <v>0</v>
      </c>
      <c r="J439" t="s">
        <v>15</v>
      </c>
      <c r="K439">
        <v>154669.95000000001</v>
      </c>
      <c r="L439" t="str">
        <f t="shared" si="24"/>
        <v>Mar</v>
      </c>
      <c r="M439">
        <f t="shared" si="25"/>
        <v>2025</v>
      </c>
      <c r="N439">
        <f t="shared" si="26"/>
        <v>154669.94999999998</v>
      </c>
      <c r="O439" t="str">
        <f t="shared" si="27"/>
        <v>On Time</v>
      </c>
    </row>
    <row r="440" spans="1:15" x14ac:dyDescent="0.25">
      <c r="A440">
        <v>439</v>
      </c>
      <c r="B440" s="2">
        <v>45993</v>
      </c>
      <c r="C440" t="s">
        <v>16</v>
      </c>
      <c r="D440" t="s">
        <v>29</v>
      </c>
      <c r="E440" t="s">
        <v>17</v>
      </c>
      <c r="F440" t="s">
        <v>14</v>
      </c>
      <c r="G440">
        <v>140</v>
      </c>
      <c r="H440">
        <v>225.26</v>
      </c>
      <c r="I440">
        <v>38</v>
      </c>
      <c r="J440" t="s">
        <v>30</v>
      </c>
      <c r="K440">
        <v>31536.400000000001</v>
      </c>
      <c r="L440" t="str">
        <f t="shared" si="24"/>
        <v>Dec</v>
      </c>
      <c r="M440">
        <f t="shared" si="25"/>
        <v>2025</v>
      </c>
      <c r="N440">
        <f t="shared" si="26"/>
        <v>31536.399999999998</v>
      </c>
      <c r="O440" t="str">
        <f t="shared" si="27"/>
        <v>Moderate Delay</v>
      </c>
    </row>
    <row r="441" spans="1:15" x14ac:dyDescent="0.25">
      <c r="A441">
        <v>440</v>
      </c>
      <c r="B441" s="2">
        <v>45957</v>
      </c>
      <c r="C441" t="s">
        <v>26</v>
      </c>
      <c r="D441" t="s">
        <v>22</v>
      </c>
      <c r="E441" t="s">
        <v>23</v>
      </c>
      <c r="F441" t="s">
        <v>24</v>
      </c>
      <c r="G441">
        <v>267</v>
      </c>
      <c r="H441">
        <v>147.16</v>
      </c>
      <c r="I441">
        <v>1</v>
      </c>
      <c r="J441" t="s">
        <v>15</v>
      </c>
      <c r="K441">
        <v>39291.72</v>
      </c>
      <c r="L441" t="str">
        <f t="shared" si="24"/>
        <v>Oct</v>
      </c>
      <c r="M441">
        <f t="shared" si="25"/>
        <v>2025</v>
      </c>
      <c r="N441">
        <f t="shared" si="26"/>
        <v>39291.72</v>
      </c>
      <c r="O441" t="str">
        <f t="shared" si="27"/>
        <v>Minor Delay</v>
      </c>
    </row>
    <row r="442" spans="1:15" x14ac:dyDescent="0.25">
      <c r="A442">
        <v>441</v>
      </c>
      <c r="B442" s="2">
        <v>45757</v>
      </c>
      <c r="C442" t="s">
        <v>31</v>
      </c>
      <c r="D442" t="s">
        <v>12</v>
      </c>
      <c r="E442" t="s">
        <v>27</v>
      </c>
      <c r="F442" t="s">
        <v>14</v>
      </c>
      <c r="G442">
        <v>272</v>
      </c>
      <c r="H442">
        <v>563.72</v>
      </c>
      <c r="I442">
        <v>0</v>
      </c>
      <c r="J442" t="s">
        <v>30</v>
      </c>
      <c r="K442">
        <v>153331.84</v>
      </c>
      <c r="L442" t="str">
        <f t="shared" si="24"/>
        <v>Apr</v>
      </c>
      <c r="M442">
        <f t="shared" si="25"/>
        <v>2025</v>
      </c>
      <c r="N442">
        <f t="shared" si="26"/>
        <v>153331.84</v>
      </c>
      <c r="O442" t="str">
        <f t="shared" si="27"/>
        <v>On Time</v>
      </c>
    </row>
    <row r="443" spans="1:15" x14ac:dyDescent="0.25">
      <c r="A443">
        <v>442</v>
      </c>
      <c r="B443" s="2">
        <v>45760</v>
      </c>
      <c r="C443" t="s">
        <v>26</v>
      </c>
      <c r="D443" t="s">
        <v>29</v>
      </c>
      <c r="E443" t="s">
        <v>19</v>
      </c>
      <c r="F443" t="s">
        <v>24</v>
      </c>
      <c r="G443">
        <v>195</v>
      </c>
      <c r="H443">
        <v>720.71</v>
      </c>
      <c r="I443">
        <v>15</v>
      </c>
      <c r="J443" t="s">
        <v>28</v>
      </c>
      <c r="K443">
        <v>140538.45000000001</v>
      </c>
      <c r="L443" t="str">
        <f t="shared" si="24"/>
        <v>Apr</v>
      </c>
      <c r="M443">
        <f t="shared" si="25"/>
        <v>2025</v>
      </c>
      <c r="N443">
        <f t="shared" si="26"/>
        <v>140538.45000000001</v>
      </c>
      <c r="O443" t="str">
        <f t="shared" si="27"/>
        <v>Minor Delay</v>
      </c>
    </row>
    <row r="444" spans="1:15" x14ac:dyDescent="0.25">
      <c r="A444">
        <v>443</v>
      </c>
      <c r="B444" s="2">
        <v>45750</v>
      </c>
      <c r="C444" t="s">
        <v>16</v>
      </c>
      <c r="D444" t="s">
        <v>29</v>
      </c>
      <c r="E444" t="s">
        <v>17</v>
      </c>
      <c r="F444" t="s">
        <v>24</v>
      </c>
      <c r="G444">
        <v>135</v>
      </c>
      <c r="H444">
        <v>526.96</v>
      </c>
      <c r="I444">
        <v>35</v>
      </c>
      <c r="J444" t="s">
        <v>15</v>
      </c>
      <c r="K444">
        <v>71139.600000000006</v>
      </c>
      <c r="L444" t="str">
        <f t="shared" si="24"/>
        <v>Apr</v>
      </c>
      <c r="M444">
        <f t="shared" si="25"/>
        <v>2025</v>
      </c>
      <c r="N444">
        <f t="shared" si="26"/>
        <v>71139.600000000006</v>
      </c>
      <c r="O444" t="str">
        <f t="shared" si="27"/>
        <v>Moderate Delay</v>
      </c>
    </row>
    <row r="445" spans="1:15" x14ac:dyDescent="0.25">
      <c r="A445">
        <v>444</v>
      </c>
      <c r="B445" s="2">
        <v>45744</v>
      </c>
      <c r="C445" t="s">
        <v>31</v>
      </c>
      <c r="D445" t="s">
        <v>23</v>
      </c>
      <c r="E445" t="s">
        <v>19</v>
      </c>
      <c r="F445" t="s">
        <v>14</v>
      </c>
      <c r="G445">
        <v>175</v>
      </c>
      <c r="H445">
        <v>641.05999999999995</v>
      </c>
      <c r="I445">
        <v>51</v>
      </c>
      <c r="J445" t="s">
        <v>15</v>
      </c>
      <c r="K445">
        <v>112185.5</v>
      </c>
      <c r="L445" t="str">
        <f t="shared" si="24"/>
        <v>Mar</v>
      </c>
      <c r="M445">
        <f t="shared" si="25"/>
        <v>2025</v>
      </c>
      <c r="N445">
        <f t="shared" si="26"/>
        <v>112185.49999999999</v>
      </c>
      <c r="O445" t="str">
        <f t="shared" si="27"/>
        <v>Moderate Delay</v>
      </c>
    </row>
    <row r="446" spans="1:15" x14ac:dyDescent="0.25">
      <c r="A446">
        <v>445</v>
      </c>
      <c r="B446" s="2">
        <v>45982</v>
      </c>
      <c r="C446" t="s">
        <v>18</v>
      </c>
      <c r="D446" t="s">
        <v>29</v>
      </c>
      <c r="E446" t="s">
        <v>20</v>
      </c>
      <c r="F446" t="s">
        <v>24</v>
      </c>
      <c r="G446">
        <v>159</v>
      </c>
      <c r="H446">
        <v>774.34</v>
      </c>
      <c r="I446">
        <v>14</v>
      </c>
      <c r="J446" t="s">
        <v>15</v>
      </c>
      <c r="K446">
        <v>123120.06</v>
      </c>
      <c r="L446" t="str">
        <f t="shared" si="24"/>
        <v>Nov</v>
      </c>
      <c r="M446">
        <f t="shared" si="25"/>
        <v>2025</v>
      </c>
      <c r="N446">
        <f t="shared" si="26"/>
        <v>123120.06000000001</v>
      </c>
      <c r="O446" t="str">
        <f t="shared" si="27"/>
        <v>Minor Delay</v>
      </c>
    </row>
    <row r="447" spans="1:15" x14ac:dyDescent="0.25">
      <c r="A447">
        <v>446</v>
      </c>
      <c r="B447" s="2">
        <v>45822</v>
      </c>
      <c r="C447" t="s">
        <v>31</v>
      </c>
      <c r="D447" t="s">
        <v>22</v>
      </c>
      <c r="E447" t="s">
        <v>13</v>
      </c>
      <c r="F447" t="s">
        <v>14</v>
      </c>
      <c r="G447">
        <v>54</v>
      </c>
      <c r="H447">
        <v>560.79</v>
      </c>
      <c r="I447">
        <v>24</v>
      </c>
      <c r="J447" t="s">
        <v>15</v>
      </c>
      <c r="K447">
        <v>30282.66</v>
      </c>
      <c r="L447" t="str">
        <f t="shared" si="24"/>
        <v>Jun</v>
      </c>
      <c r="M447">
        <f t="shared" si="25"/>
        <v>2025</v>
      </c>
      <c r="N447">
        <f t="shared" si="26"/>
        <v>30282.659999999996</v>
      </c>
      <c r="O447" t="str">
        <f t="shared" si="27"/>
        <v>Minor Delay</v>
      </c>
    </row>
    <row r="448" spans="1:15" x14ac:dyDescent="0.25">
      <c r="A448">
        <v>447</v>
      </c>
      <c r="B448" s="2">
        <v>46013</v>
      </c>
      <c r="C448" t="s">
        <v>26</v>
      </c>
      <c r="D448" t="s">
        <v>19</v>
      </c>
      <c r="E448" t="s">
        <v>23</v>
      </c>
      <c r="F448" t="s">
        <v>24</v>
      </c>
      <c r="G448">
        <v>83</v>
      </c>
      <c r="H448">
        <v>136</v>
      </c>
      <c r="I448">
        <v>0</v>
      </c>
      <c r="J448" t="s">
        <v>15</v>
      </c>
      <c r="K448">
        <v>11288</v>
      </c>
      <c r="L448" t="str">
        <f t="shared" si="24"/>
        <v>Dec</v>
      </c>
      <c r="M448">
        <f t="shared" si="25"/>
        <v>2025</v>
      </c>
      <c r="N448">
        <f t="shared" si="26"/>
        <v>11288</v>
      </c>
      <c r="O448" t="str">
        <f t="shared" si="27"/>
        <v>On Time</v>
      </c>
    </row>
    <row r="449" spans="1:15" x14ac:dyDescent="0.25">
      <c r="A449">
        <v>448</v>
      </c>
      <c r="B449" s="2">
        <v>45806</v>
      </c>
      <c r="C449" t="s">
        <v>18</v>
      </c>
      <c r="D449" t="s">
        <v>13</v>
      </c>
      <c r="E449" t="s">
        <v>22</v>
      </c>
      <c r="F449" t="s">
        <v>21</v>
      </c>
      <c r="G449">
        <v>183</v>
      </c>
      <c r="H449">
        <v>501.31</v>
      </c>
      <c r="I449">
        <v>19</v>
      </c>
      <c r="J449" t="s">
        <v>15</v>
      </c>
      <c r="K449">
        <v>91739.73</v>
      </c>
      <c r="L449" t="str">
        <f t="shared" si="24"/>
        <v>May</v>
      </c>
      <c r="M449">
        <f t="shared" si="25"/>
        <v>2025</v>
      </c>
      <c r="N449">
        <f t="shared" si="26"/>
        <v>91739.73</v>
      </c>
      <c r="O449" t="str">
        <f t="shared" si="27"/>
        <v>Minor Delay</v>
      </c>
    </row>
    <row r="450" spans="1:15" x14ac:dyDescent="0.25">
      <c r="A450">
        <v>449</v>
      </c>
      <c r="B450" s="2">
        <v>45908</v>
      </c>
      <c r="C450" t="s">
        <v>26</v>
      </c>
      <c r="D450" t="s">
        <v>29</v>
      </c>
      <c r="E450" t="s">
        <v>17</v>
      </c>
      <c r="F450" t="s">
        <v>14</v>
      </c>
      <c r="G450">
        <v>92</v>
      </c>
      <c r="H450">
        <v>761.58</v>
      </c>
      <c r="I450">
        <v>42</v>
      </c>
      <c r="J450" t="s">
        <v>15</v>
      </c>
      <c r="K450">
        <v>70065.36</v>
      </c>
      <c r="L450" t="str">
        <f t="shared" si="24"/>
        <v>Sep</v>
      </c>
      <c r="M450">
        <f t="shared" si="25"/>
        <v>2025</v>
      </c>
      <c r="N450">
        <f t="shared" si="26"/>
        <v>70065.36</v>
      </c>
      <c r="O450" t="str">
        <f t="shared" si="27"/>
        <v>Moderate Delay</v>
      </c>
    </row>
    <row r="451" spans="1:15" x14ac:dyDescent="0.25">
      <c r="A451">
        <v>450</v>
      </c>
      <c r="B451" s="2">
        <v>45669</v>
      </c>
      <c r="C451" t="s">
        <v>31</v>
      </c>
      <c r="D451" t="s">
        <v>29</v>
      </c>
      <c r="E451" t="s">
        <v>23</v>
      </c>
      <c r="F451" t="s">
        <v>21</v>
      </c>
      <c r="G451">
        <v>93</v>
      </c>
      <c r="H451">
        <v>151.13999999999999</v>
      </c>
      <c r="I451">
        <v>7</v>
      </c>
      <c r="J451" t="s">
        <v>15</v>
      </c>
      <c r="K451">
        <v>14056.02</v>
      </c>
      <c r="L451" t="str">
        <f t="shared" ref="L451:L514" si="28">TEXT(B451,"MMM")</f>
        <v>Jan</v>
      </c>
      <c r="M451">
        <f t="shared" ref="M451:M514" si="29">YEAR(B451)</f>
        <v>2025</v>
      </c>
      <c r="N451">
        <f t="shared" ref="N451:N514" si="30">G451*H451</f>
        <v>14056.019999999999</v>
      </c>
      <c r="O451" t="str">
        <f t="shared" ref="O451:O514" si="31">IF(I451=0,"On Time",IF(I451&lt;=30,"Minor Delay",IF(I451&lt;=60,"Moderate Delay","Major Delay")))</f>
        <v>Minor Delay</v>
      </c>
    </row>
    <row r="452" spans="1:15" x14ac:dyDescent="0.25">
      <c r="A452">
        <v>451</v>
      </c>
      <c r="B452" s="2">
        <v>45985</v>
      </c>
      <c r="C452" t="s">
        <v>26</v>
      </c>
      <c r="D452" t="s">
        <v>13</v>
      </c>
      <c r="E452" t="s">
        <v>20</v>
      </c>
      <c r="F452" t="s">
        <v>21</v>
      </c>
      <c r="G452">
        <v>209</v>
      </c>
      <c r="H452">
        <v>95.95</v>
      </c>
      <c r="I452">
        <v>56</v>
      </c>
      <c r="J452" t="s">
        <v>15</v>
      </c>
      <c r="K452">
        <v>20053.55</v>
      </c>
      <c r="L452" t="str">
        <f t="shared" si="28"/>
        <v>Nov</v>
      </c>
      <c r="M452">
        <f t="shared" si="29"/>
        <v>2025</v>
      </c>
      <c r="N452">
        <f t="shared" si="30"/>
        <v>20053.55</v>
      </c>
      <c r="O452" t="str">
        <f t="shared" si="31"/>
        <v>Moderate Delay</v>
      </c>
    </row>
    <row r="453" spans="1:15" x14ac:dyDescent="0.25">
      <c r="A453">
        <v>452</v>
      </c>
      <c r="B453" s="2">
        <v>46011</v>
      </c>
      <c r="C453" t="s">
        <v>16</v>
      </c>
      <c r="D453" t="s">
        <v>13</v>
      </c>
      <c r="E453" t="s">
        <v>12</v>
      </c>
      <c r="F453" t="s">
        <v>24</v>
      </c>
      <c r="G453">
        <v>163</v>
      </c>
      <c r="H453">
        <v>341.39</v>
      </c>
      <c r="I453">
        <v>18</v>
      </c>
      <c r="J453" t="s">
        <v>15</v>
      </c>
      <c r="K453">
        <v>55646.57</v>
      </c>
      <c r="L453" t="str">
        <f t="shared" si="28"/>
        <v>Dec</v>
      </c>
      <c r="M453">
        <f t="shared" si="29"/>
        <v>2025</v>
      </c>
      <c r="N453">
        <f t="shared" si="30"/>
        <v>55646.57</v>
      </c>
      <c r="O453" t="str">
        <f t="shared" si="31"/>
        <v>Minor Delay</v>
      </c>
    </row>
    <row r="454" spans="1:15" x14ac:dyDescent="0.25">
      <c r="A454">
        <v>453</v>
      </c>
      <c r="B454" s="2">
        <v>45763</v>
      </c>
      <c r="C454" t="s">
        <v>25</v>
      </c>
      <c r="D454" t="s">
        <v>20</v>
      </c>
      <c r="E454" t="s">
        <v>29</v>
      </c>
      <c r="F454" t="s">
        <v>21</v>
      </c>
      <c r="G454">
        <v>211</v>
      </c>
      <c r="H454">
        <v>66.89</v>
      </c>
      <c r="I454">
        <v>9</v>
      </c>
      <c r="J454" t="s">
        <v>15</v>
      </c>
      <c r="K454">
        <v>14113.79</v>
      </c>
      <c r="L454" t="str">
        <f t="shared" si="28"/>
        <v>Apr</v>
      </c>
      <c r="M454">
        <f t="shared" si="29"/>
        <v>2025</v>
      </c>
      <c r="N454">
        <f t="shared" si="30"/>
        <v>14113.79</v>
      </c>
      <c r="O454" t="str">
        <f t="shared" si="31"/>
        <v>Minor Delay</v>
      </c>
    </row>
    <row r="455" spans="1:15" x14ac:dyDescent="0.25">
      <c r="A455">
        <v>454</v>
      </c>
      <c r="B455" s="2">
        <v>45711</v>
      </c>
      <c r="C455" t="s">
        <v>31</v>
      </c>
      <c r="D455" t="s">
        <v>29</v>
      </c>
      <c r="E455" t="s">
        <v>20</v>
      </c>
      <c r="F455" t="s">
        <v>21</v>
      </c>
      <c r="G455">
        <v>208</v>
      </c>
      <c r="H455">
        <v>147.12</v>
      </c>
      <c r="I455">
        <v>25</v>
      </c>
      <c r="J455" t="s">
        <v>15</v>
      </c>
      <c r="K455">
        <v>30600.959999999999</v>
      </c>
      <c r="L455" t="str">
        <f t="shared" si="28"/>
        <v>Feb</v>
      </c>
      <c r="M455">
        <f t="shared" si="29"/>
        <v>2025</v>
      </c>
      <c r="N455">
        <f t="shared" si="30"/>
        <v>30600.959999999999</v>
      </c>
      <c r="O455" t="str">
        <f t="shared" si="31"/>
        <v>Minor Delay</v>
      </c>
    </row>
    <row r="456" spans="1:15" x14ac:dyDescent="0.25">
      <c r="A456">
        <v>455</v>
      </c>
      <c r="B456" s="2">
        <v>45759</v>
      </c>
      <c r="C456" t="s">
        <v>31</v>
      </c>
      <c r="D456" t="s">
        <v>12</v>
      </c>
      <c r="E456" t="s">
        <v>27</v>
      </c>
      <c r="F456" t="s">
        <v>14</v>
      </c>
      <c r="G456">
        <v>249</v>
      </c>
      <c r="H456">
        <v>254.62</v>
      </c>
      <c r="I456">
        <v>3</v>
      </c>
      <c r="J456" t="s">
        <v>15</v>
      </c>
      <c r="K456">
        <v>63400.38</v>
      </c>
      <c r="L456" t="str">
        <f t="shared" si="28"/>
        <v>Apr</v>
      </c>
      <c r="M456">
        <f t="shared" si="29"/>
        <v>2025</v>
      </c>
      <c r="N456">
        <f t="shared" si="30"/>
        <v>63400.380000000005</v>
      </c>
      <c r="O456" t="str">
        <f t="shared" si="31"/>
        <v>Minor Delay</v>
      </c>
    </row>
    <row r="457" spans="1:15" x14ac:dyDescent="0.25">
      <c r="A457">
        <v>456</v>
      </c>
      <c r="B457" s="2">
        <v>45678</v>
      </c>
      <c r="C457" t="s">
        <v>31</v>
      </c>
      <c r="D457" t="s">
        <v>23</v>
      </c>
      <c r="E457" t="s">
        <v>29</v>
      </c>
      <c r="F457" t="s">
        <v>24</v>
      </c>
      <c r="G457">
        <v>283</v>
      </c>
      <c r="H457">
        <v>213.69</v>
      </c>
      <c r="I457">
        <v>17</v>
      </c>
      <c r="J457" t="s">
        <v>30</v>
      </c>
      <c r="K457">
        <v>60474.27</v>
      </c>
      <c r="L457" t="str">
        <f t="shared" si="28"/>
        <v>Jan</v>
      </c>
      <c r="M457">
        <f t="shared" si="29"/>
        <v>2025</v>
      </c>
      <c r="N457">
        <f t="shared" si="30"/>
        <v>60474.27</v>
      </c>
      <c r="O457" t="str">
        <f t="shared" si="31"/>
        <v>Minor Delay</v>
      </c>
    </row>
    <row r="458" spans="1:15" x14ac:dyDescent="0.25">
      <c r="A458">
        <v>457</v>
      </c>
      <c r="B458" s="2">
        <v>45659</v>
      </c>
      <c r="C458" t="s">
        <v>16</v>
      </c>
      <c r="D458" t="s">
        <v>22</v>
      </c>
      <c r="E458" t="s">
        <v>19</v>
      </c>
      <c r="F458" t="s">
        <v>21</v>
      </c>
      <c r="G458">
        <v>72</v>
      </c>
      <c r="H458">
        <v>731.09</v>
      </c>
      <c r="I458">
        <v>38</v>
      </c>
      <c r="J458" t="s">
        <v>15</v>
      </c>
      <c r="K458">
        <v>52638.48</v>
      </c>
      <c r="L458" t="str">
        <f t="shared" si="28"/>
        <v>Jan</v>
      </c>
      <c r="M458">
        <f t="shared" si="29"/>
        <v>2025</v>
      </c>
      <c r="N458">
        <f t="shared" si="30"/>
        <v>52638.48</v>
      </c>
      <c r="O458" t="str">
        <f t="shared" si="31"/>
        <v>Moderate Delay</v>
      </c>
    </row>
    <row r="459" spans="1:15" x14ac:dyDescent="0.25">
      <c r="A459">
        <v>458</v>
      </c>
      <c r="B459" s="2">
        <v>45709</v>
      </c>
      <c r="C459" t="s">
        <v>26</v>
      </c>
      <c r="D459" t="s">
        <v>12</v>
      </c>
      <c r="E459" t="s">
        <v>29</v>
      </c>
      <c r="F459" t="s">
        <v>21</v>
      </c>
      <c r="G459">
        <v>109</v>
      </c>
      <c r="H459">
        <v>398</v>
      </c>
      <c r="I459">
        <v>0</v>
      </c>
      <c r="J459" t="s">
        <v>30</v>
      </c>
      <c r="K459">
        <v>43382</v>
      </c>
      <c r="L459" t="str">
        <f t="shared" si="28"/>
        <v>Feb</v>
      </c>
      <c r="M459">
        <f t="shared" si="29"/>
        <v>2025</v>
      </c>
      <c r="N459">
        <f t="shared" si="30"/>
        <v>43382</v>
      </c>
      <c r="O459" t="str">
        <f t="shared" si="31"/>
        <v>On Time</v>
      </c>
    </row>
    <row r="460" spans="1:15" x14ac:dyDescent="0.25">
      <c r="A460">
        <v>459</v>
      </c>
      <c r="B460" s="2">
        <v>45683</v>
      </c>
      <c r="C460" t="s">
        <v>16</v>
      </c>
      <c r="D460" t="s">
        <v>23</v>
      </c>
      <c r="E460" t="s">
        <v>27</v>
      </c>
      <c r="F460" t="s">
        <v>14</v>
      </c>
      <c r="G460">
        <v>273</v>
      </c>
      <c r="H460">
        <v>89.19</v>
      </c>
      <c r="I460">
        <v>8</v>
      </c>
      <c r="J460" t="s">
        <v>15</v>
      </c>
      <c r="K460">
        <v>24348.87</v>
      </c>
      <c r="L460" t="str">
        <f t="shared" si="28"/>
        <v>Jan</v>
      </c>
      <c r="M460">
        <f t="shared" si="29"/>
        <v>2025</v>
      </c>
      <c r="N460">
        <f t="shared" si="30"/>
        <v>24348.87</v>
      </c>
      <c r="O460" t="str">
        <f t="shared" si="31"/>
        <v>Minor Delay</v>
      </c>
    </row>
    <row r="461" spans="1:15" x14ac:dyDescent="0.25">
      <c r="A461">
        <v>460</v>
      </c>
      <c r="B461" s="2">
        <v>45681</v>
      </c>
      <c r="C461" t="s">
        <v>16</v>
      </c>
      <c r="D461" t="s">
        <v>12</v>
      </c>
      <c r="E461" t="s">
        <v>29</v>
      </c>
      <c r="F461" t="s">
        <v>14</v>
      </c>
      <c r="G461">
        <v>219</v>
      </c>
      <c r="H461">
        <v>538.92999999999995</v>
      </c>
      <c r="I461">
        <v>63</v>
      </c>
      <c r="J461" t="s">
        <v>15</v>
      </c>
      <c r="K461">
        <v>118025.67</v>
      </c>
      <c r="L461" t="str">
        <f t="shared" si="28"/>
        <v>Jan</v>
      </c>
      <c r="M461">
        <f t="shared" si="29"/>
        <v>2025</v>
      </c>
      <c r="N461">
        <f t="shared" si="30"/>
        <v>118025.66999999998</v>
      </c>
      <c r="O461" t="str">
        <f t="shared" si="31"/>
        <v>Major Delay</v>
      </c>
    </row>
    <row r="462" spans="1:15" x14ac:dyDescent="0.25">
      <c r="A462">
        <v>461</v>
      </c>
      <c r="B462" s="2">
        <v>45705</v>
      </c>
      <c r="C462" t="s">
        <v>26</v>
      </c>
      <c r="D462" t="s">
        <v>20</v>
      </c>
      <c r="E462" t="s">
        <v>23</v>
      </c>
      <c r="F462" t="s">
        <v>24</v>
      </c>
      <c r="G462">
        <v>96</v>
      </c>
      <c r="H462">
        <v>144.24</v>
      </c>
      <c r="I462">
        <v>0</v>
      </c>
      <c r="J462" t="s">
        <v>30</v>
      </c>
      <c r="K462">
        <v>13847.04</v>
      </c>
      <c r="L462" t="str">
        <f t="shared" si="28"/>
        <v>Feb</v>
      </c>
      <c r="M462">
        <f t="shared" si="29"/>
        <v>2025</v>
      </c>
      <c r="N462">
        <f t="shared" si="30"/>
        <v>13847.04</v>
      </c>
      <c r="O462" t="str">
        <f t="shared" si="31"/>
        <v>On Time</v>
      </c>
    </row>
    <row r="463" spans="1:15" x14ac:dyDescent="0.25">
      <c r="A463">
        <v>462</v>
      </c>
      <c r="B463" s="2">
        <v>45990</v>
      </c>
      <c r="C463" t="s">
        <v>11</v>
      </c>
      <c r="D463" t="s">
        <v>20</v>
      </c>
      <c r="E463" t="s">
        <v>17</v>
      </c>
      <c r="F463" t="s">
        <v>14</v>
      </c>
      <c r="G463">
        <v>83</v>
      </c>
      <c r="H463">
        <v>575.16999999999996</v>
      </c>
      <c r="I463">
        <v>36</v>
      </c>
      <c r="J463" t="s">
        <v>15</v>
      </c>
      <c r="K463">
        <v>47739.11</v>
      </c>
      <c r="L463" t="str">
        <f t="shared" si="28"/>
        <v>Nov</v>
      </c>
      <c r="M463">
        <f t="shared" si="29"/>
        <v>2025</v>
      </c>
      <c r="N463">
        <f t="shared" si="30"/>
        <v>47739.109999999993</v>
      </c>
      <c r="O463" t="str">
        <f t="shared" si="31"/>
        <v>Moderate Delay</v>
      </c>
    </row>
    <row r="464" spans="1:15" x14ac:dyDescent="0.25">
      <c r="A464">
        <v>463</v>
      </c>
      <c r="B464" s="2">
        <v>45871</v>
      </c>
      <c r="C464" t="s">
        <v>31</v>
      </c>
      <c r="D464" t="s">
        <v>29</v>
      </c>
      <c r="E464" t="s">
        <v>12</v>
      </c>
      <c r="F464" t="s">
        <v>24</v>
      </c>
      <c r="G464">
        <v>255</v>
      </c>
      <c r="H464">
        <v>481.02</v>
      </c>
      <c r="I464">
        <v>0</v>
      </c>
      <c r="J464" t="s">
        <v>15</v>
      </c>
      <c r="K464">
        <v>122660.1</v>
      </c>
      <c r="L464" t="str">
        <f t="shared" si="28"/>
        <v>Aug</v>
      </c>
      <c r="M464">
        <f t="shared" si="29"/>
        <v>2025</v>
      </c>
      <c r="N464">
        <f t="shared" si="30"/>
        <v>122660.09999999999</v>
      </c>
      <c r="O464" t="str">
        <f t="shared" si="31"/>
        <v>On Time</v>
      </c>
    </row>
    <row r="465" spans="1:15" x14ac:dyDescent="0.25">
      <c r="A465">
        <v>464</v>
      </c>
      <c r="B465" s="2">
        <v>45905</v>
      </c>
      <c r="C465" t="s">
        <v>18</v>
      </c>
      <c r="D465" t="s">
        <v>13</v>
      </c>
      <c r="E465" t="s">
        <v>19</v>
      </c>
      <c r="F465" t="s">
        <v>14</v>
      </c>
      <c r="G465">
        <v>277</v>
      </c>
      <c r="H465">
        <v>364.35</v>
      </c>
      <c r="I465">
        <v>33</v>
      </c>
      <c r="J465" t="s">
        <v>15</v>
      </c>
      <c r="K465">
        <v>100924.95</v>
      </c>
      <c r="L465" t="str">
        <f t="shared" si="28"/>
        <v>Sep</v>
      </c>
      <c r="M465">
        <f t="shared" si="29"/>
        <v>2025</v>
      </c>
      <c r="N465">
        <f t="shared" si="30"/>
        <v>100924.95000000001</v>
      </c>
      <c r="O465" t="str">
        <f t="shared" si="31"/>
        <v>Moderate Delay</v>
      </c>
    </row>
    <row r="466" spans="1:15" x14ac:dyDescent="0.25">
      <c r="A466">
        <v>465</v>
      </c>
      <c r="B466" s="2">
        <v>45664</v>
      </c>
      <c r="C466" t="s">
        <v>25</v>
      </c>
      <c r="D466" t="s">
        <v>23</v>
      </c>
      <c r="E466" t="s">
        <v>17</v>
      </c>
      <c r="F466" t="s">
        <v>21</v>
      </c>
      <c r="G466">
        <v>184</v>
      </c>
      <c r="H466">
        <v>627.97</v>
      </c>
      <c r="I466">
        <v>0</v>
      </c>
      <c r="J466" t="s">
        <v>30</v>
      </c>
      <c r="K466">
        <v>115546.48</v>
      </c>
      <c r="L466" t="str">
        <f t="shared" si="28"/>
        <v>Jan</v>
      </c>
      <c r="M466">
        <f t="shared" si="29"/>
        <v>2025</v>
      </c>
      <c r="N466">
        <f t="shared" si="30"/>
        <v>115546.48000000001</v>
      </c>
      <c r="O466" t="str">
        <f t="shared" si="31"/>
        <v>On Time</v>
      </c>
    </row>
    <row r="467" spans="1:15" x14ac:dyDescent="0.25">
      <c r="A467">
        <v>466</v>
      </c>
      <c r="B467" s="2">
        <v>45879</v>
      </c>
      <c r="C467" t="s">
        <v>25</v>
      </c>
      <c r="D467" t="s">
        <v>22</v>
      </c>
      <c r="E467" t="s">
        <v>12</v>
      </c>
      <c r="F467" t="s">
        <v>21</v>
      </c>
      <c r="G467">
        <v>113</v>
      </c>
      <c r="H467">
        <v>416.63</v>
      </c>
      <c r="I467">
        <v>5</v>
      </c>
      <c r="J467" t="s">
        <v>15</v>
      </c>
      <c r="K467">
        <v>47079.19</v>
      </c>
      <c r="L467" t="str">
        <f t="shared" si="28"/>
        <v>Aug</v>
      </c>
      <c r="M467">
        <f t="shared" si="29"/>
        <v>2025</v>
      </c>
      <c r="N467">
        <f t="shared" si="30"/>
        <v>47079.19</v>
      </c>
      <c r="O467" t="str">
        <f t="shared" si="31"/>
        <v>Minor Delay</v>
      </c>
    </row>
    <row r="468" spans="1:15" x14ac:dyDescent="0.25">
      <c r="A468">
        <v>467</v>
      </c>
      <c r="B468" s="2">
        <v>45943</v>
      </c>
      <c r="C468" t="s">
        <v>31</v>
      </c>
      <c r="D468" t="s">
        <v>17</v>
      </c>
      <c r="E468" t="s">
        <v>29</v>
      </c>
      <c r="F468" t="s">
        <v>14</v>
      </c>
      <c r="G468">
        <v>52</v>
      </c>
      <c r="H468">
        <v>536.12</v>
      </c>
      <c r="I468">
        <v>46</v>
      </c>
      <c r="J468" t="s">
        <v>30</v>
      </c>
      <c r="K468">
        <v>27878.240000000002</v>
      </c>
      <c r="L468" t="str">
        <f t="shared" si="28"/>
        <v>Oct</v>
      </c>
      <c r="M468">
        <f t="shared" si="29"/>
        <v>2025</v>
      </c>
      <c r="N468">
        <f t="shared" si="30"/>
        <v>27878.240000000002</v>
      </c>
      <c r="O468" t="str">
        <f t="shared" si="31"/>
        <v>Moderate Delay</v>
      </c>
    </row>
    <row r="469" spans="1:15" x14ac:dyDescent="0.25">
      <c r="A469">
        <v>468</v>
      </c>
      <c r="B469" s="2">
        <v>45909</v>
      </c>
      <c r="C469" t="s">
        <v>26</v>
      </c>
      <c r="D469" t="s">
        <v>29</v>
      </c>
      <c r="E469" t="s">
        <v>12</v>
      </c>
      <c r="F469" t="s">
        <v>14</v>
      </c>
      <c r="G469">
        <v>134</v>
      </c>
      <c r="H469">
        <v>777.91</v>
      </c>
      <c r="I469">
        <v>60</v>
      </c>
      <c r="J469" t="s">
        <v>15</v>
      </c>
      <c r="K469">
        <v>104239.94</v>
      </c>
      <c r="L469" t="str">
        <f t="shared" si="28"/>
        <v>Sep</v>
      </c>
      <c r="M469">
        <f t="shared" si="29"/>
        <v>2025</v>
      </c>
      <c r="N469">
        <f t="shared" si="30"/>
        <v>104239.94</v>
      </c>
      <c r="O469" t="str">
        <f t="shared" si="31"/>
        <v>Moderate Delay</v>
      </c>
    </row>
    <row r="470" spans="1:15" x14ac:dyDescent="0.25">
      <c r="A470">
        <v>469</v>
      </c>
      <c r="B470" s="2">
        <v>45864</v>
      </c>
      <c r="C470" t="s">
        <v>11</v>
      </c>
      <c r="D470" t="s">
        <v>19</v>
      </c>
      <c r="E470" t="s">
        <v>20</v>
      </c>
      <c r="F470" t="s">
        <v>14</v>
      </c>
      <c r="G470">
        <v>167</v>
      </c>
      <c r="H470">
        <v>388.7</v>
      </c>
      <c r="I470">
        <v>10</v>
      </c>
      <c r="J470" t="s">
        <v>15</v>
      </c>
      <c r="K470">
        <v>64912.9</v>
      </c>
      <c r="L470" t="str">
        <f t="shared" si="28"/>
        <v>Jul</v>
      </c>
      <c r="M470">
        <f t="shared" si="29"/>
        <v>2025</v>
      </c>
      <c r="N470">
        <f t="shared" si="30"/>
        <v>64912.9</v>
      </c>
      <c r="O470" t="str">
        <f t="shared" si="31"/>
        <v>Minor Delay</v>
      </c>
    </row>
    <row r="471" spans="1:15" x14ac:dyDescent="0.25">
      <c r="A471">
        <v>470</v>
      </c>
      <c r="B471" s="2">
        <v>45912</v>
      </c>
      <c r="C471" t="s">
        <v>25</v>
      </c>
      <c r="D471" t="s">
        <v>22</v>
      </c>
      <c r="E471" t="s">
        <v>12</v>
      </c>
      <c r="F471" t="s">
        <v>21</v>
      </c>
      <c r="G471">
        <v>54</v>
      </c>
      <c r="H471">
        <v>135.96</v>
      </c>
      <c r="I471">
        <v>15</v>
      </c>
      <c r="J471" t="s">
        <v>15</v>
      </c>
      <c r="K471">
        <v>7341.84</v>
      </c>
      <c r="L471" t="str">
        <f t="shared" si="28"/>
        <v>Sep</v>
      </c>
      <c r="M471">
        <f t="shared" si="29"/>
        <v>2025</v>
      </c>
      <c r="N471">
        <f t="shared" si="30"/>
        <v>7341.84</v>
      </c>
      <c r="O471" t="str">
        <f t="shared" si="31"/>
        <v>Minor Delay</v>
      </c>
    </row>
    <row r="472" spans="1:15" x14ac:dyDescent="0.25">
      <c r="A472">
        <v>471</v>
      </c>
      <c r="B472" s="2">
        <v>45704</v>
      </c>
      <c r="C472" t="s">
        <v>31</v>
      </c>
      <c r="D472" t="s">
        <v>27</v>
      </c>
      <c r="E472" t="s">
        <v>13</v>
      </c>
      <c r="F472" t="s">
        <v>21</v>
      </c>
      <c r="G472">
        <v>213</v>
      </c>
      <c r="H472">
        <v>285.39999999999998</v>
      </c>
      <c r="I472">
        <v>3</v>
      </c>
      <c r="J472" t="s">
        <v>15</v>
      </c>
      <c r="K472">
        <v>60790.2</v>
      </c>
      <c r="L472" t="str">
        <f t="shared" si="28"/>
        <v>Feb</v>
      </c>
      <c r="M472">
        <f t="shared" si="29"/>
        <v>2025</v>
      </c>
      <c r="N472">
        <f t="shared" si="30"/>
        <v>60790.2</v>
      </c>
      <c r="O472" t="str">
        <f t="shared" si="31"/>
        <v>Minor Delay</v>
      </c>
    </row>
    <row r="473" spans="1:15" x14ac:dyDescent="0.25">
      <c r="A473">
        <v>472</v>
      </c>
      <c r="B473" s="2">
        <v>45685</v>
      </c>
      <c r="C473" t="s">
        <v>11</v>
      </c>
      <c r="D473" t="s">
        <v>22</v>
      </c>
      <c r="E473" t="s">
        <v>17</v>
      </c>
      <c r="F473" t="s">
        <v>24</v>
      </c>
      <c r="G473">
        <v>134</v>
      </c>
      <c r="H473">
        <v>474.51</v>
      </c>
      <c r="I473">
        <v>19</v>
      </c>
      <c r="J473" t="s">
        <v>15</v>
      </c>
      <c r="K473">
        <v>63584.34</v>
      </c>
      <c r="L473" t="str">
        <f t="shared" si="28"/>
        <v>Jan</v>
      </c>
      <c r="M473">
        <f t="shared" si="29"/>
        <v>2025</v>
      </c>
      <c r="N473">
        <f t="shared" si="30"/>
        <v>63584.34</v>
      </c>
      <c r="O473" t="str">
        <f t="shared" si="31"/>
        <v>Minor Delay</v>
      </c>
    </row>
    <row r="474" spans="1:15" x14ac:dyDescent="0.25">
      <c r="A474">
        <v>473</v>
      </c>
      <c r="B474" s="2">
        <v>45889</v>
      </c>
      <c r="C474" t="s">
        <v>16</v>
      </c>
      <c r="D474" t="s">
        <v>20</v>
      </c>
      <c r="E474" t="s">
        <v>22</v>
      </c>
      <c r="F474" t="s">
        <v>14</v>
      </c>
      <c r="G474">
        <v>244</v>
      </c>
      <c r="H474">
        <v>547.59</v>
      </c>
      <c r="I474">
        <v>43</v>
      </c>
      <c r="J474" t="s">
        <v>15</v>
      </c>
      <c r="K474">
        <v>133611.96</v>
      </c>
      <c r="L474" t="str">
        <f t="shared" si="28"/>
        <v>Aug</v>
      </c>
      <c r="M474">
        <f t="shared" si="29"/>
        <v>2025</v>
      </c>
      <c r="N474">
        <f t="shared" si="30"/>
        <v>133611.96000000002</v>
      </c>
      <c r="O474" t="str">
        <f t="shared" si="31"/>
        <v>Moderate Delay</v>
      </c>
    </row>
    <row r="475" spans="1:15" x14ac:dyDescent="0.25">
      <c r="A475">
        <v>474</v>
      </c>
      <c r="B475" s="2">
        <v>46017</v>
      </c>
      <c r="C475" t="s">
        <v>16</v>
      </c>
      <c r="D475" t="s">
        <v>23</v>
      </c>
      <c r="E475" t="s">
        <v>17</v>
      </c>
      <c r="F475" t="s">
        <v>14</v>
      </c>
      <c r="G475">
        <v>279</v>
      </c>
      <c r="H475">
        <v>181.47</v>
      </c>
      <c r="I475">
        <v>20</v>
      </c>
      <c r="J475" t="s">
        <v>15</v>
      </c>
      <c r="K475">
        <v>50630.13</v>
      </c>
      <c r="L475" t="str">
        <f t="shared" si="28"/>
        <v>Dec</v>
      </c>
      <c r="M475">
        <f t="shared" si="29"/>
        <v>2025</v>
      </c>
      <c r="N475">
        <f t="shared" si="30"/>
        <v>50630.13</v>
      </c>
      <c r="O475" t="str">
        <f t="shared" si="31"/>
        <v>Minor Delay</v>
      </c>
    </row>
    <row r="476" spans="1:15" x14ac:dyDescent="0.25">
      <c r="A476">
        <v>475</v>
      </c>
      <c r="B476" s="2">
        <v>45788</v>
      </c>
      <c r="C476" t="s">
        <v>31</v>
      </c>
      <c r="D476" t="s">
        <v>17</v>
      </c>
      <c r="E476" t="s">
        <v>12</v>
      </c>
      <c r="F476" t="s">
        <v>14</v>
      </c>
      <c r="G476">
        <v>98</v>
      </c>
      <c r="H476">
        <v>149.35</v>
      </c>
      <c r="I476">
        <v>30</v>
      </c>
      <c r="J476" t="s">
        <v>30</v>
      </c>
      <c r="K476">
        <v>14636.3</v>
      </c>
      <c r="L476" t="str">
        <f t="shared" si="28"/>
        <v>May</v>
      </c>
      <c r="M476">
        <f t="shared" si="29"/>
        <v>2025</v>
      </c>
      <c r="N476">
        <f t="shared" si="30"/>
        <v>14636.3</v>
      </c>
      <c r="O476" t="str">
        <f t="shared" si="31"/>
        <v>Minor Delay</v>
      </c>
    </row>
    <row r="477" spans="1:15" x14ac:dyDescent="0.25">
      <c r="A477">
        <v>476</v>
      </c>
      <c r="B477" s="2">
        <v>45713</v>
      </c>
      <c r="C477" t="s">
        <v>18</v>
      </c>
      <c r="D477" t="s">
        <v>19</v>
      </c>
      <c r="E477" t="s">
        <v>17</v>
      </c>
      <c r="F477" t="s">
        <v>14</v>
      </c>
      <c r="G477">
        <v>287</v>
      </c>
      <c r="H477">
        <v>528.6</v>
      </c>
      <c r="I477">
        <v>6</v>
      </c>
      <c r="J477" t="s">
        <v>15</v>
      </c>
      <c r="K477">
        <v>151708.20000000001</v>
      </c>
      <c r="L477" t="str">
        <f t="shared" si="28"/>
        <v>Feb</v>
      </c>
      <c r="M477">
        <f t="shared" si="29"/>
        <v>2025</v>
      </c>
      <c r="N477">
        <f t="shared" si="30"/>
        <v>151708.20000000001</v>
      </c>
      <c r="O477" t="str">
        <f t="shared" si="31"/>
        <v>Minor Delay</v>
      </c>
    </row>
    <row r="478" spans="1:15" x14ac:dyDescent="0.25">
      <c r="A478">
        <v>477</v>
      </c>
      <c r="B478" s="2">
        <v>45892</v>
      </c>
      <c r="C478" t="s">
        <v>25</v>
      </c>
      <c r="D478" t="s">
        <v>12</v>
      </c>
      <c r="E478" t="s">
        <v>27</v>
      </c>
      <c r="F478" t="s">
        <v>21</v>
      </c>
      <c r="G478">
        <v>294</v>
      </c>
      <c r="H478">
        <v>433.11</v>
      </c>
      <c r="I478">
        <v>22</v>
      </c>
      <c r="J478" t="s">
        <v>15</v>
      </c>
      <c r="K478">
        <v>127334.34</v>
      </c>
      <c r="L478" t="str">
        <f t="shared" si="28"/>
        <v>Aug</v>
      </c>
      <c r="M478">
        <f t="shared" si="29"/>
        <v>2025</v>
      </c>
      <c r="N478">
        <f t="shared" si="30"/>
        <v>127334.34000000001</v>
      </c>
      <c r="O478" t="str">
        <f t="shared" si="31"/>
        <v>Minor Delay</v>
      </c>
    </row>
    <row r="479" spans="1:15" x14ac:dyDescent="0.25">
      <c r="A479">
        <v>478</v>
      </c>
      <c r="B479" s="2">
        <v>45957</v>
      </c>
      <c r="C479" t="s">
        <v>18</v>
      </c>
      <c r="D479" t="s">
        <v>27</v>
      </c>
      <c r="E479" t="s">
        <v>17</v>
      </c>
      <c r="F479" t="s">
        <v>21</v>
      </c>
      <c r="G479">
        <v>249</v>
      </c>
      <c r="H479">
        <v>741.66</v>
      </c>
      <c r="I479">
        <v>19</v>
      </c>
      <c r="J479" t="s">
        <v>15</v>
      </c>
      <c r="K479">
        <v>184673.34</v>
      </c>
      <c r="L479" t="str">
        <f t="shared" si="28"/>
        <v>Oct</v>
      </c>
      <c r="M479">
        <f t="shared" si="29"/>
        <v>2025</v>
      </c>
      <c r="N479">
        <f t="shared" si="30"/>
        <v>184673.34</v>
      </c>
      <c r="O479" t="str">
        <f t="shared" si="31"/>
        <v>Minor Delay</v>
      </c>
    </row>
    <row r="480" spans="1:15" x14ac:dyDescent="0.25">
      <c r="A480">
        <v>479</v>
      </c>
      <c r="B480" s="2">
        <v>45711</v>
      </c>
      <c r="C480" t="s">
        <v>18</v>
      </c>
      <c r="D480" t="s">
        <v>29</v>
      </c>
      <c r="E480" t="s">
        <v>19</v>
      </c>
      <c r="F480" t="s">
        <v>21</v>
      </c>
      <c r="G480">
        <v>203</v>
      </c>
      <c r="H480">
        <v>508.56</v>
      </c>
      <c r="I480">
        <v>0</v>
      </c>
      <c r="J480" t="s">
        <v>15</v>
      </c>
      <c r="K480">
        <v>103237.68</v>
      </c>
      <c r="L480" t="str">
        <f t="shared" si="28"/>
        <v>Feb</v>
      </c>
      <c r="M480">
        <f t="shared" si="29"/>
        <v>2025</v>
      </c>
      <c r="N480">
        <f t="shared" si="30"/>
        <v>103237.68000000001</v>
      </c>
      <c r="O480" t="str">
        <f t="shared" si="31"/>
        <v>On Time</v>
      </c>
    </row>
    <row r="481" spans="1:15" x14ac:dyDescent="0.25">
      <c r="A481">
        <v>480</v>
      </c>
      <c r="B481" s="2">
        <v>45861</v>
      </c>
      <c r="C481" t="s">
        <v>26</v>
      </c>
      <c r="D481" t="s">
        <v>19</v>
      </c>
      <c r="E481" t="s">
        <v>22</v>
      </c>
      <c r="F481" t="s">
        <v>24</v>
      </c>
      <c r="G481">
        <v>165</v>
      </c>
      <c r="H481">
        <v>655.55</v>
      </c>
      <c r="I481">
        <v>66</v>
      </c>
      <c r="J481" t="s">
        <v>15</v>
      </c>
      <c r="K481">
        <v>108165.75</v>
      </c>
      <c r="L481" t="str">
        <f t="shared" si="28"/>
        <v>Jul</v>
      </c>
      <c r="M481">
        <f t="shared" si="29"/>
        <v>2025</v>
      </c>
      <c r="N481">
        <f t="shared" si="30"/>
        <v>108165.74999999999</v>
      </c>
      <c r="O481" t="str">
        <f t="shared" si="31"/>
        <v>Major Delay</v>
      </c>
    </row>
    <row r="482" spans="1:15" x14ac:dyDescent="0.25">
      <c r="A482">
        <v>481</v>
      </c>
      <c r="B482" s="2">
        <v>46017</v>
      </c>
      <c r="C482" t="s">
        <v>31</v>
      </c>
      <c r="D482" t="s">
        <v>27</v>
      </c>
      <c r="E482" t="s">
        <v>23</v>
      </c>
      <c r="F482" t="s">
        <v>24</v>
      </c>
      <c r="G482">
        <v>232</v>
      </c>
      <c r="H482">
        <v>605.25</v>
      </c>
      <c r="I482">
        <v>3</v>
      </c>
      <c r="J482" t="s">
        <v>15</v>
      </c>
      <c r="K482">
        <v>140418</v>
      </c>
      <c r="L482" t="str">
        <f t="shared" si="28"/>
        <v>Dec</v>
      </c>
      <c r="M482">
        <f t="shared" si="29"/>
        <v>2025</v>
      </c>
      <c r="N482">
        <f t="shared" si="30"/>
        <v>140418</v>
      </c>
      <c r="O482" t="str">
        <f t="shared" si="31"/>
        <v>Minor Delay</v>
      </c>
    </row>
    <row r="483" spans="1:15" x14ac:dyDescent="0.25">
      <c r="A483">
        <v>482</v>
      </c>
      <c r="B483" s="2">
        <v>46002</v>
      </c>
      <c r="C483" t="s">
        <v>11</v>
      </c>
      <c r="D483" t="s">
        <v>23</v>
      </c>
      <c r="E483" t="s">
        <v>17</v>
      </c>
      <c r="F483" t="s">
        <v>21</v>
      </c>
      <c r="G483">
        <v>216</v>
      </c>
      <c r="H483">
        <v>781.63</v>
      </c>
      <c r="I483">
        <v>14</v>
      </c>
      <c r="J483" t="s">
        <v>15</v>
      </c>
      <c r="K483">
        <v>168832.08</v>
      </c>
      <c r="L483" t="str">
        <f t="shared" si="28"/>
        <v>Dec</v>
      </c>
      <c r="M483">
        <f t="shared" si="29"/>
        <v>2025</v>
      </c>
      <c r="N483">
        <f t="shared" si="30"/>
        <v>168832.08</v>
      </c>
      <c r="O483" t="str">
        <f t="shared" si="31"/>
        <v>Minor Delay</v>
      </c>
    </row>
    <row r="484" spans="1:15" x14ac:dyDescent="0.25">
      <c r="A484">
        <v>483</v>
      </c>
      <c r="B484" s="2">
        <v>46021</v>
      </c>
      <c r="C484" t="s">
        <v>16</v>
      </c>
      <c r="D484" t="s">
        <v>27</v>
      </c>
      <c r="E484" t="s">
        <v>22</v>
      </c>
      <c r="F484" t="s">
        <v>24</v>
      </c>
      <c r="G484">
        <v>193</v>
      </c>
      <c r="H484">
        <v>415.47</v>
      </c>
      <c r="I484">
        <v>0</v>
      </c>
      <c r="J484" t="s">
        <v>15</v>
      </c>
      <c r="K484">
        <v>80185.710000000006</v>
      </c>
      <c r="L484" t="str">
        <f t="shared" si="28"/>
        <v>Dec</v>
      </c>
      <c r="M484">
        <f t="shared" si="29"/>
        <v>2025</v>
      </c>
      <c r="N484">
        <f t="shared" si="30"/>
        <v>80185.710000000006</v>
      </c>
      <c r="O484" t="str">
        <f t="shared" si="31"/>
        <v>On Time</v>
      </c>
    </row>
    <row r="485" spans="1:15" x14ac:dyDescent="0.25">
      <c r="A485">
        <v>484</v>
      </c>
      <c r="B485" s="2">
        <v>45874</v>
      </c>
      <c r="C485" t="s">
        <v>16</v>
      </c>
      <c r="D485" t="s">
        <v>27</v>
      </c>
      <c r="E485" t="s">
        <v>23</v>
      </c>
      <c r="F485" t="s">
        <v>21</v>
      </c>
      <c r="G485">
        <v>77</v>
      </c>
      <c r="H485">
        <v>78.7</v>
      </c>
      <c r="I485">
        <v>4</v>
      </c>
      <c r="J485" t="s">
        <v>15</v>
      </c>
      <c r="K485">
        <v>6059.9</v>
      </c>
      <c r="L485" t="str">
        <f t="shared" si="28"/>
        <v>Aug</v>
      </c>
      <c r="M485">
        <f t="shared" si="29"/>
        <v>2025</v>
      </c>
      <c r="N485">
        <f t="shared" si="30"/>
        <v>6059.9000000000005</v>
      </c>
      <c r="O485" t="str">
        <f t="shared" si="31"/>
        <v>Minor Delay</v>
      </c>
    </row>
    <row r="486" spans="1:15" x14ac:dyDescent="0.25">
      <c r="A486">
        <v>485</v>
      </c>
      <c r="B486" s="2">
        <v>45794</v>
      </c>
      <c r="C486" t="s">
        <v>11</v>
      </c>
      <c r="D486" t="s">
        <v>13</v>
      </c>
      <c r="E486" t="s">
        <v>23</v>
      </c>
      <c r="F486" t="s">
        <v>24</v>
      </c>
      <c r="G486">
        <v>224</v>
      </c>
      <c r="H486">
        <v>245.42</v>
      </c>
      <c r="I486">
        <v>40</v>
      </c>
      <c r="J486" t="s">
        <v>15</v>
      </c>
      <c r="K486">
        <v>54974.080000000002</v>
      </c>
      <c r="L486" t="str">
        <f t="shared" si="28"/>
        <v>May</v>
      </c>
      <c r="M486">
        <f t="shared" si="29"/>
        <v>2025</v>
      </c>
      <c r="N486">
        <f t="shared" si="30"/>
        <v>54974.079999999994</v>
      </c>
      <c r="O486" t="str">
        <f t="shared" si="31"/>
        <v>Moderate Delay</v>
      </c>
    </row>
    <row r="487" spans="1:15" x14ac:dyDescent="0.25">
      <c r="A487">
        <v>486</v>
      </c>
      <c r="B487" s="2">
        <v>45841</v>
      </c>
      <c r="C487" t="s">
        <v>18</v>
      </c>
      <c r="D487" t="s">
        <v>27</v>
      </c>
      <c r="E487" t="s">
        <v>13</v>
      </c>
      <c r="F487" t="s">
        <v>14</v>
      </c>
      <c r="G487">
        <v>207</v>
      </c>
      <c r="H487">
        <v>702.35</v>
      </c>
      <c r="I487">
        <v>0</v>
      </c>
      <c r="J487" t="s">
        <v>15</v>
      </c>
      <c r="K487">
        <v>145386.45000000001</v>
      </c>
      <c r="L487" t="str">
        <f t="shared" si="28"/>
        <v>Jul</v>
      </c>
      <c r="M487">
        <f t="shared" si="29"/>
        <v>2025</v>
      </c>
      <c r="N487">
        <f t="shared" si="30"/>
        <v>145386.45000000001</v>
      </c>
      <c r="O487" t="str">
        <f t="shared" si="31"/>
        <v>On Time</v>
      </c>
    </row>
    <row r="488" spans="1:15" x14ac:dyDescent="0.25">
      <c r="A488">
        <v>487</v>
      </c>
      <c r="B488" s="2">
        <v>45779</v>
      </c>
      <c r="C488" t="s">
        <v>31</v>
      </c>
      <c r="D488" t="s">
        <v>19</v>
      </c>
      <c r="E488" t="s">
        <v>20</v>
      </c>
      <c r="F488" t="s">
        <v>21</v>
      </c>
      <c r="G488">
        <v>123</v>
      </c>
      <c r="H488">
        <v>572.77</v>
      </c>
      <c r="I488">
        <v>43</v>
      </c>
      <c r="J488" t="s">
        <v>15</v>
      </c>
      <c r="K488">
        <v>70450.710000000006</v>
      </c>
      <c r="L488" t="str">
        <f t="shared" si="28"/>
        <v>May</v>
      </c>
      <c r="M488">
        <f t="shared" si="29"/>
        <v>2025</v>
      </c>
      <c r="N488">
        <f t="shared" si="30"/>
        <v>70450.709999999992</v>
      </c>
      <c r="O488" t="str">
        <f t="shared" si="31"/>
        <v>Moderate Delay</v>
      </c>
    </row>
    <row r="489" spans="1:15" x14ac:dyDescent="0.25">
      <c r="A489">
        <v>488</v>
      </c>
      <c r="B489" s="2">
        <v>45664</v>
      </c>
      <c r="C489" t="s">
        <v>25</v>
      </c>
      <c r="D489" t="s">
        <v>22</v>
      </c>
      <c r="E489" t="s">
        <v>13</v>
      </c>
      <c r="F489" t="s">
        <v>24</v>
      </c>
      <c r="G489">
        <v>101</v>
      </c>
      <c r="H489">
        <v>519.22</v>
      </c>
      <c r="I489">
        <v>27</v>
      </c>
      <c r="J489" t="s">
        <v>15</v>
      </c>
      <c r="K489">
        <v>52441.22</v>
      </c>
      <c r="L489" t="str">
        <f t="shared" si="28"/>
        <v>Jan</v>
      </c>
      <c r="M489">
        <f t="shared" si="29"/>
        <v>2025</v>
      </c>
      <c r="N489">
        <f t="shared" si="30"/>
        <v>52441.22</v>
      </c>
      <c r="O489" t="str">
        <f t="shared" si="31"/>
        <v>Minor Delay</v>
      </c>
    </row>
    <row r="490" spans="1:15" x14ac:dyDescent="0.25">
      <c r="A490">
        <v>489</v>
      </c>
      <c r="B490" s="2">
        <v>45982</v>
      </c>
      <c r="C490" t="s">
        <v>25</v>
      </c>
      <c r="D490" t="s">
        <v>20</v>
      </c>
      <c r="E490" t="s">
        <v>19</v>
      </c>
      <c r="F490" t="s">
        <v>21</v>
      </c>
      <c r="G490">
        <v>215</v>
      </c>
      <c r="H490">
        <v>332.13</v>
      </c>
      <c r="I490">
        <v>0</v>
      </c>
      <c r="J490" t="s">
        <v>15</v>
      </c>
      <c r="K490">
        <v>71407.95</v>
      </c>
      <c r="L490" t="str">
        <f t="shared" si="28"/>
        <v>Nov</v>
      </c>
      <c r="M490">
        <f t="shared" si="29"/>
        <v>2025</v>
      </c>
      <c r="N490">
        <f t="shared" si="30"/>
        <v>71407.95</v>
      </c>
      <c r="O490" t="str">
        <f t="shared" si="31"/>
        <v>On Time</v>
      </c>
    </row>
    <row r="491" spans="1:15" x14ac:dyDescent="0.25">
      <c r="A491">
        <v>490</v>
      </c>
      <c r="B491" s="2">
        <v>45887</v>
      </c>
      <c r="C491" t="s">
        <v>11</v>
      </c>
      <c r="D491" t="s">
        <v>19</v>
      </c>
      <c r="E491" t="s">
        <v>22</v>
      </c>
      <c r="F491" t="s">
        <v>21</v>
      </c>
      <c r="G491">
        <v>69</v>
      </c>
      <c r="H491">
        <v>198.36</v>
      </c>
      <c r="I491">
        <v>0</v>
      </c>
      <c r="J491" t="s">
        <v>15</v>
      </c>
      <c r="K491">
        <v>13686.84</v>
      </c>
      <c r="L491" t="str">
        <f t="shared" si="28"/>
        <v>Aug</v>
      </c>
      <c r="M491">
        <f t="shared" si="29"/>
        <v>2025</v>
      </c>
      <c r="N491">
        <f t="shared" si="30"/>
        <v>13686.84</v>
      </c>
      <c r="O491" t="str">
        <f t="shared" si="31"/>
        <v>On Time</v>
      </c>
    </row>
    <row r="492" spans="1:15" x14ac:dyDescent="0.25">
      <c r="A492">
        <v>491</v>
      </c>
      <c r="B492" s="2">
        <v>45851</v>
      </c>
      <c r="C492" t="s">
        <v>16</v>
      </c>
      <c r="D492" t="s">
        <v>27</v>
      </c>
      <c r="E492" t="s">
        <v>12</v>
      </c>
      <c r="F492" t="s">
        <v>24</v>
      </c>
      <c r="G492">
        <v>121</v>
      </c>
      <c r="H492">
        <v>471.88</v>
      </c>
      <c r="I492">
        <v>42</v>
      </c>
      <c r="J492" t="s">
        <v>15</v>
      </c>
      <c r="K492">
        <v>57097.48</v>
      </c>
      <c r="L492" t="str">
        <f t="shared" si="28"/>
        <v>Jul</v>
      </c>
      <c r="M492">
        <f t="shared" si="29"/>
        <v>2025</v>
      </c>
      <c r="N492">
        <f t="shared" si="30"/>
        <v>57097.479999999996</v>
      </c>
      <c r="O492" t="str">
        <f t="shared" si="31"/>
        <v>Moderate Delay</v>
      </c>
    </row>
    <row r="493" spans="1:15" x14ac:dyDescent="0.25">
      <c r="A493">
        <v>492</v>
      </c>
      <c r="B493" s="2">
        <v>46021</v>
      </c>
      <c r="C493" t="s">
        <v>11</v>
      </c>
      <c r="D493" t="s">
        <v>22</v>
      </c>
      <c r="E493" t="s">
        <v>27</v>
      </c>
      <c r="F493" t="s">
        <v>14</v>
      </c>
      <c r="G493">
        <v>89</v>
      </c>
      <c r="H493">
        <v>747.18</v>
      </c>
      <c r="I493">
        <v>44</v>
      </c>
      <c r="J493" t="s">
        <v>15</v>
      </c>
      <c r="K493">
        <v>66499.02</v>
      </c>
      <c r="L493" t="str">
        <f t="shared" si="28"/>
        <v>Dec</v>
      </c>
      <c r="M493">
        <f t="shared" si="29"/>
        <v>2025</v>
      </c>
      <c r="N493">
        <f t="shared" si="30"/>
        <v>66499.01999999999</v>
      </c>
      <c r="O493" t="str">
        <f t="shared" si="31"/>
        <v>Moderate Delay</v>
      </c>
    </row>
    <row r="494" spans="1:15" x14ac:dyDescent="0.25">
      <c r="A494">
        <v>493</v>
      </c>
      <c r="B494" s="2">
        <v>45951</v>
      </c>
      <c r="C494" t="s">
        <v>31</v>
      </c>
      <c r="D494" t="s">
        <v>23</v>
      </c>
      <c r="E494" t="s">
        <v>27</v>
      </c>
      <c r="F494" t="s">
        <v>24</v>
      </c>
      <c r="G494">
        <v>68</v>
      </c>
      <c r="H494">
        <v>640.17999999999995</v>
      </c>
      <c r="I494">
        <v>12</v>
      </c>
      <c r="J494" t="s">
        <v>15</v>
      </c>
      <c r="K494">
        <v>43532.24</v>
      </c>
      <c r="L494" t="str">
        <f t="shared" si="28"/>
        <v>Oct</v>
      </c>
      <c r="M494">
        <f t="shared" si="29"/>
        <v>2025</v>
      </c>
      <c r="N494">
        <f t="shared" si="30"/>
        <v>43532.24</v>
      </c>
      <c r="O494" t="str">
        <f t="shared" si="31"/>
        <v>Minor Delay</v>
      </c>
    </row>
    <row r="495" spans="1:15" x14ac:dyDescent="0.25">
      <c r="A495">
        <v>494</v>
      </c>
      <c r="B495" s="2">
        <v>45870</v>
      </c>
      <c r="C495" t="s">
        <v>31</v>
      </c>
      <c r="D495" t="s">
        <v>12</v>
      </c>
      <c r="E495" t="s">
        <v>19</v>
      </c>
      <c r="F495" t="s">
        <v>21</v>
      </c>
      <c r="G495">
        <v>153</v>
      </c>
      <c r="H495">
        <v>128.04</v>
      </c>
      <c r="I495">
        <v>36</v>
      </c>
      <c r="J495" t="s">
        <v>15</v>
      </c>
      <c r="K495">
        <v>19590.12</v>
      </c>
      <c r="L495" t="str">
        <f t="shared" si="28"/>
        <v>Aug</v>
      </c>
      <c r="M495">
        <f t="shared" si="29"/>
        <v>2025</v>
      </c>
      <c r="N495">
        <f t="shared" si="30"/>
        <v>19590.12</v>
      </c>
      <c r="O495" t="str">
        <f t="shared" si="31"/>
        <v>Moderate Delay</v>
      </c>
    </row>
    <row r="496" spans="1:15" x14ac:dyDescent="0.25">
      <c r="A496">
        <v>495</v>
      </c>
      <c r="B496" s="2">
        <v>45827</v>
      </c>
      <c r="C496" t="s">
        <v>26</v>
      </c>
      <c r="D496" t="s">
        <v>19</v>
      </c>
      <c r="E496" t="s">
        <v>17</v>
      </c>
      <c r="F496" t="s">
        <v>24</v>
      </c>
      <c r="G496">
        <v>105</v>
      </c>
      <c r="H496">
        <v>763.23</v>
      </c>
      <c r="I496">
        <v>0</v>
      </c>
      <c r="J496" t="s">
        <v>15</v>
      </c>
      <c r="K496">
        <v>80139.149999999994</v>
      </c>
      <c r="L496" t="str">
        <f t="shared" si="28"/>
        <v>Jun</v>
      </c>
      <c r="M496">
        <f t="shared" si="29"/>
        <v>2025</v>
      </c>
      <c r="N496">
        <f t="shared" si="30"/>
        <v>80139.150000000009</v>
      </c>
      <c r="O496" t="str">
        <f t="shared" si="31"/>
        <v>On Time</v>
      </c>
    </row>
    <row r="497" spans="1:15" x14ac:dyDescent="0.25">
      <c r="A497">
        <v>496</v>
      </c>
      <c r="B497" s="2">
        <v>46000</v>
      </c>
      <c r="C497" t="s">
        <v>26</v>
      </c>
      <c r="D497" t="s">
        <v>13</v>
      </c>
      <c r="E497" t="s">
        <v>29</v>
      </c>
      <c r="F497" t="s">
        <v>24</v>
      </c>
      <c r="G497">
        <v>111</v>
      </c>
      <c r="H497">
        <v>729.33</v>
      </c>
      <c r="I497">
        <v>0</v>
      </c>
      <c r="J497" t="s">
        <v>15</v>
      </c>
      <c r="K497">
        <v>80955.63</v>
      </c>
      <c r="L497" t="str">
        <f t="shared" si="28"/>
        <v>Dec</v>
      </c>
      <c r="M497">
        <f t="shared" si="29"/>
        <v>2025</v>
      </c>
      <c r="N497">
        <f t="shared" si="30"/>
        <v>80955.63</v>
      </c>
      <c r="O497" t="str">
        <f t="shared" si="31"/>
        <v>On Time</v>
      </c>
    </row>
    <row r="498" spans="1:15" x14ac:dyDescent="0.25">
      <c r="A498">
        <v>497</v>
      </c>
      <c r="B498" s="2">
        <v>46007</v>
      </c>
      <c r="C498" t="s">
        <v>26</v>
      </c>
      <c r="D498" t="s">
        <v>19</v>
      </c>
      <c r="E498" t="s">
        <v>13</v>
      </c>
      <c r="F498" t="s">
        <v>24</v>
      </c>
      <c r="G498">
        <v>284</v>
      </c>
      <c r="H498">
        <v>649.19000000000005</v>
      </c>
      <c r="I498">
        <v>34</v>
      </c>
      <c r="J498" t="s">
        <v>15</v>
      </c>
      <c r="K498">
        <v>184369.96</v>
      </c>
      <c r="L498" t="str">
        <f t="shared" si="28"/>
        <v>Dec</v>
      </c>
      <c r="M498">
        <f t="shared" si="29"/>
        <v>2025</v>
      </c>
      <c r="N498">
        <f t="shared" si="30"/>
        <v>184369.96000000002</v>
      </c>
      <c r="O498" t="str">
        <f t="shared" si="31"/>
        <v>Moderate Delay</v>
      </c>
    </row>
    <row r="499" spans="1:15" x14ac:dyDescent="0.25">
      <c r="A499">
        <v>498</v>
      </c>
      <c r="B499" s="2">
        <v>45921</v>
      </c>
      <c r="C499" t="s">
        <v>31</v>
      </c>
      <c r="D499" t="s">
        <v>13</v>
      </c>
      <c r="E499" t="s">
        <v>17</v>
      </c>
      <c r="F499" t="s">
        <v>24</v>
      </c>
      <c r="G499">
        <v>174</v>
      </c>
      <c r="H499">
        <v>92.45</v>
      </c>
      <c r="I499">
        <v>32</v>
      </c>
      <c r="J499" t="s">
        <v>30</v>
      </c>
      <c r="K499">
        <v>16086.3</v>
      </c>
      <c r="L499" t="str">
        <f t="shared" si="28"/>
        <v>Sep</v>
      </c>
      <c r="M499">
        <f t="shared" si="29"/>
        <v>2025</v>
      </c>
      <c r="N499">
        <f t="shared" si="30"/>
        <v>16086.300000000001</v>
      </c>
      <c r="O499" t="str">
        <f t="shared" si="31"/>
        <v>Moderate Delay</v>
      </c>
    </row>
    <row r="500" spans="1:15" x14ac:dyDescent="0.25">
      <c r="A500">
        <v>499</v>
      </c>
      <c r="B500" s="2">
        <v>45921</v>
      </c>
      <c r="C500" t="s">
        <v>16</v>
      </c>
      <c r="D500" t="s">
        <v>19</v>
      </c>
      <c r="E500" t="s">
        <v>17</v>
      </c>
      <c r="F500" t="s">
        <v>14</v>
      </c>
      <c r="G500">
        <v>92</v>
      </c>
      <c r="H500">
        <v>779.01</v>
      </c>
      <c r="I500">
        <v>24</v>
      </c>
      <c r="J500" t="s">
        <v>15</v>
      </c>
      <c r="K500">
        <v>71668.92</v>
      </c>
      <c r="L500" t="str">
        <f t="shared" si="28"/>
        <v>Sep</v>
      </c>
      <c r="M500">
        <f t="shared" si="29"/>
        <v>2025</v>
      </c>
      <c r="N500">
        <f t="shared" si="30"/>
        <v>71668.92</v>
      </c>
      <c r="O500" t="str">
        <f t="shared" si="31"/>
        <v>Minor Delay</v>
      </c>
    </row>
    <row r="501" spans="1:15" x14ac:dyDescent="0.25">
      <c r="A501">
        <v>500</v>
      </c>
      <c r="B501" s="2">
        <v>46008</v>
      </c>
      <c r="C501" t="s">
        <v>18</v>
      </c>
      <c r="D501" t="s">
        <v>19</v>
      </c>
      <c r="E501" t="s">
        <v>23</v>
      </c>
      <c r="F501" t="s">
        <v>14</v>
      </c>
      <c r="G501">
        <v>102</v>
      </c>
      <c r="H501">
        <v>457.94</v>
      </c>
      <c r="I501">
        <v>0</v>
      </c>
      <c r="J501" t="s">
        <v>15</v>
      </c>
      <c r="K501">
        <v>46709.88</v>
      </c>
      <c r="L501" t="str">
        <f t="shared" si="28"/>
        <v>Dec</v>
      </c>
      <c r="M501">
        <f t="shared" si="29"/>
        <v>2025</v>
      </c>
      <c r="N501">
        <f t="shared" si="30"/>
        <v>46709.88</v>
      </c>
      <c r="O501" t="str">
        <f t="shared" si="31"/>
        <v>On Time</v>
      </c>
    </row>
    <row r="502" spans="1:15" x14ac:dyDescent="0.25">
      <c r="A502">
        <v>501</v>
      </c>
      <c r="B502" s="2">
        <v>46009</v>
      </c>
      <c r="C502" t="s">
        <v>11</v>
      </c>
      <c r="D502" t="s">
        <v>17</v>
      </c>
      <c r="E502" t="s">
        <v>12</v>
      </c>
      <c r="F502" t="s">
        <v>14</v>
      </c>
      <c r="G502">
        <v>167</v>
      </c>
      <c r="H502">
        <v>590.48</v>
      </c>
      <c r="I502">
        <v>29</v>
      </c>
      <c r="J502" t="s">
        <v>15</v>
      </c>
      <c r="K502">
        <v>98610.16</v>
      </c>
      <c r="L502" t="str">
        <f t="shared" si="28"/>
        <v>Dec</v>
      </c>
      <c r="M502">
        <f t="shared" si="29"/>
        <v>2025</v>
      </c>
      <c r="N502">
        <f t="shared" si="30"/>
        <v>98610.16</v>
      </c>
      <c r="O502" t="str">
        <f t="shared" si="31"/>
        <v>Minor Delay</v>
      </c>
    </row>
    <row r="503" spans="1:15" x14ac:dyDescent="0.25">
      <c r="A503">
        <v>502</v>
      </c>
      <c r="B503" s="2">
        <v>45952</v>
      </c>
      <c r="C503" t="s">
        <v>11</v>
      </c>
      <c r="D503" t="s">
        <v>23</v>
      </c>
      <c r="E503" t="s">
        <v>12</v>
      </c>
      <c r="F503" t="s">
        <v>24</v>
      </c>
      <c r="G503">
        <v>154</v>
      </c>
      <c r="H503">
        <v>347.14</v>
      </c>
      <c r="I503">
        <v>22</v>
      </c>
      <c r="J503" t="s">
        <v>15</v>
      </c>
      <c r="K503">
        <v>53459.56</v>
      </c>
      <c r="L503" t="str">
        <f t="shared" si="28"/>
        <v>Oct</v>
      </c>
      <c r="M503">
        <f t="shared" si="29"/>
        <v>2025</v>
      </c>
      <c r="N503">
        <f t="shared" si="30"/>
        <v>53459.56</v>
      </c>
      <c r="O503" t="str">
        <f t="shared" si="31"/>
        <v>Minor Delay</v>
      </c>
    </row>
    <row r="504" spans="1:15" x14ac:dyDescent="0.25">
      <c r="A504">
        <v>503</v>
      </c>
      <c r="B504" s="2">
        <v>45666</v>
      </c>
      <c r="C504" t="s">
        <v>18</v>
      </c>
      <c r="D504" t="s">
        <v>17</v>
      </c>
      <c r="E504" t="s">
        <v>22</v>
      </c>
      <c r="F504" t="s">
        <v>21</v>
      </c>
      <c r="G504">
        <v>80</v>
      </c>
      <c r="H504">
        <v>455.78</v>
      </c>
      <c r="I504">
        <v>0</v>
      </c>
      <c r="J504" t="s">
        <v>15</v>
      </c>
      <c r="K504">
        <v>36462.400000000001</v>
      </c>
      <c r="L504" t="str">
        <f t="shared" si="28"/>
        <v>Jan</v>
      </c>
      <c r="M504">
        <f t="shared" si="29"/>
        <v>2025</v>
      </c>
      <c r="N504">
        <f t="shared" si="30"/>
        <v>36462.399999999994</v>
      </c>
      <c r="O504" t="str">
        <f t="shared" si="31"/>
        <v>On Time</v>
      </c>
    </row>
    <row r="505" spans="1:15" x14ac:dyDescent="0.25">
      <c r="A505">
        <v>504</v>
      </c>
      <c r="B505" s="2">
        <v>45841</v>
      </c>
      <c r="C505" t="s">
        <v>31</v>
      </c>
      <c r="D505" t="s">
        <v>13</v>
      </c>
      <c r="E505" t="s">
        <v>29</v>
      </c>
      <c r="F505" t="s">
        <v>14</v>
      </c>
      <c r="G505">
        <v>124</v>
      </c>
      <c r="H505">
        <v>642.29999999999995</v>
      </c>
      <c r="I505">
        <v>0</v>
      </c>
      <c r="J505" t="s">
        <v>15</v>
      </c>
      <c r="K505">
        <v>79645.2</v>
      </c>
      <c r="L505" t="str">
        <f t="shared" si="28"/>
        <v>Jul</v>
      </c>
      <c r="M505">
        <f t="shared" si="29"/>
        <v>2025</v>
      </c>
      <c r="N505">
        <f t="shared" si="30"/>
        <v>79645.2</v>
      </c>
      <c r="O505" t="str">
        <f t="shared" si="31"/>
        <v>On Time</v>
      </c>
    </row>
    <row r="506" spans="1:15" x14ac:dyDescent="0.25">
      <c r="A506">
        <v>505</v>
      </c>
      <c r="B506" s="2">
        <v>45882</v>
      </c>
      <c r="C506" t="s">
        <v>18</v>
      </c>
      <c r="D506" t="s">
        <v>12</v>
      </c>
      <c r="E506" t="s">
        <v>22</v>
      </c>
      <c r="F506" t="s">
        <v>24</v>
      </c>
      <c r="G506">
        <v>260</v>
      </c>
      <c r="H506">
        <v>548.94000000000005</v>
      </c>
      <c r="I506">
        <v>0</v>
      </c>
      <c r="J506" t="s">
        <v>15</v>
      </c>
      <c r="K506">
        <v>142724.4</v>
      </c>
      <c r="L506" t="str">
        <f t="shared" si="28"/>
        <v>Aug</v>
      </c>
      <c r="M506">
        <f t="shared" si="29"/>
        <v>2025</v>
      </c>
      <c r="N506">
        <f t="shared" si="30"/>
        <v>142724.40000000002</v>
      </c>
      <c r="O506" t="str">
        <f t="shared" si="31"/>
        <v>On Time</v>
      </c>
    </row>
    <row r="507" spans="1:15" x14ac:dyDescent="0.25">
      <c r="A507">
        <v>506</v>
      </c>
      <c r="B507" s="2">
        <v>45982</v>
      </c>
      <c r="C507" t="s">
        <v>11</v>
      </c>
      <c r="D507" t="s">
        <v>17</v>
      </c>
      <c r="E507" t="s">
        <v>23</v>
      </c>
      <c r="F507" t="s">
        <v>24</v>
      </c>
      <c r="G507">
        <v>223</v>
      </c>
      <c r="H507">
        <v>716.36</v>
      </c>
      <c r="I507">
        <v>25</v>
      </c>
      <c r="J507" t="s">
        <v>30</v>
      </c>
      <c r="K507">
        <v>159748.28</v>
      </c>
      <c r="L507" t="str">
        <f t="shared" si="28"/>
        <v>Nov</v>
      </c>
      <c r="M507">
        <f t="shared" si="29"/>
        <v>2025</v>
      </c>
      <c r="N507">
        <f t="shared" si="30"/>
        <v>159748.28</v>
      </c>
      <c r="O507" t="str">
        <f t="shared" si="31"/>
        <v>Minor Delay</v>
      </c>
    </row>
    <row r="508" spans="1:15" x14ac:dyDescent="0.25">
      <c r="A508">
        <v>507</v>
      </c>
      <c r="B508" s="2">
        <v>45941</v>
      </c>
      <c r="C508" t="s">
        <v>31</v>
      </c>
      <c r="D508" t="s">
        <v>22</v>
      </c>
      <c r="E508" t="s">
        <v>13</v>
      </c>
      <c r="F508" t="s">
        <v>14</v>
      </c>
      <c r="G508">
        <v>81</v>
      </c>
      <c r="H508">
        <v>90.91</v>
      </c>
      <c r="I508">
        <v>0</v>
      </c>
      <c r="J508" t="s">
        <v>15</v>
      </c>
      <c r="K508">
        <v>7363.71</v>
      </c>
      <c r="L508" t="str">
        <f t="shared" si="28"/>
        <v>Oct</v>
      </c>
      <c r="M508">
        <f t="shared" si="29"/>
        <v>2025</v>
      </c>
      <c r="N508">
        <f t="shared" si="30"/>
        <v>7363.71</v>
      </c>
      <c r="O508" t="str">
        <f t="shared" si="31"/>
        <v>On Time</v>
      </c>
    </row>
    <row r="509" spans="1:15" x14ac:dyDescent="0.25">
      <c r="A509">
        <v>508</v>
      </c>
      <c r="B509" s="2">
        <v>45765</v>
      </c>
      <c r="C509" t="s">
        <v>25</v>
      </c>
      <c r="D509" t="s">
        <v>12</v>
      </c>
      <c r="E509" t="s">
        <v>22</v>
      </c>
      <c r="F509" t="s">
        <v>21</v>
      </c>
      <c r="G509">
        <v>281</v>
      </c>
      <c r="H509">
        <v>597.19000000000005</v>
      </c>
      <c r="I509">
        <v>8</v>
      </c>
      <c r="J509" t="s">
        <v>15</v>
      </c>
      <c r="K509">
        <v>167810.39</v>
      </c>
      <c r="L509" t="str">
        <f t="shared" si="28"/>
        <v>Apr</v>
      </c>
      <c r="M509">
        <f t="shared" si="29"/>
        <v>2025</v>
      </c>
      <c r="N509">
        <f t="shared" si="30"/>
        <v>167810.39</v>
      </c>
      <c r="O509" t="str">
        <f t="shared" si="31"/>
        <v>Minor Delay</v>
      </c>
    </row>
    <row r="510" spans="1:15" x14ac:dyDescent="0.25">
      <c r="A510">
        <v>509</v>
      </c>
      <c r="B510" s="2">
        <v>45740</v>
      </c>
      <c r="C510" t="s">
        <v>11</v>
      </c>
      <c r="D510" t="s">
        <v>27</v>
      </c>
      <c r="E510" t="s">
        <v>29</v>
      </c>
      <c r="F510" t="s">
        <v>14</v>
      </c>
      <c r="G510">
        <v>207</v>
      </c>
      <c r="H510">
        <v>677.71</v>
      </c>
      <c r="I510">
        <v>25</v>
      </c>
      <c r="J510" t="s">
        <v>15</v>
      </c>
      <c r="K510">
        <v>140285.97</v>
      </c>
      <c r="L510" t="str">
        <f t="shared" si="28"/>
        <v>Mar</v>
      </c>
      <c r="M510">
        <f t="shared" si="29"/>
        <v>2025</v>
      </c>
      <c r="N510">
        <f t="shared" si="30"/>
        <v>140285.97</v>
      </c>
      <c r="O510" t="str">
        <f t="shared" si="31"/>
        <v>Minor Delay</v>
      </c>
    </row>
    <row r="511" spans="1:15" x14ac:dyDescent="0.25">
      <c r="A511">
        <v>510</v>
      </c>
      <c r="B511" s="2">
        <v>45988</v>
      </c>
      <c r="C511" t="s">
        <v>31</v>
      </c>
      <c r="D511" t="s">
        <v>13</v>
      </c>
      <c r="E511" t="s">
        <v>27</v>
      </c>
      <c r="F511" t="s">
        <v>14</v>
      </c>
      <c r="G511">
        <v>124</v>
      </c>
      <c r="H511">
        <v>557.04999999999995</v>
      </c>
      <c r="I511">
        <v>34</v>
      </c>
      <c r="J511" t="s">
        <v>15</v>
      </c>
      <c r="K511">
        <v>69074.2</v>
      </c>
      <c r="L511" t="str">
        <f t="shared" si="28"/>
        <v>Nov</v>
      </c>
      <c r="M511">
        <f t="shared" si="29"/>
        <v>2025</v>
      </c>
      <c r="N511">
        <f t="shared" si="30"/>
        <v>69074.2</v>
      </c>
      <c r="O511" t="str">
        <f t="shared" si="31"/>
        <v>Moderate Delay</v>
      </c>
    </row>
    <row r="512" spans="1:15" x14ac:dyDescent="0.25">
      <c r="A512">
        <v>511</v>
      </c>
      <c r="B512" s="2">
        <v>45827</v>
      </c>
      <c r="C512" t="s">
        <v>26</v>
      </c>
      <c r="D512" t="s">
        <v>19</v>
      </c>
      <c r="E512" t="s">
        <v>27</v>
      </c>
      <c r="F512" t="s">
        <v>14</v>
      </c>
      <c r="G512">
        <v>221</v>
      </c>
      <c r="H512">
        <v>545.04999999999995</v>
      </c>
      <c r="I512">
        <v>48</v>
      </c>
      <c r="J512" t="s">
        <v>30</v>
      </c>
      <c r="K512">
        <v>120456.05</v>
      </c>
      <c r="L512" t="str">
        <f t="shared" si="28"/>
        <v>Jun</v>
      </c>
      <c r="M512">
        <f t="shared" si="29"/>
        <v>2025</v>
      </c>
      <c r="N512">
        <f t="shared" si="30"/>
        <v>120456.04999999999</v>
      </c>
      <c r="O512" t="str">
        <f t="shared" si="31"/>
        <v>Moderate Delay</v>
      </c>
    </row>
    <row r="513" spans="1:15" x14ac:dyDescent="0.25">
      <c r="A513">
        <v>512</v>
      </c>
      <c r="B513" s="2">
        <v>45888</v>
      </c>
      <c r="C513" t="s">
        <v>26</v>
      </c>
      <c r="D513" t="s">
        <v>22</v>
      </c>
      <c r="E513" t="s">
        <v>27</v>
      </c>
      <c r="F513" t="s">
        <v>21</v>
      </c>
      <c r="G513">
        <v>218</v>
      </c>
      <c r="H513">
        <v>286.2</v>
      </c>
      <c r="I513">
        <v>40</v>
      </c>
      <c r="J513" t="s">
        <v>15</v>
      </c>
      <c r="K513">
        <v>62391.6</v>
      </c>
      <c r="L513" t="str">
        <f t="shared" si="28"/>
        <v>Aug</v>
      </c>
      <c r="M513">
        <f t="shared" si="29"/>
        <v>2025</v>
      </c>
      <c r="N513">
        <f t="shared" si="30"/>
        <v>62391.6</v>
      </c>
      <c r="O513" t="str">
        <f t="shared" si="31"/>
        <v>Moderate Delay</v>
      </c>
    </row>
    <row r="514" spans="1:15" x14ac:dyDescent="0.25">
      <c r="A514">
        <v>513</v>
      </c>
      <c r="B514" s="2">
        <v>45877</v>
      </c>
      <c r="C514" t="s">
        <v>11</v>
      </c>
      <c r="D514" t="s">
        <v>22</v>
      </c>
      <c r="E514" t="s">
        <v>17</v>
      </c>
      <c r="F514" t="s">
        <v>14</v>
      </c>
      <c r="G514">
        <v>130</v>
      </c>
      <c r="H514">
        <v>242.17</v>
      </c>
      <c r="I514">
        <v>27</v>
      </c>
      <c r="J514" t="s">
        <v>15</v>
      </c>
      <c r="K514">
        <v>31482.1</v>
      </c>
      <c r="L514" t="str">
        <f t="shared" si="28"/>
        <v>Aug</v>
      </c>
      <c r="M514">
        <f t="shared" si="29"/>
        <v>2025</v>
      </c>
      <c r="N514">
        <f t="shared" si="30"/>
        <v>31482.1</v>
      </c>
      <c r="O514" t="str">
        <f t="shared" si="31"/>
        <v>Minor Delay</v>
      </c>
    </row>
    <row r="515" spans="1:15" x14ac:dyDescent="0.25">
      <c r="A515">
        <v>514</v>
      </c>
      <c r="B515" s="2">
        <v>46005</v>
      </c>
      <c r="C515" t="s">
        <v>25</v>
      </c>
      <c r="D515" t="s">
        <v>22</v>
      </c>
      <c r="E515" t="s">
        <v>29</v>
      </c>
      <c r="F515" t="s">
        <v>24</v>
      </c>
      <c r="G515">
        <v>274</v>
      </c>
      <c r="H515">
        <v>415.17</v>
      </c>
      <c r="I515">
        <v>60</v>
      </c>
      <c r="J515" t="s">
        <v>15</v>
      </c>
      <c r="K515">
        <v>113756.58</v>
      </c>
      <c r="L515" t="str">
        <f t="shared" ref="L515:L578" si="32">TEXT(B515,"MMM")</f>
        <v>Dec</v>
      </c>
      <c r="M515">
        <f t="shared" ref="M515:M578" si="33">YEAR(B515)</f>
        <v>2025</v>
      </c>
      <c r="N515">
        <f t="shared" ref="N515:N578" si="34">G515*H515</f>
        <v>113756.58</v>
      </c>
      <c r="O515" t="str">
        <f t="shared" ref="O515:O578" si="35">IF(I515=0,"On Time",IF(I515&lt;=30,"Minor Delay",IF(I515&lt;=60,"Moderate Delay","Major Delay")))</f>
        <v>Moderate Delay</v>
      </c>
    </row>
    <row r="516" spans="1:15" x14ac:dyDescent="0.25">
      <c r="A516">
        <v>515</v>
      </c>
      <c r="B516" s="2">
        <v>45940</v>
      </c>
      <c r="C516" t="s">
        <v>16</v>
      </c>
      <c r="D516" t="s">
        <v>23</v>
      </c>
      <c r="E516" t="s">
        <v>27</v>
      </c>
      <c r="F516" t="s">
        <v>14</v>
      </c>
      <c r="G516">
        <v>215</v>
      </c>
      <c r="H516">
        <v>508.9</v>
      </c>
      <c r="I516">
        <v>46</v>
      </c>
      <c r="J516" t="s">
        <v>15</v>
      </c>
      <c r="K516">
        <v>109413.5</v>
      </c>
      <c r="L516" t="str">
        <f t="shared" si="32"/>
        <v>Oct</v>
      </c>
      <c r="M516">
        <f t="shared" si="33"/>
        <v>2025</v>
      </c>
      <c r="N516">
        <f t="shared" si="34"/>
        <v>109413.5</v>
      </c>
      <c r="O516" t="str">
        <f t="shared" si="35"/>
        <v>Moderate Delay</v>
      </c>
    </row>
    <row r="517" spans="1:15" x14ac:dyDescent="0.25">
      <c r="A517">
        <v>516</v>
      </c>
      <c r="B517" s="2">
        <v>45792</v>
      </c>
      <c r="C517" t="s">
        <v>25</v>
      </c>
      <c r="D517" t="s">
        <v>27</v>
      </c>
      <c r="E517" t="s">
        <v>19</v>
      </c>
      <c r="F517" t="s">
        <v>21</v>
      </c>
      <c r="G517">
        <v>69</v>
      </c>
      <c r="H517">
        <v>598.29</v>
      </c>
      <c r="I517">
        <v>0</v>
      </c>
      <c r="J517" t="s">
        <v>30</v>
      </c>
      <c r="K517">
        <v>41282.01</v>
      </c>
      <c r="L517" t="str">
        <f t="shared" si="32"/>
        <v>May</v>
      </c>
      <c r="M517">
        <f t="shared" si="33"/>
        <v>2025</v>
      </c>
      <c r="N517">
        <f t="shared" si="34"/>
        <v>41282.009999999995</v>
      </c>
      <c r="O517" t="str">
        <f t="shared" si="35"/>
        <v>On Time</v>
      </c>
    </row>
    <row r="518" spans="1:15" x14ac:dyDescent="0.25">
      <c r="A518">
        <v>517</v>
      </c>
      <c r="B518" s="2">
        <v>45955</v>
      </c>
      <c r="C518" t="s">
        <v>31</v>
      </c>
      <c r="D518" t="s">
        <v>27</v>
      </c>
      <c r="E518" t="s">
        <v>13</v>
      </c>
      <c r="F518" t="s">
        <v>24</v>
      </c>
      <c r="G518">
        <v>246</v>
      </c>
      <c r="H518">
        <v>496.63</v>
      </c>
      <c r="I518">
        <v>46</v>
      </c>
      <c r="J518" t="s">
        <v>15</v>
      </c>
      <c r="K518">
        <v>122170.98</v>
      </c>
      <c r="L518" t="str">
        <f t="shared" si="32"/>
        <v>Oct</v>
      </c>
      <c r="M518">
        <f t="shared" si="33"/>
        <v>2025</v>
      </c>
      <c r="N518">
        <f t="shared" si="34"/>
        <v>122170.98</v>
      </c>
      <c r="O518" t="str">
        <f t="shared" si="35"/>
        <v>Moderate Delay</v>
      </c>
    </row>
    <row r="519" spans="1:15" x14ac:dyDescent="0.25">
      <c r="A519">
        <v>518</v>
      </c>
      <c r="B519" s="2">
        <v>45992</v>
      </c>
      <c r="C519" t="s">
        <v>11</v>
      </c>
      <c r="D519" t="s">
        <v>27</v>
      </c>
      <c r="E519" t="s">
        <v>20</v>
      </c>
      <c r="F519" t="s">
        <v>24</v>
      </c>
      <c r="G519">
        <v>150</v>
      </c>
      <c r="H519">
        <v>225.25</v>
      </c>
      <c r="I519">
        <v>2</v>
      </c>
      <c r="J519" t="s">
        <v>15</v>
      </c>
      <c r="K519">
        <v>33787.5</v>
      </c>
      <c r="L519" t="str">
        <f t="shared" si="32"/>
        <v>Dec</v>
      </c>
      <c r="M519">
        <f t="shared" si="33"/>
        <v>2025</v>
      </c>
      <c r="N519">
        <f t="shared" si="34"/>
        <v>33787.5</v>
      </c>
      <c r="O519" t="str">
        <f t="shared" si="35"/>
        <v>Minor Delay</v>
      </c>
    </row>
    <row r="520" spans="1:15" x14ac:dyDescent="0.25">
      <c r="A520">
        <v>519</v>
      </c>
      <c r="B520" s="2">
        <v>45895</v>
      </c>
      <c r="C520" t="s">
        <v>31</v>
      </c>
      <c r="D520" t="s">
        <v>23</v>
      </c>
      <c r="E520" t="s">
        <v>29</v>
      </c>
      <c r="F520" t="s">
        <v>21</v>
      </c>
      <c r="G520">
        <v>73</v>
      </c>
      <c r="H520">
        <v>353.62</v>
      </c>
      <c r="I520">
        <v>0</v>
      </c>
      <c r="J520" t="s">
        <v>30</v>
      </c>
      <c r="K520">
        <v>25814.26</v>
      </c>
      <c r="L520" t="str">
        <f t="shared" si="32"/>
        <v>Aug</v>
      </c>
      <c r="M520">
        <f t="shared" si="33"/>
        <v>2025</v>
      </c>
      <c r="N520">
        <f t="shared" si="34"/>
        <v>25814.260000000002</v>
      </c>
      <c r="O520" t="str">
        <f t="shared" si="35"/>
        <v>On Time</v>
      </c>
    </row>
    <row r="521" spans="1:15" x14ac:dyDescent="0.25">
      <c r="A521">
        <v>520</v>
      </c>
      <c r="B521" s="2">
        <v>45886</v>
      </c>
      <c r="C521" t="s">
        <v>11</v>
      </c>
      <c r="D521" t="s">
        <v>29</v>
      </c>
      <c r="E521" t="s">
        <v>19</v>
      </c>
      <c r="F521" t="s">
        <v>14</v>
      </c>
      <c r="G521">
        <v>194</v>
      </c>
      <c r="H521">
        <v>762.05</v>
      </c>
      <c r="I521">
        <v>19</v>
      </c>
      <c r="J521" t="s">
        <v>15</v>
      </c>
      <c r="K521">
        <v>147837.70000000001</v>
      </c>
      <c r="L521" t="str">
        <f t="shared" si="32"/>
        <v>Aug</v>
      </c>
      <c r="M521">
        <f t="shared" si="33"/>
        <v>2025</v>
      </c>
      <c r="N521">
        <f t="shared" si="34"/>
        <v>147837.69999999998</v>
      </c>
      <c r="O521" t="str">
        <f t="shared" si="35"/>
        <v>Minor Delay</v>
      </c>
    </row>
    <row r="522" spans="1:15" x14ac:dyDescent="0.25">
      <c r="A522">
        <v>521</v>
      </c>
      <c r="B522" s="2">
        <v>45841</v>
      </c>
      <c r="C522" t="s">
        <v>16</v>
      </c>
      <c r="D522" t="s">
        <v>29</v>
      </c>
      <c r="E522" t="s">
        <v>27</v>
      </c>
      <c r="F522" t="s">
        <v>14</v>
      </c>
      <c r="G522">
        <v>244</v>
      </c>
      <c r="H522">
        <v>420.86</v>
      </c>
      <c r="I522">
        <v>42</v>
      </c>
      <c r="J522" t="s">
        <v>15</v>
      </c>
      <c r="K522">
        <v>102689.84</v>
      </c>
      <c r="L522" t="str">
        <f t="shared" si="32"/>
        <v>Jul</v>
      </c>
      <c r="M522">
        <f t="shared" si="33"/>
        <v>2025</v>
      </c>
      <c r="N522">
        <f t="shared" si="34"/>
        <v>102689.84</v>
      </c>
      <c r="O522" t="str">
        <f t="shared" si="35"/>
        <v>Moderate Delay</v>
      </c>
    </row>
    <row r="523" spans="1:15" x14ac:dyDescent="0.25">
      <c r="A523">
        <v>522</v>
      </c>
      <c r="B523" s="2">
        <v>45856</v>
      </c>
      <c r="C523" t="s">
        <v>18</v>
      </c>
      <c r="D523" t="s">
        <v>19</v>
      </c>
      <c r="E523" t="s">
        <v>17</v>
      </c>
      <c r="F523" t="s">
        <v>24</v>
      </c>
      <c r="G523">
        <v>275</v>
      </c>
      <c r="H523">
        <v>94.36</v>
      </c>
      <c r="I523">
        <v>29</v>
      </c>
      <c r="J523" t="s">
        <v>28</v>
      </c>
      <c r="K523">
        <v>25949</v>
      </c>
      <c r="L523" t="str">
        <f t="shared" si="32"/>
        <v>Jul</v>
      </c>
      <c r="M523">
        <f t="shared" si="33"/>
        <v>2025</v>
      </c>
      <c r="N523">
        <f t="shared" si="34"/>
        <v>25949</v>
      </c>
      <c r="O523" t="str">
        <f t="shared" si="35"/>
        <v>Minor Delay</v>
      </c>
    </row>
    <row r="524" spans="1:15" x14ac:dyDescent="0.25">
      <c r="A524">
        <v>523</v>
      </c>
      <c r="B524" s="2">
        <v>46018</v>
      </c>
      <c r="C524" t="s">
        <v>31</v>
      </c>
      <c r="D524" t="s">
        <v>22</v>
      </c>
      <c r="E524" t="s">
        <v>12</v>
      </c>
      <c r="F524" t="s">
        <v>21</v>
      </c>
      <c r="G524">
        <v>262</v>
      </c>
      <c r="H524">
        <v>262.39</v>
      </c>
      <c r="I524">
        <v>18</v>
      </c>
      <c r="J524" t="s">
        <v>15</v>
      </c>
      <c r="K524">
        <v>68746.179999999993</v>
      </c>
      <c r="L524" t="str">
        <f t="shared" si="32"/>
        <v>Dec</v>
      </c>
      <c r="M524">
        <f t="shared" si="33"/>
        <v>2025</v>
      </c>
      <c r="N524">
        <f t="shared" si="34"/>
        <v>68746.179999999993</v>
      </c>
      <c r="O524" t="str">
        <f t="shared" si="35"/>
        <v>Minor Delay</v>
      </c>
    </row>
    <row r="525" spans="1:15" x14ac:dyDescent="0.25">
      <c r="A525">
        <v>524</v>
      </c>
      <c r="B525" s="2">
        <v>45845</v>
      </c>
      <c r="C525" t="s">
        <v>31</v>
      </c>
      <c r="D525" t="s">
        <v>17</v>
      </c>
      <c r="E525" t="s">
        <v>20</v>
      </c>
      <c r="F525" t="s">
        <v>21</v>
      </c>
      <c r="G525">
        <v>279</v>
      </c>
      <c r="H525">
        <v>678.25</v>
      </c>
      <c r="I525">
        <v>0</v>
      </c>
      <c r="J525" t="s">
        <v>15</v>
      </c>
      <c r="K525">
        <v>189231.75</v>
      </c>
      <c r="L525" t="str">
        <f t="shared" si="32"/>
        <v>Jul</v>
      </c>
      <c r="M525">
        <f t="shared" si="33"/>
        <v>2025</v>
      </c>
      <c r="N525">
        <f t="shared" si="34"/>
        <v>189231.75</v>
      </c>
      <c r="O525" t="str">
        <f t="shared" si="35"/>
        <v>On Time</v>
      </c>
    </row>
    <row r="526" spans="1:15" x14ac:dyDescent="0.25">
      <c r="A526">
        <v>525</v>
      </c>
      <c r="B526" s="2">
        <v>45922</v>
      </c>
      <c r="C526" t="s">
        <v>18</v>
      </c>
      <c r="D526" t="s">
        <v>17</v>
      </c>
      <c r="E526" t="s">
        <v>19</v>
      </c>
      <c r="F526" t="s">
        <v>24</v>
      </c>
      <c r="G526">
        <v>259</v>
      </c>
      <c r="H526">
        <v>702.11</v>
      </c>
      <c r="I526">
        <v>0</v>
      </c>
      <c r="J526" t="s">
        <v>15</v>
      </c>
      <c r="K526">
        <v>181846.49</v>
      </c>
      <c r="L526" t="str">
        <f t="shared" si="32"/>
        <v>Sep</v>
      </c>
      <c r="M526">
        <f t="shared" si="33"/>
        <v>2025</v>
      </c>
      <c r="N526">
        <f t="shared" si="34"/>
        <v>181846.49</v>
      </c>
      <c r="O526" t="str">
        <f t="shared" si="35"/>
        <v>On Time</v>
      </c>
    </row>
    <row r="527" spans="1:15" x14ac:dyDescent="0.25">
      <c r="A527">
        <v>526</v>
      </c>
      <c r="B527" s="2">
        <v>45883</v>
      </c>
      <c r="C527" t="s">
        <v>11</v>
      </c>
      <c r="D527" t="s">
        <v>27</v>
      </c>
      <c r="E527" t="s">
        <v>29</v>
      </c>
      <c r="F527" t="s">
        <v>14</v>
      </c>
      <c r="G527">
        <v>69</v>
      </c>
      <c r="H527">
        <v>440.76</v>
      </c>
      <c r="I527">
        <v>22</v>
      </c>
      <c r="J527" t="s">
        <v>15</v>
      </c>
      <c r="K527">
        <v>30412.44</v>
      </c>
      <c r="L527" t="str">
        <f t="shared" si="32"/>
        <v>Aug</v>
      </c>
      <c r="M527">
        <f t="shared" si="33"/>
        <v>2025</v>
      </c>
      <c r="N527">
        <f t="shared" si="34"/>
        <v>30412.44</v>
      </c>
      <c r="O527" t="str">
        <f t="shared" si="35"/>
        <v>Minor Delay</v>
      </c>
    </row>
    <row r="528" spans="1:15" x14ac:dyDescent="0.25">
      <c r="A528">
        <v>527</v>
      </c>
      <c r="B528" s="2">
        <v>45738</v>
      </c>
      <c r="C528" t="s">
        <v>26</v>
      </c>
      <c r="D528" t="s">
        <v>29</v>
      </c>
      <c r="E528" t="s">
        <v>19</v>
      </c>
      <c r="F528" t="s">
        <v>21</v>
      </c>
      <c r="G528">
        <v>233</v>
      </c>
      <c r="H528">
        <v>664.55</v>
      </c>
      <c r="I528">
        <v>6</v>
      </c>
      <c r="J528" t="s">
        <v>15</v>
      </c>
      <c r="K528">
        <v>154840.15</v>
      </c>
      <c r="L528" t="str">
        <f t="shared" si="32"/>
        <v>Mar</v>
      </c>
      <c r="M528">
        <f t="shared" si="33"/>
        <v>2025</v>
      </c>
      <c r="N528">
        <f t="shared" si="34"/>
        <v>154840.15</v>
      </c>
      <c r="O528" t="str">
        <f t="shared" si="35"/>
        <v>Minor Delay</v>
      </c>
    </row>
    <row r="529" spans="1:15" x14ac:dyDescent="0.25">
      <c r="A529">
        <v>528</v>
      </c>
      <c r="B529" s="2">
        <v>46003</v>
      </c>
      <c r="C529" t="s">
        <v>18</v>
      </c>
      <c r="D529" t="s">
        <v>12</v>
      </c>
      <c r="E529" t="s">
        <v>27</v>
      </c>
      <c r="F529" t="s">
        <v>24</v>
      </c>
      <c r="G529">
        <v>103</v>
      </c>
      <c r="H529">
        <v>497.19</v>
      </c>
      <c r="I529">
        <v>0</v>
      </c>
      <c r="J529" t="s">
        <v>15</v>
      </c>
      <c r="K529">
        <v>51210.57</v>
      </c>
      <c r="L529" t="str">
        <f t="shared" si="32"/>
        <v>Dec</v>
      </c>
      <c r="M529">
        <f t="shared" si="33"/>
        <v>2025</v>
      </c>
      <c r="N529">
        <f t="shared" si="34"/>
        <v>51210.57</v>
      </c>
      <c r="O529" t="str">
        <f t="shared" si="35"/>
        <v>On Time</v>
      </c>
    </row>
    <row r="530" spans="1:15" x14ac:dyDescent="0.25">
      <c r="A530">
        <v>529</v>
      </c>
      <c r="B530" s="2">
        <v>45782</v>
      </c>
      <c r="C530" t="s">
        <v>16</v>
      </c>
      <c r="D530" t="s">
        <v>17</v>
      </c>
      <c r="E530" t="s">
        <v>13</v>
      </c>
      <c r="F530" t="s">
        <v>14</v>
      </c>
      <c r="G530">
        <v>196</v>
      </c>
      <c r="H530">
        <v>498.34</v>
      </c>
      <c r="I530">
        <v>39</v>
      </c>
      <c r="J530" t="s">
        <v>30</v>
      </c>
      <c r="K530">
        <v>97674.64</v>
      </c>
      <c r="L530" t="str">
        <f t="shared" si="32"/>
        <v>May</v>
      </c>
      <c r="M530">
        <f t="shared" si="33"/>
        <v>2025</v>
      </c>
      <c r="N530">
        <f t="shared" si="34"/>
        <v>97674.64</v>
      </c>
      <c r="O530" t="str">
        <f t="shared" si="35"/>
        <v>Moderate Delay</v>
      </c>
    </row>
    <row r="531" spans="1:15" x14ac:dyDescent="0.25">
      <c r="A531">
        <v>530</v>
      </c>
      <c r="B531" s="2">
        <v>45743</v>
      </c>
      <c r="C531" t="s">
        <v>26</v>
      </c>
      <c r="D531" t="s">
        <v>29</v>
      </c>
      <c r="E531" t="s">
        <v>13</v>
      </c>
      <c r="F531" t="s">
        <v>14</v>
      </c>
      <c r="G531">
        <v>182</v>
      </c>
      <c r="H531">
        <v>769.1</v>
      </c>
      <c r="I531">
        <v>42</v>
      </c>
      <c r="J531" t="s">
        <v>15</v>
      </c>
      <c r="K531">
        <v>139976.20000000001</v>
      </c>
      <c r="L531" t="str">
        <f t="shared" si="32"/>
        <v>Mar</v>
      </c>
      <c r="M531">
        <f t="shared" si="33"/>
        <v>2025</v>
      </c>
      <c r="N531">
        <f t="shared" si="34"/>
        <v>139976.20000000001</v>
      </c>
      <c r="O531" t="str">
        <f t="shared" si="35"/>
        <v>Moderate Delay</v>
      </c>
    </row>
    <row r="532" spans="1:15" x14ac:dyDescent="0.25">
      <c r="A532">
        <v>531</v>
      </c>
      <c r="B532" s="2">
        <v>45701</v>
      </c>
      <c r="C532" t="s">
        <v>11</v>
      </c>
      <c r="D532" t="s">
        <v>13</v>
      </c>
      <c r="E532" t="s">
        <v>22</v>
      </c>
      <c r="F532" t="s">
        <v>24</v>
      </c>
      <c r="G532">
        <v>205</v>
      </c>
      <c r="H532">
        <v>794.65</v>
      </c>
      <c r="I532">
        <v>30</v>
      </c>
      <c r="J532" t="s">
        <v>30</v>
      </c>
      <c r="K532">
        <v>162903.25</v>
      </c>
      <c r="L532" t="str">
        <f t="shared" si="32"/>
        <v>Feb</v>
      </c>
      <c r="M532">
        <f t="shared" si="33"/>
        <v>2025</v>
      </c>
      <c r="N532">
        <f t="shared" si="34"/>
        <v>162903.25</v>
      </c>
      <c r="O532" t="str">
        <f t="shared" si="35"/>
        <v>Minor Delay</v>
      </c>
    </row>
    <row r="533" spans="1:15" x14ac:dyDescent="0.25">
      <c r="A533">
        <v>532</v>
      </c>
      <c r="B533" s="2">
        <v>45977</v>
      </c>
      <c r="C533" t="s">
        <v>25</v>
      </c>
      <c r="D533" t="s">
        <v>29</v>
      </c>
      <c r="E533" t="s">
        <v>19</v>
      </c>
      <c r="F533" t="s">
        <v>21</v>
      </c>
      <c r="G533">
        <v>117</v>
      </c>
      <c r="H533">
        <v>184.11</v>
      </c>
      <c r="I533">
        <v>8</v>
      </c>
      <c r="J533" t="s">
        <v>15</v>
      </c>
      <c r="K533">
        <v>21540.87</v>
      </c>
      <c r="L533" t="str">
        <f t="shared" si="32"/>
        <v>Nov</v>
      </c>
      <c r="M533">
        <f t="shared" si="33"/>
        <v>2025</v>
      </c>
      <c r="N533">
        <f t="shared" si="34"/>
        <v>21540.870000000003</v>
      </c>
      <c r="O533" t="str">
        <f t="shared" si="35"/>
        <v>Minor Delay</v>
      </c>
    </row>
    <row r="534" spans="1:15" x14ac:dyDescent="0.25">
      <c r="A534">
        <v>533</v>
      </c>
      <c r="B534" s="2">
        <v>45775</v>
      </c>
      <c r="C534" t="s">
        <v>18</v>
      </c>
      <c r="D534" t="s">
        <v>20</v>
      </c>
      <c r="E534" t="s">
        <v>12</v>
      </c>
      <c r="F534" t="s">
        <v>24</v>
      </c>
      <c r="G534">
        <v>83</v>
      </c>
      <c r="H534">
        <v>140.34</v>
      </c>
      <c r="I534">
        <v>34</v>
      </c>
      <c r="J534" t="s">
        <v>15</v>
      </c>
      <c r="K534">
        <v>11648.22</v>
      </c>
      <c r="L534" t="str">
        <f t="shared" si="32"/>
        <v>Apr</v>
      </c>
      <c r="M534">
        <f t="shared" si="33"/>
        <v>2025</v>
      </c>
      <c r="N534">
        <f t="shared" si="34"/>
        <v>11648.220000000001</v>
      </c>
      <c r="O534" t="str">
        <f t="shared" si="35"/>
        <v>Moderate Delay</v>
      </c>
    </row>
    <row r="535" spans="1:15" x14ac:dyDescent="0.25">
      <c r="A535">
        <v>534</v>
      </c>
      <c r="B535" s="2">
        <v>45968</v>
      </c>
      <c r="C535" t="s">
        <v>16</v>
      </c>
      <c r="D535" t="s">
        <v>17</v>
      </c>
      <c r="E535" t="s">
        <v>29</v>
      </c>
      <c r="F535" t="s">
        <v>14</v>
      </c>
      <c r="G535">
        <v>171</v>
      </c>
      <c r="H535">
        <v>727.19</v>
      </c>
      <c r="I535">
        <v>67</v>
      </c>
      <c r="J535" t="s">
        <v>15</v>
      </c>
      <c r="K535">
        <v>124349.49</v>
      </c>
      <c r="L535" t="str">
        <f t="shared" si="32"/>
        <v>Nov</v>
      </c>
      <c r="M535">
        <f t="shared" si="33"/>
        <v>2025</v>
      </c>
      <c r="N535">
        <f t="shared" si="34"/>
        <v>124349.49</v>
      </c>
      <c r="O535" t="str">
        <f t="shared" si="35"/>
        <v>Major Delay</v>
      </c>
    </row>
    <row r="536" spans="1:15" x14ac:dyDescent="0.25">
      <c r="A536">
        <v>535</v>
      </c>
      <c r="B536" s="2">
        <v>45705</v>
      </c>
      <c r="C536" t="s">
        <v>18</v>
      </c>
      <c r="D536" t="s">
        <v>27</v>
      </c>
      <c r="E536" t="s">
        <v>12</v>
      </c>
      <c r="F536" t="s">
        <v>21</v>
      </c>
      <c r="G536">
        <v>83</v>
      </c>
      <c r="H536">
        <v>727.47</v>
      </c>
      <c r="I536">
        <v>18</v>
      </c>
      <c r="J536" t="s">
        <v>30</v>
      </c>
      <c r="K536">
        <v>60380.01</v>
      </c>
      <c r="L536" t="str">
        <f t="shared" si="32"/>
        <v>Feb</v>
      </c>
      <c r="M536">
        <f t="shared" si="33"/>
        <v>2025</v>
      </c>
      <c r="N536">
        <f t="shared" si="34"/>
        <v>60380.01</v>
      </c>
      <c r="O536" t="str">
        <f t="shared" si="35"/>
        <v>Minor Delay</v>
      </c>
    </row>
    <row r="537" spans="1:15" x14ac:dyDescent="0.25">
      <c r="A537">
        <v>536</v>
      </c>
      <c r="B537" s="2">
        <v>45847</v>
      </c>
      <c r="C537" t="s">
        <v>16</v>
      </c>
      <c r="D537" t="s">
        <v>17</v>
      </c>
      <c r="E537" t="s">
        <v>20</v>
      </c>
      <c r="F537" t="s">
        <v>21</v>
      </c>
      <c r="G537">
        <v>185</v>
      </c>
      <c r="H537">
        <v>377.43</v>
      </c>
      <c r="I537">
        <v>19</v>
      </c>
      <c r="J537" t="s">
        <v>30</v>
      </c>
      <c r="K537">
        <v>69824.55</v>
      </c>
      <c r="L537" t="str">
        <f t="shared" si="32"/>
        <v>Jul</v>
      </c>
      <c r="M537">
        <f t="shared" si="33"/>
        <v>2025</v>
      </c>
      <c r="N537">
        <f t="shared" si="34"/>
        <v>69824.55</v>
      </c>
      <c r="O537" t="str">
        <f t="shared" si="35"/>
        <v>Minor Delay</v>
      </c>
    </row>
    <row r="538" spans="1:15" x14ac:dyDescent="0.25">
      <c r="A538">
        <v>537</v>
      </c>
      <c r="B538" s="2">
        <v>45837</v>
      </c>
      <c r="C538" t="s">
        <v>31</v>
      </c>
      <c r="D538" t="s">
        <v>20</v>
      </c>
      <c r="E538" t="s">
        <v>17</v>
      </c>
      <c r="F538" t="s">
        <v>21</v>
      </c>
      <c r="G538">
        <v>282</v>
      </c>
      <c r="H538">
        <v>623.54</v>
      </c>
      <c r="I538">
        <v>16</v>
      </c>
      <c r="J538" t="s">
        <v>15</v>
      </c>
      <c r="K538">
        <v>175838.28</v>
      </c>
      <c r="L538" t="str">
        <f t="shared" si="32"/>
        <v>Jun</v>
      </c>
      <c r="M538">
        <f t="shared" si="33"/>
        <v>2025</v>
      </c>
      <c r="N538">
        <f t="shared" si="34"/>
        <v>175838.28</v>
      </c>
      <c r="O538" t="str">
        <f t="shared" si="35"/>
        <v>Minor Delay</v>
      </c>
    </row>
    <row r="539" spans="1:15" x14ac:dyDescent="0.25">
      <c r="A539">
        <v>538</v>
      </c>
      <c r="B539" s="2">
        <v>45700</v>
      </c>
      <c r="C539" t="s">
        <v>26</v>
      </c>
      <c r="D539" t="s">
        <v>20</v>
      </c>
      <c r="E539" t="s">
        <v>19</v>
      </c>
      <c r="F539" t="s">
        <v>21</v>
      </c>
      <c r="G539">
        <v>274</v>
      </c>
      <c r="H539">
        <v>462.36</v>
      </c>
      <c r="I539">
        <v>9</v>
      </c>
      <c r="J539" t="s">
        <v>15</v>
      </c>
      <c r="K539">
        <v>126686.64</v>
      </c>
      <c r="L539" t="str">
        <f t="shared" si="32"/>
        <v>Feb</v>
      </c>
      <c r="M539">
        <f t="shared" si="33"/>
        <v>2025</v>
      </c>
      <c r="N539">
        <f t="shared" si="34"/>
        <v>126686.64</v>
      </c>
      <c r="O539" t="str">
        <f t="shared" si="35"/>
        <v>Minor Delay</v>
      </c>
    </row>
    <row r="540" spans="1:15" x14ac:dyDescent="0.25">
      <c r="A540">
        <v>539</v>
      </c>
      <c r="B540" s="2">
        <v>45953</v>
      </c>
      <c r="C540" t="s">
        <v>31</v>
      </c>
      <c r="D540" t="s">
        <v>13</v>
      </c>
      <c r="E540" t="s">
        <v>12</v>
      </c>
      <c r="F540" t="s">
        <v>14</v>
      </c>
      <c r="G540">
        <v>183</v>
      </c>
      <c r="H540">
        <v>65.319999999999993</v>
      </c>
      <c r="I540">
        <v>0</v>
      </c>
      <c r="J540" t="s">
        <v>15</v>
      </c>
      <c r="K540">
        <v>11953.56</v>
      </c>
      <c r="L540" t="str">
        <f t="shared" si="32"/>
        <v>Oct</v>
      </c>
      <c r="M540">
        <f t="shared" si="33"/>
        <v>2025</v>
      </c>
      <c r="N540">
        <f t="shared" si="34"/>
        <v>11953.56</v>
      </c>
      <c r="O540" t="str">
        <f t="shared" si="35"/>
        <v>On Time</v>
      </c>
    </row>
    <row r="541" spans="1:15" x14ac:dyDescent="0.25">
      <c r="A541">
        <v>540</v>
      </c>
      <c r="B541" s="2">
        <v>45737</v>
      </c>
      <c r="C541" t="s">
        <v>18</v>
      </c>
      <c r="D541" t="s">
        <v>22</v>
      </c>
      <c r="E541" t="s">
        <v>12</v>
      </c>
      <c r="F541" t="s">
        <v>21</v>
      </c>
      <c r="G541">
        <v>199</v>
      </c>
      <c r="H541">
        <v>247.69</v>
      </c>
      <c r="I541">
        <v>0</v>
      </c>
      <c r="J541" t="s">
        <v>30</v>
      </c>
      <c r="K541">
        <v>49290.31</v>
      </c>
      <c r="L541" t="str">
        <f t="shared" si="32"/>
        <v>Mar</v>
      </c>
      <c r="M541">
        <f t="shared" si="33"/>
        <v>2025</v>
      </c>
      <c r="N541">
        <f t="shared" si="34"/>
        <v>49290.31</v>
      </c>
      <c r="O541" t="str">
        <f t="shared" si="35"/>
        <v>On Time</v>
      </c>
    </row>
    <row r="542" spans="1:15" x14ac:dyDescent="0.25">
      <c r="A542">
        <v>541</v>
      </c>
      <c r="B542" s="2">
        <v>45971</v>
      </c>
      <c r="C542" t="s">
        <v>26</v>
      </c>
      <c r="D542" t="s">
        <v>17</v>
      </c>
      <c r="E542" t="s">
        <v>22</v>
      </c>
      <c r="F542" t="s">
        <v>21</v>
      </c>
      <c r="G542">
        <v>151</v>
      </c>
      <c r="H542">
        <v>618.67999999999995</v>
      </c>
      <c r="I542">
        <v>0</v>
      </c>
      <c r="J542" t="s">
        <v>15</v>
      </c>
      <c r="K542">
        <v>93420.68</v>
      </c>
      <c r="L542" t="str">
        <f t="shared" si="32"/>
        <v>Nov</v>
      </c>
      <c r="M542">
        <f t="shared" si="33"/>
        <v>2025</v>
      </c>
      <c r="N542">
        <f t="shared" si="34"/>
        <v>93420.68</v>
      </c>
      <c r="O542" t="str">
        <f t="shared" si="35"/>
        <v>On Time</v>
      </c>
    </row>
    <row r="543" spans="1:15" x14ac:dyDescent="0.25">
      <c r="A543">
        <v>542</v>
      </c>
      <c r="B543" s="2">
        <v>45787</v>
      </c>
      <c r="C543" t="s">
        <v>26</v>
      </c>
      <c r="D543" t="s">
        <v>22</v>
      </c>
      <c r="E543" t="s">
        <v>27</v>
      </c>
      <c r="F543" t="s">
        <v>21</v>
      </c>
      <c r="G543">
        <v>138</v>
      </c>
      <c r="H543">
        <v>632.9</v>
      </c>
      <c r="I543">
        <v>42</v>
      </c>
      <c r="J543" t="s">
        <v>15</v>
      </c>
      <c r="K543">
        <v>87340.2</v>
      </c>
      <c r="L543" t="str">
        <f t="shared" si="32"/>
        <v>May</v>
      </c>
      <c r="M543">
        <f t="shared" si="33"/>
        <v>2025</v>
      </c>
      <c r="N543">
        <f t="shared" si="34"/>
        <v>87340.2</v>
      </c>
      <c r="O543" t="str">
        <f t="shared" si="35"/>
        <v>Moderate Delay</v>
      </c>
    </row>
    <row r="544" spans="1:15" x14ac:dyDescent="0.25">
      <c r="A544">
        <v>543</v>
      </c>
      <c r="B544" s="2">
        <v>45775</v>
      </c>
      <c r="C544" t="s">
        <v>18</v>
      </c>
      <c r="D544" t="s">
        <v>29</v>
      </c>
      <c r="E544" t="s">
        <v>12</v>
      </c>
      <c r="F544" t="s">
        <v>21</v>
      </c>
      <c r="G544">
        <v>293</v>
      </c>
      <c r="H544">
        <v>179.73</v>
      </c>
      <c r="I544">
        <v>25</v>
      </c>
      <c r="J544" t="s">
        <v>15</v>
      </c>
      <c r="K544">
        <v>52660.89</v>
      </c>
      <c r="L544" t="str">
        <f t="shared" si="32"/>
        <v>Apr</v>
      </c>
      <c r="M544">
        <f t="shared" si="33"/>
        <v>2025</v>
      </c>
      <c r="N544">
        <f t="shared" si="34"/>
        <v>52660.89</v>
      </c>
      <c r="O544" t="str">
        <f t="shared" si="35"/>
        <v>Minor Delay</v>
      </c>
    </row>
    <row r="545" spans="1:15" x14ac:dyDescent="0.25">
      <c r="A545">
        <v>544</v>
      </c>
      <c r="B545" s="2">
        <v>45740</v>
      </c>
      <c r="C545" t="s">
        <v>18</v>
      </c>
      <c r="D545" t="s">
        <v>27</v>
      </c>
      <c r="E545" t="s">
        <v>13</v>
      </c>
      <c r="F545" t="s">
        <v>21</v>
      </c>
      <c r="G545">
        <v>51</v>
      </c>
      <c r="H545">
        <v>655.23</v>
      </c>
      <c r="I545">
        <v>44</v>
      </c>
      <c r="J545" t="s">
        <v>30</v>
      </c>
      <c r="K545">
        <v>33416.730000000003</v>
      </c>
      <c r="L545" t="str">
        <f t="shared" si="32"/>
        <v>Mar</v>
      </c>
      <c r="M545">
        <f t="shared" si="33"/>
        <v>2025</v>
      </c>
      <c r="N545">
        <f t="shared" si="34"/>
        <v>33416.730000000003</v>
      </c>
      <c r="O545" t="str">
        <f t="shared" si="35"/>
        <v>Moderate Delay</v>
      </c>
    </row>
    <row r="546" spans="1:15" x14ac:dyDescent="0.25">
      <c r="A546">
        <v>545</v>
      </c>
      <c r="B546" s="2">
        <v>45703</v>
      </c>
      <c r="C546" t="s">
        <v>16</v>
      </c>
      <c r="D546" t="s">
        <v>20</v>
      </c>
      <c r="E546" t="s">
        <v>17</v>
      </c>
      <c r="F546" t="s">
        <v>24</v>
      </c>
      <c r="G546">
        <v>106</v>
      </c>
      <c r="H546">
        <v>334.42</v>
      </c>
      <c r="I546">
        <v>0</v>
      </c>
      <c r="J546" t="s">
        <v>30</v>
      </c>
      <c r="K546">
        <v>35448.519999999997</v>
      </c>
      <c r="L546" t="str">
        <f t="shared" si="32"/>
        <v>Feb</v>
      </c>
      <c r="M546">
        <f t="shared" si="33"/>
        <v>2025</v>
      </c>
      <c r="N546">
        <f t="shared" si="34"/>
        <v>35448.520000000004</v>
      </c>
      <c r="O546" t="str">
        <f t="shared" si="35"/>
        <v>On Time</v>
      </c>
    </row>
    <row r="547" spans="1:15" x14ac:dyDescent="0.25">
      <c r="A547">
        <v>546</v>
      </c>
      <c r="B547" s="2">
        <v>46022</v>
      </c>
      <c r="C547" t="s">
        <v>31</v>
      </c>
      <c r="D547" t="s">
        <v>17</v>
      </c>
      <c r="E547" t="s">
        <v>23</v>
      </c>
      <c r="F547" t="s">
        <v>14</v>
      </c>
      <c r="G547">
        <v>292</v>
      </c>
      <c r="H547">
        <v>632.47</v>
      </c>
      <c r="I547">
        <v>0</v>
      </c>
      <c r="J547" t="s">
        <v>15</v>
      </c>
      <c r="K547">
        <v>184681.24</v>
      </c>
      <c r="L547" t="str">
        <f t="shared" si="32"/>
        <v>Dec</v>
      </c>
      <c r="M547">
        <f t="shared" si="33"/>
        <v>2025</v>
      </c>
      <c r="N547">
        <f t="shared" si="34"/>
        <v>184681.24000000002</v>
      </c>
      <c r="O547" t="str">
        <f t="shared" si="35"/>
        <v>On Time</v>
      </c>
    </row>
    <row r="548" spans="1:15" x14ac:dyDescent="0.25">
      <c r="A548">
        <v>547</v>
      </c>
      <c r="B548" s="2">
        <v>45663</v>
      </c>
      <c r="C548" t="s">
        <v>11</v>
      </c>
      <c r="D548" t="s">
        <v>20</v>
      </c>
      <c r="E548" t="s">
        <v>27</v>
      </c>
      <c r="F548" t="s">
        <v>21</v>
      </c>
      <c r="G548">
        <v>288</v>
      </c>
      <c r="H548">
        <v>654.89</v>
      </c>
      <c r="I548">
        <v>18</v>
      </c>
      <c r="J548" t="s">
        <v>15</v>
      </c>
      <c r="K548">
        <v>188608.32</v>
      </c>
      <c r="L548" t="str">
        <f t="shared" si="32"/>
        <v>Jan</v>
      </c>
      <c r="M548">
        <f t="shared" si="33"/>
        <v>2025</v>
      </c>
      <c r="N548">
        <f t="shared" si="34"/>
        <v>188608.32</v>
      </c>
      <c r="O548" t="str">
        <f t="shared" si="35"/>
        <v>Minor Delay</v>
      </c>
    </row>
    <row r="549" spans="1:15" x14ac:dyDescent="0.25">
      <c r="A549">
        <v>548</v>
      </c>
      <c r="B549" s="2">
        <v>45972</v>
      </c>
      <c r="C549" t="s">
        <v>11</v>
      </c>
      <c r="D549" t="s">
        <v>27</v>
      </c>
      <c r="E549" t="s">
        <v>19</v>
      </c>
      <c r="F549" t="s">
        <v>21</v>
      </c>
      <c r="G549">
        <v>59</v>
      </c>
      <c r="H549">
        <v>326.20999999999998</v>
      </c>
      <c r="I549">
        <v>26</v>
      </c>
      <c r="J549" t="s">
        <v>15</v>
      </c>
      <c r="K549">
        <v>19246.39</v>
      </c>
      <c r="L549" t="str">
        <f t="shared" si="32"/>
        <v>Nov</v>
      </c>
      <c r="M549">
        <f t="shared" si="33"/>
        <v>2025</v>
      </c>
      <c r="N549">
        <f t="shared" si="34"/>
        <v>19246.39</v>
      </c>
      <c r="O549" t="str">
        <f t="shared" si="35"/>
        <v>Minor Delay</v>
      </c>
    </row>
    <row r="550" spans="1:15" x14ac:dyDescent="0.25">
      <c r="A550">
        <v>549</v>
      </c>
      <c r="B550" s="2">
        <v>45799</v>
      </c>
      <c r="C550" t="s">
        <v>18</v>
      </c>
      <c r="D550" t="s">
        <v>29</v>
      </c>
      <c r="E550" t="s">
        <v>12</v>
      </c>
      <c r="F550" t="s">
        <v>24</v>
      </c>
      <c r="G550">
        <v>221</v>
      </c>
      <c r="H550">
        <v>352.41</v>
      </c>
      <c r="I550">
        <v>0</v>
      </c>
      <c r="J550" t="s">
        <v>15</v>
      </c>
      <c r="K550">
        <v>77882.61</v>
      </c>
      <c r="L550" t="str">
        <f t="shared" si="32"/>
        <v>May</v>
      </c>
      <c r="M550">
        <f t="shared" si="33"/>
        <v>2025</v>
      </c>
      <c r="N550">
        <f t="shared" si="34"/>
        <v>77882.61</v>
      </c>
      <c r="O550" t="str">
        <f t="shared" si="35"/>
        <v>On Time</v>
      </c>
    </row>
    <row r="551" spans="1:15" x14ac:dyDescent="0.25">
      <c r="A551">
        <v>550</v>
      </c>
      <c r="B551" s="2">
        <v>45939</v>
      </c>
      <c r="C551" t="s">
        <v>26</v>
      </c>
      <c r="D551" t="s">
        <v>12</v>
      </c>
      <c r="E551" t="s">
        <v>29</v>
      </c>
      <c r="F551" t="s">
        <v>21</v>
      </c>
      <c r="G551">
        <v>262</v>
      </c>
      <c r="H551">
        <v>473.74</v>
      </c>
      <c r="I551">
        <v>4</v>
      </c>
      <c r="J551" t="s">
        <v>15</v>
      </c>
      <c r="K551">
        <v>124119.88</v>
      </c>
      <c r="L551" t="str">
        <f t="shared" si="32"/>
        <v>Oct</v>
      </c>
      <c r="M551">
        <f t="shared" si="33"/>
        <v>2025</v>
      </c>
      <c r="N551">
        <f t="shared" si="34"/>
        <v>124119.88</v>
      </c>
      <c r="O551" t="str">
        <f t="shared" si="35"/>
        <v>Minor Delay</v>
      </c>
    </row>
    <row r="552" spans="1:15" x14ac:dyDescent="0.25">
      <c r="A552">
        <v>551</v>
      </c>
      <c r="B552" s="2">
        <v>45773</v>
      </c>
      <c r="C552" t="s">
        <v>31</v>
      </c>
      <c r="D552" t="s">
        <v>22</v>
      </c>
      <c r="E552" t="s">
        <v>23</v>
      </c>
      <c r="F552" t="s">
        <v>14</v>
      </c>
      <c r="G552">
        <v>166</v>
      </c>
      <c r="H552">
        <v>747.99</v>
      </c>
      <c r="I552">
        <v>2</v>
      </c>
      <c r="J552" t="s">
        <v>15</v>
      </c>
      <c r="K552">
        <v>124166.34</v>
      </c>
      <c r="L552" t="str">
        <f t="shared" si="32"/>
        <v>Apr</v>
      </c>
      <c r="M552">
        <f t="shared" si="33"/>
        <v>2025</v>
      </c>
      <c r="N552">
        <f t="shared" si="34"/>
        <v>124166.34</v>
      </c>
      <c r="O552" t="str">
        <f t="shared" si="35"/>
        <v>Minor Delay</v>
      </c>
    </row>
    <row r="553" spans="1:15" x14ac:dyDescent="0.25">
      <c r="A553">
        <v>552</v>
      </c>
      <c r="B553" s="2">
        <v>45915</v>
      </c>
      <c r="C553" t="s">
        <v>26</v>
      </c>
      <c r="D553" t="s">
        <v>12</v>
      </c>
      <c r="E553" t="s">
        <v>29</v>
      </c>
      <c r="F553" t="s">
        <v>24</v>
      </c>
      <c r="G553">
        <v>292</v>
      </c>
      <c r="H553">
        <v>146.59</v>
      </c>
      <c r="I553">
        <v>11</v>
      </c>
      <c r="J553" t="s">
        <v>15</v>
      </c>
      <c r="K553">
        <v>42804.28</v>
      </c>
      <c r="L553" t="str">
        <f t="shared" si="32"/>
        <v>Sep</v>
      </c>
      <c r="M553">
        <f t="shared" si="33"/>
        <v>2025</v>
      </c>
      <c r="N553">
        <f t="shared" si="34"/>
        <v>42804.28</v>
      </c>
      <c r="O553" t="str">
        <f t="shared" si="35"/>
        <v>Minor Delay</v>
      </c>
    </row>
    <row r="554" spans="1:15" x14ac:dyDescent="0.25">
      <c r="A554">
        <v>553</v>
      </c>
      <c r="B554" s="2">
        <v>46013</v>
      </c>
      <c r="C554" t="s">
        <v>18</v>
      </c>
      <c r="D554" t="s">
        <v>23</v>
      </c>
      <c r="E554" t="s">
        <v>22</v>
      </c>
      <c r="F554" t="s">
        <v>24</v>
      </c>
      <c r="G554">
        <v>194</v>
      </c>
      <c r="H554">
        <v>417.89</v>
      </c>
      <c r="I554">
        <v>20</v>
      </c>
      <c r="J554" t="s">
        <v>15</v>
      </c>
      <c r="K554">
        <v>81070.66</v>
      </c>
      <c r="L554" t="str">
        <f t="shared" si="32"/>
        <v>Dec</v>
      </c>
      <c r="M554">
        <f t="shared" si="33"/>
        <v>2025</v>
      </c>
      <c r="N554">
        <f t="shared" si="34"/>
        <v>81070.66</v>
      </c>
      <c r="O554" t="str">
        <f t="shared" si="35"/>
        <v>Minor Delay</v>
      </c>
    </row>
    <row r="555" spans="1:15" x14ac:dyDescent="0.25">
      <c r="A555">
        <v>554</v>
      </c>
      <c r="B555" s="2">
        <v>45904</v>
      </c>
      <c r="C555" t="s">
        <v>16</v>
      </c>
      <c r="D555" t="s">
        <v>20</v>
      </c>
      <c r="E555" t="s">
        <v>13</v>
      </c>
      <c r="F555" t="s">
        <v>24</v>
      </c>
      <c r="G555">
        <v>67</v>
      </c>
      <c r="H555">
        <v>343.18</v>
      </c>
      <c r="I555">
        <v>42</v>
      </c>
      <c r="J555" t="s">
        <v>15</v>
      </c>
      <c r="K555">
        <v>22993.06</v>
      </c>
      <c r="L555" t="str">
        <f t="shared" si="32"/>
        <v>Sep</v>
      </c>
      <c r="M555">
        <f t="shared" si="33"/>
        <v>2025</v>
      </c>
      <c r="N555">
        <f t="shared" si="34"/>
        <v>22993.06</v>
      </c>
      <c r="O555" t="str">
        <f t="shared" si="35"/>
        <v>Moderate Delay</v>
      </c>
    </row>
    <row r="556" spans="1:15" x14ac:dyDescent="0.25">
      <c r="A556">
        <v>555</v>
      </c>
      <c r="B556" s="2">
        <v>45819</v>
      </c>
      <c r="C556" t="s">
        <v>18</v>
      </c>
      <c r="D556" t="s">
        <v>19</v>
      </c>
      <c r="E556" t="s">
        <v>23</v>
      </c>
      <c r="F556" t="s">
        <v>24</v>
      </c>
      <c r="G556">
        <v>182</v>
      </c>
      <c r="H556">
        <v>456.38</v>
      </c>
      <c r="I556">
        <v>14</v>
      </c>
      <c r="J556" t="s">
        <v>15</v>
      </c>
      <c r="K556">
        <v>83061.16</v>
      </c>
      <c r="L556" t="str">
        <f t="shared" si="32"/>
        <v>Jun</v>
      </c>
      <c r="M556">
        <f t="shared" si="33"/>
        <v>2025</v>
      </c>
      <c r="N556">
        <f t="shared" si="34"/>
        <v>83061.16</v>
      </c>
      <c r="O556" t="str">
        <f t="shared" si="35"/>
        <v>Minor Delay</v>
      </c>
    </row>
    <row r="557" spans="1:15" x14ac:dyDescent="0.25">
      <c r="A557">
        <v>556</v>
      </c>
      <c r="B557" s="2">
        <v>45696</v>
      </c>
      <c r="C557" t="s">
        <v>31</v>
      </c>
      <c r="D557" t="s">
        <v>17</v>
      </c>
      <c r="E557" t="s">
        <v>22</v>
      </c>
      <c r="F557" t="s">
        <v>14</v>
      </c>
      <c r="G557">
        <v>171</v>
      </c>
      <c r="H557">
        <v>292.27</v>
      </c>
      <c r="I557">
        <v>1</v>
      </c>
      <c r="J557" t="s">
        <v>15</v>
      </c>
      <c r="K557">
        <v>49978.17</v>
      </c>
      <c r="L557" t="str">
        <f t="shared" si="32"/>
        <v>Feb</v>
      </c>
      <c r="M557">
        <f t="shared" si="33"/>
        <v>2025</v>
      </c>
      <c r="N557">
        <f t="shared" si="34"/>
        <v>49978.17</v>
      </c>
      <c r="O557" t="str">
        <f t="shared" si="35"/>
        <v>Minor Delay</v>
      </c>
    </row>
    <row r="558" spans="1:15" x14ac:dyDescent="0.25">
      <c r="A558">
        <v>557</v>
      </c>
      <c r="B558" s="2">
        <v>46007</v>
      </c>
      <c r="C558" t="s">
        <v>11</v>
      </c>
      <c r="D558" t="s">
        <v>23</v>
      </c>
      <c r="E558" t="s">
        <v>29</v>
      </c>
      <c r="F558" t="s">
        <v>24</v>
      </c>
      <c r="G558">
        <v>238</v>
      </c>
      <c r="H558">
        <v>207.75</v>
      </c>
      <c r="I558">
        <v>15</v>
      </c>
      <c r="J558" t="s">
        <v>15</v>
      </c>
      <c r="K558">
        <v>49444.5</v>
      </c>
      <c r="L558" t="str">
        <f t="shared" si="32"/>
        <v>Dec</v>
      </c>
      <c r="M558">
        <f t="shared" si="33"/>
        <v>2025</v>
      </c>
      <c r="N558">
        <f t="shared" si="34"/>
        <v>49444.5</v>
      </c>
      <c r="O558" t="str">
        <f t="shared" si="35"/>
        <v>Minor Delay</v>
      </c>
    </row>
    <row r="559" spans="1:15" x14ac:dyDescent="0.25">
      <c r="A559">
        <v>558</v>
      </c>
      <c r="B559" s="2">
        <v>45974</v>
      </c>
      <c r="C559" t="s">
        <v>26</v>
      </c>
      <c r="D559" t="s">
        <v>19</v>
      </c>
      <c r="E559" t="s">
        <v>23</v>
      </c>
      <c r="F559" t="s">
        <v>14</v>
      </c>
      <c r="G559">
        <v>249</v>
      </c>
      <c r="H559">
        <v>138.94999999999999</v>
      </c>
      <c r="I559">
        <v>0</v>
      </c>
      <c r="J559" t="s">
        <v>30</v>
      </c>
      <c r="K559">
        <v>34598.550000000003</v>
      </c>
      <c r="L559" t="str">
        <f t="shared" si="32"/>
        <v>Nov</v>
      </c>
      <c r="M559">
        <f t="shared" si="33"/>
        <v>2025</v>
      </c>
      <c r="N559">
        <f t="shared" si="34"/>
        <v>34598.549999999996</v>
      </c>
      <c r="O559" t="str">
        <f t="shared" si="35"/>
        <v>On Time</v>
      </c>
    </row>
    <row r="560" spans="1:15" x14ac:dyDescent="0.25">
      <c r="A560">
        <v>559</v>
      </c>
      <c r="B560" s="2">
        <v>45935</v>
      </c>
      <c r="C560" t="s">
        <v>16</v>
      </c>
      <c r="D560" t="s">
        <v>20</v>
      </c>
      <c r="E560" t="s">
        <v>13</v>
      </c>
      <c r="F560" t="s">
        <v>24</v>
      </c>
      <c r="G560">
        <v>145</v>
      </c>
      <c r="H560">
        <v>519.29</v>
      </c>
      <c r="I560">
        <v>0</v>
      </c>
      <c r="J560" t="s">
        <v>30</v>
      </c>
      <c r="K560">
        <v>75297.05</v>
      </c>
      <c r="L560" t="str">
        <f t="shared" si="32"/>
        <v>Oct</v>
      </c>
      <c r="M560">
        <f t="shared" si="33"/>
        <v>2025</v>
      </c>
      <c r="N560">
        <f t="shared" si="34"/>
        <v>75297.049999999988</v>
      </c>
      <c r="O560" t="str">
        <f t="shared" si="35"/>
        <v>On Time</v>
      </c>
    </row>
    <row r="561" spans="1:15" x14ac:dyDescent="0.25">
      <c r="A561">
        <v>560</v>
      </c>
      <c r="B561" s="2">
        <v>45751</v>
      </c>
      <c r="C561" t="s">
        <v>31</v>
      </c>
      <c r="D561" t="s">
        <v>23</v>
      </c>
      <c r="E561" t="s">
        <v>27</v>
      </c>
      <c r="F561" t="s">
        <v>24</v>
      </c>
      <c r="G561">
        <v>151</v>
      </c>
      <c r="H561">
        <v>224.35</v>
      </c>
      <c r="I561">
        <v>23</v>
      </c>
      <c r="J561" t="s">
        <v>15</v>
      </c>
      <c r="K561">
        <v>33876.85</v>
      </c>
      <c r="L561" t="str">
        <f t="shared" si="32"/>
        <v>Apr</v>
      </c>
      <c r="M561">
        <f t="shared" si="33"/>
        <v>2025</v>
      </c>
      <c r="N561">
        <f t="shared" si="34"/>
        <v>33876.85</v>
      </c>
      <c r="O561" t="str">
        <f t="shared" si="35"/>
        <v>Minor Delay</v>
      </c>
    </row>
    <row r="562" spans="1:15" x14ac:dyDescent="0.25">
      <c r="A562">
        <v>561</v>
      </c>
      <c r="B562" s="2">
        <v>45902</v>
      </c>
      <c r="C562" t="s">
        <v>31</v>
      </c>
      <c r="D562" t="s">
        <v>13</v>
      </c>
      <c r="E562" t="s">
        <v>20</v>
      </c>
      <c r="F562" t="s">
        <v>14</v>
      </c>
      <c r="G562">
        <v>178</v>
      </c>
      <c r="H562">
        <v>316.99</v>
      </c>
      <c r="I562">
        <v>47</v>
      </c>
      <c r="J562" t="s">
        <v>15</v>
      </c>
      <c r="K562">
        <v>56424.22</v>
      </c>
      <c r="L562" t="str">
        <f t="shared" si="32"/>
        <v>Sep</v>
      </c>
      <c r="M562">
        <f t="shared" si="33"/>
        <v>2025</v>
      </c>
      <c r="N562">
        <f t="shared" si="34"/>
        <v>56424.22</v>
      </c>
      <c r="O562" t="str">
        <f t="shared" si="35"/>
        <v>Moderate Delay</v>
      </c>
    </row>
    <row r="563" spans="1:15" x14ac:dyDescent="0.25">
      <c r="A563">
        <v>562</v>
      </c>
      <c r="B563" s="2">
        <v>45819</v>
      </c>
      <c r="C563" t="s">
        <v>25</v>
      </c>
      <c r="D563" t="s">
        <v>12</v>
      </c>
      <c r="E563" t="s">
        <v>27</v>
      </c>
      <c r="F563" t="s">
        <v>14</v>
      </c>
      <c r="G563">
        <v>53</v>
      </c>
      <c r="H563">
        <v>558.84</v>
      </c>
      <c r="I563">
        <v>0</v>
      </c>
      <c r="J563" t="s">
        <v>15</v>
      </c>
      <c r="K563">
        <v>29618.52</v>
      </c>
      <c r="L563" t="str">
        <f t="shared" si="32"/>
        <v>Jun</v>
      </c>
      <c r="M563">
        <f t="shared" si="33"/>
        <v>2025</v>
      </c>
      <c r="N563">
        <f t="shared" si="34"/>
        <v>29618.52</v>
      </c>
      <c r="O563" t="str">
        <f t="shared" si="35"/>
        <v>On Time</v>
      </c>
    </row>
    <row r="564" spans="1:15" x14ac:dyDescent="0.25">
      <c r="A564">
        <v>563</v>
      </c>
      <c r="B564" s="2">
        <v>45843</v>
      </c>
      <c r="C564" t="s">
        <v>31</v>
      </c>
      <c r="D564" t="s">
        <v>12</v>
      </c>
      <c r="E564" t="s">
        <v>17</v>
      </c>
      <c r="F564" t="s">
        <v>24</v>
      </c>
      <c r="G564">
        <v>97</v>
      </c>
      <c r="H564">
        <v>465.94</v>
      </c>
      <c r="I564">
        <v>22</v>
      </c>
      <c r="J564" t="s">
        <v>15</v>
      </c>
      <c r="K564">
        <v>45196.18</v>
      </c>
      <c r="L564" t="str">
        <f t="shared" si="32"/>
        <v>Jul</v>
      </c>
      <c r="M564">
        <f t="shared" si="33"/>
        <v>2025</v>
      </c>
      <c r="N564">
        <f t="shared" si="34"/>
        <v>45196.18</v>
      </c>
      <c r="O564" t="str">
        <f t="shared" si="35"/>
        <v>Minor Delay</v>
      </c>
    </row>
    <row r="565" spans="1:15" x14ac:dyDescent="0.25">
      <c r="A565">
        <v>564</v>
      </c>
      <c r="B565" s="2">
        <v>45913</v>
      </c>
      <c r="C565" t="s">
        <v>18</v>
      </c>
      <c r="D565" t="s">
        <v>22</v>
      </c>
      <c r="E565" t="s">
        <v>29</v>
      </c>
      <c r="F565" t="s">
        <v>14</v>
      </c>
      <c r="G565">
        <v>157</v>
      </c>
      <c r="H565">
        <v>578.53</v>
      </c>
      <c r="I565">
        <v>48</v>
      </c>
      <c r="J565" t="s">
        <v>15</v>
      </c>
      <c r="K565">
        <v>90829.21</v>
      </c>
      <c r="L565" t="str">
        <f t="shared" si="32"/>
        <v>Sep</v>
      </c>
      <c r="M565">
        <f t="shared" si="33"/>
        <v>2025</v>
      </c>
      <c r="N565">
        <f t="shared" si="34"/>
        <v>90829.209999999992</v>
      </c>
      <c r="O565" t="str">
        <f t="shared" si="35"/>
        <v>Moderate Delay</v>
      </c>
    </row>
    <row r="566" spans="1:15" x14ac:dyDescent="0.25">
      <c r="A566">
        <v>565</v>
      </c>
      <c r="B566" s="2">
        <v>45888</v>
      </c>
      <c r="C566" t="s">
        <v>11</v>
      </c>
      <c r="D566" t="s">
        <v>17</v>
      </c>
      <c r="E566" t="s">
        <v>23</v>
      </c>
      <c r="F566" t="s">
        <v>21</v>
      </c>
      <c r="G566">
        <v>83</v>
      </c>
      <c r="H566">
        <v>784.66</v>
      </c>
      <c r="I566">
        <v>2</v>
      </c>
      <c r="J566" t="s">
        <v>15</v>
      </c>
      <c r="K566">
        <v>65126.78</v>
      </c>
      <c r="L566" t="str">
        <f t="shared" si="32"/>
        <v>Aug</v>
      </c>
      <c r="M566">
        <f t="shared" si="33"/>
        <v>2025</v>
      </c>
      <c r="N566">
        <f t="shared" si="34"/>
        <v>65126.78</v>
      </c>
      <c r="O566" t="str">
        <f t="shared" si="35"/>
        <v>Minor Delay</v>
      </c>
    </row>
    <row r="567" spans="1:15" x14ac:dyDescent="0.25">
      <c r="A567">
        <v>566</v>
      </c>
      <c r="B567" s="2">
        <v>45853</v>
      </c>
      <c r="C567" t="s">
        <v>11</v>
      </c>
      <c r="D567" t="s">
        <v>19</v>
      </c>
      <c r="E567" t="s">
        <v>20</v>
      </c>
      <c r="F567" t="s">
        <v>14</v>
      </c>
      <c r="G567">
        <v>254</v>
      </c>
      <c r="H567">
        <v>769.77</v>
      </c>
      <c r="I567">
        <v>0</v>
      </c>
      <c r="J567" t="s">
        <v>15</v>
      </c>
      <c r="K567">
        <v>195521.58</v>
      </c>
      <c r="L567" t="str">
        <f t="shared" si="32"/>
        <v>Jul</v>
      </c>
      <c r="M567">
        <f t="shared" si="33"/>
        <v>2025</v>
      </c>
      <c r="N567">
        <f t="shared" si="34"/>
        <v>195521.58</v>
      </c>
      <c r="O567" t="str">
        <f t="shared" si="35"/>
        <v>On Time</v>
      </c>
    </row>
    <row r="568" spans="1:15" x14ac:dyDescent="0.25">
      <c r="A568">
        <v>567</v>
      </c>
      <c r="B568" s="2">
        <v>45873</v>
      </c>
      <c r="C568" t="s">
        <v>18</v>
      </c>
      <c r="D568" t="s">
        <v>13</v>
      </c>
      <c r="E568" t="s">
        <v>19</v>
      </c>
      <c r="F568" t="s">
        <v>14</v>
      </c>
      <c r="G568">
        <v>278</v>
      </c>
      <c r="H568">
        <v>688.55</v>
      </c>
      <c r="I568">
        <v>0</v>
      </c>
      <c r="J568" t="s">
        <v>15</v>
      </c>
      <c r="K568">
        <v>191416.9</v>
      </c>
      <c r="L568" t="str">
        <f t="shared" si="32"/>
        <v>Aug</v>
      </c>
      <c r="M568">
        <f t="shared" si="33"/>
        <v>2025</v>
      </c>
      <c r="N568">
        <f t="shared" si="34"/>
        <v>191416.9</v>
      </c>
      <c r="O568" t="str">
        <f t="shared" si="35"/>
        <v>On Time</v>
      </c>
    </row>
    <row r="569" spans="1:15" x14ac:dyDescent="0.25">
      <c r="A569">
        <v>568</v>
      </c>
      <c r="B569" s="2">
        <v>45945</v>
      </c>
      <c r="C569" t="s">
        <v>31</v>
      </c>
      <c r="D569" t="s">
        <v>23</v>
      </c>
      <c r="E569" t="s">
        <v>22</v>
      </c>
      <c r="F569" t="s">
        <v>14</v>
      </c>
      <c r="G569">
        <v>151</v>
      </c>
      <c r="H569">
        <v>133.24</v>
      </c>
      <c r="I569">
        <v>15</v>
      </c>
      <c r="J569" t="s">
        <v>15</v>
      </c>
      <c r="K569">
        <v>20119.240000000002</v>
      </c>
      <c r="L569" t="str">
        <f t="shared" si="32"/>
        <v>Oct</v>
      </c>
      <c r="M569">
        <f t="shared" si="33"/>
        <v>2025</v>
      </c>
      <c r="N569">
        <f t="shared" si="34"/>
        <v>20119.240000000002</v>
      </c>
      <c r="O569" t="str">
        <f t="shared" si="35"/>
        <v>Minor Delay</v>
      </c>
    </row>
    <row r="570" spans="1:15" x14ac:dyDescent="0.25">
      <c r="A570">
        <v>569</v>
      </c>
      <c r="B570" s="2">
        <v>45901</v>
      </c>
      <c r="C570" t="s">
        <v>25</v>
      </c>
      <c r="D570" t="s">
        <v>19</v>
      </c>
      <c r="E570" t="s">
        <v>22</v>
      </c>
      <c r="F570" t="s">
        <v>14</v>
      </c>
      <c r="G570">
        <v>165</v>
      </c>
      <c r="H570">
        <v>611</v>
      </c>
      <c r="I570">
        <v>18</v>
      </c>
      <c r="J570" t="s">
        <v>15</v>
      </c>
      <c r="K570">
        <v>100815</v>
      </c>
      <c r="L570" t="str">
        <f t="shared" si="32"/>
        <v>Sep</v>
      </c>
      <c r="M570">
        <f t="shared" si="33"/>
        <v>2025</v>
      </c>
      <c r="N570">
        <f t="shared" si="34"/>
        <v>100815</v>
      </c>
      <c r="O570" t="str">
        <f t="shared" si="35"/>
        <v>Minor Delay</v>
      </c>
    </row>
    <row r="571" spans="1:15" x14ac:dyDescent="0.25">
      <c r="A571">
        <v>570</v>
      </c>
      <c r="B571" s="2">
        <v>45668</v>
      </c>
      <c r="C571" t="s">
        <v>18</v>
      </c>
      <c r="D571" t="s">
        <v>23</v>
      </c>
      <c r="E571" t="s">
        <v>17</v>
      </c>
      <c r="F571" t="s">
        <v>14</v>
      </c>
      <c r="G571">
        <v>139</v>
      </c>
      <c r="H571">
        <v>701.85</v>
      </c>
      <c r="I571">
        <v>43</v>
      </c>
      <c r="J571" t="s">
        <v>30</v>
      </c>
      <c r="K571">
        <v>97557.15</v>
      </c>
      <c r="L571" t="str">
        <f t="shared" si="32"/>
        <v>Jan</v>
      </c>
      <c r="M571">
        <f t="shared" si="33"/>
        <v>2025</v>
      </c>
      <c r="N571">
        <f t="shared" si="34"/>
        <v>97557.150000000009</v>
      </c>
      <c r="O571" t="str">
        <f t="shared" si="35"/>
        <v>Moderate Delay</v>
      </c>
    </row>
    <row r="572" spans="1:15" x14ac:dyDescent="0.25">
      <c r="A572">
        <v>571</v>
      </c>
      <c r="B572" s="2">
        <v>45803</v>
      </c>
      <c r="C572" t="s">
        <v>26</v>
      </c>
      <c r="D572" t="s">
        <v>19</v>
      </c>
      <c r="E572" t="s">
        <v>29</v>
      </c>
      <c r="F572" t="s">
        <v>24</v>
      </c>
      <c r="G572">
        <v>222</v>
      </c>
      <c r="H572">
        <v>437.73</v>
      </c>
      <c r="I572">
        <v>24</v>
      </c>
      <c r="J572" t="s">
        <v>15</v>
      </c>
      <c r="K572">
        <v>97176.06</v>
      </c>
      <c r="L572" t="str">
        <f t="shared" si="32"/>
        <v>May</v>
      </c>
      <c r="M572">
        <f t="shared" si="33"/>
        <v>2025</v>
      </c>
      <c r="N572">
        <f t="shared" si="34"/>
        <v>97176.06</v>
      </c>
      <c r="O572" t="str">
        <f t="shared" si="35"/>
        <v>Minor Delay</v>
      </c>
    </row>
    <row r="573" spans="1:15" x14ac:dyDescent="0.25">
      <c r="A573">
        <v>572</v>
      </c>
      <c r="B573" s="2">
        <v>45981</v>
      </c>
      <c r="C573" t="s">
        <v>11</v>
      </c>
      <c r="D573" t="s">
        <v>23</v>
      </c>
      <c r="E573" t="s">
        <v>27</v>
      </c>
      <c r="F573" t="s">
        <v>14</v>
      </c>
      <c r="G573">
        <v>213</v>
      </c>
      <c r="H573">
        <v>657.71</v>
      </c>
      <c r="I573">
        <v>0</v>
      </c>
      <c r="J573" t="s">
        <v>15</v>
      </c>
      <c r="K573">
        <v>140092.23000000001</v>
      </c>
      <c r="L573" t="str">
        <f t="shared" si="32"/>
        <v>Nov</v>
      </c>
      <c r="M573">
        <f t="shared" si="33"/>
        <v>2025</v>
      </c>
      <c r="N573">
        <f t="shared" si="34"/>
        <v>140092.23000000001</v>
      </c>
      <c r="O573" t="str">
        <f t="shared" si="35"/>
        <v>On Time</v>
      </c>
    </row>
    <row r="574" spans="1:15" x14ac:dyDescent="0.25">
      <c r="A574">
        <v>573</v>
      </c>
      <c r="B574" s="2">
        <v>45698</v>
      </c>
      <c r="C574" t="s">
        <v>11</v>
      </c>
      <c r="D574" t="s">
        <v>17</v>
      </c>
      <c r="E574" t="s">
        <v>12</v>
      </c>
      <c r="F574" t="s">
        <v>24</v>
      </c>
      <c r="G574">
        <v>108</v>
      </c>
      <c r="H574">
        <v>291.98</v>
      </c>
      <c r="I574">
        <v>0</v>
      </c>
      <c r="J574" t="s">
        <v>15</v>
      </c>
      <c r="K574">
        <v>31533.84</v>
      </c>
      <c r="L574" t="str">
        <f t="shared" si="32"/>
        <v>Feb</v>
      </c>
      <c r="M574">
        <f t="shared" si="33"/>
        <v>2025</v>
      </c>
      <c r="N574">
        <f t="shared" si="34"/>
        <v>31533.840000000004</v>
      </c>
      <c r="O574" t="str">
        <f t="shared" si="35"/>
        <v>On Time</v>
      </c>
    </row>
    <row r="575" spans="1:15" x14ac:dyDescent="0.25">
      <c r="A575">
        <v>574</v>
      </c>
      <c r="B575" s="2">
        <v>45885</v>
      </c>
      <c r="C575" t="s">
        <v>26</v>
      </c>
      <c r="D575" t="s">
        <v>17</v>
      </c>
      <c r="E575" t="s">
        <v>23</v>
      </c>
      <c r="F575" t="s">
        <v>21</v>
      </c>
      <c r="G575">
        <v>200</v>
      </c>
      <c r="H575">
        <v>445.49</v>
      </c>
      <c r="I575">
        <v>0</v>
      </c>
      <c r="J575" t="s">
        <v>15</v>
      </c>
      <c r="K575">
        <v>89098</v>
      </c>
      <c r="L575" t="str">
        <f t="shared" si="32"/>
        <v>Aug</v>
      </c>
      <c r="M575">
        <f t="shared" si="33"/>
        <v>2025</v>
      </c>
      <c r="N575">
        <f t="shared" si="34"/>
        <v>89098</v>
      </c>
      <c r="O575" t="str">
        <f t="shared" si="35"/>
        <v>On Time</v>
      </c>
    </row>
    <row r="576" spans="1:15" x14ac:dyDescent="0.25">
      <c r="A576">
        <v>575</v>
      </c>
      <c r="B576" s="2">
        <v>45669</v>
      </c>
      <c r="C576" t="s">
        <v>11</v>
      </c>
      <c r="D576" t="s">
        <v>29</v>
      </c>
      <c r="E576" t="s">
        <v>19</v>
      </c>
      <c r="F576" t="s">
        <v>21</v>
      </c>
      <c r="G576">
        <v>110</v>
      </c>
      <c r="H576">
        <v>549.9</v>
      </c>
      <c r="I576">
        <v>56</v>
      </c>
      <c r="J576" t="s">
        <v>15</v>
      </c>
      <c r="K576">
        <v>60489</v>
      </c>
      <c r="L576" t="str">
        <f t="shared" si="32"/>
        <v>Jan</v>
      </c>
      <c r="M576">
        <f t="shared" si="33"/>
        <v>2025</v>
      </c>
      <c r="N576">
        <f t="shared" si="34"/>
        <v>60489</v>
      </c>
      <c r="O576" t="str">
        <f t="shared" si="35"/>
        <v>Moderate Delay</v>
      </c>
    </row>
    <row r="577" spans="1:15" x14ac:dyDescent="0.25">
      <c r="A577">
        <v>576</v>
      </c>
      <c r="B577" s="2">
        <v>45710</v>
      </c>
      <c r="C577" t="s">
        <v>16</v>
      </c>
      <c r="D577" t="s">
        <v>29</v>
      </c>
      <c r="E577" t="s">
        <v>20</v>
      </c>
      <c r="F577" t="s">
        <v>14</v>
      </c>
      <c r="G577">
        <v>289</v>
      </c>
      <c r="H577">
        <v>710.23</v>
      </c>
      <c r="I577">
        <v>5</v>
      </c>
      <c r="J577" t="s">
        <v>15</v>
      </c>
      <c r="K577">
        <v>205256.47</v>
      </c>
      <c r="L577" t="str">
        <f t="shared" si="32"/>
        <v>Feb</v>
      </c>
      <c r="M577">
        <f t="shared" si="33"/>
        <v>2025</v>
      </c>
      <c r="N577">
        <f t="shared" si="34"/>
        <v>205256.47</v>
      </c>
      <c r="O577" t="str">
        <f t="shared" si="35"/>
        <v>Minor Delay</v>
      </c>
    </row>
    <row r="578" spans="1:15" x14ac:dyDescent="0.25">
      <c r="A578">
        <v>577</v>
      </c>
      <c r="B578" s="2">
        <v>45926</v>
      </c>
      <c r="C578" t="s">
        <v>16</v>
      </c>
      <c r="D578" t="s">
        <v>13</v>
      </c>
      <c r="E578" t="s">
        <v>20</v>
      </c>
      <c r="F578" t="s">
        <v>14</v>
      </c>
      <c r="G578">
        <v>117</v>
      </c>
      <c r="H578">
        <v>517.4</v>
      </c>
      <c r="I578">
        <v>69</v>
      </c>
      <c r="J578" t="s">
        <v>15</v>
      </c>
      <c r="K578">
        <v>60535.8</v>
      </c>
      <c r="L578" t="str">
        <f t="shared" si="32"/>
        <v>Sep</v>
      </c>
      <c r="M578">
        <f t="shared" si="33"/>
        <v>2025</v>
      </c>
      <c r="N578">
        <f t="shared" si="34"/>
        <v>60535.799999999996</v>
      </c>
      <c r="O578" t="str">
        <f t="shared" si="35"/>
        <v>Major Delay</v>
      </c>
    </row>
    <row r="579" spans="1:15" x14ac:dyDescent="0.25">
      <c r="A579">
        <v>578</v>
      </c>
      <c r="B579" s="2">
        <v>45803</v>
      </c>
      <c r="C579" t="s">
        <v>18</v>
      </c>
      <c r="D579" t="s">
        <v>19</v>
      </c>
      <c r="E579" t="s">
        <v>23</v>
      </c>
      <c r="F579" t="s">
        <v>21</v>
      </c>
      <c r="G579">
        <v>82</v>
      </c>
      <c r="H579">
        <v>157.15</v>
      </c>
      <c r="I579">
        <v>49</v>
      </c>
      <c r="J579" t="s">
        <v>30</v>
      </c>
      <c r="K579">
        <v>12886.3</v>
      </c>
      <c r="L579" t="str">
        <f t="shared" ref="L579:L642" si="36">TEXT(B579,"MMM")</f>
        <v>May</v>
      </c>
      <c r="M579">
        <f t="shared" ref="M579:M642" si="37">YEAR(B579)</f>
        <v>2025</v>
      </c>
      <c r="N579">
        <f t="shared" ref="N579:N642" si="38">G579*H579</f>
        <v>12886.300000000001</v>
      </c>
      <c r="O579" t="str">
        <f t="shared" ref="O579:O642" si="39">IF(I579=0,"On Time",IF(I579&lt;=30,"Minor Delay",IF(I579&lt;=60,"Moderate Delay","Major Delay")))</f>
        <v>Moderate Delay</v>
      </c>
    </row>
    <row r="580" spans="1:15" x14ac:dyDescent="0.25">
      <c r="A580">
        <v>579</v>
      </c>
      <c r="B580" s="2">
        <v>45997</v>
      </c>
      <c r="C580" t="s">
        <v>26</v>
      </c>
      <c r="D580" t="s">
        <v>13</v>
      </c>
      <c r="E580" t="s">
        <v>12</v>
      </c>
      <c r="F580" t="s">
        <v>24</v>
      </c>
      <c r="G580">
        <v>271</v>
      </c>
      <c r="H580">
        <v>412.35</v>
      </c>
      <c r="I580">
        <v>50</v>
      </c>
      <c r="J580" t="s">
        <v>15</v>
      </c>
      <c r="K580">
        <v>111746.85</v>
      </c>
      <c r="L580" t="str">
        <f t="shared" si="36"/>
        <v>Dec</v>
      </c>
      <c r="M580">
        <f t="shared" si="37"/>
        <v>2025</v>
      </c>
      <c r="N580">
        <f t="shared" si="38"/>
        <v>111746.85</v>
      </c>
      <c r="O580" t="str">
        <f t="shared" si="39"/>
        <v>Moderate Delay</v>
      </c>
    </row>
    <row r="581" spans="1:15" x14ac:dyDescent="0.25">
      <c r="A581">
        <v>580</v>
      </c>
      <c r="B581" s="2">
        <v>46015</v>
      </c>
      <c r="C581" t="s">
        <v>31</v>
      </c>
      <c r="D581" t="s">
        <v>20</v>
      </c>
      <c r="E581" t="s">
        <v>29</v>
      </c>
      <c r="F581" t="s">
        <v>14</v>
      </c>
      <c r="G581">
        <v>201</v>
      </c>
      <c r="H581">
        <v>502.21</v>
      </c>
      <c r="I581">
        <v>15</v>
      </c>
      <c r="J581" t="s">
        <v>15</v>
      </c>
      <c r="K581">
        <v>100944.21</v>
      </c>
      <c r="L581" t="str">
        <f t="shared" si="36"/>
        <v>Dec</v>
      </c>
      <c r="M581">
        <f t="shared" si="37"/>
        <v>2025</v>
      </c>
      <c r="N581">
        <f t="shared" si="38"/>
        <v>100944.20999999999</v>
      </c>
      <c r="O581" t="str">
        <f t="shared" si="39"/>
        <v>Minor Delay</v>
      </c>
    </row>
    <row r="582" spans="1:15" x14ac:dyDescent="0.25">
      <c r="A582">
        <v>581</v>
      </c>
      <c r="B582" s="2">
        <v>45835</v>
      </c>
      <c r="C582" t="s">
        <v>18</v>
      </c>
      <c r="D582" t="s">
        <v>17</v>
      </c>
      <c r="E582" t="s">
        <v>23</v>
      </c>
      <c r="F582" t="s">
        <v>21</v>
      </c>
      <c r="G582">
        <v>108</v>
      </c>
      <c r="H582">
        <v>655.48</v>
      </c>
      <c r="I582">
        <v>0</v>
      </c>
      <c r="J582" t="s">
        <v>15</v>
      </c>
      <c r="K582">
        <v>70791.839999999997</v>
      </c>
      <c r="L582" t="str">
        <f t="shared" si="36"/>
        <v>Jun</v>
      </c>
      <c r="M582">
        <f t="shared" si="37"/>
        <v>2025</v>
      </c>
      <c r="N582">
        <f t="shared" si="38"/>
        <v>70791.839999999997</v>
      </c>
      <c r="O582" t="str">
        <f t="shared" si="39"/>
        <v>On Time</v>
      </c>
    </row>
    <row r="583" spans="1:15" x14ac:dyDescent="0.25">
      <c r="A583">
        <v>582</v>
      </c>
      <c r="B583" s="2">
        <v>45658</v>
      </c>
      <c r="C583" t="s">
        <v>31</v>
      </c>
      <c r="D583" t="s">
        <v>23</v>
      </c>
      <c r="E583" t="s">
        <v>13</v>
      </c>
      <c r="F583" t="s">
        <v>14</v>
      </c>
      <c r="G583">
        <v>138</v>
      </c>
      <c r="H583">
        <v>272.2</v>
      </c>
      <c r="I583">
        <v>28</v>
      </c>
      <c r="J583" t="s">
        <v>15</v>
      </c>
      <c r="K583">
        <v>37563.599999999999</v>
      </c>
      <c r="L583" t="str">
        <f t="shared" si="36"/>
        <v>Jan</v>
      </c>
      <c r="M583">
        <f t="shared" si="37"/>
        <v>2025</v>
      </c>
      <c r="N583">
        <f t="shared" si="38"/>
        <v>37563.599999999999</v>
      </c>
      <c r="O583" t="str">
        <f t="shared" si="39"/>
        <v>Minor Delay</v>
      </c>
    </row>
    <row r="584" spans="1:15" x14ac:dyDescent="0.25">
      <c r="A584">
        <v>583</v>
      </c>
      <c r="B584" s="2">
        <v>45811</v>
      </c>
      <c r="C584" t="s">
        <v>16</v>
      </c>
      <c r="D584" t="s">
        <v>20</v>
      </c>
      <c r="E584" t="s">
        <v>27</v>
      </c>
      <c r="F584" t="s">
        <v>24</v>
      </c>
      <c r="G584">
        <v>254</v>
      </c>
      <c r="H584">
        <v>276.76</v>
      </c>
      <c r="I584">
        <v>20</v>
      </c>
      <c r="J584" t="s">
        <v>15</v>
      </c>
      <c r="K584">
        <v>70297.039999999994</v>
      </c>
      <c r="L584" t="str">
        <f t="shared" si="36"/>
        <v>Jun</v>
      </c>
      <c r="M584">
        <f t="shared" si="37"/>
        <v>2025</v>
      </c>
      <c r="N584">
        <f t="shared" si="38"/>
        <v>70297.039999999994</v>
      </c>
      <c r="O584" t="str">
        <f t="shared" si="39"/>
        <v>Minor Delay</v>
      </c>
    </row>
    <row r="585" spans="1:15" x14ac:dyDescent="0.25">
      <c r="A585">
        <v>584</v>
      </c>
      <c r="B585" s="2">
        <v>45860</v>
      </c>
      <c r="C585" t="s">
        <v>11</v>
      </c>
      <c r="D585" t="s">
        <v>17</v>
      </c>
      <c r="E585" t="s">
        <v>20</v>
      </c>
      <c r="F585" t="s">
        <v>14</v>
      </c>
      <c r="G585">
        <v>233</v>
      </c>
      <c r="H585">
        <v>605.47</v>
      </c>
      <c r="I585">
        <v>22</v>
      </c>
      <c r="J585" t="s">
        <v>15</v>
      </c>
      <c r="K585">
        <v>141074.51</v>
      </c>
      <c r="L585" t="str">
        <f t="shared" si="36"/>
        <v>Jul</v>
      </c>
      <c r="M585">
        <f t="shared" si="37"/>
        <v>2025</v>
      </c>
      <c r="N585">
        <f t="shared" si="38"/>
        <v>141074.51</v>
      </c>
      <c r="O585" t="str">
        <f t="shared" si="39"/>
        <v>Minor Delay</v>
      </c>
    </row>
    <row r="586" spans="1:15" x14ac:dyDescent="0.25">
      <c r="A586">
        <v>585</v>
      </c>
      <c r="B586" s="2">
        <v>45792</v>
      </c>
      <c r="C586" t="s">
        <v>16</v>
      </c>
      <c r="D586" t="s">
        <v>17</v>
      </c>
      <c r="E586" t="s">
        <v>19</v>
      </c>
      <c r="F586" t="s">
        <v>24</v>
      </c>
      <c r="G586">
        <v>210</v>
      </c>
      <c r="H586">
        <v>237.28</v>
      </c>
      <c r="I586">
        <v>25</v>
      </c>
      <c r="J586" t="s">
        <v>30</v>
      </c>
      <c r="K586">
        <v>49828.800000000003</v>
      </c>
      <c r="L586" t="str">
        <f t="shared" si="36"/>
        <v>May</v>
      </c>
      <c r="M586">
        <f t="shared" si="37"/>
        <v>2025</v>
      </c>
      <c r="N586">
        <f t="shared" si="38"/>
        <v>49828.800000000003</v>
      </c>
      <c r="O586" t="str">
        <f t="shared" si="39"/>
        <v>Minor Delay</v>
      </c>
    </row>
    <row r="587" spans="1:15" x14ac:dyDescent="0.25">
      <c r="A587">
        <v>586</v>
      </c>
      <c r="B587" s="2">
        <v>45990</v>
      </c>
      <c r="C587" t="s">
        <v>25</v>
      </c>
      <c r="D587" t="s">
        <v>23</v>
      </c>
      <c r="E587" t="s">
        <v>22</v>
      </c>
      <c r="F587" t="s">
        <v>21</v>
      </c>
      <c r="G587">
        <v>257</v>
      </c>
      <c r="H587">
        <v>258.93</v>
      </c>
      <c r="I587">
        <v>0</v>
      </c>
      <c r="J587" t="s">
        <v>15</v>
      </c>
      <c r="K587">
        <v>66545.009999999995</v>
      </c>
      <c r="L587" t="str">
        <f t="shared" si="36"/>
        <v>Nov</v>
      </c>
      <c r="M587">
        <f t="shared" si="37"/>
        <v>2025</v>
      </c>
      <c r="N587">
        <f t="shared" si="38"/>
        <v>66545.009999999995</v>
      </c>
      <c r="O587" t="str">
        <f t="shared" si="39"/>
        <v>On Time</v>
      </c>
    </row>
    <row r="588" spans="1:15" x14ac:dyDescent="0.25">
      <c r="A588">
        <v>587</v>
      </c>
      <c r="B588" s="2">
        <v>45727</v>
      </c>
      <c r="C588" t="s">
        <v>26</v>
      </c>
      <c r="D588" t="s">
        <v>12</v>
      </c>
      <c r="E588" t="s">
        <v>19</v>
      </c>
      <c r="F588" t="s">
        <v>14</v>
      </c>
      <c r="G588">
        <v>213</v>
      </c>
      <c r="H588">
        <v>396.95</v>
      </c>
      <c r="I588">
        <v>0</v>
      </c>
      <c r="J588" t="s">
        <v>15</v>
      </c>
      <c r="K588">
        <v>84550.35</v>
      </c>
      <c r="L588" t="str">
        <f t="shared" si="36"/>
        <v>Mar</v>
      </c>
      <c r="M588">
        <f t="shared" si="37"/>
        <v>2025</v>
      </c>
      <c r="N588">
        <f t="shared" si="38"/>
        <v>84550.349999999991</v>
      </c>
      <c r="O588" t="str">
        <f t="shared" si="39"/>
        <v>On Time</v>
      </c>
    </row>
    <row r="589" spans="1:15" x14ac:dyDescent="0.25">
      <c r="A589">
        <v>588</v>
      </c>
      <c r="B589" s="2">
        <v>45735</v>
      </c>
      <c r="C589" t="s">
        <v>16</v>
      </c>
      <c r="D589" t="s">
        <v>22</v>
      </c>
      <c r="E589" t="s">
        <v>13</v>
      </c>
      <c r="F589" t="s">
        <v>21</v>
      </c>
      <c r="G589">
        <v>55</v>
      </c>
      <c r="H589">
        <v>197.59</v>
      </c>
      <c r="I589">
        <v>31</v>
      </c>
      <c r="J589" t="s">
        <v>15</v>
      </c>
      <c r="K589">
        <v>10867.45</v>
      </c>
      <c r="L589" t="str">
        <f t="shared" si="36"/>
        <v>Mar</v>
      </c>
      <c r="M589">
        <f t="shared" si="37"/>
        <v>2025</v>
      </c>
      <c r="N589">
        <f t="shared" si="38"/>
        <v>10867.45</v>
      </c>
      <c r="O589" t="str">
        <f t="shared" si="39"/>
        <v>Moderate Delay</v>
      </c>
    </row>
    <row r="590" spans="1:15" x14ac:dyDescent="0.25">
      <c r="A590">
        <v>589</v>
      </c>
      <c r="B590" s="2">
        <v>45882</v>
      </c>
      <c r="C590" t="s">
        <v>25</v>
      </c>
      <c r="D590" t="s">
        <v>23</v>
      </c>
      <c r="E590" t="s">
        <v>29</v>
      </c>
      <c r="F590" t="s">
        <v>14</v>
      </c>
      <c r="G590">
        <v>109</v>
      </c>
      <c r="H590">
        <v>126.75</v>
      </c>
      <c r="I590">
        <v>37</v>
      </c>
      <c r="J590" t="s">
        <v>15</v>
      </c>
      <c r="K590">
        <v>13815.75</v>
      </c>
      <c r="L590" t="str">
        <f t="shared" si="36"/>
        <v>Aug</v>
      </c>
      <c r="M590">
        <f t="shared" si="37"/>
        <v>2025</v>
      </c>
      <c r="N590">
        <f t="shared" si="38"/>
        <v>13815.75</v>
      </c>
      <c r="O590" t="str">
        <f t="shared" si="39"/>
        <v>Moderate Delay</v>
      </c>
    </row>
    <row r="591" spans="1:15" x14ac:dyDescent="0.25">
      <c r="A591">
        <v>590</v>
      </c>
      <c r="B591" s="2">
        <v>45895</v>
      </c>
      <c r="C591" t="s">
        <v>25</v>
      </c>
      <c r="D591" t="s">
        <v>20</v>
      </c>
      <c r="E591" t="s">
        <v>22</v>
      </c>
      <c r="F591" t="s">
        <v>14</v>
      </c>
      <c r="G591">
        <v>134</v>
      </c>
      <c r="H591">
        <v>119.37</v>
      </c>
      <c r="I591">
        <v>21</v>
      </c>
      <c r="J591" t="s">
        <v>15</v>
      </c>
      <c r="K591">
        <v>15995.58</v>
      </c>
      <c r="L591" t="str">
        <f t="shared" si="36"/>
        <v>Aug</v>
      </c>
      <c r="M591">
        <f t="shared" si="37"/>
        <v>2025</v>
      </c>
      <c r="N591">
        <f t="shared" si="38"/>
        <v>15995.58</v>
      </c>
      <c r="O591" t="str">
        <f t="shared" si="39"/>
        <v>Minor Delay</v>
      </c>
    </row>
    <row r="592" spans="1:15" x14ac:dyDescent="0.25">
      <c r="A592">
        <v>591</v>
      </c>
      <c r="B592" s="2">
        <v>45794</v>
      </c>
      <c r="C592" t="s">
        <v>18</v>
      </c>
      <c r="D592" t="s">
        <v>29</v>
      </c>
      <c r="E592" t="s">
        <v>13</v>
      </c>
      <c r="F592" t="s">
        <v>14</v>
      </c>
      <c r="G592">
        <v>189</v>
      </c>
      <c r="H592">
        <v>407.91</v>
      </c>
      <c r="I592">
        <v>37</v>
      </c>
      <c r="J592" t="s">
        <v>30</v>
      </c>
      <c r="K592">
        <v>77094.990000000005</v>
      </c>
      <c r="L592" t="str">
        <f t="shared" si="36"/>
        <v>May</v>
      </c>
      <c r="M592">
        <f t="shared" si="37"/>
        <v>2025</v>
      </c>
      <c r="N592">
        <f t="shared" si="38"/>
        <v>77094.990000000005</v>
      </c>
      <c r="O592" t="str">
        <f t="shared" si="39"/>
        <v>Moderate Delay</v>
      </c>
    </row>
    <row r="593" spans="1:15" x14ac:dyDescent="0.25">
      <c r="A593">
        <v>592</v>
      </c>
      <c r="B593" s="2">
        <v>45785</v>
      </c>
      <c r="C593" t="s">
        <v>18</v>
      </c>
      <c r="D593" t="s">
        <v>13</v>
      </c>
      <c r="E593" t="s">
        <v>29</v>
      </c>
      <c r="F593" t="s">
        <v>24</v>
      </c>
      <c r="G593">
        <v>113</v>
      </c>
      <c r="H593">
        <v>605.84</v>
      </c>
      <c r="I593">
        <v>64</v>
      </c>
      <c r="J593" t="s">
        <v>15</v>
      </c>
      <c r="K593">
        <v>68459.92</v>
      </c>
      <c r="L593" t="str">
        <f t="shared" si="36"/>
        <v>May</v>
      </c>
      <c r="M593">
        <f t="shared" si="37"/>
        <v>2025</v>
      </c>
      <c r="N593">
        <f t="shared" si="38"/>
        <v>68459.92</v>
      </c>
      <c r="O593" t="str">
        <f t="shared" si="39"/>
        <v>Major Delay</v>
      </c>
    </row>
    <row r="594" spans="1:15" x14ac:dyDescent="0.25">
      <c r="A594">
        <v>593</v>
      </c>
      <c r="B594" s="2">
        <v>45924</v>
      </c>
      <c r="C594" t="s">
        <v>25</v>
      </c>
      <c r="D594" t="s">
        <v>20</v>
      </c>
      <c r="E594" t="s">
        <v>12</v>
      </c>
      <c r="F594" t="s">
        <v>14</v>
      </c>
      <c r="G594">
        <v>171</v>
      </c>
      <c r="H594">
        <v>347.95</v>
      </c>
      <c r="I594">
        <v>76</v>
      </c>
      <c r="J594" t="s">
        <v>15</v>
      </c>
      <c r="K594">
        <v>59499.45</v>
      </c>
      <c r="L594" t="str">
        <f t="shared" si="36"/>
        <v>Sep</v>
      </c>
      <c r="M594">
        <f t="shared" si="37"/>
        <v>2025</v>
      </c>
      <c r="N594">
        <f t="shared" si="38"/>
        <v>59499.45</v>
      </c>
      <c r="O594" t="str">
        <f t="shared" si="39"/>
        <v>Major Delay</v>
      </c>
    </row>
    <row r="595" spans="1:15" x14ac:dyDescent="0.25">
      <c r="A595">
        <v>594</v>
      </c>
      <c r="B595" s="2">
        <v>45787</v>
      </c>
      <c r="C595" t="s">
        <v>18</v>
      </c>
      <c r="D595" t="s">
        <v>13</v>
      </c>
      <c r="E595" t="s">
        <v>29</v>
      </c>
      <c r="F595" t="s">
        <v>21</v>
      </c>
      <c r="G595">
        <v>126</v>
      </c>
      <c r="H595">
        <v>207.06</v>
      </c>
      <c r="I595">
        <v>5</v>
      </c>
      <c r="J595" t="s">
        <v>30</v>
      </c>
      <c r="K595">
        <v>26089.56</v>
      </c>
      <c r="L595" t="str">
        <f t="shared" si="36"/>
        <v>May</v>
      </c>
      <c r="M595">
        <f t="shared" si="37"/>
        <v>2025</v>
      </c>
      <c r="N595">
        <f t="shared" si="38"/>
        <v>26089.56</v>
      </c>
      <c r="O595" t="str">
        <f t="shared" si="39"/>
        <v>Minor Delay</v>
      </c>
    </row>
    <row r="596" spans="1:15" x14ac:dyDescent="0.25">
      <c r="A596">
        <v>595</v>
      </c>
      <c r="B596" s="2">
        <v>45778</v>
      </c>
      <c r="C596" t="s">
        <v>25</v>
      </c>
      <c r="D596" t="s">
        <v>19</v>
      </c>
      <c r="E596" t="s">
        <v>12</v>
      </c>
      <c r="F596" t="s">
        <v>24</v>
      </c>
      <c r="G596">
        <v>133</v>
      </c>
      <c r="H596">
        <v>71.150000000000006</v>
      </c>
      <c r="I596">
        <v>29</v>
      </c>
      <c r="J596" t="s">
        <v>15</v>
      </c>
      <c r="K596">
        <v>9462.9500000000007</v>
      </c>
      <c r="L596" t="str">
        <f t="shared" si="36"/>
        <v>May</v>
      </c>
      <c r="M596">
        <f t="shared" si="37"/>
        <v>2025</v>
      </c>
      <c r="N596">
        <f t="shared" si="38"/>
        <v>9462.9500000000007</v>
      </c>
      <c r="O596" t="str">
        <f t="shared" si="39"/>
        <v>Minor Delay</v>
      </c>
    </row>
    <row r="597" spans="1:15" x14ac:dyDescent="0.25">
      <c r="A597">
        <v>596</v>
      </c>
      <c r="B597" s="2">
        <v>45679</v>
      </c>
      <c r="C597" t="s">
        <v>31</v>
      </c>
      <c r="D597" t="s">
        <v>19</v>
      </c>
      <c r="E597" t="s">
        <v>13</v>
      </c>
      <c r="F597" t="s">
        <v>21</v>
      </c>
      <c r="G597">
        <v>171</v>
      </c>
      <c r="H597">
        <v>569.41999999999996</v>
      </c>
      <c r="I597">
        <v>0</v>
      </c>
      <c r="J597" t="s">
        <v>15</v>
      </c>
      <c r="K597">
        <v>97370.82</v>
      </c>
      <c r="L597" t="str">
        <f t="shared" si="36"/>
        <v>Jan</v>
      </c>
      <c r="M597">
        <f t="shared" si="37"/>
        <v>2025</v>
      </c>
      <c r="N597">
        <f t="shared" si="38"/>
        <v>97370.819999999992</v>
      </c>
      <c r="O597" t="str">
        <f t="shared" si="39"/>
        <v>On Time</v>
      </c>
    </row>
    <row r="598" spans="1:15" x14ac:dyDescent="0.25">
      <c r="A598">
        <v>597</v>
      </c>
      <c r="B598" s="2">
        <v>45738</v>
      </c>
      <c r="C598" t="s">
        <v>18</v>
      </c>
      <c r="D598" t="s">
        <v>12</v>
      </c>
      <c r="E598" t="s">
        <v>23</v>
      </c>
      <c r="F598" t="s">
        <v>14</v>
      </c>
      <c r="G598">
        <v>225</v>
      </c>
      <c r="H598">
        <v>517.79999999999995</v>
      </c>
      <c r="I598">
        <v>97</v>
      </c>
      <c r="J598" t="s">
        <v>15</v>
      </c>
      <c r="K598">
        <v>116505</v>
      </c>
      <c r="L598" t="str">
        <f t="shared" si="36"/>
        <v>Mar</v>
      </c>
      <c r="M598">
        <f t="shared" si="37"/>
        <v>2025</v>
      </c>
      <c r="N598">
        <f t="shared" si="38"/>
        <v>116504.99999999999</v>
      </c>
      <c r="O598" t="str">
        <f t="shared" si="39"/>
        <v>Major Delay</v>
      </c>
    </row>
    <row r="599" spans="1:15" x14ac:dyDescent="0.25">
      <c r="A599">
        <v>598</v>
      </c>
      <c r="B599" s="2">
        <v>45988</v>
      </c>
      <c r="C599" t="s">
        <v>11</v>
      </c>
      <c r="D599" t="s">
        <v>13</v>
      </c>
      <c r="E599" t="s">
        <v>17</v>
      </c>
      <c r="F599" t="s">
        <v>21</v>
      </c>
      <c r="G599">
        <v>187</v>
      </c>
      <c r="H599">
        <v>645.69000000000005</v>
      </c>
      <c r="I599">
        <v>0</v>
      </c>
      <c r="J599" t="s">
        <v>15</v>
      </c>
      <c r="K599">
        <v>120744.03</v>
      </c>
      <c r="L599" t="str">
        <f t="shared" si="36"/>
        <v>Nov</v>
      </c>
      <c r="M599">
        <f t="shared" si="37"/>
        <v>2025</v>
      </c>
      <c r="N599">
        <f t="shared" si="38"/>
        <v>120744.03000000001</v>
      </c>
      <c r="O599" t="str">
        <f t="shared" si="39"/>
        <v>On Time</v>
      </c>
    </row>
    <row r="600" spans="1:15" x14ac:dyDescent="0.25">
      <c r="A600">
        <v>599</v>
      </c>
      <c r="B600" s="2">
        <v>45943</v>
      </c>
      <c r="C600" t="s">
        <v>25</v>
      </c>
      <c r="D600" t="s">
        <v>19</v>
      </c>
      <c r="E600" t="s">
        <v>17</v>
      </c>
      <c r="F600" t="s">
        <v>24</v>
      </c>
      <c r="G600">
        <v>256</v>
      </c>
      <c r="H600">
        <v>719.93</v>
      </c>
      <c r="I600">
        <v>19</v>
      </c>
      <c r="J600" t="s">
        <v>15</v>
      </c>
      <c r="K600">
        <v>184302.07999999999</v>
      </c>
      <c r="L600" t="str">
        <f t="shared" si="36"/>
        <v>Oct</v>
      </c>
      <c r="M600">
        <f t="shared" si="37"/>
        <v>2025</v>
      </c>
      <c r="N600">
        <f t="shared" si="38"/>
        <v>184302.07999999999</v>
      </c>
      <c r="O600" t="str">
        <f t="shared" si="39"/>
        <v>Minor Delay</v>
      </c>
    </row>
    <row r="601" spans="1:15" x14ac:dyDescent="0.25">
      <c r="A601">
        <v>600</v>
      </c>
      <c r="B601" s="2">
        <v>45678</v>
      </c>
      <c r="C601" t="s">
        <v>18</v>
      </c>
      <c r="D601" t="s">
        <v>29</v>
      </c>
      <c r="E601" t="s">
        <v>22</v>
      </c>
      <c r="F601" t="s">
        <v>21</v>
      </c>
      <c r="G601">
        <v>162</v>
      </c>
      <c r="H601">
        <v>473.68</v>
      </c>
      <c r="I601">
        <v>14</v>
      </c>
      <c r="J601" t="s">
        <v>15</v>
      </c>
      <c r="K601">
        <v>76736.160000000003</v>
      </c>
      <c r="L601" t="str">
        <f t="shared" si="36"/>
        <v>Jan</v>
      </c>
      <c r="M601">
        <f t="shared" si="37"/>
        <v>2025</v>
      </c>
      <c r="N601">
        <f t="shared" si="38"/>
        <v>76736.160000000003</v>
      </c>
      <c r="O601" t="str">
        <f t="shared" si="39"/>
        <v>Minor Delay</v>
      </c>
    </row>
    <row r="602" spans="1:15" x14ac:dyDescent="0.25">
      <c r="A602">
        <v>601</v>
      </c>
      <c r="B602" s="2">
        <v>45948</v>
      </c>
      <c r="C602" t="s">
        <v>11</v>
      </c>
      <c r="D602" t="s">
        <v>20</v>
      </c>
      <c r="E602" t="s">
        <v>19</v>
      </c>
      <c r="F602" t="s">
        <v>21</v>
      </c>
      <c r="G602">
        <v>139</v>
      </c>
      <c r="H602">
        <v>299.52</v>
      </c>
      <c r="I602">
        <v>0</v>
      </c>
      <c r="J602" t="s">
        <v>15</v>
      </c>
      <c r="K602">
        <v>41633.279999999999</v>
      </c>
      <c r="L602" t="str">
        <f t="shared" si="36"/>
        <v>Oct</v>
      </c>
      <c r="M602">
        <f t="shared" si="37"/>
        <v>2025</v>
      </c>
      <c r="N602">
        <f t="shared" si="38"/>
        <v>41633.279999999999</v>
      </c>
      <c r="O602" t="str">
        <f t="shared" si="39"/>
        <v>On Time</v>
      </c>
    </row>
    <row r="603" spans="1:15" x14ac:dyDescent="0.25">
      <c r="A603">
        <v>602</v>
      </c>
      <c r="B603" s="2">
        <v>45693</v>
      </c>
      <c r="C603" t="s">
        <v>31</v>
      </c>
      <c r="D603" t="s">
        <v>27</v>
      </c>
      <c r="E603" t="s">
        <v>29</v>
      </c>
      <c r="F603" t="s">
        <v>14</v>
      </c>
      <c r="G603">
        <v>165</v>
      </c>
      <c r="H603">
        <v>278.8</v>
      </c>
      <c r="I603">
        <v>29</v>
      </c>
      <c r="J603" t="s">
        <v>15</v>
      </c>
      <c r="K603">
        <v>46002</v>
      </c>
      <c r="L603" t="str">
        <f t="shared" si="36"/>
        <v>Feb</v>
      </c>
      <c r="M603">
        <f t="shared" si="37"/>
        <v>2025</v>
      </c>
      <c r="N603">
        <f t="shared" si="38"/>
        <v>46002</v>
      </c>
      <c r="O603" t="str">
        <f t="shared" si="39"/>
        <v>Minor Delay</v>
      </c>
    </row>
    <row r="604" spans="1:15" x14ac:dyDescent="0.25">
      <c r="A604">
        <v>603</v>
      </c>
      <c r="B604" s="2">
        <v>45658</v>
      </c>
      <c r="C604" t="s">
        <v>25</v>
      </c>
      <c r="D604" t="s">
        <v>22</v>
      </c>
      <c r="E604" t="s">
        <v>27</v>
      </c>
      <c r="F604" t="s">
        <v>21</v>
      </c>
      <c r="G604">
        <v>147</v>
      </c>
      <c r="H604">
        <v>602.91</v>
      </c>
      <c r="I604">
        <v>45</v>
      </c>
      <c r="J604" t="s">
        <v>15</v>
      </c>
      <c r="K604">
        <v>88627.77</v>
      </c>
      <c r="L604" t="str">
        <f t="shared" si="36"/>
        <v>Jan</v>
      </c>
      <c r="M604">
        <f t="shared" si="37"/>
        <v>2025</v>
      </c>
      <c r="N604">
        <f t="shared" si="38"/>
        <v>88627.76999999999</v>
      </c>
      <c r="O604" t="str">
        <f t="shared" si="39"/>
        <v>Moderate Delay</v>
      </c>
    </row>
    <row r="605" spans="1:15" x14ac:dyDescent="0.25">
      <c r="A605">
        <v>604</v>
      </c>
      <c r="B605" s="2">
        <v>45690</v>
      </c>
      <c r="C605" t="s">
        <v>25</v>
      </c>
      <c r="D605" t="s">
        <v>19</v>
      </c>
      <c r="E605" t="s">
        <v>17</v>
      </c>
      <c r="F605" t="s">
        <v>21</v>
      </c>
      <c r="G605">
        <v>259</v>
      </c>
      <c r="H605">
        <v>346.74</v>
      </c>
      <c r="I605">
        <v>0</v>
      </c>
      <c r="J605" t="s">
        <v>15</v>
      </c>
      <c r="K605">
        <v>89805.66</v>
      </c>
      <c r="L605" t="str">
        <f t="shared" si="36"/>
        <v>Feb</v>
      </c>
      <c r="M605">
        <f t="shared" si="37"/>
        <v>2025</v>
      </c>
      <c r="N605">
        <f t="shared" si="38"/>
        <v>89805.66</v>
      </c>
      <c r="O605" t="str">
        <f t="shared" si="39"/>
        <v>On Time</v>
      </c>
    </row>
    <row r="606" spans="1:15" x14ac:dyDescent="0.25">
      <c r="A606">
        <v>605</v>
      </c>
      <c r="B606" s="2">
        <v>45971</v>
      </c>
      <c r="C606" t="s">
        <v>26</v>
      </c>
      <c r="D606" t="s">
        <v>20</v>
      </c>
      <c r="E606" t="s">
        <v>29</v>
      </c>
      <c r="F606" t="s">
        <v>24</v>
      </c>
      <c r="G606">
        <v>154</v>
      </c>
      <c r="H606">
        <v>534.27</v>
      </c>
      <c r="I606">
        <v>43</v>
      </c>
      <c r="J606" t="s">
        <v>15</v>
      </c>
      <c r="K606">
        <v>82277.58</v>
      </c>
      <c r="L606" t="str">
        <f t="shared" si="36"/>
        <v>Nov</v>
      </c>
      <c r="M606">
        <f t="shared" si="37"/>
        <v>2025</v>
      </c>
      <c r="N606">
        <f t="shared" si="38"/>
        <v>82277.58</v>
      </c>
      <c r="O606" t="str">
        <f t="shared" si="39"/>
        <v>Moderate Delay</v>
      </c>
    </row>
    <row r="607" spans="1:15" x14ac:dyDescent="0.25">
      <c r="A607">
        <v>606</v>
      </c>
      <c r="B607" s="2">
        <v>45674</v>
      </c>
      <c r="C607" t="s">
        <v>11</v>
      </c>
      <c r="D607" t="s">
        <v>29</v>
      </c>
      <c r="E607" t="s">
        <v>19</v>
      </c>
      <c r="F607" t="s">
        <v>14</v>
      </c>
      <c r="G607">
        <v>174</v>
      </c>
      <c r="H607">
        <v>201.8</v>
      </c>
      <c r="I607">
        <v>39</v>
      </c>
      <c r="J607" t="s">
        <v>15</v>
      </c>
      <c r="K607">
        <v>35113.199999999997</v>
      </c>
      <c r="L607" t="str">
        <f t="shared" si="36"/>
        <v>Jan</v>
      </c>
      <c r="M607">
        <f t="shared" si="37"/>
        <v>2025</v>
      </c>
      <c r="N607">
        <f t="shared" si="38"/>
        <v>35113.200000000004</v>
      </c>
      <c r="O607" t="str">
        <f t="shared" si="39"/>
        <v>Moderate Delay</v>
      </c>
    </row>
    <row r="608" spans="1:15" x14ac:dyDescent="0.25">
      <c r="A608">
        <v>607</v>
      </c>
      <c r="B608" s="2">
        <v>45927</v>
      </c>
      <c r="C608" t="s">
        <v>31</v>
      </c>
      <c r="D608" t="s">
        <v>17</v>
      </c>
      <c r="E608" t="s">
        <v>27</v>
      </c>
      <c r="F608" t="s">
        <v>21</v>
      </c>
      <c r="G608">
        <v>201</v>
      </c>
      <c r="H608">
        <v>249.39</v>
      </c>
      <c r="I608">
        <v>0</v>
      </c>
      <c r="J608" t="s">
        <v>15</v>
      </c>
      <c r="K608">
        <v>50127.39</v>
      </c>
      <c r="L608" t="str">
        <f t="shared" si="36"/>
        <v>Sep</v>
      </c>
      <c r="M608">
        <f t="shared" si="37"/>
        <v>2025</v>
      </c>
      <c r="N608">
        <f t="shared" si="38"/>
        <v>50127.39</v>
      </c>
      <c r="O608" t="str">
        <f t="shared" si="39"/>
        <v>On Time</v>
      </c>
    </row>
    <row r="609" spans="1:15" x14ac:dyDescent="0.25">
      <c r="A609">
        <v>608</v>
      </c>
      <c r="B609" s="2">
        <v>45698</v>
      </c>
      <c r="C609" t="s">
        <v>18</v>
      </c>
      <c r="D609" t="s">
        <v>19</v>
      </c>
      <c r="E609" t="s">
        <v>27</v>
      </c>
      <c r="F609" t="s">
        <v>21</v>
      </c>
      <c r="G609">
        <v>65</v>
      </c>
      <c r="H609">
        <v>327.08999999999997</v>
      </c>
      <c r="I609">
        <v>45</v>
      </c>
      <c r="J609" t="s">
        <v>15</v>
      </c>
      <c r="K609">
        <v>21260.85</v>
      </c>
      <c r="L609" t="str">
        <f t="shared" si="36"/>
        <v>Feb</v>
      </c>
      <c r="M609">
        <f t="shared" si="37"/>
        <v>2025</v>
      </c>
      <c r="N609">
        <f t="shared" si="38"/>
        <v>21260.85</v>
      </c>
      <c r="O609" t="str">
        <f t="shared" si="39"/>
        <v>Moderate Delay</v>
      </c>
    </row>
    <row r="610" spans="1:15" x14ac:dyDescent="0.25">
      <c r="A610">
        <v>609</v>
      </c>
      <c r="B610" s="2">
        <v>46020</v>
      </c>
      <c r="C610" t="s">
        <v>16</v>
      </c>
      <c r="D610" t="s">
        <v>17</v>
      </c>
      <c r="E610" t="s">
        <v>22</v>
      </c>
      <c r="F610" t="s">
        <v>21</v>
      </c>
      <c r="G610">
        <v>118</v>
      </c>
      <c r="H610">
        <v>451.48</v>
      </c>
      <c r="I610">
        <v>15</v>
      </c>
      <c r="J610" t="s">
        <v>15</v>
      </c>
      <c r="K610">
        <v>53274.64</v>
      </c>
      <c r="L610" t="str">
        <f t="shared" si="36"/>
        <v>Dec</v>
      </c>
      <c r="M610">
        <f t="shared" si="37"/>
        <v>2025</v>
      </c>
      <c r="N610">
        <f t="shared" si="38"/>
        <v>53274.64</v>
      </c>
      <c r="O610" t="str">
        <f t="shared" si="39"/>
        <v>Minor Delay</v>
      </c>
    </row>
    <row r="611" spans="1:15" x14ac:dyDescent="0.25">
      <c r="A611">
        <v>610</v>
      </c>
      <c r="B611" s="2">
        <v>45709</v>
      </c>
      <c r="C611" t="s">
        <v>25</v>
      </c>
      <c r="D611" t="s">
        <v>19</v>
      </c>
      <c r="E611" t="s">
        <v>12</v>
      </c>
      <c r="F611" t="s">
        <v>14</v>
      </c>
      <c r="G611">
        <v>186</v>
      </c>
      <c r="H611">
        <v>345.15</v>
      </c>
      <c r="I611">
        <v>0</v>
      </c>
      <c r="J611" t="s">
        <v>15</v>
      </c>
      <c r="K611">
        <v>64197.9</v>
      </c>
      <c r="L611" t="str">
        <f t="shared" si="36"/>
        <v>Feb</v>
      </c>
      <c r="M611">
        <f t="shared" si="37"/>
        <v>2025</v>
      </c>
      <c r="N611">
        <f t="shared" si="38"/>
        <v>64197.899999999994</v>
      </c>
      <c r="O611" t="str">
        <f t="shared" si="39"/>
        <v>On Time</v>
      </c>
    </row>
    <row r="612" spans="1:15" x14ac:dyDescent="0.25">
      <c r="A612">
        <v>611</v>
      </c>
      <c r="B612" s="2">
        <v>45943</v>
      </c>
      <c r="C612" t="s">
        <v>25</v>
      </c>
      <c r="D612" t="s">
        <v>19</v>
      </c>
      <c r="E612" t="s">
        <v>29</v>
      </c>
      <c r="F612" t="s">
        <v>21</v>
      </c>
      <c r="G612">
        <v>156</v>
      </c>
      <c r="H612">
        <v>612.12</v>
      </c>
      <c r="I612">
        <v>23</v>
      </c>
      <c r="J612" t="s">
        <v>15</v>
      </c>
      <c r="K612">
        <v>95490.72</v>
      </c>
      <c r="L612" t="str">
        <f t="shared" si="36"/>
        <v>Oct</v>
      </c>
      <c r="M612">
        <f t="shared" si="37"/>
        <v>2025</v>
      </c>
      <c r="N612">
        <f t="shared" si="38"/>
        <v>95490.72</v>
      </c>
      <c r="O612" t="str">
        <f t="shared" si="39"/>
        <v>Minor Delay</v>
      </c>
    </row>
    <row r="613" spans="1:15" x14ac:dyDescent="0.25">
      <c r="A613">
        <v>612</v>
      </c>
      <c r="B613" s="2">
        <v>45743</v>
      </c>
      <c r="C613" t="s">
        <v>11</v>
      </c>
      <c r="D613" t="s">
        <v>17</v>
      </c>
      <c r="E613" t="s">
        <v>12</v>
      </c>
      <c r="F613" t="s">
        <v>21</v>
      </c>
      <c r="G613">
        <v>152</v>
      </c>
      <c r="H613">
        <v>433.47</v>
      </c>
      <c r="I613">
        <v>0</v>
      </c>
      <c r="J613" t="s">
        <v>15</v>
      </c>
      <c r="K613">
        <v>65887.44</v>
      </c>
      <c r="L613" t="str">
        <f t="shared" si="36"/>
        <v>Mar</v>
      </c>
      <c r="M613">
        <f t="shared" si="37"/>
        <v>2025</v>
      </c>
      <c r="N613">
        <f t="shared" si="38"/>
        <v>65887.44</v>
      </c>
      <c r="O613" t="str">
        <f t="shared" si="39"/>
        <v>On Time</v>
      </c>
    </row>
    <row r="614" spans="1:15" x14ac:dyDescent="0.25">
      <c r="A614">
        <v>613</v>
      </c>
      <c r="B614" s="2">
        <v>45838</v>
      </c>
      <c r="C614" t="s">
        <v>26</v>
      </c>
      <c r="D614" t="s">
        <v>27</v>
      </c>
      <c r="E614" t="s">
        <v>20</v>
      </c>
      <c r="F614" t="s">
        <v>21</v>
      </c>
      <c r="G614">
        <v>133</v>
      </c>
      <c r="H614">
        <v>685.19</v>
      </c>
      <c r="I614">
        <v>0</v>
      </c>
      <c r="J614" t="s">
        <v>30</v>
      </c>
      <c r="K614">
        <v>91130.27</v>
      </c>
      <c r="L614" t="str">
        <f t="shared" si="36"/>
        <v>Jun</v>
      </c>
      <c r="M614">
        <f t="shared" si="37"/>
        <v>2025</v>
      </c>
      <c r="N614">
        <f t="shared" si="38"/>
        <v>91130.27</v>
      </c>
      <c r="O614" t="str">
        <f t="shared" si="39"/>
        <v>On Time</v>
      </c>
    </row>
    <row r="615" spans="1:15" x14ac:dyDescent="0.25">
      <c r="A615">
        <v>614</v>
      </c>
      <c r="B615" s="2">
        <v>45946</v>
      </c>
      <c r="C615" t="s">
        <v>31</v>
      </c>
      <c r="D615" t="s">
        <v>22</v>
      </c>
      <c r="E615" t="s">
        <v>19</v>
      </c>
      <c r="F615" t="s">
        <v>14</v>
      </c>
      <c r="G615">
        <v>146</v>
      </c>
      <c r="H615">
        <v>626.62</v>
      </c>
      <c r="I615">
        <v>38</v>
      </c>
      <c r="J615" t="s">
        <v>30</v>
      </c>
      <c r="K615">
        <v>91486.52</v>
      </c>
      <c r="L615" t="str">
        <f t="shared" si="36"/>
        <v>Oct</v>
      </c>
      <c r="M615">
        <f t="shared" si="37"/>
        <v>2025</v>
      </c>
      <c r="N615">
        <f t="shared" si="38"/>
        <v>91486.52</v>
      </c>
      <c r="O615" t="str">
        <f t="shared" si="39"/>
        <v>Moderate Delay</v>
      </c>
    </row>
    <row r="616" spans="1:15" x14ac:dyDescent="0.25">
      <c r="A616">
        <v>615</v>
      </c>
      <c r="B616" s="2">
        <v>45889</v>
      </c>
      <c r="C616" t="s">
        <v>18</v>
      </c>
      <c r="D616" t="s">
        <v>23</v>
      </c>
      <c r="E616" t="s">
        <v>17</v>
      </c>
      <c r="F616" t="s">
        <v>24</v>
      </c>
      <c r="G616">
        <v>50</v>
      </c>
      <c r="H616">
        <v>597.47</v>
      </c>
      <c r="I616">
        <v>53</v>
      </c>
      <c r="J616" t="s">
        <v>15</v>
      </c>
      <c r="K616">
        <v>29873.5</v>
      </c>
      <c r="L616" t="str">
        <f t="shared" si="36"/>
        <v>Aug</v>
      </c>
      <c r="M616">
        <f t="shared" si="37"/>
        <v>2025</v>
      </c>
      <c r="N616">
        <f t="shared" si="38"/>
        <v>29873.5</v>
      </c>
      <c r="O616" t="str">
        <f t="shared" si="39"/>
        <v>Moderate Delay</v>
      </c>
    </row>
    <row r="617" spans="1:15" x14ac:dyDescent="0.25">
      <c r="A617">
        <v>616</v>
      </c>
      <c r="B617" s="2">
        <v>45811</v>
      </c>
      <c r="C617" t="s">
        <v>11</v>
      </c>
      <c r="D617" t="s">
        <v>23</v>
      </c>
      <c r="E617" t="s">
        <v>13</v>
      </c>
      <c r="F617" t="s">
        <v>14</v>
      </c>
      <c r="G617">
        <v>269</v>
      </c>
      <c r="H617">
        <v>293.02999999999997</v>
      </c>
      <c r="I617">
        <v>16</v>
      </c>
      <c r="J617" t="s">
        <v>15</v>
      </c>
      <c r="K617">
        <v>78825.070000000007</v>
      </c>
      <c r="L617" t="str">
        <f t="shared" si="36"/>
        <v>Jun</v>
      </c>
      <c r="M617">
        <f t="shared" si="37"/>
        <v>2025</v>
      </c>
      <c r="N617">
        <f t="shared" si="38"/>
        <v>78825.069999999992</v>
      </c>
      <c r="O617" t="str">
        <f t="shared" si="39"/>
        <v>Minor Delay</v>
      </c>
    </row>
    <row r="618" spans="1:15" x14ac:dyDescent="0.25">
      <c r="A618">
        <v>617</v>
      </c>
      <c r="B618" s="2">
        <v>45706</v>
      </c>
      <c r="C618" t="s">
        <v>16</v>
      </c>
      <c r="D618" t="s">
        <v>23</v>
      </c>
      <c r="E618" t="s">
        <v>29</v>
      </c>
      <c r="F618" t="s">
        <v>24</v>
      </c>
      <c r="G618">
        <v>141</v>
      </c>
      <c r="H618">
        <v>175.52</v>
      </c>
      <c r="I618">
        <v>15</v>
      </c>
      <c r="J618" t="s">
        <v>15</v>
      </c>
      <c r="K618">
        <v>24748.32</v>
      </c>
      <c r="L618" t="str">
        <f t="shared" si="36"/>
        <v>Feb</v>
      </c>
      <c r="M618">
        <f t="shared" si="37"/>
        <v>2025</v>
      </c>
      <c r="N618">
        <f t="shared" si="38"/>
        <v>24748.32</v>
      </c>
      <c r="O618" t="str">
        <f t="shared" si="39"/>
        <v>Minor Delay</v>
      </c>
    </row>
    <row r="619" spans="1:15" x14ac:dyDescent="0.25">
      <c r="A619">
        <v>618</v>
      </c>
      <c r="B619" s="2">
        <v>45705</v>
      </c>
      <c r="C619" t="s">
        <v>31</v>
      </c>
      <c r="D619" t="s">
        <v>23</v>
      </c>
      <c r="E619" t="s">
        <v>22</v>
      </c>
      <c r="F619" t="s">
        <v>24</v>
      </c>
      <c r="G619">
        <v>195</v>
      </c>
      <c r="H619">
        <v>739.23</v>
      </c>
      <c r="I619">
        <v>72</v>
      </c>
      <c r="J619" t="s">
        <v>15</v>
      </c>
      <c r="K619">
        <v>144149.85</v>
      </c>
      <c r="L619" t="str">
        <f t="shared" si="36"/>
        <v>Feb</v>
      </c>
      <c r="M619">
        <f t="shared" si="37"/>
        <v>2025</v>
      </c>
      <c r="N619">
        <f t="shared" si="38"/>
        <v>144149.85</v>
      </c>
      <c r="O619" t="str">
        <f t="shared" si="39"/>
        <v>Major Delay</v>
      </c>
    </row>
    <row r="620" spans="1:15" x14ac:dyDescent="0.25">
      <c r="A620">
        <v>619</v>
      </c>
      <c r="B620" s="2">
        <v>45746</v>
      </c>
      <c r="C620" t="s">
        <v>18</v>
      </c>
      <c r="D620" t="s">
        <v>22</v>
      </c>
      <c r="E620" t="s">
        <v>27</v>
      </c>
      <c r="F620" t="s">
        <v>21</v>
      </c>
      <c r="G620">
        <v>229</v>
      </c>
      <c r="H620">
        <v>486.41</v>
      </c>
      <c r="I620">
        <v>48</v>
      </c>
      <c r="J620" t="s">
        <v>15</v>
      </c>
      <c r="K620">
        <v>111387.89</v>
      </c>
      <c r="L620" t="str">
        <f t="shared" si="36"/>
        <v>Mar</v>
      </c>
      <c r="M620">
        <f t="shared" si="37"/>
        <v>2025</v>
      </c>
      <c r="N620">
        <f t="shared" si="38"/>
        <v>111387.89</v>
      </c>
      <c r="O620" t="str">
        <f t="shared" si="39"/>
        <v>Moderate Delay</v>
      </c>
    </row>
    <row r="621" spans="1:15" x14ac:dyDescent="0.25">
      <c r="A621">
        <v>620</v>
      </c>
      <c r="B621" s="2">
        <v>45686</v>
      </c>
      <c r="C621" t="s">
        <v>26</v>
      </c>
      <c r="D621" t="s">
        <v>17</v>
      </c>
      <c r="E621" t="s">
        <v>12</v>
      </c>
      <c r="F621" t="s">
        <v>24</v>
      </c>
      <c r="G621">
        <v>275</v>
      </c>
      <c r="H621">
        <v>664.68</v>
      </c>
      <c r="I621">
        <v>1</v>
      </c>
      <c r="J621" t="s">
        <v>15</v>
      </c>
      <c r="K621">
        <v>182787</v>
      </c>
      <c r="L621" t="str">
        <f t="shared" si="36"/>
        <v>Jan</v>
      </c>
      <c r="M621">
        <f t="shared" si="37"/>
        <v>2025</v>
      </c>
      <c r="N621">
        <f t="shared" si="38"/>
        <v>182787</v>
      </c>
      <c r="O621" t="str">
        <f t="shared" si="39"/>
        <v>Minor Delay</v>
      </c>
    </row>
    <row r="622" spans="1:15" x14ac:dyDescent="0.25">
      <c r="A622">
        <v>621</v>
      </c>
      <c r="B622" s="2">
        <v>45992</v>
      </c>
      <c r="C622" t="s">
        <v>31</v>
      </c>
      <c r="D622" t="s">
        <v>12</v>
      </c>
      <c r="E622" t="s">
        <v>23</v>
      </c>
      <c r="F622" t="s">
        <v>14</v>
      </c>
      <c r="G622">
        <v>212</v>
      </c>
      <c r="H622">
        <v>635.29</v>
      </c>
      <c r="I622">
        <v>4</v>
      </c>
      <c r="J622" t="s">
        <v>15</v>
      </c>
      <c r="K622">
        <v>134681.48000000001</v>
      </c>
      <c r="L622" t="str">
        <f t="shared" si="36"/>
        <v>Dec</v>
      </c>
      <c r="M622">
        <f t="shared" si="37"/>
        <v>2025</v>
      </c>
      <c r="N622">
        <f t="shared" si="38"/>
        <v>134681.47999999998</v>
      </c>
      <c r="O622" t="str">
        <f t="shared" si="39"/>
        <v>Minor Delay</v>
      </c>
    </row>
    <row r="623" spans="1:15" x14ac:dyDescent="0.25">
      <c r="A623">
        <v>622</v>
      </c>
      <c r="B623" s="2">
        <v>45825</v>
      </c>
      <c r="C623" t="s">
        <v>31</v>
      </c>
      <c r="D623" t="s">
        <v>27</v>
      </c>
      <c r="E623" t="s">
        <v>29</v>
      </c>
      <c r="F623" t="s">
        <v>21</v>
      </c>
      <c r="G623">
        <v>106</v>
      </c>
      <c r="H623">
        <v>173.37</v>
      </c>
      <c r="I623">
        <v>34</v>
      </c>
      <c r="J623" t="s">
        <v>15</v>
      </c>
      <c r="K623">
        <v>18377.22</v>
      </c>
      <c r="L623" t="str">
        <f t="shared" si="36"/>
        <v>Jun</v>
      </c>
      <c r="M623">
        <f t="shared" si="37"/>
        <v>2025</v>
      </c>
      <c r="N623">
        <f t="shared" si="38"/>
        <v>18377.22</v>
      </c>
      <c r="O623" t="str">
        <f t="shared" si="39"/>
        <v>Moderate Delay</v>
      </c>
    </row>
    <row r="624" spans="1:15" x14ac:dyDescent="0.25">
      <c r="A624">
        <v>623</v>
      </c>
      <c r="B624" s="2">
        <v>45962</v>
      </c>
      <c r="C624" t="s">
        <v>31</v>
      </c>
      <c r="D624" t="s">
        <v>17</v>
      </c>
      <c r="E624" t="s">
        <v>27</v>
      </c>
      <c r="F624" t="s">
        <v>21</v>
      </c>
      <c r="G624">
        <v>73</v>
      </c>
      <c r="H624">
        <v>224.34</v>
      </c>
      <c r="I624">
        <v>13</v>
      </c>
      <c r="J624" t="s">
        <v>15</v>
      </c>
      <c r="K624">
        <v>16376.82</v>
      </c>
      <c r="L624" t="str">
        <f t="shared" si="36"/>
        <v>Nov</v>
      </c>
      <c r="M624">
        <f t="shared" si="37"/>
        <v>2025</v>
      </c>
      <c r="N624">
        <f t="shared" si="38"/>
        <v>16376.82</v>
      </c>
      <c r="O624" t="str">
        <f t="shared" si="39"/>
        <v>Minor Delay</v>
      </c>
    </row>
    <row r="625" spans="1:15" x14ac:dyDescent="0.25">
      <c r="A625">
        <v>624</v>
      </c>
      <c r="B625" s="2">
        <v>45950</v>
      </c>
      <c r="C625" t="s">
        <v>25</v>
      </c>
      <c r="D625" t="s">
        <v>12</v>
      </c>
      <c r="E625" t="s">
        <v>27</v>
      </c>
      <c r="F625" t="s">
        <v>14</v>
      </c>
      <c r="G625">
        <v>190</v>
      </c>
      <c r="H625">
        <v>355.4</v>
      </c>
      <c r="I625">
        <v>44</v>
      </c>
      <c r="J625" t="s">
        <v>15</v>
      </c>
      <c r="K625">
        <v>67526</v>
      </c>
      <c r="L625" t="str">
        <f t="shared" si="36"/>
        <v>Oct</v>
      </c>
      <c r="M625">
        <f t="shared" si="37"/>
        <v>2025</v>
      </c>
      <c r="N625">
        <f t="shared" si="38"/>
        <v>67526</v>
      </c>
      <c r="O625" t="str">
        <f t="shared" si="39"/>
        <v>Moderate Delay</v>
      </c>
    </row>
    <row r="626" spans="1:15" x14ac:dyDescent="0.25">
      <c r="A626">
        <v>625</v>
      </c>
      <c r="B626" s="2">
        <v>46015</v>
      </c>
      <c r="C626" t="s">
        <v>11</v>
      </c>
      <c r="D626" t="s">
        <v>27</v>
      </c>
      <c r="E626" t="s">
        <v>17</v>
      </c>
      <c r="F626" t="s">
        <v>14</v>
      </c>
      <c r="G626">
        <v>173</v>
      </c>
      <c r="H626">
        <v>473.88</v>
      </c>
      <c r="I626">
        <v>0</v>
      </c>
      <c r="J626" t="s">
        <v>15</v>
      </c>
      <c r="K626">
        <v>81981.240000000005</v>
      </c>
      <c r="L626" t="str">
        <f t="shared" si="36"/>
        <v>Dec</v>
      </c>
      <c r="M626">
        <f t="shared" si="37"/>
        <v>2025</v>
      </c>
      <c r="N626">
        <f t="shared" si="38"/>
        <v>81981.240000000005</v>
      </c>
      <c r="O626" t="str">
        <f t="shared" si="39"/>
        <v>On Time</v>
      </c>
    </row>
    <row r="627" spans="1:15" x14ac:dyDescent="0.25">
      <c r="A627">
        <v>626</v>
      </c>
      <c r="B627" s="2">
        <v>45782</v>
      </c>
      <c r="C627" t="s">
        <v>16</v>
      </c>
      <c r="D627" t="s">
        <v>27</v>
      </c>
      <c r="E627" t="s">
        <v>19</v>
      </c>
      <c r="F627" t="s">
        <v>24</v>
      </c>
      <c r="G627">
        <v>248</v>
      </c>
      <c r="H627">
        <v>378.25</v>
      </c>
      <c r="I627">
        <v>22</v>
      </c>
      <c r="J627" t="s">
        <v>15</v>
      </c>
      <c r="K627">
        <v>93806</v>
      </c>
      <c r="L627" t="str">
        <f t="shared" si="36"/>
        <v>May</v>
      </c>
      <c r="M627">
        <f t="shared" si="37"/>
        <v>2025</v>
      </c>
      <c r="N627">
        <f t="shared" si="38"/>
        <v>93806</v>
      </c>
      <c r="O627" t="str">
        <f t="shared" si="39"/>
        <v>Minor Delay</v>
      </c>
    </row>
    <row r="628" spans="1:15" x14ac:dyDescent="0.25">
      <c r="A628">
        <v>627</v>
      </c>
      <c r="B628" s="2">
        <v>46001</v>
      </c>
      <c r="C628" t="s">
        <v>18</v>
      </c>
      <c r="D628" t="s">
        <v>12</v>
      </c>
      <c r="E628" t="s">
        <v>29</v>
      </c>
      <c r="F628" t="s">
        <v>24</v>
      </c>
      <c r="G628">
        <v>143</v>
      </c>
      <c r="H628">
        <v>317.75</v>
      </c>
      <c r="I628">
        <v>5</v>
      </c>
      <c r="J628" t="s">
        <v>15</v>
      </c>
      <c r="K628">
        <v>45438.25</v>
      </c>
      <c r="L628" t="str">
        <f t="shared" si="36"/>
        <v>Dec</v>
      </c>
      <c r="M628">
        <f t="shared" si="37"/>
        <v>2025</v>
      </c>
      <c r="N628">
        <f t="shared" si="38"/>
        <v>45438.25</v>
      </c>
      <c r="O628" t="str">
        <f t="shared" si="39"/>
        <v>Minor Delay</v>
      </c>
    </row>
    <row r="629" spans="1:15" x14ac:dyDescent="0.25">
      <c r="A629">
        <v>628</v>
      </c>
      <c r="B629" s="2">
        <v>45837</v>
      </c>
      <c r="C629" t="s">
        <v>31</v>
      </c>
      <c r="D629" t="s">
        <v>23</v>
      </c>
      <c r="E629" t="s">
        <v>29</v>
      </c>
      <c r="F629" t="s">
        <v>24</v>
      </c>
      <c r="G629">
        <v>209</v>
      </c>
      <c r="H629">
        <v>167.91</v>
      </c>
      <c r="I629">
        <v>50</v>
      </c>
      <c r="J629" t="s">
        <v>15</v>
      </c>
      <c r="K629">
        <v>35093.19</v>
      </c>
      <c r="L629" t="str">
        <f t="shared" si="36"/>
        <v>Jun</v>
      </c>
      <c r="M629">
        <f t="shared" si="37"/>
        <v>2025</v>
      </c>
      <c r="N629">
        <f t="shared" si="38"/>
        <v>35093.19</v>
      </c>
      <c r="O629" t="str">
        <f t="shared" si="39"/>
        <v>Moderate Delay</v>
      </c>
    </row>
    <row r="630" spans="1:15" x14ac:dyDescent="0.25">
      <c r="A630">
        <v>629</v>
      </c>
      <c r="B630" s="2">
        <v>46008</v>
      </c>
      <c r="C630" t="s">
        <v>26</v>
      </c>
      <c r="D630" t="s">
        <v>19</v>
      </c>
      <c r="E630" t="s">
        <v>23</v>
      </c>
      <c r="F630" t="s">
        <v>14</v>
      </c>
      <c r="G630">
        <v>243</v>
      </c>
      <c r="H630">
        <v>599.08000000000004</v>
      </c>
      <c r="I630">
        <v>55</v>
      </c>
      <c r="J630" t="s">
        <v>15</v>
      </c>
      <c r="K630">
        <v>145576.44</v>
      </c>
      <c r="L630" t="str">
        <f t="shared" si="36"/>
        <v>Dec</v>
      </c>
      <c r="M630">
        <f t="shared" si="37"/>
        <v>2025</v>
      </c>
      <c r="N630">
        <f t="shared" si="38"/>
        <v>145576.44</v>
      </c>
      <c r="O630" t="str">
        <f t="shared" si="39"/>
        <v>Moderate Delay</v>
      </c>
    </row>
    <row r="631" spans="1:15" x14ac:dyDescent="0.25">
      <c r="A631">
        <v>630</v>
      </c>
      <c r="B631" s="2">
        <v>45665</v>
      </c>
      <c r="C631" t="s">
        <v>26</v>
      </c>
      <c r="D631" t="s">
        <v>29</v>
      </c>
      <c r="E631" t="s">
        <v>22</v>
      </c>
      <c r="F631" t="s">
        <v>21</v>
      </c>
      <c r="G631">
        <v>255</v>
      </c>
      <c r="H631">
        <v>142.35</v>
      </c>
      <c r="I631">
        <v>41</v>
      </c>
      <c r="J631" t="s">
        <v>15</v>
      </c>
      <c r="K631">
        <v>36299.25</v>
      </c>
      <c r="L631" t="str">
        <f t="shared" si="36"/>
        <v>Jan</v>
      </c>
      <c r="M631">
        <f t="shared" si="37"/>
        <v>2025</v>
      </c>
      <c r="N631">
        <f t="shared" si="38"/>
        <v>36299.25</v>
      </c>
      <c r="O631" t="str">
        <f t="shared" si="39"/>
        <v>Moderate Delay</v>
      </c>
    </row>
    <row r="632" spans="1:15" x14ac:dyDescent="0.25">
      <c r="A632">
        <v>631</v>
      </c>
      <c r="B632" s="2">
        <v>45765</v>
      </c>
      <c r="C632" t="s">
        <v>25</v>
      </c>
      <c r="D632" t="s">
        <v>13</v>
      </c>
      <c r="E632" t="s">
        <v>17</v>
      </c>
      <c r="F632" t="s">
        <v>21</v>
      </c>
      <c r="G632">
        <v>104</v>
      </c>
      <c r="H632">
        <v>210.81</v>
      </c>
      <c r="I632">
        <v>0</v>
      </c>
      <c r="J632" t="s">
        <v>15</v>
      </c>
      <c r="K632">
        <v>21924.240000000002</v>
      </c>
      <c r="L632" t="str">
        <f t="shared" si="36"/>
        <v>Apr</v>
      </c>
      <c r="M632">
        <f t="shared" si="37"/>
        <v>2025</v>
      </c>
      <c r="N632">
        <f t="shared" si="38"/>
        <v>21924.240000000002</v>
      </c>
      <c r="O632" t="str">
        <f t="shared" si="39"/>
        <v>On Time</v>
      </c>
    </row>
    <row r="633" spans="1:15" x14ac:dyDescent="0.25">
      <c r="A633">
        <v>632</v>
      </c>
      <c r="B633" s="2">
        <v>45850</v>
      </c>
      <c r="C633" t="s">
        <v>31</v>
      </c>
      <c r="D633" t="s">
        <v>29</v>
      </c>
      <c r="E633" t="s">
        <v>13</v>
      </c>
      <c r="F633" t="s">
        <v>21</v>
      </c>
      <c r="G633">
        <v>184</v>
      </c>
      <c r="H633">
        <v>92.18</v>
      </c>
      <c r="I633">
        <v>17</v>
      </c>
      <c r="J633" t="s">
        <v>15</v>
      </c>
      <c r="K633">
        <v>16961.12</v>
      </c>
      <c r="L633" t="str">
        <f t="shared" si="36"/>
        <v>Jul</v>
      </c>
      <c r="M633">
        <f t="shared" si="37"/>
        <v>2025</v>
      </c>
      <c r="N633">
        <f t="shared" si="38"/>
        <v>16961.120000000003</v>
      </c>
      <c r="O633" t="str">
        <f t="shared" si="39"/>
        <v>Minor Delay</v>
      </c>
    </row>
    <row r="634" spans="1:15" x14ac:dyDescent="0.25">
      <c r="A634">
        <v>633</v>
      </c>
      <c r="B634" s="2">
        <v>46014</v>
      </c>
      <c r="C634" t="s">
        <v>31</v>
      </c>
      <c r="D634" t="s">
        <v>23</v>
      </c>
      <c r="E634" t="s">
        <v>19</v>
      </c>
      <c r="F634" t="s">
        <v>24</v>
      </c>
      <c r="G634">
        <v>63</v>
      </c>
      <c r="H634">
        <v>404.07</v>
      </c>
      <c r="I634">
        <v>28</v>
      </c>
      <c r="J634" t="s">
        <v>15</v>
      </c>
      <c r="K634">
        <v>25456.41</v>
      </c>
      <c r="L634" t="str">
        <f t="shared" si="36"/>
        <v>Dec</v>
      </c>
      <c r="M634">
        <f t="shared" si="37"/>
        <v>2025</v>
      </c>
      <c r="N634">
        <f t="shared" si="38"/>
        <v>25456.41</v>
      </c>
      <c r="O634" t="str">
        <f t="shared" si="39"/>
        <v>Minor Delay</v>
      </c>
    </row>
    <row r="635" spans="1:15" x14ac:dyDescent="0.25">
      <c r="A635">
        <v>634</v>
      </c>
      <c r="B635" s="2">
        <v>45667</v>
      </c>
      <c r="C635" t="s">
        <v>26</v>
      </c>
      <c r="D635" t="s">
        <v>22</v>
      </c>
      <c r="E635" t="s">
        <v>12</v>
      </c>
      <c r="F635" t="s">
        <v>21</v>
      </c>
      <c r="G635">
        <v>148</v>
      </c>
      <c r="H635">
        <v>231.06</v>
      </c>
      <c r="I635">
        <v>16</v>
      </c>
      <c r="J635" t="s">
        <v>15</v>
      </c>
      <c r="K635">
        <v>34196.879999999997</v>
      </c>
      <c r="L635" t="str">
        <f t="shared" si="36"/>
        <v>Jan</v>
      </c>
      <c r="M635">
        <f t="shared" si="37"/>
        <v>2025</v>
      </c>
      <c r="N635">
        <f t="shared" si="38"/>
        <v>34196.879999999997</v>
      </c>
      <c r="O635" t="str">
        <f t="shared" si="39"/>
        <v>Minor Delay</v>
      </c>
    </row>
    <row r="636" spans="1:15" x14ac:dyDescent="0.25">
      <c r="A636">
        <v>635</v>
      </c>
      <c r="B636" s="2">
        <v>45906</v>
      </c>
      <c r="C636" t="s">
        <v>31</v>
      </c>
      <c r="D636" t="s">
        <v>12</v>
      </c>
      <c r="E636" t="s">
        <v>17</v>
      </c>
      <c r="F636" t="s">
        <v>21</v>
      </c>
      <c r="G636">
        <v>72</v>
      </c>
      <c r="H636">
        <v>197.95</v>
      </c>
      <c r="I636">
        <v>0</v>
      </c>
      <c r="J636" t="s">
        <v>30</v>
      </c>
      <c r="K636">
        <v>14252.4</v>
      </c>
      <c r="L636" t="str">
        <f t="shared" si="36"/>
        <v>Sep</v>
      </c>
      <c r="M636">
        <f t="shared" si="37"/>
        <v>2025</v>
      </c>
      <c r="N636">
        <f t="shared" si="38"/>
        <v>14252.4</v>
      </c>
      <c r="O636" t="str">
        <f t="shared" si="39"/>
        <v>On Time</v>
      </c>
    </row>
    <row r="637" spans="1:15" x14ac:dyDescent="0.25">
      <c r="A637">
        <v>636</v>
      </c>
      <c r="B637" s="2">
        <v>45784</v>
      </c>
      <c r="C637" t="s">
        <v>31</v>
      </c>
      <c r="D637" t="s">
        <v>13</v>
      </c>
      <c r="E637" t="s">
        <v>12</v>
      </c>
      <c r="F637" t="s">
        <v>24</v>
      </c>
      <c r="G637">
        <v>135</v>
      </c>
      <c r="H637">
        <v>422.55</v>
      </c>
      <c r="I637">
        <v>19</v>
      </c>
      <c r="J637" t="s">
        <v>15</v>
      </c>
      <c r="K637">
        <v>57044.25</v>
      </c>
      <c r="L637" t="str">
        <f t="shared" si="36"/>
        <v>May</v>
      </c>
      <c r="M637">
        <f t="shared" si="37"/>
        <v>2025</v>
      </c>
      <c r="N637">
        <f t="shared" si="38"/>
        <v>57044.25</v>
      </c>
      <c r="O637" t="str">
        <f t="shared" si="39"/>
        <v>Minor Delay</v>
      </c>
    </row>
    <row r="638" spans="1:15" x14ac:dyDescent="0.25">
      <c r="A638">
        <v>637</v>
      </c>
      <c r="B638" s="2">
        <v>46008</v>
      </c>
      <c r="C638" t="s">
        <v>26</v>
      </c>
      <c r="D638" t="s">
        <v>13</v>
      </c>
      <c r="E638" t="s">
        <v>17</v>
      </c>
      <c r="F638" t="s">
        <v>24</v>
      </c>
      <c r="G638">
        <v>210</v>
      </c>
      <c r="H638">
        <v>283.72000000000003</v>
      </c>
      <c r="I638">
        <v>89</v>
      </c>
      <c r="J638" t="s">
        <v>15</v>
      </c>
      <c r="K638">
        <v>59581.2</v>
      </c>
      <c r="L638" t="str">
        <f t="shared" si="36"/>
        <v>Dec</v>
      </c>
      <c r="M638">
        <f t="shared" si="37"/>
        <v>2025</v>
      </c>
      <c r="N638">
        <f t="shared" si="38"/>
        <v>59581.200000000004</v>
      </c>
      <c r="O638" t="str">
        <f t="shared" si="39"/>
        <v>Major Delay</v>
      </c>
    </row>
    <row r="639" spans="1:15" x14ac:dyDescent="0.25">
      <c r="A639">
        <v>638</v>
      </c>
      <c r="B639" s="2">
        <v>45856</v>
      </c>
      <c r="C639" t="s">
        <v>16</v>
      </c>
      <c r="D639" t="s">
        <v>13</v>
      </c>
      <c r="E639" t="s">
        <v>22</v>
      </c>
      <c r="F639" t="s">
        <v>21</v>
      </c>
      <c r="G639">
        <v>292</v>
      </c>
      <c r="H639">
        <v>267.33999999999997</v>
      </c>
      <c r="I639">
        <v>18</v>
      </c>
      <c r="J639" t="s">
        <v>15</v>
      </c>
      <c r="K639">
        <v>78063.28</v>
      </c>
      <c r="L639" t="str">
        <f t="shared" si="36"/>
        <v>Jul</v>
      </c>
      <c r="M639">
        <f t="shared" si="37"/>
        <v>2025</v>
      </c>
      <c r="N639">
        <f t="shared" si="38"/>
        <v>78063.28</v>
      </c>
      <c r="O639" t="str">
        <f t="shared" si="39"/>
        <v>Minor Delay</v>
      </c>
    </row>
    <row r="640" spans="1:15" x14ac:dyDescent="0.25">
      <c r="A640">
        <v>639</v>
      </c>
      <c r="B640" s="2">
        <v>45702</v>
      </c>
      <c r="C640" t="s">
        <v>25</v>
      </c>
      <c r="D640" t="s">
        <v>17</v>
      </c>
      <c r="E640" t="s">
        <v>29</v>
      </c>
      <c r="F640" t="s">
        <v>24</v>
      </c>
      <c r="G640">
        <v>183</v>
      </c>
      <c r="H640">
        <v>770.85</v>
      </c>
      <c r="I640">
        <v>0</v>
      </c>
      <c r="J640" t="s">
        <v>15</v>
      </c>
      <c r="K640">
        <v>141065.54999999999</v>
      </c>
      <c r="L640" t="str">
        <f t="shared" si="36"/>
        <v>Feb</v>
      </c>
      <c r="M640">
        <f t="shared" si="37"/>
        <v>2025</v>
      </c>
      <c r="N640">
        <f t="shared" si="38"/>
        <v>141065.55000000002</v>
      </c>
      <c r="O640" t="str">
        <f t="shared" si="39"/>
        <v>On Time</v>
      </c>
    </row>
    <row r="641" spans="1:15" x14ac:dyDescent="0.25">
      <c r="A641">
        <v>640</v>
      </c>
      <c r="B641" s="2">
        <v>45876</v>
      </c>
      <c r="C641" t="s">
        <v>26</v>
      </c>
      <c r="D641" t="s">
        <v>19</v>
      </c>
      <c r="E641" t="s">
        <v>29</v>
      </c>
      <c r="F641" t="s">
        <v>21</v>
      </c>
      <c r="G641">
        <v>134</v>
      </c>
      <c r="H641">
        <v>392.39</v>
      </c>
      <c r="I641">
        <v>0</v>
      </c>
      <c r="J641" t="s">
        <v>15</v>
      </c>
      <c r="K641">
        <v>52580.26</v>
      </c>
      <c r="L641" t="str">
        <f t="shared" si="36"/>
        <v>Aug</v>
      </c>
      <c r="M641">
        <f t="shared" si="37"/>
        <v>2025</v>
      </c>
      <c r="N641">
        <f t="shared" si="38"/>
        <v>52580.259999999995</v>
      </c>
      <c r="O641" t="str">
        <f t="shared" si="39"/>
        <v>On Time</v>
      </c>
    </row>
    <row r="642" spans="1:15" x14ac:dyDescent="0.25">
      <c r="A642">
        <v>641</v>
      </c>
      <c r="B642" s="2">
        <v>45728</v>
      </c>
      <c r="C642" t="s">
        <v>26</v>
      </c>
      <c r="D642" t="s">
        <v>29</v>
      </c>
      <c r="E642" t="s">
        <v>23</v>
      </c>
      <c r="F642" t="s">
        <v>21</v>
      </c>
      <c r="G642">
        <v>230</v>
      </c>
      <c r="H642">
        <v>725</v>
      </c>
      <c r="I642">
        <v>42</v>
      </c>
      <c r="J642" t="s">
        <v>30</v>
      </c>
      <c r="K642">
        <v>166750</v>
      </c>
      <c r="L642" t="str">
        <f t="shared" si="36"/>
        <v>Mar</v>
      </c>
      <c r="M642">
        <f t="shared" si="37"/>
        <v>2025</v>
      </c>
      <c r="N642">
        <f t="shared" si="38"/>
        <v>166750</v>
      </c>
      <c r="O642" t="str">
        <f t="shared" si="39"/>
        <v>Moderate Delay</v>
      </c>
    </row>
    <row r="643" spans="1:15" x14ac:dyDescent="0.25">
      <c r="A643">
        <v>642</v>
      </c>
      <c r="B643" s="2">
        <v>45820</v>
      </c>
      <c r="C643" t="s">
        <v>16</v>
      </c>
      <c r="D643" t="s">
        <v>29</v>
      </c>
      <c r="E643" t="s">
        <v>19</v>
      </c>
      <c r="F643" t="s">
        <v>21</v>
      </c>
      <c r="G643">
        <v>186</v>
      </c>
      <c r="H643">
        <v>761.97</v>
      </c>
      <c r="I643">
        <v>5</v>
      </c>
      <c r="J643" t="s">
        <v>15</v>
      </c>
      <c r="K643">
        <v>141726.42000000001</v>
      </c>
      <c r="L643" t="str">
        <f t="shared" ref="L643:L706" si="40">TEXT(B643,"MMM")</f>
        <v>Jun</v>
      </c>
      <c r="M643">
        <f t="shared" ref="M643:M706" si="41">YEAR(B643)</f>
        <v>2025</v>
      </c>
      <c r="N643">
        <f t="shared" ref="N643:N706" si="42">G643*H643</f>
        <v>141726.42000000001</v>
      </c>
      <c r="O643" t="str">
        <f t="shared" ref="O643:O706" si="43">IF(I643=0,"On Time",IF(I643&lt;=30,"Minor Delay",IF(I643&lt;=60,"Moderate Delay","Major Delay")))</f>
        <v>Minor Delay</v>
      </c>
    </row>
    <row r="644" spans="1:15" x14ac:dyDescent="0.25">
      <c r="A644">
        <v>643</v>
      </c>
      <c r="B644" s="2">
        <v>45673</v>
      </c>
      <c r="C644" t="s">
        <v>26</v>
      </c>
      <c r="D644" t="s">
        <v>22</v>
      </c>
      <c r="E644" t="s">
        <v>29</v>
      </c>
      <c r="F644" t="s">
        <v>24</v>
      </c>
      <c r="G644">
        <v>296</v>
      </c>
      <c r="H644">
        <v>364.33</v>
      </c>
      <c r="I644">
        <v>0</v>
      </c>
      <c r="J644" t="s">
        <v>30</v>
      </c>
      <c r="K644">
        <v>107841.68</v>
      </c>
      <c r="L644" t="str">
        <f t="shared" si="40"/>
        <v>Jan</v>
      </c>
      <c r="M644">
        <f t="shared" si="41"/>
        <v>2025</v>
      </c>
      <c r="N644">
        <f t="shared" si="42"/>
        <v>107841.68</v>
      </c>
      <c r="O644" t="str">
        <f t="shared" si="43"/>
        <v>On Time</v>
      </c>
    </row>
    <row r="645" spans="1:15" x14ac:dyDescent="0.25">
      <c r="A645">
        <v>644</v>
      </c>
      <c r="B645" s="2">
        <v>45754</v>
      </c>
      <c r="C645" t="s">
        <v>16</v>
      </c>
      <c r="D645" t="s">
        <v>23</v>
      </c>
      <c r="E645" t="s">
        <v>29</v>
      </c>
      <c r="F645" t="s">
        <v>14</v>
      </c>
      <c r="G645">
        <v>97</v>
      </c>
      <c r="H645">
        <v>79.39</v>
      </c>
      <c r="I645">
        <v>40</v>
      </c>
      <c r="J645" t="s">
        <v>28</v>
      </c>
      <c r="K645">
        <v>7700.83</v>
      </c>
      <c r="L645" t="str">
        <f t="shared" si="40"/>
        <v>Apr</v>
      </c>
      <c r="M645">
        <f t="shared" si="41"/>
        <v>2025</v>
      </c>
      <c r="N645">
        <f t="shared" si="42"/>
        <v>7700.83</v>
      </c>
      <c r="O645" t="str">
        <f t="shared" si="43"/>
        <v>Moderate Delay</v>
      </c>
    </row>
    <row r="646" spans="1:15" x14ac:dyDescent="0.25">
      <c r="A646">
        <v>645</v>
      </c>
      <c r="B646" s="2">
        <v>45963</v>
      </c>
      <c r="C646" t="s">
        <v>11</v>
      </c>
      <c r="D646" t="s">
        <v>23</v>
      </c>
      <c r="E646" t="s">
        <v>19</v>
      </c>
      <c r="F646" t="s">
        <v>14</v>
      </c>
      <c r="G646">
        <v>225</v>
      </c>
      <c r="H646">
        <v>79.3</v>
      </c>
      <c r="I646">
        <v>58</v>
      </c>
      <c r="J646" t="s">
        <v>15</v>
      </c>
      <c r="K646">
        <v>17842.5</v>
      </c>
      <c r="L646" t="str">
        <f t="shared" si="40"/>
        <v>Nov</v>
      </c>
      <c r="M646">
        <f t="shared" si="41"/>
        <v>2025</v>
      </c>
      <c r="N646">
        <f t="shared" si="42"/>
        <v>17842.5</v>
      </c>
      <c r="O646" t="str">
        <f t="shared" si="43"/>
        <v>Moderate Delay</v>
      </c>
    </row>
    <row r="647" spans="1:15" x14ac:dyDescent="0.25">
      <c r="A647">
        <v>646</v>
      </c>
      <c r="B647" s="2">
        <v>45752</v>
      </c>
      <c r="C647" t="s">
        <v>18</v>
      </c>
      <c r="D647" t="s">
        <v>20</v>
      </c>
      <c r="E647" t="s">
        <v>22</v>
      </c>
      <c r="F647" t="s">
        <v>24</v>
      </c>
      <c r="G647">
        <v>171</v>
      </c>
      <c r="H647">
        <v>161.76</v>
      </c>
      <c r="I647">
        <v>40</v>
      </c>
      <c r="J647" t="s">
        <v>15</v>
      </c>
      <c r="K647">
        <v>27660.959999999999</v>
      </c>
      <c r="L647" t="str">
        <f t="shared" si="40"/>
        <v>Apr</v>
      </c>
      <c r="M647">
        <f t="shared" si="41"/>
        <v>2025</v>
      </c>
      <c r="N647">
        <f t="shared" si="42"/>
        <v>27660.959999999999</v>
      </c>
      <c r="O647" t="str">
        <f t="shared" si="43"/>
        <v>Moderate Delay</v>
      </c>
    </row>
    <row r="648" spans="1:15" x14ac:dyDescent="0.25">
      <c r="A648">
        <v>647</v>
      </c>
      <c r="B648" s="2">
        <v>45665</v>
      </c>
      <c r="C648" t="s">
        <v>26</v>
      </c>
      <c r="D648" t="s">
        <v>13</v>
      </c>
      <c r="E648" t="s">
        <v>20</v>
      </c>
      <c r="F648" t="s">
        <v>24</v>
      </c>
      <c r="G648">
        <v>106</v>
      </c>
      <c r="H648">
        <v>609.35</v>
      </c>
      <c r="I648">
        <v>61</v>
      </c>
      <c r="J648" t="s">
        <v>15</v>
      </c>
      <c r="K648">
        <v>64591.1</v>
      </c>
      <c r="L648" t="str">
        <f t="shared" si="40"/>
        <v>Jan</v>
      </c>
      <c r="M648">
        <f t="shared" si="41"/>
        <v>2025</v>
      </c>
      <c r="N648">
        <f t="shared" si="42"/>
        <v>64591.100000000006</v>
      </c>
      <c r="O648" t="str">
        <f t="shared" si="43"/>
        <v>Major Delay</v>
      </c>
    </row>
    <row r="649" spans="1:15" x14ac:dyDescent="0.25">
      <c r="A649">
        <v>648</v>
      </c>
      <c r="B649" s="2">
        <v>46010</v>
      </c>
      <c r="C649" t="s">
        <v>26</v>
      </c>
      <c r="D649" t="s">
        <v>20</v>
      </c>
      <c r="E649" t="s">
        <v>27</v>
      </c>
      <c r="F649" t="s">
        <v>24</v>
      </c>
      <c r="G649">
        <v>277</v>
      </c>
      <c r="H649">
        <v>242.62</v>
      </c>
      <c r="I649">
        <v>16</v>
      </c>
      <c r="J649" t="s">
        <v>15</v>
      </c>
      <c r="K649">
        <v>67205.740000000005</v>
      </c>
      <c r="L649" t="str">
        <f t="shared" si="40"/>
        <v>Dec</v>
      </c>
      <c r="M649">
        <f t="shared" si="41"/>
        <v>2025</v>
      </c>
      <c r="N649">
        <f t="shared" si="42"/>
        <v>67205.740000000005</v>
      </c>
      <c r="O649" t="str">
        <f t="shared" si="43"/>
        <v>Minor Delay</v>
      </c>
    </row>
    <row r="650" spans="1:15" x14ac:dyDescent="0.25">
      <c r="A650">
        <v>649</v>
      </c>
      <c r="B650" s="2">
        <v>45818</v>
      </c>
      <c r="C650" t="s">
        <v>18</v>
      </c>
      <c r="D650" t="s">
        <v>13</v>
      </c>
      <c r="E650" t="s">
        <v>20</v>
      </c>
      <c r="F650" t="s">
        <v>21</v>
      </c>
      <c r="G650">
        <v>290</v>
      </c>
      <c r="H650">
        <v>609.42999999999995</v>
      </c>
      <c r="I650">
        <v>0</v>
      </c>
      <c r="J650" t="s">
        <v>30</v>
      </c>
      <c r="K650">
        <v>176734.7</v>
      </c>
      <c r="L650" t="str">
        <f t="shared" si="40"/>
        <v>Jun</v>
      </c>
      <c r="M650">
        <f t="shared" si="41"/>
        <v>2025</v>
      </c>
      <c r="N650">
        <f t="shared" si="42"/>
        <v>176734.69999999998</v>
      </c>
      <c r="O650" t="str">
        <f t="shared" si="43"/>
        <v>On Time</v>
      </c>
    </row>
    <row r="651" spans="1:15" x14ac:dyDescent="0.25">
      <c r="A651">
        <v>650</v>
      </c>
      <c r="B651" s="2">
        <v>45889</v>
      </c>
      <c r="C651" t="s">
        <v>18</v>
      </c>
      <c r="D651" t="s">
        <v>13</v>
      </c>
      <c r="E651" t="s">
        <v>29</v>
      </c>
      <c r="F651" t="s">
        <v>14</v>
      </c>
      <c r="G651">
        <v>274</v>
      </c>
      <c r="H651">
        <v>796.92</v>
      </c>
      <c r="I651">
        <v>3</v>
      </c>
      <c r="J651" t="s">
        <v>15</v>
      </c>
      <c r="K651">
        <v>218356.08</v>
      </c>
      <c r="L651" t="str">
        <f t="shared" si="40"/>
        <v>Aug</v>
      </c>
      <c r="M651">
        <f t="shared" si="41"/>
        <v>2025</v>
      </c>
      <c r="N651">
        <f t="shared" si="42"/>
        <v>218356.08</v>
      </c>
      <c r="O651" t="str">
        <f t="shared" si="43"/>
        <v>Minor Delay</v>
      </c>
    </row>
    <row r="652" spans="1:15" x14ac:dyDescent="0.25">
      <c r="A652">
        <v>651</v>
      </c>
      <c r="B652" s="2">
        <v>45943</v>
      </c>
      <c r="C652" t="s">
        <v>18</v>
      </c>
      <c r="D652" t="s">
        <v>17</v>
      </c>
      <c r="E652" t="s">
        <v>13</v>
      </c>
      <c r="F652" t="s">
        <v>21</v>
      </c>
      <c r="G652">
        <v>245</v>
      </c>
      <c r="H652">
        <v>526.67999999999995</v>
      </c>
      <c r="I652">
        <v>39</v>
      </c>
      <c r="J652" t="s">
        <v>15</v>
      </c>
      <c r="K652">
        <v>129036.6</v>
      </c>
      <c r="L652" t="str">
        <f t="shared" si="40"/>
        <v>Oct</v>
      </c>
      <c r="M652">
        <f t="shared" si="41"/>
        <v>2025</v>
      </c>
      <c r="N652">
        <f t="shared" si="42"/>
        <v>129036.59999999999</v>
      </c>
      <c r="O652" t="str">
        <f t="shared" si="43"/>
        <v>Moderate Delay</v>
      </c>
    </row>
    <row r="653" spans="1:15" x14ac:dyDescent="0.25">
      <c r="A653">
        <v>652</v>
      </c>
      <c r="B653" s="2">
        <v>45894</v>
      </c>
      <c r="C653" t="s">
        <v>11</v>
      </c>
      <c r="D653" t="s">
        <v>23</v>
      </c>
      <c r="E653" t="s">
        <v>22</v>
      </c>
      <c r="F653" t="s">
        <v>24</v>
      </c>
      <c r="G653">
        <v>125</v>
      </c>
      <c r="H653">
        <v>513.72</v>
      </c>
      <c r="I653">
        <v>26</v>
      </c>
      <c r="J653" t="s">
        <v>15</v>
      </c>
      <c r="K653">
        <v>64215</v>
      </c>
      <c r="L653" t="str">
        <f t="shared" si="40"/>
        <v>Aug</v>
      </c>
      <c r="M653">
        <f t="shared" si="41"/>
        <v>2025</v>
      </c>
      <c r="N653">
        <f t="shared" si="42"/>
        <v>64215</v>
      </c>
      <c r="O653" t="str">
        <f t="shared" si="43"/>
        <v>Minor Delay</v>
      </c>
    </row>
    <row r="654" spans="1:15" x14ac:dyDescent="0.25">
      <c r="A654">
        <v>653</v>
      </c>
      <c r="B654" s="2">
        <v>45895</v>
      </c>
      <c r="C654" t="s">
        <v>25</v>
      </c>
      <c r="D654" t="s">
        <v>27</v>
      </c>
      <c r="E654" t="s">
        <v>29</v>
      </c>
      <c r="F654" t="s">
        <v>24</v>
      </c>
      <c r="G654">
        <v>73</v>
      </c>
      <c r="H654">
        <v>594.76</v>
      </c>
      <c r="I654">
        <v>52</v>
      </c>
      <c r="J654" t="s">
        <v>30</v>
      </c>
      <c r="K654">
        <v>43417.48</v>
      </c>
      <c r="L654" t="str">
        <f t="shared" si="40"/>
        <v>Aug</v>
      </c>
      <c r="M654">
        <f t="shared" si="41"/>
        <v>2025</v>
      </c>
      <c r="N654">
        <f t="shared" si="42"/>
        <v>43417.479999999996</v>
      </c>
      <c r="O654" t="str">
        <f t="shared" si="43"/>
        <v>Moderate Delay</v>
      </c>
    </row>
    <row r="655" spans="1:15" x14ac:dyDescent="0.25">
      <c r="A655">
        <v>654</v>
      </c>
      <c r="B655" s="2">
        <v>45859</v>
      </c>
      <c r="C655" t="s">
        <v>18</v>
      </c>
      <c r="D655" t="s">
        <v>27</v>
      </c>
      <c r="E655" t="s">
        <v>29</v>
      </c>
      <c r="F655" t="s">
        <v>24</v>
      </c>
      <c r="G655">
        <v>165</v>
      </c>
      <c r="H655">
        <v>78.430000000000007</v>
      </c>
      <c r="I655">
        <v>48</v>
      </c>
      <c r="J655" t="s">
        <v>15</v>
      </c>
      <c r="K655">
        <v>12940.95</v>
      </c>
      <c r="L655" t="str">
        <f t="shared" si="40"/>
        <v>Jul</v>
      </c>
      <c r="M655">
        <f t="shared" si="41"/>
        <v>2025</v>
      </c>
      <c r="N655">
        <f t="shared" si="42"/>
        <v>12940.95</v>
      </c>
      <c r="O655" t="str">
        <f t="shared" si="43"/>
        <v>Moderate Delay</v>
      </c>
    </row>
    <row r="656" spans="1:15" x14ac:dyDescent="0.25">
      <c r="A656">
        <v>655</v>
      </c>
      <c r="B656" s="2">
        <v>45704</v>
      </c>
      <c r="C656" t="s">
        <v>26</v>
      </c>
      <c r="D656" t="s">
        <v>19</v>
      </c>
      <c r="E656" t="s">
        <v>27</v>
      </c>
      <c r="F656" t="s">
        <v>24</v>
      </c>
      <c r="G656">
        <v>227</v>
      </c>
      <c r="H656">
        <v>539.95000000000005</v>
      </c>
      <c r="I656">
        <v>16</v>
      </c>
      <c r="J656" t="s">
        <v>15</v>
      </c>
      <c r="K656">
        <v>122568.65</v>
      </c>
      <c r="L656" t="str">
        <f t="shared" si="40"/>
        <v>Feb</v>
      </c>
      <c r="M656">
        <f t="shared" si="41"/>
        <v>2025</v>
      </c>
      <c r="N656">
        <f t="shared" si="42"/>
        <v>122568.65000000001</v>
      </c>
      <c r="O656" t="str">
        <f t="shared" si="43"/>
        <v>Minor Delay</v>
      </c>
    </row>
    <row r="657" spans="1:15" x14ac:dyDescent="0.25">
      <c r="A657">
        <v>656</v>
      </c>
      <c r="B657" s="2">
        <v>46019</v>
      </c>
      <c r="C657" t="s">
        <v>18</v>
      </c>
      <c r="D657" t="s">
        <v>12</v>
      </c>
      <c r="E657" t="s">
        <v>29</v>
      </c>
      <c r="F657" t="s">
        <v>21</v>
      </c>
      <c r="G657">
        <v>142</v>
      </c>
      <c r="H657">
        <v>123.13</v>
      </c>
      <c r="I657">
        <v>5</v>
      </c>
      <c r="J657" t="s">
        <v>15</v>
      </c>
      <c r="K657">
        <v>17484.46</v>
      </c>
      <c r="L657" t="str">
        <f t="shared" si="40"/>
        <v>Dec</v>
      </c>
      <c r="M657">
        <f t="shared" si="41"/>
        <v>2025</v>
      </c>
      <c r="N657">
        <f t="shared" si="42"/>
        <v>17484.46</v>
      </c>
      <c r="O657" t="str">
        <f t="shared" si="43"/>
        <v>Minor Delay</v>
      </c>
    </row>
    <row r="658" spans="1:15" x14ac:dyDescent="0.25">
      <c r="A658">
        <v>657</v>
      </c>
      <c r="B658" s="2">
        <v>45851</v>
      </c>
      <c r="C658" t="s">
        <v>31</v>
      </c>
      <c r="D658" t="s">
        <v>27</v>
      </c>
      <c r="E658" t="s">
        <v>29</v>
      </c>
      <c r="F658" t="s">
        <v>24</v>
      </c>
      <c r="G658">
        <v>61</v>
      </c>
      <c r="H658">
        <v>628.51</v>
      </c>
      <c r="I658">
        <v>47</v>
      </c>
      <c r="J658" t="s">
        <v>15</v>
      </c>
      <c r="K658">
        <v>38339.11</v>
      </c>
      <c r="L658" t="str">
        <f t="shared" si="40"/>
        <v>Jul</v>
      </c>
      <c r="M658">
        <f t="shared" si="41"/>
        <v>2025</v>
      </c>
      <c r="N658">
        <f t="shared" si="42"/>
        <v>38339.11</v>
      </c>
      <c r="O658" t="str">
        <f t="shared" si="43"/>
        <v>Moderate Delay</v>
      </c>
    </row>
    <row r="659" spans="1:15" x14ac:dyDescent="0.25">
      <c r="A659">
        <v>658</v>
      </c>
      <c r="B659" s="2">
        <v>45732</v>
      </c>
      <c r="C659" t="s">
        <v>11</v>
      </c>
      <c r="D659" t="s">
        <v>29</v>
      </c>
      <c r="E659" t="s">
        <v>19</v>
      </c>
      <c r="F659" t="s">
        <v>21</v>
      </c>
      <c r="G659">
        <v>63</v>
      </c>
      <c r="H659">
        <v>370.49</v>
      </c>
      <c r="I659">
        <v>3</v>
      </c>
      <c r="J659" t="s">
        <v>15</v>
      </c>
      <c r="K659">
        <v>23340.87</v>
      </c>
      <c r="L659" t="str">
        <f t="shared" si="40"/>
        <v>Mar</v>
      </c>
      <c r="M659">
        <f t="shared" si="41"/>
        <v>2025</v>
      </c>
      <c r="N659">
        <f t="shared" si="42"/>
        <v>23340.87</v>
      </c>
      <c r="O659" t="str">
        <f t="shared" si="43"/>
        <v>Minor Delay</v>
      </c>
    </row>
    <row r="660" spans="1:15" x14ac:dyDescent="0.25">
      <c r="A660">
        <v>659</v>
      </c>
      <c r="B660" s="2">
        <v>45978</v>
      </c>
      <c r="C660" t="s">
        <v>11</v>
      </c>
      <c r="D660" t="s">
        <v>20</v>
      </c>
      <c r="E660" t="s">
        <v>23</v>
      </c>
      <c r="F660" t="s">
        <v>14</v>
      </c>
      <c r="G660">
        <v>280</v>
      </c>
      <c r="H660">
        <v>157.36000000000001</v>
      </c>
      <c r="I660">
        <v>30</v>
      </c>
      <c r="J660" t="s">
        <v>15</v>
      </c>
      <c r="K660">
        <v>44060.800000000003</v>
      </c>
      <c r="L660" t="str">
        <f t="shared" si="40"/>
        <v>Nov</v>
      </c>
      <c r="M660">
        <f t="shared" si="41"/>
        <v>2025</v>
      </c>
      <c r="N660">
        <f t="shared" si="42"/>
        <v>44060.800000000003</v>
      </c>
      <c r="O660" t="str">
        <f t="shared" si="43"/>
        <v>Minor Delay</v>
      </c>
    </row>
    <row r="661" spans="1:15" x14ac:dyDescent="0.25">
      <c r="A661">
        <v>660</v>
      </c>
      <c r="B661" s="2">
        <v>45913</v>
      </c>
      <c r="C661" t="s">
        <v>31</v>
      </c>
      <c r="D661" t="s">
        <v>20</v>
      </c>
      <c r="E661" t="s">
        <v>27</v>
      </c>
      <c r="F661" t="s">
        <v>14</v>
      </c>
      <c r="G661">
        <v>205</v>
      </c>
      <c r="H661">
        <v>713.2</v>
      </c>
      <c r="I661">
        <v>53</v>
      </c>
      <c r="J661" t="s">
        <v>15</v>
      </c>
      <c r="K661">
        <v>146206</v>
      </c>
      <c r="L661" t="str">
        <f t="shared" si="40"/>
        <v>Sep</v>
      </c>
      <c r="M661">
        <f t="shared" si="41"/>
        <v>2025</v>
      </c>
      <c r="N661">
        <f t="shared" si="42"/>
        <v>146206</v>
      </c>
      <c r="O661" t="str">
        <f t="shared" si="43"/>
        <v>Moderate Delay</v>
      </c>
    </row>
    <row r="662" spans="1:15" x14ac:dyDescent="0.25">
      <c r="A662">
        <v>661</v>
      </c>
      <c r="B662" s="2">
        <v>45867</v>
      </c>
      <c r="C662" t="s">
        <v>18</v>
      </c>
      <c r="D662" t="s">
        <v>20</v>
      </c>
      <c r="E662" t="s">
        <v>27</v>
      </c>
      <c r="F662" t="s">
        <v>14</v>
      </c>
      <c r="G662">
        <v>203</v>
      </c>
      <c r="H662">
        <v>504.08</v>
      </c>
      <c r="I662">
        <v>21</v>
      </c>
      <c r="J662" t="s">
        <v>15</v>
      </c>
      <c r="K662">
        <v>102328.24</v>
      </c>
      <c r="L662" t="str">
        <f t="shared" si="40"/>
        <v>Jul</v>
      </c>
      <c r="M662">
        <f t="shared" si="41"/>
        <v>2025</v>
      </c>
      <c r="N662">
        <f t="shared" si="42"/>
        <v>102328.23999999999</v>
      </c>
      <c r="O662" t="str">
        <f t="shared" si="43"/>
        <v>Minor Delay</v>
      </c>
    </row>
    <row r="663" spans="1:15" x14ac:dyDescent="0.25">
      <c r="A663">
        <v>662</v>
      </c>
      <c r="B663" s="2">
        <v>45683</v>
      </c>
      <c r="C663" t="s">
        <v>11</v>
      </c>
      <c r="D663" t="s">
        <v>27</v>
      </c>
      <c r="E663" t="s">
        <v>19</v>
      </c>
      <c r="F663" t="s">
        <v>14</v>
      </c>
      <c r="G663">
        <v>64</v>
      </c>
      <c r="H663">
        <v>543.41999999999996</v>
      </c>
      <c r="I663">
        <v>51</v>
      </c>
      <c r="J663" t="s">
        <v>15</v>
      </c>
      <c r="K663">
        <v>34778.879999999997</v>
      </c>
      <c r="L663" t="str">
        <f t="shared" si="40"/>
        <v>Jan</v>
      </c>
      <c r="M663">
        <f t="shared" si="41"/>
        <v>2025</v>
      </c>
      <c r="N663">
        <f t="shared" si="42"/>
        <v>34778.879999999997</v>
      </c>
      <c r="O663" t="str">
        <f t="shared" si="43"/>
        <v>Moderate Delay</v>
      </c>
    </row>
    <row r="664" spans="1:15" x14ac:dyDescent="0.25">
      <c r="A664">
        <v>663</v>
      </c>
      <c r="B664" s="2">
        <v>45827</v>
      </c>
      <c r="C664" t="s">
        <v>16</v>
      </c>
      <c r="D664" t="s">
        <v>13</v>
      </c>
      <c r="E664" t="s">
        <v>22</v>
      </c>
      <c r="F664" t="s">
        <v>14</v>
      </c>
      <c r="G664">
        <v>77</v>
      </c>
      <c r="H664">
        <v>368.55</v>
      </c>
      <c r="I664">
        <v>36</v>
      </c>
      <c r="J664" t="s">
        <v>15</v>
      </c>
      <c r="K664">
        <v>28378.35</v>
      </c>
      <c r="L664" t="str">
        <f t="shared" si="40"/>
        <v>Jun</v>
      </c>
      <c r="M664">
        <f t="shared" si="41"/>
        <v>2025</v>
      </c>
      <c r="N664">
        <f t="shared" si="42"/>
        <v>28378.350000000002</v>
      </c>
      <c r="O664" t="str">
        <f t="shared" si="43"/>
        <v>Moderate Delay</v>
      </c>
    </row>
    <row r="665" spans="1:15" x14ac:dyDescent="0.25">
      <c r="A665">
        <v>664</v>
      </c>
      <c r="B665" s="2">
        <v>45891</v>
      </c>
      <c r="C665" t="s">
        <v>25</v>
      </c>
      <c r="D665" t="s">
        <v>27</v>
      </c>
      <c r="E665" t="s">
        <v>29</v>
      </c>
      <c r="F665" t="s">
        <v>21</v>
      </c>
      <c r="G665">
        <v>142</v>
      </c>
      <c r="H665">
        <v>749.3</v>
      </c>
      <c r="I665">
        <v>53</v>
      </c>
      <c r="J665" t="s">
        <v>15</v>
      </c>
      <c r="K665">
        <v>106400.6</v>
      </c>
      <c r="L665" t="str">
        <f t="shared" si="40"/>
        <v>Aug</v>
      </c>
      <c r="M665">
        <f t="shared" si="41"/>
        <v>2025</v>
      </c>
      <c r="N665">
        <f t="shared" si="42"/>
        <v>106400.59999999999</v>
      </c>
      <c r="O665" t="str">
        <f t="shared" si="43"/>
        <v>Moderate Delay</v>
      </c>
    </row>
    <row r="666" spans="1:15" x14ac:dyDescent="0.25">
      <c r="A666">
        <v>665</v>
      </c>
      <c r="B666" s="2">
        <v>45846</v>
      </c>
      <c r="C666" t="s">
        <v>18</v>
      </c>
      <c r="D666" t="s">
        <v>23</v>
      </c>
      <c r="E666" t="s">
        <v>17</v>
      </c>
      <c r="F666" t="s">
        <v>14</v>
      </c>
      <c r="G666">
        <v>244</v>
      </c>
      <c r="H666">
        <v>376.22</v>
      </c>
      <c r="I666">
        <v>0</v>
      </c>
      <c r="J666" t="s">
        <v>15</v>
      </c>
      <c r="K666">
        <v>91797.68</v>
      </c>
      <c r="L666" t="str">
        <f t="shared" si="40"/>
        <v>Jul</v>
      </c>
      <c r="M666">
        <f t="shared" si="41"/>
        <v>2025</v>
      </c>
      <c r="N666">
        <f t="shared" si="42"/>
        <v>91797.680000000008</v>
      </c>
      <c r="O666" t="str">
        <f t="shared" si="43"/>
        <v>On Time</v>
      </c>
    </row>
    <row r="667" spans="1:15" x14ac:dyDescent="0.25">
      <c r="A667">
        <v>666</v>
      </c>
      <c r="B667" s="2">
        <v>45927</v>
      </c>
      <c r="C667" t="s">
        <v>18</v>
      </c>
      <c r="D667" t="s">
        <v>23</v>
      </c>
      <c r="E667" t="s">
        <v>17</v>
      </c>
      <c r="F667" t="s">
        <v>21</v>
      </c>
      <c r="G667">
        <v>103</v>
      </c>
      <c r="H667">
        <v>574.91</v>
      </c>
      <c r="I667">
        <v>13</v>
      </c>
      <c r="J667" t="s">
        <v>15</v>
      </c>
      <c r="K667">
        <v>59215.73</v>
      </c>
      <c r="L667" t="str">
        <f t="shared" si="40"/>
        <v>Sep</v>
      </c>
      <c r="M667">
        <f t="shared" si="41"/>
        <v>2025</v>
      </c>
      <c r="N667">
        <f t="shared" si="42"/>
        <v>59215.729999999996</v>
      </c>
      <c r="O667" t="str">
        <f t="shared" si="43"/>
        <v>Minor Delay</v>
      </c>
    </row>
    <row r="668" spans="1:15" x14ac:dyDescent="0.25">
      <c r="A668">
        <v>667</v>
      </c>
      <c r="B668" s="2">
        <v>45905</v>
      </c>
      <c r="C668" t="s">
        <v>25</v>
      </c>
      <c r="D668" t="s">
        <v>12</v>
      </c>
      <c r="E668" t="s">
        <v>29</v>
      </c>
      <c r="F668" t="s">
        <v>21</v>
      </c>
      <c r="G668">
        <v>204</v>
      </c>
      <c r="H668">
        <v>751.08</v>
      </c>
      <c r="I668">
        <v>40</v>
      </c>
      <c r="J668" t="s">
        <v>15</v>
      </c>
      <c r="K668">
        <v>153220.32</v>
      </c>
      <c r="L668" t="str">
        <f t="shared" si="40"/>
        <v>Sep</v>
      </c>
      <c r="M668">
        <f t="shared" si="41"/>
        <v>2025</v>
      </c>
      <c r="N668">
        <f t="shared" si="42"/>
        <v>153220.32</v>
      </c>
      <c r="O668" t="str">
        <f t="shared" si="43"/>
        <v>Moderate Delay</v>
      </c>
    </row>
    <row r="669" spans="1:15" x14ac:dyDescent="0.25">
      <c r="A669">
        <v>668</v>
      </c>
      <c r="B669" s="2">
        <v>45927</v>
      </c>
      <c r="C669" t="s">
        <v>31</v>
      </c>
      <c r="D669" t="s">
        <v>22</v>
      </c>
      <c r="E669" t="s">
        <v>23</v>
      </c>
      <c r="F669" t="s">
        <v>21</v>
      </c>
      <c r="G669">
        <v>140</v>
      </c>
      <c r="H669">
        <v>746.06</v>
      </c>
      <c r="I669">
        <v>18</v>
      </c>
      <c r="J669" t="s">
        <v>15</v>
      </c>
      <c r="K669">
        <v>104448.4</v>
      </c>
      <c r="L669" t="str">
        <f t="shared" si="40"/>
        <v>Sep</v>
      </c>
      <c r="M669">
        <f t="shared" si="41"/>
        <v>2025</v>
      </c>
      <c r="N669">
        <f t="shared" si="42"/>
        <v>104448.4</v>
      </c>
      <c r="O669" t="str">
        <f t="shared" si="43"/>
        <v>Minor Delay</v>
      </c>
    </row>
    <row r="670" spans="1:15" x14ac:dyDescent="0.25">
      <c r="A670">
        <v>669</v>
      </c>
      <c r="B670" s="2">
        <v>45910</v>
      </c>
      <c r="C670" t="s">
        <v>11</v>
      </c>
      <c r="D670" t="s">
        <v>20</v>
      </c>
      <c r="E670" t="s">
        <v>27</v>
      </c>
      <c r="F670" t="s">
        <v>21</v>
      </c>
      <c r="G670">
        <v>109</v>
      </c>
      <c r="H670">
        <v>584.35</v>
      </c>
      <c r="I670">
        <v>21</v>
      </c>
      <c r="J670" t="s">
        <v>15</v>
      </c>
      <c r="K670">
        <v>63694.15</v>
      </c>
      <c r="L670" t="str">
        <f t="shared" si="40"/>
        <v>Sep</v>
      </c>
      <c r="M670">
        <f t="shared" si="41"/>
        <v>2025</v>
      </c>
      <c r="N670">
        <f t="shared" si="42"/>
        <v>63694.15</v>
      </c>
      <c r="O670" t="str">
        <f t="shared" si="43"/>
        <v>Minor Delay</v>
      </c>
    </row>
    <row r="671" spans="1:15" x14ac:dyDescent="0.25">
      <c r="A671">
        <v>670</v>
      </c>
      <c r="B671" s="2">
        <v>45973</v>
      </c>
      <c r="C671" t="s">
        <v>18</v>
      </c>
      <c r="D671" t="s">
        <v>12</v>
      </c>
      <c r="E671" t="s">
        <v>23</v>
      </c>
      <c r="F671" t="s">
        <v>24</v>
      </c>
      <c r="G671">
        <v>61</v>
      </c>
      <c r="H671">
        <v>307.01</v>
      </c>
      <c r="I671">
        <v>19</v>
      </c>
      <c r="J671" t="s">
        <v>15</v>
      </c>
      <c r="K671">
        <v>18727.61</v>
      </c>
      <c r="L671" t="str">
        <f t="shared" si="40"/>
        <v>Nov</v>
      </c>
      <c r="M671">
        <f t="shared" si="41"/>
        <v>2025</v>
      </c>
      <c r="N671">
        <f t="shared" si="42"/>
        <v>18727.61</v>
      </c>
      <c r="O671" t="str">
        <f t="shared" si="43"/>
        <v>Minor Delay</v>
      </c>
    </row>
    <row r="672" spans="1:15" x14ac:dyDescent="0.25">
      <c r="A672">
        <v>671</v>
      </c>
      <c r="B672" s="2">
        <v>45985</v>
      </c>
      <c r="C672" t="s">
        <v>11</v>
      </c>
      <c r="D672" t="s">
        <v>19</v>
      </c>
      <c r="E672" t="s">
        <v>13</v>
      </c>
      <c r="F672" t="s">
        <v>21</v>
      </c>
      <c r="G672">
        <v>122</v>
      </c>
      <c r="H672">
        <v>248.27</v>
      </c>
      <c r="I672">
        <v>39</v>
      </c>
      <c r="J672" t="s">
        <v>15</v>
      </c>
      <c r="K672">
        <v>30288.94</v>
      </c>
      <c r="L672" t="str">
        <f t="shared" si="40"/>
        <v>Nov</v>
      </c>
      <c r="M672">
        <f t="shared" si="41"/>
        <v>2025</v>
      </c>
      <c r="N672">
        <f t="shared" si="42"/>
        <v>30288.940000000002</v>
      </c>
      <c r="O672" t="str">
        <f t="shared" si="43"/>
        <v>Moderate Delay</v>
      </c>
    </row>
    <row r="673" spans="1:15" x14ac:dyDescent="0.25">
      <c r="A673">
        <v>672</v>
      </c>
      <c r="B673" s="2">
        <v>46009</v>
      </c>
      <c r="C673" t="s">
        <v>26</v>
      </c>
      <c r="D673" t="s">
        <v>13</v>
      </c>
      <c r="E673" t="s">
        <v>29</v>
      </c>
      <c r="F673" t="s">
        <v>24</v>
      </c>
      <c r="G673">
        <v>151</v>
      </c>
      <c r="H673">
        <v>596.04999999999995</v>
      </c>
      <c r="I673">
        <v>28</v>
      </c>
      <c r="J673" t="s">
        <v>15</v>
      </c>
      <c r="K673">
        <v>90003.55</v>
      </c>
      <c r="L673" t="str">
        <f t="shared" si="40"/>
        <v>Dec</v>
      </c>
      <c r="M673">
        <f t="shared" si="41"/>
        <v>2025</v>
      </c>
      <c r="N673">
        <f t="shared" si="42"/>
        <v>90003.549999999988</v>
      </c>
      <c r="O673" t="str">
        <f t="shared" si="43"/>
        <v>Minor Delay</v>
      </c>
    </row>
    <row r="674" spans="1:15" x14ac:dyDescent="0.25">
      <c r="A674">
        <v>673</v>
      </c>
      <c r="B674" s="2">
        <v>45757</v>
      </c>
      <c r="C674" t="s">
        <v>26</v>
      </c>
      <c r="D674" t="s">
        <v>13</v>
      </c>
      <c r="E674" t="s">
        <v>19</v>
      </c>
      <c r="F674" t="s">
        <v>24</v>
      </c>
      <c r="G674">
        <v>286</v>
      </c>
      <c r="H674">
        <v>557.63</v>
      </c>
      <c r="I674">
        <v>58</v>
      </c>
      <c r="J674" t="s">
        <v>15</v>
      </c>
      <c r="K674">
        <v>159482.18</v>
      </c>
      <c r="L674" t="str">
        <f t="shared" si="40"/>
        <v>Apr</v>
      </c>
      <c r="M674">
        <f t="shared" si="41"/>
        <v>2025</v>
      </c>
      <c r="N674">
        <f t="shared" si="42"/>
        <v>159482.18</v>
      </c>
      <c r="O674" t="str">
        <f t="shared" si="43"/>
        <v>Moderate Delay</v>
      </c>
    </row>
    <row r="675" spans="1:15" x14ac:dyDescent="0.25">
      <c r="A675">
        <v>674</v>
      </c>
      <c r="B675" s="2">
        <v>45979</v>
      </c>
      <c r="C675" t="s">
        <v>18</v>
      </c>
      <c r="D675" t="s">
        <v>20</v>
      </c>
      <c r="E675" t="s">
        <v>29</v>
      </c>
      <c r="F675" t="s">
        <v>21</v>
      </c>
      <c r="G675">
        <v>279</v>
      </c>
      <c r="H675">
        <v>307.98</v>
      </c>
      <c r="I675">
        <v>0</v>
      </c>
      <c r="J675" t="s">
        <v>15</v>
      </c>
      <c r="K675">
        <v>85926.42</v>
      </c>
      <c r="L675" t="str">
        <f t="shared" si="40"/>
        <v>Nov</v>
      </c>
      <c r="M675">
        <f t="shared" si="41"/>
        <v>2025</v>
      </c>
      <c r="N675">
        <f t="shared" si="42"/>
        <v>85926.42</v>
      </c>
      <c r="O675" t="str">
        <f t="shared" si="43"/>
        <v>On Time</v>
      </c>
    </row>
    <row r="676" spans="1:15" x14ac:dyDescent="0.25">
      <c r="A676">
        <v>675</v>
      </c>
      <c r="B676" s="2">
        <v>45924</v>
      </c>
      <c r="C676" t="s">
        <v>26</v>
      </c>
      <c r="D676" t="s">
        <v>17</v>
      </c>
      <c r="E676" t="s">
        <v>13</v>
      </c>
      <c r="F676" t="s">
        <v>21</v>
      </c>
      <c r="G676">
        <v>235</v>
      </c>
      <c r="H676">
        <v>561.87</v>
      </c>
      <c r="I676">
        <v>15</v>
      </c>
      <c r="J676" t="s">
        <v>15</v>
      </c>
      <c r="K676">
        <v>132039.45000000001</v>
      </c>
      <c r="L676" t="str">
        <f t="shared" si="40"/>
        <v>Sep</v>
      </c>
      <c r="M676">
        <f t="shared" si="41"/>
        <v>2025</v>
      </c>
      <c r="N676">
        <f t="shared" si="42"/>
        <v>132039.45000000001</v>
      </c>
      <c r="O676" t="str">
        <f t="shared" si="43"/>
        <v>Minor Delay</v>
      </c>
    </row>
    <row r="677" spans="1:15" x14ac:dyDescent="0.25">
      <c r="A677">
        <v>676</v>
      </c>
      <c r="B677" s="2">
        <v>45691</v>
      </c>
      <c r="C677" t="s">
        <v>11</v>
      </c>
      <c r="D677" t="s">
        <v>22</v>
      </c>
      <c r="E677" t="s">
        <v>17</v>
      </c>
      <c r="F677" t="s">
        <v>24</v>
      </c>
      <c r="G677">
        <v>265</v>
      </c>
      <c r="H677">
        <v>83.07</v>
      </c>
      <c r="I677">
        <v>18</v>
      </c>
      <c r="J677" t="s">
        <v>28</v>
      </c>
      <c r="K677">
        <v>22013.55</v>
      </c>
      <c r="L677" t="str">
        <f t="shared" si="40"/>
        <v>Feb</v>
      </c>
      <c r="M677">
        <f t="shared" si="41"/>
        <v>2025</v>
      </c>
      <c r="N677">
        <f t="shared" si="42"/>
        <v>22013.55</v>
      </c>
      <c r="O677" t="str">
        <f t="shared" si="43"/>
        <v>Minor Delay</v>
      </c>
    </row>
    <row r="678" spans="1:15" x14ac:dyDescent="0.25">
      <c r="A678">
        <v>677</v>
      </c>
      <c r="B678" s="2">
        <v>45950</v>
      </c>
      <c r="C678" t="s">
        <v>31</v>
      </c>
      <c r="D678" t="s">
        <v>27</v>
      </c>
      <c r="E678" t="s">
        <v>29</v>
      </c>
      <c r="F678" t="s">
        <v>24</v>
      </c>
      <c r="G678">
        <v>97</v>
      </c>
      <c r="H678">
        <v>500.44</v>
      </c>
      <c r="I678">
        <v>47</v>
      </c>
      <c r="J678" t="s">
        <v>15</v>
      </c>
      <c r="K678">
        <v>48542.68</v>
      </c>
      <c r="L678" t="str">
        <f t="shared" si="40"/>
        <v>Oct</v>
      </c>
      <c r="M678">
        <f t="shared" si="41"/>
        <v>2025</v>
      </c>
      <c r="N678">
        <f t="shared" si="42"/>
        <v>48542.68</v>
      </c>
      <c r="O678" t="str">
        <f t="shared" si="43"/>
        <v>Moderate Delay</v>
      </c>
    </row>
    <row r="679" spans="1:15" x14ac:dyDescent="0.25">
      <c r="A679">
        <v>678</v>
      </c>
      <c r="B679" s="2">
        <v>45797</v>
      </c>
      <c r="C679" t="s">
        <v>18</v>
      </c>
      <c r="D679" t="s">
        <v>22</v>
      </c>
      <c r="E679" t="s">
        <v>13</v>
      </c>
      <c r="F679" t="s">
        <v>14</v>
      </c>
      <c r="G679">
        <v>177</v>
      </c>
      <c r="H679">
        <v>709.02</v>
      </c>
      <c r="I679">
        <v>0</v>
      </c>
      <c r="J679" t="s">
        <v>15</v>
      </c>
      <c r="K679">
        <v>125496.54</v>
      </c>
      <c r="L679" t="str">
        <f t="shared" si="40"/>
        <v>May</v>
      </c>
      <c r="M679">
        <f t="shared" si="41"/>
        <v>2025</v>
      </c>
      <c r="N679">
        <f t="shared" si="42"/>
        <v>125496.54</v>
      </c>
      <c r="O679" t="str">
        <f t="shared" si="43"/>
        <v>On Time</v>
      </c>
    </row>
    <row r="680" spans="1:15" x14ac:dyDescent="0.25">
      <c r="A680">
        <v>679</v>
      </c>
      <c r="B680" s="2">
        <v>45926</v>
      </c>
      <c r="C680" t="s">
        <v>26</v>
      </c>
      <c r="D680" t="s">
        <v>23</v>
      </c>
      <c r="E680" t="s">
        <v>19</v>
      </c>
      <c r="F680" t="s">
        <v>14</v>
      </c>
      <c r="G680">
        <v>78</v>
      </c>
      <c r="H680">
        <v>336.92</v>
      </c>
      <c r="I680">
        <v>36</v>
      </c>
      <c r="J680" t="s">
        <v>15</v>
      </c>
      <c r="K680">
        <v>26279.759999999998</v>
      </c>
      <c r="L680" t="str">
        <f t="shared" si="40"/>
        <v>Sep</v>
      </c>
      <c r="M680">
        <f t="shared" si="41"/>
        <v>2025</v>
      </c>
      <c r="N680">
        <f t="shared" si="42"/>
        <v>26279.760000000002</v>
      </c>
      <c r="O680" t="str">
        <f t="shared" si="43"/>
        <v>Moderate Delay</v>
      </c>
    </row>
    <row r="681" spans="1:15" x14ac:dyDescent="0.25">
      <c r="A681">
        <v>680</v>
      </c>
      <c r="B681" s="2">
        <v>45905</v>
      </c>
      <c r="C681" t="s">
        <v>31</v>
      </c>
      <c r="D681" t="s">
        <v>27</v>
      </c>
      <c r="E681" t="s">
        <v>13</v>
      </c>
      <c r="F681" t="s">
        <v>14</v>
      </c>
      <c r="G681">
        <v>98</v>
      </c>
      <c r="H681">
        <v>311.69</v>
      </c>
      <c r="I681">
        <v>23</v>
      </c>
      <c r="J681" t="s">
        <v>15</v>
      </c>
      <c r="K681">
        <v>30545.62</v>
      </c>
      <c r="L681" t="str">
        <f t="shared" si="40"/>
        <v>Sep</v>
      </c>
      <c r="M681">
        <f t="shared" si="41"/>
        <v>2025</v>
      </c>
      <c r="N681">
        <f t="shared" si="42"/>
        <v>30545.62</v>
      </c>
      <c r="O681" t="str">
        <f t="shared" si="43"/>
        <v>Minor Delay</v>
      </c>
    </row>
    <row r="682" spans="1:15" x14ac:dyDescent="0.25">
      <c r="A682">
        <v>681</v>
      </c>
      <c r="B682" s="2">
        <v>45825</v>
      </c>
      <c r="C682" t="s">
        <v>11</v>
      </c>
      <c r="D682" t="s">
        <v>27</v>
      </c>
      <c r="E682" t="s">
        <v>23</v>
      </c>
      <c r="F682" t="s">
        <v>14</v>
      </c>
      <c r="G682">
        <v>260</v>
      </c>
      <c r="H682">
        <v>786.88</v>
      </c>
      <c r="I682">
        <v>0</v>
      </c>
      <c r="J682" t="s">
        <v>15</v>
      </c>
      <c r="K682">
        <v>204588.79999999999</v>
      </c>
      <c r="L682" t="str">
        <f t="shared" si="40"/>
        <v>Jun</v>
      </c>
      <c r="M682">
        <f t="shared" si="41"/>
        <v>2025</v>
      </c>
      <c r="N682">
        <f t="shared" si="42"/>
        <v>204588.79999999999</v>
      </c>
      <c r="O682" t="str">
        <f t="shared" si="43"/>
        <v>On Time</v>
      </c>
    </row>
    <row r="683" spans="1:15" x14ac:dyDescent="0.25">
      <c r="A683">
        <v>682</v>
      </c>
      <c r="B683" s="2">
        <v>45856</v>
      </c>
      <c r="C683" t="s">
        <v>25</v>
      </c>
      <c r="D683" t="s">
        <v>13</v>
      </c>
      <c r="E683" t="s">
        <v>27</v>
      </c>
      <c r="F683" t="s">
        <v>21</v>
      </c>
      <c r="G683">
        <v>79</v>
      </c>
      <c r="H683">
        <v>63.04</v>
      </c>
      <c r="I683">
        <v>12</v>
      </c>
      <c r="J683" t="s">
        <v>30</v>
      </c>
      <c r="K683">
        <v>4980.16</v>
      </c>
      <c r="L683" t="str">
        <f t="shared" si="40"/>
        <v>Jul</v>
      </c>
      <c r="M683">
        <f t="shared" si="41"/>
        <v>2025</v>
      </c>
      <c r="N683">
        <f t="shared" si="42"/>
        <v>4980.16</v>
      </c>
      <c r="O683" t="str">
        <f t="shared" si="43"/>
        <v>Minor Delay</v>
      </c>
    </row>
    <row r="684" spans="1:15" x14ac:dyDescent="0.25">
      <c r="A684">
        <v>683</v>
      </c>
      <c r="B684" s="2">
        <v>45897</v>
      </c>
      <c r="C684" t="s">
        <v>16</v>
      </c>
      <c r="D684" t="s">
        <v>12</v>
      </c>
      <c r="E684" t="s">
        <v>17</v>
      </c>
      <c r="F684" t="s">
        <v>14</v>
      </c>
      <c r="G684">
        <v>183</v>
      </c>
      <c r="H684">
        <v>626.97</v>
      </c>
      <c r="I684">
        <v>19</v>
      </c>
      <c r="J684" t="s">
        <v>15</v>
      </c>
      <c r="K684">
        <v>114735.51</v>
      </c>
      <c r="L684" t="str">
        <f t="shared" si="40"/>
        <v>Aug</v>
      </c>
      <c r="M684">
        <f t="shared" si="41"/>
        <v>2025</v>
      </c>
      <c r="N684">
        <f t="shared" si="42"/>
        <v>114735.51000000001</v>
      </c>
      <c r="O684" t="str">
        <f t="shared" si="43"/>
        <v>Minor Delay</v>
      </c>
    </row>
    <row r="685" spans="1:15" x14ac:dyDescent="0.25">
      <c r="A685">
        <v>684</v>
      </c>
      <c r="B685" s="2">
        <v>45760</v>
      </c>
      <c r="C685" t="s">
        <v>11</v>
      </c>
      <c r="D685" t="s">
        <v>19</v>
      </c>
      <c r="E685" t="s">
        <v>17</v>
      </c>
      <c r="F685" t="s">
        <v>24</v>
      </c>
      <c r="G685">
        <v>120</v>
      </c>
      <c r="H685">
        <v>453.88</v>
      </c>
      <c r="I685">
        <v>14</v>
      </c>
      <c r="J685" t="s">
        <v>15</v>
      </c>
      <c r="K685">
        <v>54465.599999999999</v>
      </c>
      <c r="L685" t="str">
        <f t="shared" si="40"/>
        <v>Apr</v>
      </c>
      <c r="M685">
        <f t="shared" si="41"/>
        <v>2025</v>
      </c>
      <c r="N685">
        <f t="shared" si="42"/>
        <v>54465.599999999999</v>
      </c>
      <c r="O685" t="str">
        <f t="shared" si="43"/>
        <v>Minor Delay</v>
      </c>
    </row>
    <row r="686" spans="1:15" x14ac:dyDescent="0.25">
      <c r="A686">
        <v>685</v>
      </c>
      <c r="B686" s="2">
        <v>45734</v>
      </c>
      <c r="C686" t="s">
        <v>11</v>
      </c>
      <c r="D686" t="s">
        <v>12</v>
      </c>
      <c r="E686" t="s">
        <v>22</v>
      </c>
      <c r="F686" t="s">
        <v>24</v>
      </c>
      <c r="G686">
        <v>79</v>
      </c>
      <c r="H686">
        <v>71.290000000000006</v>
      </c>
      <c r="I686">
        <v>0</v>
      </c>
      <c r="J686" t="s">
        <v>15</v>
      </c>
      <c r="K686">
        <v>5631.91</v>
      </c>
      <c r="L686" t="str">
        <f t="shared" si="40"/>
        <v>Mar</v>
      </c>
      <c r="M686">
        <f t="shared" si="41"/>
        <v>2025</v>
      </c>
      <c r="N686">
        <f t="shared" si="42"/>
        <v>5631.9100000000008</v>
      </c>
      <c r="O686" t="str">
        <f t="shared" si="43"/>
        <v>On Time</v>
      </c>
    </row>
    <row r="687" spans="1:15" x14ac:dyDescent="0.25">
      <c r="A687">
        <v>686</v>
      </c>
      <c r="B687" s="2">
        <v>45796</v>
      </c>
      <c r="C687" t="s">
        <v>11</v>
      </c>
      <c r="D687" t="s">
        <v>22</v>
      </c>
      <c r="E687" t="s">
        <v>17</v>
      </c>
      <c r="F687" t="s">
        <v>21</v>
      </c>
      <c r="G687">
        <v>255</v>
      </c>
      <c r="H687">
        <v>269.62</v>
      </c>
      <c r="I687">
        <v>0</v>
      </c>
      <c r="J687" t="s">
        <v>15</v>
      </c>
      <c r="K687">
        <v>68753.100000000006</v>
      </c>
      <c r="L687" t="str">
        <f t="shared" si="40"/>
        <v>May</v>
      </c>
      <c r="M687">
        <f t="shared" si="41"/>
        <v>2025</v>
      </c>
      <c r="N687">
        <f t="shared" si="42"/>
        <v>68753.100000000006</v>
      </c>
      <c r="O687" t="str">
        <f t="shared" si="43"/>
        <v>On Time</v>
      </c>
    </row>
    <row r="688" spans="1:15" x14ac:dyDescent="0.25">
      <c r="A688">
        <v>687</v>
      </c>
      <c r="B688" s="2">
        <v>45971</v>
      </c>
      <c r="C688" t="s">
        <v>26</v>
      </c>
      <c r="D688" t="s">
        <v>12</v>
      </c>
      <c r="E688" t="s">
        <v>22</v>
      </c>
      <c r="F688" t="s">
        <v>21</v>
      </c>
      <c r="G688">
        <v>163</v>
      </c>
      <c r="H688">
        <v>97.54</v>
      </c>
      <c r="I688">
        <v>73</v>
      </c>
      <c r="J688" t="s">
        <v>15</v>
      </c>
      <c r="K688">
        <v>15899.02</v>
      </c>
      <c r="L688" t="str">
        <f t="shared" si="40"/>
        <v>Nov</v>
      </c>
      <c r="M688">
        <f t="shared" si="41"/>
        <v>2025</v>
      </c>
      <c r="N688">
        <f t="shared" si="42"/>
        <v>15899.02</v>
      </c>
      <c r="O688" t="str">
        <f t="shared" si="43"/>
        <v>Major Delay</v>
      </c>
    </row>
    <row r="689" spans="1:15" x14ac:dyDescent="0.25">
      <c r="A689">
        <v>688</v>
      </c>
      <c r="B689" s="2">
        <v>45702</v>
      </c>
      <c r="C689" t="s">
        <v>18</v>
      </c>
      <c r="D689" t="s">
        <v>17</v>
      </c>
      <c r="E689" t="s">
        <v>13</v>
      </c>
      <c r="F689" t="s">
        <v>24</v>
      </c>
      <c r="G689">
        <v>95</v>
      </c>
      <c r="H689">
        <v>581.46</v>
      </c>
      <c r="I689">
        <v>29</v>
      </c>
      <c r="J689" t="s">
        <v>30</v>
      </c>
      <c r="K689">
        <v>55238.7</v>
      </c>
      <c r="L689" t="str">
        <f t="shared" si="40"/>
        <v>Feb</v>
      </c>
      <c r="M689">
        <f t="shared" si="41"/>
        <v>2025</v>
      </c>
      <c r="N689">
        <f t="shared" si="42"/>
        <v>55238.700000000004</v>
      </c>
      <c r="O689" t="str">
        <f t="shared" si="43"/>
        <v>Minor Delay</v>
      </c>
    </row>
    <row r="690" spans="1:15" x14ac:dyDescent="0.25">
      <c r="A690">
        <v>689</v>
      </c>
      <c r="B690" s="2">
        <v>45817</v>
      </c>
      <c r="C690" t="s">
        <v>26</v>
      </c>
      <c r="D690" t="s">
        <v>20</v>
      </c>
      <c r="E690" t="s">
        <v>22</v>
      </c>
      <c r="F690" t="s">
        <v>14</v>
      </c>
      <c r="G690">
        <v>232</v>
      </c>
      <c r="H690">
        <v>621.22</v>
      </c>
      <c r="I690">
        <v>23</v>
      </c>
      <c r="J690" t="s">
        <v>30</v>
      </c>
      <c r="K690">
        <v>144123.04</v>
      </c>
      <c r="L690" t="str">
        <f t="shared" si="40"/>
        <v>Jun</v>
      </c>
      <c r="M690">
        <f t="shared" si="41"/>
        <v>2025</v>
      </c>
      <c r="N690">
        <f t="shared" si="42"/>
        <v>144123.04</v>
      </c>
      <c r="O690" t="str">
        <f t="shared" si="43"/>
        <v>Minor Delay</v>
      </c>
    </row>
    <row r="691" spans="1:15" x14ac:dyDescent="0.25">
      <c r="A691">
        <v>690</v>
      </c>
      <c r="B691" s="2">
        <v>45705</v>
      </c>
      <c r="C691" t="s">
        <v>25</v>
      </c>
      <c r="D691" t="s">
        <v>20</v>
      </c>
      <c r="E691" t="s">
        <v>29</v>
      </c>
      <c r="F691" t="s">
        <v>24</v>
      </c>
      <c r="G691">
        <v>74</v>
      </c>
      <c r="H691">
        <v>397.13</v>
      </c>
      <c r="I691">
        <v>10</v>
      </c>
      <c r="J691" t="s">
        <v>15</v>
      </c>
      <c r="K691">
        <v>29387.62</v>
      </c>
      <c r="L691" t="str">
        <f t="shared" si="40"/>
        <v>Feb</v>
      </c>
      <c r="M691">
        <f t="shared" si="41"/>
        <v>2025</v>
      </c>
      <c r="N691">
        <f t="shared" si="42"/>
        <v>29387.62</v>
      </c>
      <c r="O691" t="str">
        <f t="shared" si="43"/>
        <v>Minor Delay</v>
      </c>
    </row>
    <row r="692" spans="1:15" x14ac:dyDescent="0.25">
      <c r="A692">
        <v>691</v>
      </c>
      <c r="B692" s="2">
        <v>45776</v>
      </c>
      <c r="C692" t="s">
        <v>11</v>
      </c>
      <c r="D692" t="s">
        <v>20</v>
      </c>
      <c r="E692" t="s">
        <v>27</v>
      </c>
      <c r="F692" t="s">
        <v>14</v>
      </c>
      <c r="G692">
        <v>270</v>
      </c>
      <c r="H692">
        <v>722.82</v>
      </c>
      <c r="I692">
        <v>18</v>
      </c>
      <c r="J692" t="s">
        <v>15</v>
      </c>
      <c r="K692">
        <v>195161.4</v>
      </c>
      <c r="L692" t="str">
        <f t="shared" si="40"/>
        <v>Apr</v>
      </c>
      <c r="M692">
        <f t="shared" si="41"/>
        <v>2025</v>
      </c>
      <c r="N692">
        <f t="shared" si="42"/>
        <v>195161.40000000002</v>
      </c>
      <c r="O692" t="str">
        <f t="shared" si="43"/>
        <v>Minor Delay</v>
      </c>
    </row>
    <row r="693" spans="1:15" x14ac:dyDescent="0.25">
      <c r="A693">
        <v>692</v>
      </c>
      <c r="B693" s="2">
        <v>45890</v>
      </c>
      <c r="C693" t="s">
        <v>18</v>
      </c>
      <c r="D693" t="s">
        <v>22</v>
      </c>
      <c r="E693" t="s">
        <v>17</v>
      </c>
      <c r="F693" t="s">
        <v>14</v>
      </c>
      <c r="G693">
        <v>66</v>
      </c>
      <c r="H693">
        <v>411.75</v>
      </c>
      <c r="I693">
        <v>43</v>
      </c>
      <c r="J693" t="s">
        <v>15</v>
      </c>
      <c r="K693">
        <v>27175.5</v>
      </c>
      <c r="L693" t="str">
        <f t="shared" si="40"/>
        <v>Aug</v>
      </c>
      <c r="M693">
        <f t="shared" si="41"/>
        <v>2025</v>
      </c>
      <c r="N693">
        <f t="shared" si="42"/>
        <v>27175.5</v>
      </c>
      <c r="O693" t="str">
        <f t="shared" si="43"/>
        <v>Moderate Delay</v>
      </c>
    </row>
    <row r="694" spans="1:15" x14ac:dyDescent="0.25">
      <c r="A694">
        <v>693</v>
      </c>
      <c r="B694" s="2">
        <v>45802</v>
      </c>
      <c r="C694" t="s">
        <v>26</v>
      </c>
      <c r="D694" t="s">
        <v>20</v>
      </c>
      <c r="E694" t="s">
        <v>29</v>
      </c>
      <c r="F694" t="s">
        <v>21</v>
      </c>
      <c r="G694">
        <v>197</v>
      </c>
      <c r="H694">
        <v>154.27000000000001</v>
      </c>
      <c r="I694">
        <v>56</v>
      </c>
      <c r="J694" t="s">
        <v>15</v>
      </c>
      <c r="K694">
        <v>30391.19</v>
      </c>
      <c r="L694" t="str">
        <f t="shared" si="40"/>
        <v>May</v>
      </c>
      <c r="M694">
        <f t="shared" si="41"/>
        <v>2025</v>
      </c>
      <c r="N694">
        <f t="shared" si="42"/>
        <v>30391.190000000002</v>
      </c>
      <c r="O694" t="str">
        <f t="shared" si="43"/>
        <v>Moderate Delay</v>
      </c>
    </row>
    <row r="695" spans="1:15" x14ac:dyDescent="0.25">
      <c r="A695">
        <v>694</v>
      </c>
      <c r="B695" s="2">
        <v>45812</v>
      </c>
      <c r="C695" t="s">
        <v>31</v>
      </c>
      <c r="D695" t="s">
        <v>22</v>
      </c>
      <c r="E695" t="s">
        <v>12</v>
      </c>
      <c r="F695" t="s">
        <v>24</v>
      </c>
      <c r="G695">
        <v>152</v>
      </c>
      <c r="H695">
        <v>497</v>
      </c>
      <c r="I695">
        <v>47</v>
      </c>
      <c r="J695" t="s">
        <v>15</v>
      </c>
      <c r="K695">
        <v>75544</v>
      </c>
      <c r="L695" t="str">
        <f t="shared" si="40"/>
        <v>Jun</v>
      </c>
      <c r="M695">
        <f t="shared" si="41"/>
        <v>2025</v>
      </c>
      <c r="N695">
        <f t="shared" si="42"/>
        <v>75544</v>
      </c>
      <c r="O695" t="str">
        <f t="shared" si="43"/>
        <v>Moderate Delay</v>
      </c>
    </row>
    <row r="696" spans="1:15" x14ac:dyDescent="0.25">
      <c r="A696">
        <v>695</v>
      </c>
      <c r="B696" s="2">
        <v>45904</v>
      </c>
      <c r="C696" t="s">
        <v>18</v>
      </c>
      <c r="D696" t="s">
        <v>19</v>
      </c>
      <c r="E696" t="s">
        <v>29</v>
      </c>
      <c r="F696" t="s">
        <v>14</v>
      </c>
      <c r="G696">
        <v>137</v>
      </c>
      <c r="H696">
        <v>214.1</v>
      </c>
      <c r="I696">
        <v>10</v>
      </c>
      <c r="J696" t="s">
        <v>28</v>
      </c>
      <c r="K696">
        <v>29331.7</v>
      </c>
      <c r="L696" t="str">
        <f t="shared" si="40"/>
        <v>Sep</v>
      </c>
      <c r="M696">
        <f t="shared" si="41"/>
        <v>2025</v>
      </c>
      <c r="N696">
        <f t="shared" si="42"/>
        <v>29331.7</v>
      </c>
      <c r="O696" t="str">
        <f t="shared" si="43"/>
        <v>Minor Delay</v>
      </c>
    </row>
    <row r="697" spans="1:15" x14ac:dyDescent="0.25">
      <c r="A697">
        <v>696</v>
      </c>
      <c r="B697" s="2">
        <v>45746</v>
      </c>
      <c r="C697" t="s">
        <v>25</v>
      </c>
      <c r="D697" t="s">
        <v>22</v>
      </c>
      <c r="E697" t="s">
        <v>19</v>
      </c>
      <c r="F697" t="s">
        <v>21</v>
      </c>
      <c r="G697">
        <v>69</v>
      </c>
      <c r="H697">
        <v>607.13</v>
      </c>
      <c r="I697">
        <v>0</v>
      </c>
      <c r="J697" t="s">
        <v>15</v>
      </c>
      <c r="K697">
        <v>41891.97</v>
      </c>
      <c r="L697" t="str">
        <f t="shared" si="40"/>
        <v>Mar</v>
      </c>
      <c r="M697">
        <f t="shared" si="41"/>
        <v>2025</v>
      </c>
      <c r="N697">
        <f t="shared" si="42"/>
        <v>41891.97</v>
      </c>
      <c r="O697" t="str">
        <f t="shared" si="43"/>
        <v>On Time</v>
      </c>
    </row>
    <row r="698" spans="1:15" x14ac:dyDescent="0.25">
      <c r="A698">
        <v>697</v>
      </c>
      <c r="B698" s="2">
        <v>45961</v>
      </c>
      <c r="C698" t="s">
        <v>31</v>
      </c>
      <c r="D698" t="s">
        <v>20</v>
      </c>
      <c r="E698" t="s">
        <v>12</v>
      </c>
      <c r="F698" t="s">
        <v>24</v>
      </c>
      <c r="G698">
        <v>133</v>
      </c>
      <c r="H698">
        <v>470.76</v>
      </c>
      <c r="I698">
        <v>26</v>
      </c>
      <c r="J698" t="s">
        <v>30</v>
      </c>
      <c r="K698">
        <v>62611.08</v>
      </c>
      <c r="L698" t="str">
        <f t="shared" si="40"/>
        <v>Oct</v>
      </c>
      <c r="M698">
        <f t="shared" si="41"/>
        <v>2025</v>
      </c>
      <c r="N698">
        <f t="shared" si="42"/>
        <v>62611.08</v>
      </c>
      <c r="O698" t="str">
        <f t="shared" si="43"/>
        <v>Minor Delay</v>
      </c>
    </row>
    <row r="699" spans="1:15" x14ac:dyDescent="0.25">
      <c r="A699">
        <v>698</v>
      </c>
      <c r="B699" s="2">
        <v>46008</v>
      </c>
      <c r="C699" t="s">
        <v>31</v>
      </c>
      <c r="D699" t="s">
        <v>12</v>
      </c>
      <c r="E699" t="s">
        <v>29</v>
      </c>
      <c r="F699" t="s">
        <v>24</v>
      </c>
      <c r="G699">
        <v>133</v>
      </c>
      <c r="H699">
        <v>425.78</v>
      </c>
      <c r="I699">
        <v>6</v>
      </c>
      <c r="J699" t="s">
        <v>15</v>
      </c>
      <c r="K699">
        <v>56628.74</v>
      </c>
      <c r="L699" t="str">
        <f t="shared" si="40"/>
        <v>Dec</v>
      </c>
      <c r="M699">
        <f t="shared" si="41"/>
        <v>2025</v>
      </c>
      <c r="N699">
        <f t="shared" si="42"/>
        <v>56628.74</v>
      </c>
      <c r="O699" t="str">
        <f t="shared" si="43"/>
        <v>Minor Delay</v>
      </c>
    </row>
    <row r="700" spans="1:15" x14ac:dyDescent="0.25">
      <c r="A700">
        <v>699</v>
      </c>
      <c r="B700" s="2">
        <v>45729</v>
      </c>
      <c r="C700" t="s">
        <v>31</v>
      </c>
      <c r="D700" t="s">
        <v>12</v>
      </c>
      <c r="E700" t="s">
        <v>23</v>
      </c>
      <c r="F700" t="s">
        <v>21</v>
      </c>
      <c r="G700">
        <v>257</v>
      </c>
      <c r="H700">
        <v>60.14</v>
      </c>
      <c r="I700">
        <v>28</v>
      </c>
      <c r="J700" t="s">
        <v>15</v>
      </c>
      <c r="K700">
        <v>15455.98</v>
      </c>
      <c r="L700" t="str">
        <f t="shared" si="40"/>
        <v>Mar</v>
      </c>
      <c r="M700">
        <f t="shared" si="41"/>
        <v>2025</v>
      </c>
      <c r="N700">
        <f t="shared" si="42"/>
        <v>15455.98</v>
      </c>
      <c r="O700" t="str">
        <f t="shared" si="43"/>
        <v>Minor Delay</v>
      </c>
    </row>
    <row r="701" spans="1:15" x14ac:dyDescent="0.25">
      <c r="A701">
        <v>700</v>
      </c>
      <c r="B701" s="2">
        <v>45758</v>
      </c>
      <c r="C701" t="s">
        <v>11</v>
      </c>
      <c r="D701" t="s">
        <v>17</v>
      </c>
      <c r="E701" t="s">
        <v>27</v>
      </c>
      <c r="F701" t="s">
        <v>21</v>
      </c>
      <c r="G701">
        <v>274</v>
      </c>
      <c r="H701">
        <v>294.27999999999997</v>
      </c>
      <c r="I701">
        <v>31</v>
      </c>
      <c r="J701" t="s">
        <v>15</v>
      </c>
      <c r="K701">
        <v>80632.72</v>
      </c>
      <c r="L701" t="str">
        <f t="shared" si="40"/>
        <v>Apr</v>
      </c>
      <c r="M701">
        <f t="shared" si="41"/>
        <v>2025</v>
      </c>
      <c r="N701">
        <f t="shared" si="42"/>
        <v>80632.719999999987</v>
      </c>
      <c r="O701" t="str">
        <f t="shared" si="43"/>
        <v>Moderate Delay</v>
      </c>
    </row>
    <row r="702" spans="1:15" x14ac:dyDescent="0.25">
      <c r="A702">
        <v>701</v>
      </c>
      <c r="B702" s="2">
        <v>45834</v>
      </c>
      <c r="C702" t="s">
        <v>16</v>
      </c>
      <c r="D702" t="s">
        <v>23</v>
      </c>
      <c r="E702" t="s">
        <v>20</v>
      </c>
      <c r="F702" t="s">
        <v>21</v>
      </c>
      <c r="G702">
        <v>52</v>
      </c>
      <c r="H702">
        <v>512.5</v>
      </c>
      <c r="I702">
        <v>0</v>
      </c>
      <c r="J702" t="s">
        <v>30</v>
      </c>
      <c r="K702">
        <v>26650</v>
      </c>
      <c r="L702" t="str">
        <f t="shared" si="40"/>
        <v>Jun</v>
      </c>
      <c r="M702">
        <f t="shared" si="41"/>
        <v>2025</v>
      </c>
      <c r="N702">
        <f t="shared" si="42"/>
        <v>26650</v>
      </c>
      <c r="O702" t="str">
        <f t="shared" si="43"/>
        <v>On Time</v>
      </c>
    </row>
    <row r="703" spans="1:15" x14ac:dyDescent="0.25">
      <c r="A703">
        <v>702</v>
      </c>
      <c r="B703" s="2">
        <v>45939</v>
      </c>
      <c r="C703" t="s">
        <v>16</v>
      </c>
      <c r="D703" t="s">
        <v>13</v>
      </c>
      <c r="E703" t="s">
        <v>17</v>
      </c>
      <c r="F703" t="s">
        <v>14</v>
      </c>
      <c r="G703">
        <v>230</v>
      </c>
      <c r="H703">
        <v>474.42</v>
      </c>
      <c r="I703">
        <v>16</v>
      </c>
      <c r="J703" t="s">
        <v>30</v>
      </c>
      <c r="K703">
        <v>109116.6</v>
      </c>
      <c r="L703" t="str">
        <f t="shared" si="40"/>
        <v>Oct</v>
      </c>
      <c r="M703">
        <f t="shared" si="41"/>
        <v>2025</v>
      </c>
      <c r="N703">
        <f t="shared" si="42"/>
        <v>109116.6</v>
      </c>
      <c r="O703" t="str">
        <f t="shared" si="43"/>
        <v>Minor Delay</v>
      </c>
    </row>
    <row r="704" spans="1:15" x14ac:dyDescent="0.25">
      <c r="A704">
        <v>703</v>
      </c>
      <c r="B704" s="2">
        <v>45673</v>
      </c>
      <c r="C704" t="s">
        <v>11</v>
      </c>
      <c r="D704" t="s">
        <v>12</v>
      </c>
      <c r="E704" t="s">
        <v>22</v>
      </c>
      <c r="F704" t="s">
        <v>24</v>
      </c>
      <c r="G704">
        <v>229</v>
      </c>
      <c r="H704">
        <v>496.72</v>
      </c>
      <c r="I704">
        <v>0</v>
      </c>
      <c r="J704" t="s">
        <v>15</v>
      </c>
      <c r="K704">
        <v>113748.88</v>
      </c>
      <c r="L704" t="str">
        <f t="shared" si="40"/>
        <v>Jan</v>
      </c>
      <c r="M704">
        <f t="shared" si="41"/>
        <v>2025</v>
      </c>
      <c r="N704">
        <f t="shared" si="42"/>
        <v>113748.88</v>
      </c>
      <c r="O704" t="str">
        <f t="shared" si="43"/>
        <v>On Time</v>
      </c>
    </row>
    <row r="705" spans="1:15" x14ac:dyDescent="0.25">
      <c r="A705">
        <v>704</v>
      </c>
      <c r="B705" s="2">
        <v>45997</v>
      </c>
      <c r="C705" t="s">
        <v>11</v>
      </c>
      <c r="D705" t="s">
        <v>17</v>
      </c>
      <c r="E705" t="s">
        <v>19</v>
      </c>
      <c r="F705" t="s">
        <v>24</v>
      </c>
      <c r="G705">
        <v>85</v>
      </c>
      <c r="H705">
        <v>199.29</v>
      </c>
      <c r="I705">
        <v>0</v>
      </c>
      <c r="J705" t="s">
        <v>15</v>
      </c>
      <c r="K705">
        <v>16939.650000000001</v>
      </c>
      <c r="L705" t="str">
        <f t="shared" si="40"/>
        <v>Dec</v>
      </c>
      <c r="M705">
        <f t="shared" si="41"/>
        <v>2025</v>
      </c>
      <c r="N705">
        <f t="shared" si="42"/>
        <v>16939.649999999998</v>
      </c>
      <c r="O705" t="str">
        <f t="shared" si="43"/>
        <v>On Time</v>
      </c>
    </row>
    <row r="706" spans="1:15" x14ac:dyDescent="0.25">
      <c r="A706">
        <v>705</v>
      </c>
      <c r="B706" s="2">
        <v>45736</v>
      </c>
      <c r="C706" t="s">
        <v>26</v>
      </c>
      <c r="D706" t="s">
        <v>22</v>
      </c>
      <c r="E706" t="s">
        <v>20</v>
      </c>
      <c r="F706" t="s">
        <v>21</v>
      </c>
      <c r="G706">
        <v>82</v>
      </c>
      <c r="H706">
        <v>159.37</v>
      </c>
      <c r="I706">
        <v>24</v>
      </c>
      <c r="J706" t="s">
        <v>15</v>
      </c>
      <c r="K706">
        <v>13068.34</v>
      </c>
      <c r="L706" t="str">
        <f t="shared" si="40"/>
        <v>Mar</v>
      </c>
      <c r="M706">
        <f t="shared" si="41"/>
        <v>2025</v>
      </c>
      <c r="N706">
        <f t="shared" si="42"/>
        <v>13068.34</v>
      </c>
      <c r="O706" t="str">
        <f t="shared" si="43"/>
        <v>Minor Delay</v>
      </c>
    </row>
    <row r="707" spans="1:15" x14ac:dyDescent="0.25">
      <c r="A707">
        <v>706</v>
      </c>
      <c r="B707" s="2">
        <v>45727</v>
      </c>
      <c r="C707" t="s">
        <v>16</v>
      </c>
      <c r="D707" t="s">
        <v>20</v>
      </c>
      <c r="E707" t="s">
        <v>17</v>
      </c>
      <c r="F707" t="s">
        <v>14</v>
      </c>
      <c r="G707">
        <v>214</v>
      </c>
      <c r="H707">
        <v>656.4</v>
      </c>
      <c r="I707">
        <v>21</v>
      </c>
      <c r="J707" t="s">
        <v>30</v>
      </c>
      <c r="K707">
        <v>140469.6</v>
      </c>
      <c r="L707" t="str">
        <f t="shared" ref="L707:L770" si="44">TEXT(B707,"MMM")</f>
        <v>Mar</v>
      </c>
      <c r="M707">
        <f t="shared" ref="M707:M770" si="45">YEAR(B707)</f>
        <v>2025</v>
      </c>
      <c r="N707">
        <f t="shared" ref="N707:N770" si="46">G707*H707</f>
        <v>140469.6</v>
      </c>
      <c r="O707" t="str">
        <f t="shared" ref="O707:O770" si="47">IF(I707=0,"On Time",IF(I707&lt;=30,"Minor Delay",IF(I707&lt;=60,"Moderate Delay","Major Delay")))</f>
        <v>Minor Delay</v>
      </c>
    </row>
    <row r="708" spans="1:15" x14ac:dyDescent="0.25">
      <c r="A708">
        <v>707</v>
      </c>
      <c r="B708" s="2">
        <v>45890</v>
      </c>
      <c r="C708" t="s">
        <v>31</v>
      </c>
      <c r="D708" t="s">
        <v>17</v>
      </c>
      <c r="E708" t="s">
        <v>29</v>
      </c>
      <c r="F708" t="s">
        <v>24</v>
      </c>
      <c r="G708">
        <v>191</v>
      </c>
      <c r="H708">
        <v>666.85</v>
      </c>
      <c r="I708">
        <v>6</v>
      </c>
      <c r="J708" t="s">
        <v>15</v>
      </c>
      <c r="K708">
        <v>127368.35</v>
      </c>
      <c r="L708" t="str">
        <f t="shared" si="44"/>
        <v>Aug</v>
      </c>
      <c r="M708">
        <f t="shared" si="45"/>
        <v>2025</v>
      </c>
      <c r="N708">
        <f t="shared" si="46"/>
        <v>127368.35</v>
      </c>
      <c r="O708" t="str">
        <f t="shared" si="47"/>
        <v>Minor Delay</v>
      </c>
    </row>
    <row r="709" spans="1:15" x14ac:dyDescent="0.25">
      <c r="A709">
        <v>708</v>
      </c>
      <c r="B709" s="2">
        <v>45779</v>
      </c>
      <c r="C709" t="s">
        <v>25</v>
      </c>
      <c r="D709" t="s">
        <v>13</v>
      </c>
      <c r="E709" t="s">
        <v>27</v>
      </c>
      <c r="F709" t="s">
        <v>21</v>
      </c>
      <c r="G709">
        <v>118</v>
      </c>
      <c r="H709">
        <v>364.02</v>
      </c>
      <c r="I709">
        <v>31</v>
      </c>
      <c r="J709" t="s">
        <v>15</v>
      </c>
      <c r="K709">
        <v>42954.36</v>
      </c>
      <c r="L709" t="str">
        <f t="shared" si="44"/>
        <v>May</v>
      </c>
      <c r="M709">
        <f t="shared" si="45"/>
        <v>2025</v>
      </c>
      <c r="N709">
        <f t="shared" si="46"/>
        <v>42954.36</v>
      </c>
      <c r="O709" t="str">
        <f t="shared" si="47"/>
        <v>Moderate Delay</v>
      </c>
    </row>
    <row r="710" spans="1:15" x14ac:dyDescent="0.25">
      <c r="A710">
        <v>709</v>
      </c>
      <c r="B710" s="2">
        <v>45677</v>
      </c>
      <c r="C710" t="s">
        <v>31</v>
      </c>
      <c r="D710" t="s">
        <v>22</v>
      </c>
      <c r="E710" t="s">
        <v>13</v>
      </c>
      <c r="F710" t="s">
        <v>24</v>
      </c>
      <c r="G710">
        <v>230</v>
      </c>
      <c r="H710">
        <v>332.75</v>
      </c>
      <c r="I710">
        <v>0</v>
      </c>
      <c r="J710" t="s">
        <v>15</v>
      </c>
      <c r="K710">
        <v>76532.5</v>
      </c>
      <c r="L710" t="str">
        <f t="shared" si="44"/>
        <v>Jan</v>
      </c>
      <c r="M710">
        <f t="shared" si="45"/>
        <v>2025</v>
      </c>
      <c r="N710">
        <f t="shared" si="46"/>
        <v>76532.5</v>
      </c>
      <c r="O710" t="str">
        <f t="shared" si="47"/>
        <v>On Time</v>
      </c>
    </row>
    <row r="711" spans="1:15" x14ac:dyDescent="0.25">
      <c r="A711">
        <v>710</v>
      </c>
      <c r="B711" s="2">
        <v>45896</v>
      </c>
      <c r="C711" t="s">
        <v>31</v>
      </c>
      <c r="D711" t="s">
        <v>27</v>
      </c>
      <c r="E711" t="s">
        <v>23</v>
      </c>
      <c r="F711" t="s">
        <v>14</v>
      </c>
      <c r="G711">
        <v>183</v>
      </c>
      <c r="H711">
        <v>718.54</v>
      </c>
      <c r="I711">
        <v>0</v>
      </c>
      <c r="J711" t="s">
        <v>15</v>
      </c>
      <c r="K711">
        <v>131492.82</v>
      </c>
      <c r="L711" t="str">
        <f t="shared" si="44"/>
        <v>Aug</v>
      </c>
      <c r="M711">
        <f t="shared" si="45"/>
        <v>2025</v>
      </c>
      <c r="N711">
        <f t="shared" si="46"/>
        <v>131492.82</v>
      </c>
      <c r="O711" t="str">
        <f t="shared" si="47"/>
        <v>On Time</v>
      </c>
    </row>
    <row r="712" spans="1:15" x14ac:dyDescent="0.25">
      <c r="A712">
        <v>711</v>
      </c>
      <c r="B712" s="2">
        <v>46008</v>
      </c>
      <c r="C712" t="s">
        <v>25</v>
      </c>
      <c r="D712" t="s">
        <v>20</v>
      </c>
      <c r="E712" t="s">
        <v>12</v>
      </c>
      <c r="F712" t="s">
        <v>21</v>
      </c>
      <c r="G712">
        <v>254</v>
      </c>
      <c r="H712">
        <v>488.93</v>
      </c>
      <c r="I712">
        <v>0</v>
      </c>
      <c r="J712" t="s">
        <v>15</v>
      </c>
      <c r="K712">
        <v>124188.22</v>
      </c>
      <c r="L712" t="str">
        <f t="shared" si="44"/>
        <v>Dec</v>
      </c>
      <c r="M712">
        <f t="shared" si="45"/>
        <v>2025</v>
      </c>
      <c r="N712">
        <f t="shared" si="46"/>
        <v>124188.22</v>
      </c>
      <c r="O712" t="str">
        <f t="shared" si="47"/>
        <v>On Time</v>
      </c>
    </row>
    <row r="713" spans="1:15" x14ac:dyDescent="0.25">
      <c r="A713">
        <v>712</v>
      </c>
      <c r="B713" s="2">
        <v>45890</v>
      </c>
      <c r="C713" t="s">
        <v>31</v>
      </c>
      <c r="D713" t="s">
        <v>13</v>
      </c>
      <c r="E713" t="s">
        <v>27</v>
      </c>
      <c r="F713" t="s">
        <v>24</v>
      </c>
      <c r="G713">
        <v>196</v>
      </c>
      <c r="H713">
        <v>603.02</v>
      </c>
      <c r="I713">
        <v>0</v>
      </c>
      <c r="J713" t="s">
        <v>15</v>
      </c>
      <c r="K713">
        <v>118191.92</v>
      </c>
      <c r="L713" t="str">
        <f t="shared" si="44"/>
        <v>Aug</v>
      </c>
      <c r="M713">
        <f t="shared" si="45"/>
        <v>2025</v>
      </c>
      <c r="N713">
        <f t="shared" si="46"/>
        <v>118191.92</v>
      </c>
      <c r="O713" t="str">
        <f t="shared" si="47"/>
        <v>On Time</v>
      </c>
    </row>
    <row r="714" spans="1:15" x14ac:dyDescent="0.25">
      <c r="A714">
        <v>713</v>
      </c>
      <c r="B714" s="2">
        <v>45743</v>
      </c>
      <c r="C714" t="s">
        <v>16</v>
      </c>
      <c r="D714" t="s">
        <v>23</v>
      </c>
      <c r="E714" t="s">
        <v>22</v>
      </c>
      <c r="F714" t="s">
        <v>21</v>
      </c>
      <c r="G714">
        <v>286</v>
      </c>
      <c r="H714">
        <v>502.25</v>
      </c>
      <c r="I714">
        <v>5</v>
      </c>
      <c r="J714" t="s">
        <v>15</v>
      </c>
      <c r="K714">
        <v>143643.5</v>
      </c>
      <c r="L714" t="str">
        <f t="shared" si="44"/>
        <v>Mar</v>
      </c>
      <c r="M714">
        <f t="shared" si="45"/>
        <v>2025</v>
      </c>
      <c r="N714">
        <f t="shared" si="46"/>
        <v>143643.5</v>
      </c>
      <c r="O714" t="str">
        <f t="shared" si="47"/>
        <v>Minor Delay</v>
      </c>
    </row>
    <row r="715" spans="1:15" x14ac:dyDescent="0.25">
      <c r="A715">
        <v>714</v>
      </c>
      <c r="B715" s="2">
        <v>45951</v>
      </c>
      <c r="C715" t="s">
        <v>16</v>
      </c>
      <c r="D715" t="s">
        <v>20</v>
      </c>
      <c r="E715" t="s">
        <v>29</v>
      </c>
      <c r="F715" t="s">
        <v>21</v>
      </c>
      <c r="G715">
        <v>124</v>
      </c>
      <c r="H715">
        <v>658.58</v>
      </c>
      <c r="I715">
        <v>61</v>
      </c>
      <c r="J715" t="s">
        <v>15</v>
      </c>
      <c r="K715">
        <v>81663.92</v>
      </c>
      <c r="L715" t="str">
        <f t="shared" si="44"/>
        <v>Oct</v>
      </c>
      <c r="M715">
        <f t="shared" si="45"/>
        <v>2025</v>
      </c>
      <c r="N715">
        <f t="shared" si="46"/>
        <v>81663.92</v>
      </c>
      <c r="O715" t="str">
        <f t="shared" si="47"/>
        <v>Major Delay</v>
      </c>
    </row>
    <row r="716" spans="1:15" x14ac:dyDescent="0.25">
      <c r="A716">
        <v>715</v>
      </c>
      <c r="B716" s="2">
        <v>45700</v>
      </c>
      <c r="C716" t="s">
        <v>11</v>
      </c>
      <c r="D716" t="s">
        <v>23</v>
      </c>
      <c r="E716" t="s">
        <v>27</v>
      </c>
      <c r="F716" t="s">
        <v>21</v>
      </c>
      <c r="G716">
        <v>69</v>
      </c>
      <c r="H716">
        <v>690.07</v>
      </c>
      <c r="I716">
        <v>17</v>
      </c>
      <c r="J716" t="s">
        <v>15</v>
      </c>
      <c r="K716">
        <v>47614.83</v>
      </c>
      <c r="L716" t="str">
        <f t="shared" si="44"/>
        <v>Feb</v>
      </c>
      <c r="M716">
        <f t="shared" si="45"/>
        <v>2025</v>
      </c>
      <c r="N716">
        <f t="shared" si="46"/>
        <v>47614.83</v>
      </c>
      <c r="O716" t="str">
        <f t="shared" si="47"/>
        <v>Minor Delay</v>
      </c>
    </row>
    <row r="717" spans="1:15" x14ac:dyDescent="0.25">
      <c r="A717">
        <v>716</v>
      </c>
      <c r="B717" s="2">
        <v>45715</v>
      </c>
      <c r="C717" t="s">
        <v>31</v>
      </c>
      <c r="D717" t="s">
        <v>23</v>
      </c>
      <c r="E717" t="s">
        <v>13</v>
      </c>
      <c r="F717" t="s">
        <v>14</v>
      </c>
      <c r="G717">
        <v>282</v>
      </c>
      <c r="H717">
        <v>497.91</v>
      </c>
      <c r="I717">
        <v>33</v>
      </c>
      <c r="J717" t="s">
        <v>15</v>
      </c>
      <c r="K717">
        <v>140410.62</v>
      </c>
      <c r="L717" t="str">
        <f t="shared" si="44"/>
        <v>Feb</v>
      </c>
      <c r="M717">
        <f t="shared" si="45"/>
        <v>2025</v>
      </c>
      <c r="N717">
        <f t="shared" si="46"/>
        <v>140410.62</v>
      </c>
      <c r="O717" t="str">
        <f t="shared" si="47"/>
        <v>Moderate Delay</v>
      </c>
    </row>
    <row r="718" spans="1:15" x14ac:dyDescent="0.25">
      <c r="A718">
        <v>717</v>
      </c>
      <c r="B718" s="2">
        <v>45747</v>
      </c>
      <c r="C718" t="s">
        <v>26</v>
      </c>
      <c r="D718" t="s">
        <v>20</v>
      </c>
      <c r="E718" t="s">
        <v>22</v>
      </c>
      <c r="F718" t="s">
        <v>21</v>
      </c>
      <c r="G718">
        <v>110</v>
      </c>
      <c r="H718">
        <v>418.84</v>
      </c>
      <c r="I718">
        <v>35</v>
      </c>
      <c r="J718" t="s">
        <v>15</v>
      </c>
      <c r="K718">
        <v>46072.4</v>
      </c>
      <c r="L718" t="str">
        <f t="shared" si="44"/>
        <v>Mar</v>
      </c>
      <c r="M718">
        <f t="shared" si="45"/>
        <v>2025</v>
      </c>
      <c r="N718">
        <f t="shared" si="46"/>
        <v>46072.399999999994</v>
      </c>
      <c r="O718" t="str">
        <f t="shared" si="47"/>
        <v>Moderate Delay</v>
      </c>
    </row>
    <row r="719" spans="1:15" x14ac:dyDescent="0.25">
      <c r="A719">
        <v>718</v>
      </c>
      <c r="B719" s="2">
        <v>45962</v>
      </c>
      <c r="C719" t="s">
        <v>11</v>
      </c>
      <c r="D719" t="s">
        <v>12</v>
      </c>
      <c r="E719" t="s">
        <v>19</v>
      </c>
      <c r="F719" t="s">
        <v>24</v>
      </c>
      <c r="G719">
        <v>242</v>
      </c>
      <c r="H719">
        <v>795.25</v>
      </c>
      <c r="I719">
        <v>0</v>
      </c>
      <c r="J719" t="s">
        <v>15</v>
      </c>
      <c r="K719">
        <v>192450.5</v>
      </c>
      <c r="L719" t="str">
        <f t="shared" si="44"/>
        <v>Nov</v>
      </c>
      <c r="M719">
        <f t="shared" si="45"/>
        <v>2025</v>
      </c>
      <c r="N719">
        <f t="shared" si="46"/>
        <v>192450.5</v>
      </c>
      <c r="O719" t="str">
        <f t="shared" si="47"/>
        <v>On Time</v>
      </c>
    </row>
    <row r="720" spans="1:15" x14ac:dyDescent="0.25">
      <c r="A720">
        <v>719</v>
      </c>
      <c r="B720" s="2">
        <v>45984</v>
      </c>
      <c r="C720" t="s">
        <v>11</v>
      </c>
      <c r="D720" t="s">
        <v>19</v>
      </c>
      <c r="E720" t="s">
        <v>27</v>
      </c>
      <c r="F720" t="s">
        <v>14</v>
      </c>
      <c r="G720">
        <v>197</v>
      </c>
      <c r="H720">
        <v>603.42999999999995</v>
      </c>
      <c r="I720">
        <v>0</v>
      </c>
      <c r="J720" t="s">
        <v>15</v>
      </c>
      <c r="K720">
        <v>118875.71</v>
      </c>
      <c r="L720" t="str">
        <f t="shared" si="44"/>
        <v>Nov</v>
      </c>
      <c r="M720">
        <f t="shared" si="45"/>
        <v>2025</v>
      </c>
      <c r="N720">
        <f t="shared" si="46"/>
        <v>118875.70999999999</v>
      </c>
      <c r="O720" t="str">
        <f t="shared" si="47"/>
        <v>On Time</v>
      </c>
    </row>
    <row r="721" spans="1:15" x14ac:dyDescent="0.25">
      <c r="A721">
        <v>720</v>
      </c>
      <c r="B721" s="2">
        <v>45743</v>
      </c>
      <c r="C721" t="s">
        <v>18</v>
      </c>
      <c r="D721" t="s">
        <v>12</v>
      </c>
      <c r="E721" t="s">
        <v>13</v>
      </c>
      <c r="F721" t="s">
        <v>24</v>
      </c>
      <c r="G721">
        <v>171</v>
      </c>
      <c r="H721">
        <v>283.01</v>
      </c>
      <c r="I721">
        <v>49</v>
      </c>
      <c r="J721" t="s">
        <v>15</v>
      </c>
      <c r="K721">
        <v>48394.71</v>
      </c>
      <c r="L721" t="str">
        <f t="shared" si="44"/>
        <v>Mar</v>
      </c>
      <c r="M721">
        <f t="shared" si="45"/>
        <v>2025</v>
      </c>
      <c r="N721">
        <f t="shared" si="46"/>
        <v>48394.71</v>
      </c>
      <c r="O721" t="str">
        <f t="shared" si="47"/>
        <v>Moderate Delay</v>
      </c>
    </row>
    <row r="722" spans="1:15" x14ac:dyDescent="0.25">
      <c r="A722">
        <v>721</v>
      </c>
      <c r="B722" s="2">
        <v>45852</v>
      </c>
      <c r="C722" t="s">
        <v>25</v>
      </c>
      <c r="D722" t="s">
        <v>27</v>
      </c>
      <c r="E722" t="s">
        <v>19</v>
      </c>
      <c r="F722" t="s">
        <v>21</v>
      </c>
      <c r="G722">
        <v>149</v>
      </c>
      <c r="H722">
        <v>411.2</v>
      </c>
      <c r="I722">
        <v>50</v>
      </c>
      <c r="J722" t="s">
        <v>15</v>
      </c>
      <c r="K722">
        <v>61268.800000000003</v>
      </c>
      <c r="L722" t="str">
        <f t="shared" si="44"/>
        <v>Jul</v>
      </c>
      <c r="M722">
        <f t="shared" si="45"/>
        <v>2025</v>
      </c>
      <c r="N722">
        <f t="shared" si="46"/>
        <v>61268.799999999996</v>
      </c>
      <c r="O722" t="str">
        <f t="shared" si="47"/>
        <v>Moderate Delay</v>
      </c>
    </row>
    <row r="723" spans="1:15" x14ac:dyDescent="0.25">
      <c r="A723">
        <v>722</v>
      </c>
      <c r="B723" s="2">
        <v>46005</v>
      </c>
      <c r="C723" t="s">
        <v>26</v>
      </c>
      <c r="D723" t="s">
        <v>20</v>
      </c>
      <c r="E723" t="s">
        <v>17</v>
      </c>
      <c r="F723" t="s">
        <v>21</v>
      </c>
      <c r="G723">
        <v>224</v>
      </c>
      <c r="H723">
        <v>767.34</v>
      </c>
      <c r="I723">
        <v>59</v>
      </c>
      <c r="J723" t="s">
        <v>15</v>
      </c>
      <c r="K723">
        <v>171884.16</v>
      </c>
      <c r="L723" t="str">
        <f t="shared" si="44"/>
        <v>Dec</v>
      </c>
      <c r="M723">
        <f t="shared" si="45"/>
        <v>2025</v>
      </c>
      <c r="N723">
        <f t="shared" si="46"/>
        <v>171884.16</v>
      </c>
      <c r="O723" t="str">
        <f t="shared" si="47"/>
        <v>Moderate Delay</v>
      </c>
    </row>
    <row r="724" spans="1:15" x14ac:dyDescent="0.25">
      <c r="A724">
        <v>723</v>
      </c>
      <c r="B724" s="2">
        <v>45879</v>
      </c>
      <c r="C724" t="s">
        <v>31</v>
      </c>
      <c r="D724" t="s">
        <v>27</v>
      </c>
      <c r="E724" t="s">
        <v>22</v>
      </c>
      <c r="F724" t="s">
        <v>21</v>
      </c>
      <c r="G724">
        <v>269</v>
      </c>
      <c r="H724">
        <v>261.72000000000003</v>
      </c>
      <c r="I724">
        <v>14</v>
      </c>
      <c r="J724" t="s">
        <v>15</v>
      </c>
      <c r="K724">
        <v>70402.679999999993</v>
      </c>
      <c r="L724" t="str">
        <f t="shared" si="44"/>
        <v>Aug</v>
      </c>
      <c r="M724">
        <f t="shared" si="45"/>
        <v>2025</v>
      </c>
      <c r="N724">
        <f t="shared" si="46"/>
        <v>70402.680000000008</v>
      </c>
      <c r="O724" t="str">
        <f t="shared" si="47"/>
        <v>Minor Delay</v>
      </c>
    </row>
    <row r="725" spans="1:15" x14ac:dyDescent="0.25">
      <c r="A725">
        <v>724</v>
      </c>
      <c r="B725" s="2">
        <v>46003</v>
      </c>
      <c r="C725" t="s">
        <v>25</v>
      </c>
      <c r="D725" t="s">
        <v>17</v>
      </c>
      <c r="E725" t="s">
        <v>27</v>
      </c>
      <c r="F725" t="s">
        <v>14</v>
      </c>
      <c r="G725">
        <v>237</v>
      </c>
      <c r="H725">
        <v>557.20000000000005</v>
      </c>
      <c r="I725">
        <v>64</v>
      </c>
      <c r="J725" t="s">
        <v>15</v>
      </c>
      <c r="K725">
        <v>132056.4</v>
      </c>
      <c r="L725" t="str">
        <f t="shared" si="44"/>
        <v>Dec</v>
      </c>
      <c r="M725">
        <f t="shared" si="45"/>
        <v>2025</v>
      </c>
      <c r="N725">
        <f t="shared" si="46"/>
        <v>132056.40000000002</v>
      </c>
      <c r="O725" t="str">
        <f t="shared" si="47"/>
        <v>Major Delay</v>
      </c>
    </row>
    <row r="726" spans="1:15" x14ac:dyDescent="0.25">
      <c r="A726">
        <v>725</v>
      </c>
      <c r="B726" s="2">
        <v>46004</v>
      </c>
      <c r="C726" t="s">
        <v>25</v>
      </c>
      <c r="D726" t="s">
        <v>27</v>
      </c>
      <c r="E726" t="s">
        <v>22</v>
      </c>
      <c r="F726" t="s">
        <v>14</v>
      </c>
      <c r="G726">
        <v>130</v>
      </c>
      <c r="H726">
        <v>465.23</v>
      </c>
      <c r="I726">
        <v>0</v>
      </c>
      <c r="J726" t="s">
        <v>15</v>
      </c>
      <c r="K726">
        <v>60479.9</v>
      </c>
      <c r="L726" t="str">
        <f t="shared" si="44"/>
        <v>Dec</v>
      </c>
      <c r="M726">
        <f t="shared" si="45"/>
        <v>2025</v>
      </c>
      <c r="N726">
        <f t="shared" si="46"/>
        <v>60479.9</v>
      </c>
      <c r="O726" t="str">
        <f t="shared" si="47"/>
        <v>On Time</v>
      </c>
    </row>
    <row r="727" spans="1:15" x14ac:dyDescent="0.25">
      <c r="A727">
        <v>726</v>
      </c>
      <c r="B727" s="2">
        <v>46008</v>
      </c>
      <c r="C727" t="s">
        <v>18</v>
      </c>
      <c r="D727" t="s">
        <v>12</v>
      </c>
      <c r="E727" t="s">
        <v>29</v>
      </c>
      <c r="F727" t="s">
        <v>24</v>
      </c>
      <c r="G727">
        <v>106</v>
      </c>
      <c r="H727">
        <v>596.69000000000005</v>
      </c>
      <c r="I727">
        <v>0</v>
      </c>
      <c r="J727" t="s">
        <v>15</v>
      </c>
      <c r="K727">
        <v>63249.14</v>
      </c>
      <c r="L727" t="str">
        <f t="shared" si="44"/>
        <v>Dec</v>
      </c>
      <c r="M727">
        <f t="shared" si="45"/>
        <v>2025</v>
      </c>
      <c r="N727">
        <f t="shared" si="46"/>
        <v>63249.140000000007</v>
      </c>
      <c r="O727" t="str">
        <f t="shared" si="47"/>
        <v>On Time</v>
      </c>
    </row>
    <row r="728" spans="1:15" x14ac:dyDescent="0.25">
      <c r="A728">
        <v>727</v>
      </c>
      <c r="B728" s="2">
        <v>45975</v>
      </c>
      <c r="C728" t="s">
        <v>16</v>
      </c>
      <c r="D728" t="s">
        <v>13</v>
      </c>
      <c r="E728" t="s">
        <v>12</v>
      </c>
      <c r="F728" t="s">
        <v>14</v>
      </c>
      <c r="G728">
        <v>290</v>
      </c>
      <c r="H728">
        <v>499.66</v>
      </c>
      <c r="I728">
        <v>33</v>
      </c>
      <c r="J728" t="s">
        <v>15</v>
      </c>
      <c r="K728">
        <v>144901.4</v>
      </c>
      <c r="L728" t="str">
        <f t="shared" si="44"/>
        <v>Nov</v>
      </c>
      <c r="M728">
        <f t="shared" si="45"/>
        <v>2025</v>
      </c>
      <c r="N728">
        <f t="shared" si="46"/>
        <v>144901.4</v>
      </c>
      <c r="O728" t="str">
        <f t="shared" si="47"/>
        <v>Moderate Delay</v>
      </c>
    </row>
    <row r="729" spans="1:15" x14ac:dyDescent="0.25">
      <c r="A729">
        <v>728</v>
      </c>
      <c r="B729" s="2">
        <v>45702</v>
      </c>
      <c r="C729" t="s">
        <v>31</v>
      </c>
      <c r="D729" t="s">
        <v>12</v>
      </c>
      <c r="E729" t="s">
        <v>29</v>
      </c>
      <c r="F729" t="s">
        <v>14</v>
      </c>
      <c r="G729">
        <v>146</v>
      </c>
      <c r="H729">
        <v>545.73</v>
      </c>
      <c r="I729">
        <v>9</v>
      </c>
      <c r="J729" t="s">
        <v>30</v>
      </c>
      <c r="K729">
        <v>79676.58</v>
      </c>
      <c r="L729" t="str">
        <f t="shared" si="44"/>
        <v>Feb</v>
      </c>
      <c r="M729">
        <f t="shared" si="45"/>
        <v>2025</v>
      </c>
      <c r="N729">
        <f t="shared" si="46"/>
        <v>79676.58</v>
      </c>
      <c r="O729" t="str">
        <f t="shared" si="47"/>
        <v>Minor Delay</v>
      </c>
    </row>
    <row r="730" spans="1:15" x14ac:dyDescent="0.25">
      <c r="A730">
        <v>729</v>
      </c>
      <c r="B730" s="2">
        <v>46014</v>
      </c>
      <c r="C730" t="s">
        <v>11</v>
      </c>
      <c r="D730" t="s">
        <v>29</v>
      </c>
      <c r="E730" t="s">
        <v>12</v>
      </c>
      <c r="F730" t="s">
        <v>24</v>
      </c>
      <c r="G730">
        <v>125</v>
      </c>
      <c r="H730">
        <v>405.55</v>
      </c>
      <c r="I730">
        <v>52</v>
      </c>
      <c r="J730" t="s">
        <v>30</v>
      </c>
      <c r="K730">
        <v>50693.75</v>
      </c>
      <c r="L730" t="str">
        <f t="shared" si="44"/>
        <v>Dec</v>
      </c>
      <c r="M730">
        <f t="shared" si="45"/>
        <v>2025</v>
      </c>
      <c r="N730">
        <f t="shared" si="46"/>
        <v>50693.75</v>
      </c>
      <c r="O730" t="str">
        <f t="shared" si="47"/>
        <v>Moderate Delay</v>
      </c>
    </row>
    <row r="731" spans="1:15" x14ac:dyDescent="0.25">
      <c r="A731">
        <v>730</v>
      </c>
      <c r="B731" s="2">
        <v>46012</v>
      </c>
      <c r="C731" t="s">
        <v>25</v>
      </c>
      <c r="D731" t="s">
        <v>23</v>
      </c>
      <c r="E731" t="s">
        <v>20</v>
      </c>
      <c r="F731" t="s">
        <v>24</v>
      </c>
      <c r="G731">
        <v>115</v>
      </c>
      <c r="H731">
        <v>179.85</v>
      </c>
      <c r="I731">
        <v>6</v>
      </c>
      <c r="J731" t="s">
        <v>15</v>
      </c>
      <c r="K731">
        <v>20682.75</v>
      </c>
      <c r="L731" t="str">
        <f t="shared" si="44"/>
        <v>Dec</v>
      </c>
      <c r="M731">
        <f t="shared" si="45"/>
        <v>2025</v>
      </c>
      <c r="N731">
        <f t="shared" si="46"/>
        <v>20682.75</v>
      </c>
      <c r="O731" t="str">
        <f t="shared" si="47"/>
        <v>Minor Delay</v>
      </c>
    </row>
    <row r="732" spans="1:15" x14ac:dyDescent="0.25">
      <c r="A732">
        <v>731</v>
      </c>
      <c r="B732" s="2">
        <v>45856</v>
      </c>
      <c r="C732" t="s">
        <v>26</v>
      </c>
      <c r="D732" t="s">
        <v>13</v>
      </c>
      <c r="E732" t="s">
        <v>20</v>
      </c>
      <c r="F732" t="s">
        <v>14</v>
      </c>
      <c r="G732">
        <v>116</v>
      </c>
      <c r="H732">
        <v>767.15</v>
      </c>
      <c r="I732">
        <v>17</v>
      </c>
      <c r="J732" t="s">
        <v>15</v>
      </c>
      <c r="K732">
        <v>88989.4</v>
      </c>
      <c r="L732" t="str">
        <f t="shared" si="44"/>
        <v>Jul</v>
      </c>
      <c r="M732">
        <f t="shared" si="45"/>
        <v>2025</v>
      </c>
      <c r="N732">
        <f t="shared" si="46"/>
        <v>88989.4</v>
      </c>
      <c r="O732" t="str">
        <f t="shared" si="47"/>
        <v>Minor Delay</v>
      </c>
    </row>
    <row r="733" spans="1:15" x14ac:dyDescent="0.25">
      <c r="A733">
        <v>732</v>
      </c>
      <c r="B733" s="2">
        <v>45749</v>
      </c>
      <c r="C733" t="s">
        <v>25</v>
      </c>
      <c r="D733" t="s">
        <v>19</v>
      </c>
      <c r="E733" t="s">
        <v>20</v>
      </c>
      <c r="F733" t="s">
        <v>24</v>
      </c>
      <c r="G733">
        <v>77</v>
      </c>
      <c r="H733">
        <v>166.47</v>
      </c>
      <c r="I733">
        <v>46</v>
      </c>
      <c r="J733" t="s">
        <v>15</v>
      </c>
      <c r="K733">
        <v>12818.19</v>
      </c>
      <c r="L733" t="str">
        <f t="shared" si="44"/>
        <v>Apr</v>
      </c>
      <c r="M733">
        <f t="shared" si="45"/>
        <v>2025</v>
      </c>
      <c r="N733">
        <f t="shared" si="46"/>
        <v>12818.19</v>
      </c>
      <c r="O733" t="str">
        <f t="shared" si="47"/>
        <v>Moderate Delay</v>
      </c>
    </row>
    <row r="734" spans="1:15" x14ac:dyDescent="0.25">
      <c r="A734">
        <v>733</v>
      </c>
      <c r="B734" s="2">
        <v>45884</v>
      </c>
      <c r="C734" t="s">
        <v>25</v>
      </c>
      <c r="D734" t="s">
        <v>19</v>
      </c>
      <c r="E734" t="s">
        <v>12</v>
      </c>
      <c r="F734" t="s">
        <v>24</v>
      </c>
      <c r="G734">
        <v>76</v>
      </c>
      <c r="H734">
        <v>85.8</v>
      </c>
      <c r="I734">
        <v>56</v>
      </c>
      <c r="J734" t="s">
        <v>15</v>
      </c>
      <c r="K734">
        <v>6520.8</v>
      </c>
      <c r="L734" t="str">
        <f t="shared" si="44"/>
        <v>Aug</v>
      </c>
      <c r="M734">
        <f t="shared" si="45"/>
        <v>2025</v>
      </c>
      <c r="N734">
        <f t="shared" si="46"/>
        <v>6520.8</v>
      </c>
      <c r="O734" t="str">
        <f t="shared" si="47"/>
        <v>Moderate Delay</v>
      </c>
    </row>
    <row r="735" spans="1:15" x14ac:dyDescent="0.25">
      <c r="A735">
        <v>734</v>
      </c>
      <c r="B735" s="2">
        <v>45734</v>
      </c>
      <c r="C735" t="s">
        <v>25</v>
      </c>
      <c r="D735" t="s">
        <v>13</v>
      </c>
      <c r="E735" t="s">
        <v>27</v>
      </c>
      <c r="F735" t="s">
        <v>21</v>
      </c>
      <c r="G735">
        <v>50</v>
      </c>
      <c r="H735">
        <v>750.34</v>
      </c>
      <c r="I735">
        <v>37</v>
      </c>
      <c r="J735" t="s">
        <v>15</v>
      </c>
      <c r="K735">
        <v>37517</v>
      </c>
      <c r="L735" t="str">
        <f t="shared" si="44"/>
        <v>Mar</v>
      </c>
      <c r="M735">
        <f t="shared" si="45"/>
        <v>2025</v>
      </c>
      <c r="N735">
        <f t="shared" si="46"/>
        <v>37517</v>
      </c>
      <c r="O735" t="str">
        <f t="shared" si="47"/>
        <v>Moderate Delay</v>
      </c>
    </row>
    <row r="736" spans="1:15" x14ac:dyDescent="0.25">
      <c r="A736">
        <v>735</v>
      </c>
      <c r="B736" s="2">
        <v>46016</v>
      </c>
      <c r="C736" t="s">
        <v>26</v>
      </c>
      <c r="D736" t="s">
        <v>23</v>
      </c>
      <c r="E736" t="s">
        <v>29</v>
      </c>
      <c r="F736" t="s">
        <v>24</v>
      </c>
      <c r="G736">
        <v>197</v>
      </c>
      <c r="H736">
        <v>62.74</v>
      </c>
      <c r="I736">
        <v>8</v>
      </c>
      <c r="J736" t="s">
        <v>15</v>
      </c>
      <c r="K736">
        <v>12359.78</v>
      </c>
      <c r="L736" t="str">
        <f t="shared" si="44"/>
        <v>Dec</v>
      </c>
      <c r="M736">
        <f t="shared" si="45"/>
        <v>2025</v>
      </c>
      <c r="N736">
        <f t="shared" si="46"/>
        <v>12359.78</v>
      </c>
      <c r="O736" t="str">
        <f t="shared" si="47"/>
        <v>Minor Delay</v>
      </c>
    </row>
    <row r="737" spans="1:15" x14ac:dyDescent="0.25">
      <c r="A737">
        <v>736</v>
      </c>
      <c r="B737" s="2">
        <v>45934</v>
      </c>
      <c r="C737" t="s">
        <v>11</v>
      </c>
      <c r="D737" t="s">
        <v>17</v>
      </c>
      <c r="E737" t="s">
        <v>12</v>
      </c>
      <c r="F737" t="s">
        <v>14</v>
      </c>
      <c r="G737">
        <v>148</v>
      </c>
      <c r="H737">
        <v>766.07</v>
      </c>
      <c r="I737">
        <v>0</v>
      </c>
      <c r="J737" t="s">
        <v>30</v>
      </c>
      <c r="K737">
        <v>113378.36</v>
      </c>
      <c r="L737" t="str">
        <f t="shared" si="44"/>
        <v>Oct</v>
      </c>
      <c r="M737">
        <f t="shared" si="45"/>
        <v>2025</v>
      </c>
      <c r="N737">
        <f t="shared" si="46"/>
        <v>113378.36</v>
      </c>
      <c r="O737" t="str">
        <f t="shared" si="47"/>
        <v>On Time</v>
      </c>
    </row>
    <row r="738" spans="1:15" x14ac:dyDescent="0.25">
      <c r="A738">
        <v>737</v>
      </c>
      <c r="B738" s="2">
        <v>45948</v>
      </c>
      <c r="C738" t="s">
        <v>31</v>
      </c>
      <c r="D738" t="s">
        <v>20</v>
      </c>
      <c r="E738" t="s">
        <v>12</v>
      </c>
      <c r="F738" t="s">
        <v>24</v>
      </c>
      <c r="G738">
        <v>135</v>
      </c>
      <c r="H738">
        <v>564.55999999999995</v>
      </c>
      <c r="I738">
        <v>0</v>
      </c>
      <c r="J738" t="s">
        <v>30</v>
      </c>
      <c r="K738">
        <v>76215.600000000006</v>
      </c>
      <c r="L738" t="str">
        <f t="shared" si="44"/>
        <v>Oct</v>
      </c>
      <c r="M738">
        <f t="shared" si="45"/>
        <v>2025</v>
      </c>
      <c r="N738">
        <f t="shared" si="46"/>
        <v>76215.599999999991</v>
      </c>
      <c r="O738" t="str">
        <f t="shared" si="47"/>
        <v>On Time</v>
      </c>
    </row>
    <row r="739" spans="1:15" x14ac:dyDescent="0.25">
      <c r="A739">
        <v>738</v>
      </c>
      <c r="B739" s="2">
        <v>45931</v>
      </c>
      <c r="C739" t="s">
        <v>26</v>
      </c>
      <c r="D739" t="s">
        <v>12</v>
      </c>
      <c r="E739" t="s">
        <v>17</v>
      </c>
      <c r="F739" t="s">
        <v>14</v>
      </c>
      <c r="G739">
        <v>265</v>
      </c>
      <c r="H739">
        <v>400.13</v>
      </c>
      <c r="I739">
        <v>40</v>
      </c>
      <c r="J739" t="s">
        <v>15</v>
      </c>
      <c r="K739">
        <v>106034.45</v>
      </c>
      <c r="L739" t="str">
        <f t="shared" si="44"/>
        <v>Oct</v>
      </c>
      <c r="M739">
        <f t="shared" si="45"/>
        <v>2025</v>
      </c>
      <c r="N739">
        <f t="shared" si="46"/>
        <v>106034.45</v>
      </c>
      <c r="O739" t="str">
        <f t="shared" si="47"/>
        <v>Moderate Delay</v>
      </c>
    </row>
    <row r="740" spans="1:15" x14ac:dyDescent="0.25">
      <c r="A740">
        <v>739</v>
      </c>
      <c r="B740" s="2">
        <v>45941</v>
      </c>
      <c r="C740" t="s">
        <v>16</v>
      </c>
      <c r="D740" t="s">
        <v>19</v>
      </c>
      <c r="E740" t="s">
        <v>29</v>
      </c>
      <c r="F740" t="s">
        <v>24</v>
      </c>
      <c r="G740">
        <v>219</v>
      </c>
      <c r="H740">
        <v>201.34</v>
      </c>
      <c r="I740">
        <v>2</v>
      </c>
      <c r="J740" t="s">
        <v>15</v>
      </c>
      <c r="K740">
        <v>44093.46</v>
      </c>
      <c r="L740" t="str">
        <f t="shared" si="44"/>
        <v>Oct</v>
      </c>
      <c r="M740">
        <f t="shared" si="45"/>
        <v>2025</v>
      </c>
      <c r="N740">
        <f t="shared" si="46"/>
        <v>44093.46</v>
      </c>
      <c r="O740" t="str">
        <f t="shared" si="47"/>
        <v>Minor Delay</v>
      </c>
    </row>
    <row r="741" spans="1:15" x14ac:dyDescent="0.25">
      <c r="A741">
        <v>740</v>
      </c>
      <c r="B741" s="2">
        <v>45701</v>
      </c>
      <c r="C741" t="s">
        <v>25</v>
      </c>
      <c r="D741" t="s">
        <v>22</v>
      </c>
      <c r="E741" t="s">
        <v>27</v>
      </c>
      <c r="F741" t="s">
        <v>24</v>
      </c>
      <c r="G741">
        <v>238</v>
      </c>
      <c r="H741">
        <v>200.2</v>
      </c>
      <c r="I741">
        <v>0</v>
      </c>
      <c r="J741" t="s">
        <v>15</v>
      </c>
      <c r="K741">
        <v>47647.6</v>
      </c>
      <c r="L741" t="str">
        <f t="shared" si="44"/>
        <v>Feb</v>
      </c>
      <c r="M741">
        <f t="shared" si="45"/>
        <v>2025</v>
      </c>
      <c r="N741">
        <f t="shared" si="46"/>
        <v>47647.6</v>
      </c>
      <c r="O741" t="str">
        <f t="shared" si="47"/>
        <v>On Time</v>
      </c>
    </row>
    <row r="742" spans="1:15" x14ac:dyDescent="0.25">
      <c r="A742">
        <v>741</v>
      </c>
      <c r="B742" s="2">
        <v>45908</v>
      </c>
      <c r="C742" t="s">
        <v>18</v>
      </c>
      <c r="D742" t="s">
        <v>13</v>
      </c>
      <c r="E742" t="s">
        <v>23</v>
      </c>
      <c r="F742" t="s">
        <v>14</v>
      </c>
      <c r="G742">
        <v>252</v>
      </c>
      <c r="H742">
        <v>460.01</v>
      </c>
      <c r="I742">
        <v>9</v>
      </c>
      <c r="J742" t="s">
        <v>30</v>
      </c>
      <c r="K742">
        <v>115922.52</v>
      </c>
      <c r="L742" t="str">
        <f t="shared" si="44"/>
        <v>Sep</v>
      </c>
      <c r="M742">
        <f t="shared" si="45"/>
        <v>2025</v>
      </c>
      <c r="N742">
        <f t="shared" si="46"/>
        <v>115922.52</v>
      </c>
      <c r="O742" t="str">
        <f t="shared" si="47"/>
        <v>Minor Delay</v>
      </c>
    </row>
    <row r="743" spans="1:15" x14ac:dyDescent="0.25">
      <c r="A743">
        <v>742</v>
      </c>
      <c r="B743" s="2">
        <v>45676</v>
      </c>
      <c r="C743" t="s">
        <v>26</v>
      </c>
      <c r="D743" t="s">
        <v>20</v>
      </c>
      <c r="E743" t="s">
        <v>13</v>
      </c>
      <c r="F743" t="s">
        <v>14</v>
      </c>
      <c r="G743">
        <v>136</v>
      </c>
      <c r="H743">
        <v>642.96</v>
      </c>
      <c r="I743">
        <v>48</v>
      </c>
      <c r="J743" t="s">
        <v>15</v>
      </c>
      <c r="K743">
        <v>87442.559999999998</v>
      </c>
      <c r="L743" t="str">
        <f t="shared" si="44"/>
        <v>Jan</v>
      </c>
      <c r="M743">
        <f t="shared" si="45"/>
        <v>2025</v>
      </c>
      <c r="N743">
        <f t="shared" si="46"/>
        <v>87442.559999999998</v>
      </c>
      <c r="O743" t="str">
        <f t="shared" si="47"/>
        <v>Moderate Delay</v>
      </c>
    </row>
    <row r="744" spans="1:15" x14ac:dyDescent="0.25">
      <c r="A744">
        <v>743</v>
      </c>
      <c r="B744" s="2">
        <v>45992</v>
      </c>
      <c r="C744" t="s">
        <v>25</v>
      </c>
      <c r="D744" t="s">
        <v>12</v>
      </c>
      <c r="E744" t="s">
        <v>23</v>
      </c>
      <c r="F744" t="s">
        <v>21</v>
      </c>
      <c r="G744">
        <v>167</v>
      </c>
      <c r="H744">
        <v>755.67</v>
      </c>
      <c r="I744">
        <v>41</v>
      </c>
      <c r="J744" t="s">
        <v>15</v>
      </c>
      <c r="K744">
        <v>126196.89</v>
      </c>
      <c r="L744" t="str">
        <f t="shared" si="44"/>
        <v>Dec</v>
      </c>
      <c r="M744">
        <f t="shared" si="45"/>
        <v>2025</v>
      </c>
      <c r="N744">
        <f t="shared" si="46"/>
        <v>126196.89</v>
      </c>
      <c r="O744" t="str">
        <f t="shared" si="47"/>
        <v>Moderate Delay</v>
      </c>
    </row>
    <row r="745" spans="1:15" x14ac:dyDescent="0.25">
      <c r="A745">
        <v>744</v>
      </c>
      <c r="B745" s="2">
        <v>45676</v>
      </c>
      <c r="C745" t="s">
        <v>25</v>
      </c>
      <c r="D745" t="s">
        <v>19</v>
      </c>
      <c r="E745" t="s">
        <v>12</v>
      </c>
      <c r="F745" t="s">
        <v>14</v>
      </c>
      <c r="G745">
        <v>175</v>
      </c>
      <c r="H745">
        <v>543.84</v>
      </c>
      <c r="I745">
        <v>0</v>
      </c>
      <c r="J745" t="s">
        <v>15</v>
      </c>
      <c r="K745">
        <v>95172</v>
      </c>
      <c r="L745" t="str">
        <f t="shared" si="44"/>
        <v>Jan</v>
      </c>
      <c r="M745">
        <f t="shared" si="45"/>
        <v>2025</v>
      </c>
      <c r="N745">
        <f t="shared" si="46"/>
        <v>95172</v>
      </c>
      <c r="O745" t="str">
        <f t="shared" si="47"/>
        <v>On Time</v>
      </c>
    </row>
    <row r="746" spans="1:15" x14ac:dyDescent="0.25">
      <c r="A746">
        <v>745</v>
      </c>
      <c r="B746" s="2">
        <v>46017</v>
      </c>
      <c r="C746" t="s">
        <v>25</v>
      </c>
      <c r="D746" t="s">
        <v>13</v>
      </c>
      <c r="E746" t="s">
        <v>23</v>
      </c>
      <c r="F746" t="s">
        <v>14</v>
      </c>
      <c r="G746">
        <v>53</v>
      </c>
      <c r="H746">
        <v>187.46</v>
      </c>
      <c r="I746">
        <v>40</v>
      </c>
      <c r="J746" t="s">
        <v>15</v>
      </c>
      <c r="K746">
        <v>9935.3799999999992</v>
      </c>
      <c r="L746" t="str">
        <f t="shared" si="44"/>
        <v>Dec</v>
      </c>
      <c r="M746">
        <f t="shared" si="45"/>
        <v>2025</v>
      </c>
      <c r="N746">
        <f t="shared" si="46"/>
        <v>9935.380000000001</v>
      </c>
      <c r="O746" t="str">
        <f t="shared" si="47"/>
        <v>Moderate Delay</v>
      </c>
    </row>
    <row r="747" spans="1:15" x14ac:dyDescent="0.25">
      <c r="A747">
        <v>746</v>
      </c>
      <c r="B747" s="2">
        <v>45960</v>
      </c>
      <c r="C747" t="s">
        <v>16</v>
      </c>
      <c r="D747" t="s">
        <v>20</v>
      </c>
      <c r="E747" t="s">
        <v>29</v>
      </c>
      <c r="F747" t="s">
        <v>14</v>
      </c>
      <c r="G747">
        <v>79</v>
      </c>
      <c r="H747">
        <v>427.89</v>
      </c>
      <c r="I747">
        <v>26</v>
      </c>
      <c r="J747" t="s">
        <v>15</v>
      </c>
      <c r="K747">
        <v>33803.31</v>
      </c>
      <c r="L747" t="str">
        <f t="shared" si="44"/>
        <v>Oct</v>
      </c>
      <c r="M747">
        <f t="shared" si="45"/>
        <v>2025</v>
      </c>
      <c r="N747">
        <f t="shared" si="46"/>
        <v>33803.31</v>
      </c>
      <c r="O747" t="str">
        <f t="shared" si="47"/>
        <v>Minor Delay</v>
      </c>
    </row>
    <row r="748" spans="1:15" x14ac:dyDescent="0.25">
      <c r="A748">
        <v>747</v>
      </c>
      <c r="B748" s="2">
        <v>45761</v>
      </c>
      <c r="C748" t="s">
        <v>18</v>
      </c>
      <c r="D748" t="s">
        <v>19</v>
      </c>
      <c r="E748" t="s">
        <v>12</v>
      </c>
      <c r="F748" t="s">
        <v>24</v>
      </c>
      <c r="G748">
        <v>257</v>
      </c>
      <c r="H748">
        <v>678.56</v>
      </c>
      <c r="I748">
        <v>18</v>
      </c>
      <c r="J748" t="s">
        <v>15</v>
      </c>
      <c r="K748">
        <v>174389.92</v>
      </c>
      <c r="L748" t="str">
        <f t="shared" si="44"/>
        <v>Apr</v>
      </c>
      <c r="M748">
        <f t="shared" si="45"/>
        <v>2025</v>
      </c>
      <c r="N748">
        <f t="shared" si="46"/>
        <v>174389.91999999998</v>
      </c>
      <c r="O748" t="str">
        <f t="shared" si="47"/>
        <v>Minor Delay</v>
      </c>
    </row>
    <row r="749" spans="1:15" x14ac:dyDescent="0.25">
      <c r="A749">
        <v>748</v>
      </c>
      <c r="B749" s="2">
        <v>45822</v>
      </c>
      <c r="C749" t="s">
        <v>11</v>
      </c>
      <c r="D749" t="s">
        <v>27</v>
      </c>
      <c r="E749" t="s">
        <v>29</v>
      </c>
      <c r="F749" t="s">
        <v>14</v>
      </c>
      <c r="G749">
        <v>201</v>
      </c>
      <c r="H749">
        <v>188.35</v>
      </c>
      <c r="I749">
        <v>0</v>
      </c>
      <c r="J749" t="s">
        <v>15</v>
      </c>
      <c r="K749">
        <v>37858.35</v>
      </c>
      <c r="L749" t="str">
        <f t="shared" si="44"/>
        <v>Jun</v>
      </c>
      <c r="M749">
        <f t="shared" si="45"/>
        <v>2025</v>
      </c>
      <c r="N749">
        <f t="shared" si="46"/>
        <v>37858.35</v>
      </c>
      <c r="O749" t="str">
        <f t="shared" si="47"/>
        <v>On Time</v>
      </c>
    </row>
    <row r="750" spans="1:15" x14ac:dyDescent="0.25">
      <c r="A750">
        <v>749</v>
      </c>
      <c r="B750" s="2">
        <v>45870</v>
      </c>
      <c r="C750" t="s">
        <v>11</v>
      </c>
      <c r="D750" t="s">
        <v>23</v>
      </c>
      <c r="E750" t="s">
        <v>29</v>
      </c>
      <c r="F750" t="s">
        <v>21</v>
      </c>
      <c r="G750">
        <v>144</v>
      </c>
      <c r="H750">
        <v>469.52</v>
      </c>
      <c r="I750">
        <v>0</v>
      </c>
      <c r="J750" t="s">
        <v>15</v>
      </c>
      <c r="K750">
        <v>67610.880000000005</v>
      </c>
      <c r="L750" t="str">
        <f t="shared" si="44"/>
        <v>Aug</v>
      </c>
      <c r="M750">
        <f t="shared" si="45"/>
        <v>2025</v>
      </c>
      <c r="N750">
        <f t="shared" si="46"/>
        <v>67610.880000000005</v>
      </c>
      <c r="O750" t="str">
        <f t="shared" si="47"/>
        <v>On Time</v>
      </c>
    </row>
    <row r="751" spans="1:15" x14ac:dyDescent="0.25">
      <c r="A751">
        <v>750</v>
      </c>
      <c r="B751" s="2">
        <v>45738</v>
      </c>
      <c r="C751" t="s">
        <v>16</v>
      </c>
      <c r="D751" t="s">
        <v>12</v>
      </c>
      <c r="E751" t="s">
        <v>20</v>
      </c>
      <c r="F751" t="s">
        <v>24</v>
      </c>
      <c r="G751">
        <v>70</v>
      </c>
      <c r="H751">
        <v>64.7</v>
      </c>
      <c r="I751">
        <v>41</v>
      </c>
      <c r="J751" t="s">
        <v>15</v>
      </c>
      <c r="K751">
        <v>4529</v>
      </c>
      <c r="L751" t="str">
        <f t="shared" si="44"/>
        <v>Mar</v>
      </c>
      <c r="M751">
        <f t="shared" si="45"/>
        <v>2025</v>
      </c>
      <c r="N751">
        <f t="shared" si="46"/>
        <v>4529</v>
      </c>
      <c r="O751" t="str">
        <f t="shared" si="47"/>
        <v>Moderate Delay</v>
      </c>
    </row>
    <row r="752" spans="1:15" x14ac:dyDescent="0.25">
      <c r="A752">
        <v>751</v>
      </c>
      <c r="B752" s="2">
        <v>45871</v>
      </c>
      <c r="C752" t="s">
        <v>25</v>
      </c>
      <c r="D752" t="s">
        <v>12</v>
      </c>
      <c r="E752" t="s">
        <v>22</v>
      </c>
      <c r="F752" t="s">
        <v>24</v>
      </c>
      <c r="G752">
        <v>227</v>
      </c>
      <c r="H752">
        <v>153.9</v>
      </c>
      <c r="I752">
        <v>32</v>
      </c>
      <c r="J752" t="s">
        <v>15</v>
      </c>
      <c r="K752">
        <v>34935.300000000003</v>
      </c>
      <c r="L752" t="str">
        <f t="shared" si="44"/>
        <v>Aug</v>
      </c>
      <c r="M752">
        <f t="shared" si="45"/>
        <v>2025</v>
      </c>
      <c r="N752">
        <f t="shared" si="46"/>
        <v>34935.300000000003</v>
      </c>
      <c r="O752" t="str">
        <f t="shared" si="47"/>
        <v>Moderate Delay</v>
      </c>
    </row>
    <row r="753" spans="1:15" x14ac:dyDescent="0.25">
      <c r="A753">
        <v>752</v>
      </c>
      <c r="B753" s="2">
        <v>45970</v>
      </c>
      <c r="C753" t="s">
        <v>25</v>
      </c>
      <c r="D753" t="s">
        <v>19</v>
      </c>
      <c r="E753" t="s">
        <v>29</v>
      </c>
      <c r="F753" t="s">
        <v>14</v>
      </c>
      <c r="G753">
        <v>202</v>
      </c>
      <c r="H753">
        <v>193.2</v>
      </c>
      <c r="I753">
        <v>35</v>
      </c>
      <c r="J753" t="s">
        <v>15</v>
      </c>
      <c r="K753">
        <v>39026.400000000001</v>
      </c>
      <c r="L753" t="str">
        <f t="shared" si="44"/>
        <v>Nov</v>
      </c>
      <c r="M753">
        <f t="shared" si="45"/>
        <v>2025</v>
      </c>
      <c r="N753">
        <f t="shared" si="46"/>
        <v>39026.399999999994</v>
      </c>
      <c r="O753" t="str">
        <f t="shared" si="47"/>
        <v>Moderate Delay</v>
      </c>
    </row>
    <row r="754" spans="1:15" x14ac:dyDescent="0.25">
      <c r="A754">
        <v>753</v>
      </c>
      <c r="B754" s="2">
        <v>45836</v>
      </c>
      <c r="C754" t="s">
        <v>18</v>
      </c>
      <c r="D754" t="s">
        <v>12</v>
      </c>
      <c r="E754" t="s">
        <v>22</v>
      </c>
      <c r="F754" t="s">
        <v>14</v>
      </c>
      <c r="G754">
        <v>192</v>
      </c>
      <c r="H754">
        <v>234.37</v>
      </c>
      <c r="I754">
        <v>42</v>
      </c>
      <c r="J754" t="s">
        <v>15</v>
      </c>
      <c r="K754">
        <v>44999.040000000001</v>
      </c>
      <c r="L754" t="str">
        <f t="shared" si="44"/>
        <v>Jun</v>
      </c>
      <c r="M754">
        <f t="shared" si="45"/>
        <v>2025</v>
      </c>
      <c r="N754">
        <f t="shared" si="46"/>
        <v>44999.040000000001</v>
      </c>
      <c r="O754" t="str">
        <f t="shared" si="47"/>
        <v>Moderate Delay</v>
      </c>
    </row>
    <row r="755" spans="1:15" x14ac:dyDescent="0.25">
      <c r="A755">
        <v>754</v>
      </c>
      <c r="B755" s="2">
        <v>45895</v>
      </c>
      <c r="C755" t="s">
        <v>25</v>
      </c>
      <c r="D755" t="s">
        <v>22</v>
      </c>
      <c r="E755" t="s">
        <v>19</v>
      </c>
      <c r="F755" t="s">
        <v>21</v>
      </c>
      <c r="G755">
        <v>103</v>
      </c>
      <c r="H755">
        <v>264.56</v>
      </c>
      <c r="I755">
        <v>40</v>
      </c>
      <c r="J755" t="s">
        <v>15</v>
      </c>
      <c r="K755">
        <v>27249.68</v>
      </c>
      <c r="L755" t="str">
        <f t="shared" si="44"/>
        <v>Aug</v>
      </c>
      <c r="M755">
        <f t="shared" si="45"/>
        <v>2025</v>
      </c>
      <c r="N755">
        <f t="shared" si="46"/>
        <v>27249.68</v>
      </c>
      <c r="O755" t="str">
        <f t="shared" si="47"/>
        <v>Moderate Delay</v>
      </c>
    </row>
    <row r="756" spans="1:15" x14ac:dyDescent="0.25">
      <c r="A756">
        <v>755</v>
      </c>
      <c r="B756" s="2">
        <v>45912</v>
      </c>
      <c r="C756" t="s">
        <v>11</v>
      </c>
      <c r="D756" t="s">
        <v>29</v>
      </c>
      <c r="E756" t="s">
        <v>27</v>
      </c>
      <c r="F756" t="s">
        <v>14</v>
      </c>
      <c r="G756">
        <v>221</v>
      </c>
      <c r="H756">
        <v>742.78</v>
      </c>
      <c r="I756">
        <v>42</v>
      </c>
      <c r="J756" t="s">
        <v>15</v>
      </c>
      <c r="K756">
        <v>164154.38</v>
      </c>
      <c r="L756" t="str">
        <f t="shared" si="44"/>
        <v>Sep</v>
      </c>
      <c r="M756">
        <f t="shared" si="45"/>
        <v>2025</v>
      </c>
      <c r="N756">
        <f t="shared" si="46"/>
        <v>164154.38</v>
      </c>
      <c r="O756" t="str">
        <f t="shared" si="47"/>
        <v>Moderate Delay</v>
      </c>
    </row>
    <row r="757" spans="1:15" x14ac:dyDescent="0.25">
      <c r="A757">
        <v>756</v>
      </c>
      <c r="B757" s="2">
        <v>45973</v>
      </c>
      <c r="C757" t="s">
        <v>18</v>
      </c>
      <c r="D757" t="s">
        <v>23</v>
      </c>
      <c r="E757" t="s">
        <v>17</v>
      </c>
      <c r="F757" t="s">
        <v>14</v>
      </c>
      <c r="G757">
        <v>76</v>
      </c>
      <c r="H757">
        <v>607.91</v>
      </c>
      <c r="I757">
        <v>27</v>
      </c>
      <c r="J757" t="s">
        <v>30</v>
      </c>
      <c r="K757">
        <v>46201.16</v>
      </c>
      <c r="L757" t="str">
        <f t="shared" si="44"/>
        <v>Nov</v>
      </c>
      <c r="M757">
        <f t="shared" si="45"/>
        <v>2025</v>
      </c>
      <c r="N757">
        <f t="shared" si="46"/>
        <v>46201.159999999996</v>
      </c>
      <c r="O757" t="str">
        <f t="shared" si="47"/>
        <v>Minor Delay</v>
      </c>
    </row>
    <row r="758" spans="1:15" x14ac:dyDescent="0.25">
      <c r="A758">
        <v>757</v>
      </c>
      <c r="B758" s="2">
        <v>45672</v>
      </c>
      <c r="C758" t="s">
        <v>18</v>
      </c>
      <c r="D758" t="s">
        <v>29</v>
      </c>
      <c r="E758" t="s">
        <v>19</v>
      </c>
      <c r="F758" t="s">
        <v>21</v>
      </c>
      <c r="G758">
        <v>79</v>
      </c>
      <c r="H758">
        <v>112.44</v>
      </c>
      <c r="I758">
        <v>22</v>
      </c>
      <c r="J758" t="s">
        <v>15</v>
      </c>
      <c r="K758">
        <v>8882.76</v>
      </c>
      <c r="L758" t="str">
        <f t="shared" si="44"/>
        <v>Jan</v>
      </c>
      <c r="M758">
        <f t="shared" si="45"/>
        <v>2025</v>
      </c>
      <c r="N758">
        <f t="shared" si="46"/>
        <v>8882.76</v>
      </c>
      <c r="O758" t="str">
        <f t="shared" si="47"/>
        <v>Minor Delay</v>
      </c>
    </row>
    <row r="759" spans="1:15" x14ac:dyDescent="0.25">
      <c r="A759">
        <v>758</v>
      </c>
      <c r="B759" s="2">
        <v>46004</v>
      </c>
      <c r="C759" t="s">
        <v>26</v>
      </c>
      <c r="D759" t="s">
        <v>17</v>
      </c>
      <c r="E759" t="s">
        <v>19</v>
      </c>
      <c r="F759" t="s">
        <v>14</v>
      </c>
      <c r="G759">
        <v>249</v>
      </c>
      <c r="H759">
        <v>141.5</v>
      </c>
      <c r="I759">
        <v>47</v>
      </c>
      <c r="J759" t="s">
        <v>15</v>
      </c>
      <c r="K759">
        <v>35233.5</v>
      </c>
      <c r="L759" t="str">
        <f t="shared" si="44"/>
        <v>Dec</v>
      </c>
      <c r="M759">
        <f t="shared" si="45"/>
        <v>2025</v>
      </c>
      <c r="N759">
        <f t="shared" si="46"/>
        <v>35233.5</v>
      </c>
      <c r="O759" t="str">
        <f t="shared" si="47"/>
        <v>Moderate Delay</v>
      </c>
    </row>
    <row r="760" spans="1:15" x14ac:dyDescent="0.25">
      <c r="A760">
        <v>759</v>
      </c>
      <c r="B760" s="2">
        <v>45760</v>
      </c>
      <c r="C760" t="s">
        <v>18</v>
      </c>
      <c r="D760" t="s">
        <v>19</v>
      </c>
      <c r="E760" t="s">
        <v>20</v>
      </c>
      <c r="F760" t="s">
        <v>14</v>
      </c>
      <c r="G760">
        <v>68</v>
      </c>
      <c r="H760">
        <v>408.53</v>
      </c>
      <c r="I760">
        <v>0</v>
      </c>
      <c r="J760" t="s">
        <v>15</v>
      </c>
      <c r="K760">
        <v>27780.04</v>
      </c>
      <c r="L760" t="str">
        <f t="shared" si="44"/>
        <v>Apr</v>
      </c>
      <c r="M760">
        <f t="shared" si="45"/>
        <v>2025</v>
      </c>
      <c r="N760">
        <f t="shared" si="46"/>
        <v>27780.039999999997</v>
      </c>
      <c r="O760" t="str">
        <f t="shared" si="47"/>
        <v>On Time</v>
      </c>
    </row>
    <row r="761" spans="1:15" x14ac:dyDescent="0.25">
      <c r="A761">
        <v>760</v>
      </c>
      <c r="B761" s="2">
        <v>45856</v>
      </c>
      <c r="C761" t="s">
        <v>26</v>
      </c>
      <c r="D761" t="s">
        <v>20</v>
      </c>
      <c r="E761" t="s">
        <v>29</v>
      </c>
      <c r="F761" t="s">
        <v>14</v>
      </c>
      <c r="G761">
        <v>167</v>
      </c>
      <c r="H761">
        <v>592.66999999999996</v>
      </c>
      <c r="I761">
        <v>25</v>
      </c>
      <c r="J761" t="s">
        <v>15</v>
      </c>
      <c r="K761">
        <v>98975.89</v>
      </c>
      <c r="L761" t="str">
        <f t="shared" si="44"/>
        <v>Jul</v>
      </c>
      <c r="M761">
        <f t="shared" si="45"/>
        <v>2025</v>
      </c>
      <c r="N761">
        <f t="shared" si="46"/>
        <v>98975.89</v>
      </c>
      <c r="O761" t="str">
        <f t="shared" si="47"/>
        <v>Minor Delay</v>
      </c>
    </row>
    <row r="762" spans="1:15" x14ac:dyDescent="0.25">
      <c r="A762">
        <v>761</v>
      </c>
      <c r="B762" s="2">
        <v>45829</v>
      </c>
      <c r="C762" t="s">
        <v>11</v>
      </c>
      <c r="D762" t="s">
        <v>23</v>
      </c>
      <c r="E762" t="s">
        <v>19</v>
      </c>
      <c r="F762" t="s">
        <v>14</v>
      </c>
      <c r="G762">
        <v>227</v>
      </c>
      <c r="H762">
        <v>480.81</v>
      </c>
      <c r="I762">
        <v>17</v>
      </c>
      <c r="J762" t="s">
        <v>15</v>
      </c>
      <c r="K762">
        <v>109143.87</v>
      </c>
      <c r="L762" t="str">
        <f t="shared" si="44"/>
        <v>Jun</v>
      </c>
      <c r="M762">
        <f t="shared" si="45"/>
        <v>2025</v>
      </c>
      <c r="N762">
        <f t="shared" si="46"/>
        <v>109143.87</v>
      </c>
      <c r="O762" t="str">
        <f t="shared" si="47"/>
        <v>Minor Delay</v>
      </c>
    </row>
    <row r="763" spans="1:15" x14ac:dyDescent="0.25">
      <c r="A763">
        <v>762</v>
      </c>
      <c r="B763" s="2">
        <v>45833</v>
      </c>
      <c r="C763" t="s">
        <v>11</v>
      </c>
      <c r="D763" t="s">
        <v>17</v>
      </c>
      <c r="E763" t="s">
        <v>29</v>
      </c>
      <c r="F763" t="s">
        <v>24</v>
      </c>
      <c r="G763">
        <v>204</v>
      </c>
      <c r="H763">
        <v>176.02</v>
      </c>
      <c r="I763">
        <v>31</v>
      </c>
      <c r="J763" t="s">
        <v>15</v>
      </c>
      <c r="K763">
        <v>35908.080000000002</v>
      </c>
      <c r="L763" t="str">
        <f t="shared" si="44"/>
        <v>Jun</v>
      </c>
      <c r="M763">
        <f t="shared" si="45"/>
        <v>2025</v>
      </c>
      <c r="N763">
        <f t="shared" si="46"/>
        <v>35908.080000000002</v>
      </c>
      <c r="O763" t="str">
        <f t="shared" si="47"/>
        <v>Moderate Delay</v>
      </c>
    </row>
    <row r="764" spans="1:15" x14ac:dyDescent="0.25">
      <c r="A764">
        <v>763</v>
      </c>
      <c r="B764" s="2">
        <v>45702</v>
      </c>
      <c r="C764" t="s">
        <v>18</v>
      </c>
      <c r="D764" t="s">
        <v>29</v>
      </c>
      <c r="E764" t="s">
        <v>23</v>
      </c>
      <c r="F764" t="s">
        <v>21</v>
      </c>
      <c r="G764">
        <v>175</v>
      </c>
      <c r="H764">
        <v>698.03</v>
      </c>
      <c r="I764">
        <v>25</v>
      </c>
      <c r="J764" t="s">
        <v>15</v>
      </c>
      <c r="K764">
        <v>122155.25</v>
      </c>
      <c r="L764" t="str">
        <f t="shared" si="44"/>
        <v>Feb</v>
      </c>
      <c r="M764">
        <f t="shared" si="45"/>
        <v>2025</v>
      </c>
      <c r="N764">
        <f t="shared" si="46"/>
        <v>122155.25</v>
      </c>
      <c r="O764" t="str">
        <f t="shared" si="47"/>
        <v>Minor Delay</v>
      </c>
    </row>
    <row r="765" spans="1:15" x14ac:dyDescent="0.25">
      <c r="A765">
        <v>764</v>
      </c>
      <c r="B765" s="2">
        <v>45784</v>
      </c>
      <c r="C765" t="s">
        <v>11</v>
      </c>
      <c r="D765" t="s">
        <v>13</v>
      </c>
      <c r="E765" t="s">
        <v>20</v>
      </c>
      <c r="F765" t="s">
        <v>24</v>
      </c>
      <c r="G765">
        <v>161</v>
      </c>
      <c r="H765">
        <v>488.81</v>
      </c>
      <c r="I765">
        <v>47</v>
      </c>
      <c r="J765" t="s">
        <v>30</v>
      </c>
      <c r="K765">
        <v>78698.41</v>
      </c>
      <c r="L765" t="str">
        <f t="shared" si="44"/>
        <v>May</v>
      </c>
      <c r="M765">
        <f t="shared" si="45"/>
        <v>2025</v>
      </c>
      <c r="N765">
        <f t="shared" si="46"/>
        <v>78698.41</v>
      </c>
      <c r="O765" t="str">
        <f t="shared" si="47"/>
        <v>Moderate Delay</v>
      </c>
    </row>
    <row r="766" spans="1:15" x14ac:dyDescent="0.25">
      <c r="A766">
        <v>765</v>
      </c>
      <c r="B766" s="2">
        <v>45871</v>
      </c>
      <c r="C766" t="s">
        <v>16</v>
      </c>
      <c r="D766" t="s">
        <v>29</v>
      </c>
      <c r="E766" t="s">
        <v>13</v>
      </c>
      <c r="F766" t="s">
        <v>14</v>
      </c>
      <c r="G766">
        <v>170</v>
      </c>
      <c r="H766">
        <v>602.77</v>
      </c>
      <c r="I766">
        <v>0</v>
      </c>
      <c r="J766" t="s">
        <v>15</v>
      </c>
      <c r="K766">
        <v>102470.9</v>
      </c>
      <c r="L766" t="str">
        <f t="shared" si="44"/>
        <v>Aug</v>
      </c>
      <c r="M766">
        <f t="shared" si="45"/>
        <v>2025</v>
      </c>
      <c r="N766">
        <f t="shared" si="46"/>
        <v>102470.9</v>
      </c>
      <c r="O766" t="str">
        <f t="shared" si="47"/>
        <v>On Time</v>
      </c>
    </row>
    <row r="767" spans="1:15" x14ac:dyDescent="0.25">
      <c r="A767">
        <v>766</v>
      </c>
      <c r="B767" s="2">
        <v>45911</v>
      </c>
      <c r="C767" t="s">
        <v>11</v>
      </c>
      <c r="D767" t="s">
        <v>12</v>
      </c>
      <c r="E767" t="s">
        <v>27</v>
      </c>
      <c r="F767" t="s">
        <v>14</v>
      </c>
      <c r="G767">
        <v>192</v>
      </c>
      <c r="H767">
        <v>617.28</v>
      </c>
      <c r="I767">
        <v>19</v>
      </c>
      <c r="J767" t="s">
        <v>15</v>
      </c>
      <c r="K767">
        <v>118517.75999999999</v>
      </c>
      <c r="L767" t="str">
        <f t="shared" si="44"/>
        <v>Sep</v>
      </c>
      <c r="M767">
        <f t="shared" si="45"/>
        <v>2025</v>
      </c>
      <c r="N767">
        <f t="shared" si="46"/>
        <v>118517.75999999999</v>
      </c>
      <c r="O767" t="str">
        <f t="shared" si="47"/>
        <v>Minor Delay</v>
      </c>
    </row>
    <row r="768" spans="1:15" x14ac:dyDescent="0.25">
      <c r="A768">
        <v>767</v>
      </c>
      <c r="B768" s="2">
        <v>45725</v>
      </c>
      <c r="C768" t="s">
        <v>26</v>
      </c>
      <c r="D768" t="s">
        <v>17</v>
      </c>
      <c r="E768" t="s">
        <v>19</v>
      </c>
      <c r="F768" t="s">
        <v>24</v>
      </c>
      <c r="G768">
        <v>111</v>
      </c>
      <c r="H768">
        <v>539.25</v>
      </c>
      <c r="I768">
        <v>44</v>
      </c>
      <c r="J768" t="s">
        <v>15</v>
      </c>
      <c r="K768">
        <v>59856.75</v>
      </c>
      <c r="L768" t="str">
        <f t="shared" si="44"/>
        <v>Mar</v>
      </c>
      <c r="M768">
        <f t="shared" si="45"/>
        <v>2025</v>
      </c>
      <c r="N768">
        <f t="shared" si="46"/>
        <v>59856.75</v>
      </c>
      <c r="O768" t="str">
        <f t="shared" si="47"/>
        <v>Moderate Delay</v>
      </c>
    </row>
    <row r="769" spans="1:15" x14ac:dyDescent="0.25">
      <c r="A769">
        <v>768</v>
      </c>
      <c r="B769" s="2">
        <v>45890</v>
      </c>
      <c r="C769" t="s">
        <v>18</v>
      </c>
      <c r="D769" t="s">
        <v>20</v>
      </c>
      <c r="E769" t="s">
        <v>13</v>
      </c>
      <c r="F769" t="s">
        <v>14</v>
      </c>
      <c r="G769">
        <v>273</v>
      </c>
      <c r="H769">
        <v>580.32000000000005</v>
      </c>
      <c r="I769">
        <v>35</v>
      </c>
      <c r="J769" t="s">
        <v>15</v>
      </c>
      <c r="K769">
        <v>158427.35999999999</v>
      </c>
      <c r="L769" t="str">
        <f t="shared" si="44"/>
        <v>Aug</v>
      </c>
      <c r="M769">
        <f t="shared" si="45"/>
        <v>2025</v>
      </c>
      <c r="N769">
        <f t="shared" si="46"/>
        <v>158427.36000000002</v>
      </c>
      <c r="O769" t="str">
        <f t="shared" si="47"/>
        <v>Moderate Delay</v>
      </c>
    </row>
    <row r="770" spans="1:15" x14ac:dyDescent="0.25">
      <c r="A770">
        <v>769</v>
      </c>
      <c r="B770" s="2">
        <v>46018</v>
      </c>
      <c r="C770" t="s">
        <v>25</v>
      </c>
      <c r="D770" t="s">
        <v>22</v>
      </c>
      <c r="E770" t="s">
        <v>27</v>
      </c>
      <c r="F770" t="s">
        <v>14</v>
      </c>
      <c r="G770">
        <v>270</v>
      </c>
      <c r="H770">
        <v>524.21</v>
      </c>
      <c r="I770">
        <v>0</v>
      </c>
      <c r="J770" t="s">
        <v>15</v>
      </c>
      <c r="K770">
        <v>141536.70000000001</v>
      </c>
      <c r="L770" t="str">
        <f t="shared" si="44"/>
        <v>Dec</v>
      </c>
      <c r="M770">
        <f t="shared" si="45"/>
        <v>2025</v>
      </c>
      <c r="N770">
        <f t="shared" si="46"/>
        <v>141536.70000000001</v>
      </c>
      <c r="O770" t="str">
        <f t="shared" si="47"/>
        <v>On Time</v>
      </c>
    </row>
    <row r="771" spans="1:15" x14ac:dyDescent="0.25">
      <c r="A771">
        <v>770</v>
      </c>
      <c r="B771" s="2">
        <v>45796</v>
      </c>
      <c r="C771" t="s">
        <v>25</v>
      </c>
      <c r="D771" t="s">
        <v>23</v>
      </c>
      <c r="E771" t="s">
        <v>20</v>
      </c>
      <c r="F771" t="s">
        <v>21</v>
      </c>
      <c r="G771">
        <v>188</v>
      </c>
      <c r="H771">
        <v>485.67</v>
      </c>
      <c r="I771">
        <v>45</v>
      </c>
      <c r="J771" t="s">
        <v>15</v>
      </c>
      <c r="K771">
        <v>91305.96</v>
      </c>
      <c r="L771" t="str">
        <f t="shared" ref="L771:L834" si="48">TEXT(B771,"MMM")</f>
        <v>May</v>
      </c>
      <c r="M771">
        <f t="shared" ref="M771:M834" si="49">YEAR(B771)</f>
        <v>2025</v>
      </c>
      <c r="N771">
        <f t="shared" ref="N771:N834" si="50">G771*H771</f>
        <v>91305.96</v>
      </c>
      <c r="O771" t="str">
        <f t="shared" ref="O771:O834" si="51">IF(I771=0,"On Time",IF(I771&lt;=30,"Minor Delay",IF(I771&lt;=60,"Moderate Delay","Major Delay")))</f>
        <v>Moderate Delay</v>
      </c>
    </row>
    <row r="772" spans="1:15" x14ac:dyDescent="0.25">
      <c r="A772">
        <v>771</v>
      </c>
      <c r="B772" s="2">
        <v>45686</v>
      </c>
      <c r="C772" t="s">
        <v>31</v>
      </c>
      <c r="D772" t="s">
        <v>12</v>
      </c>
      <c r="E772" t="s">
        <v>17</v>
      </c>
      <c r="F772" t="s">
        <v>21</v>
      </c>
      <c r="G772">
        <v>143</v>
      </c>
      <c r="H772">
        <v>717.1</v>
      </c>
      <c r="I772">
        <v>38</v>
      </c>
      <c r="J772" t="s">
        <v>15</v>
      </c>
      <c r="K772">
        <v>102545.3</v>
      </c>
      <c r="L772" t="str">
        <f t="shared" si="48"/>
        <v>Jan</v>
      </c>
      <c r="M772">
        <f t="shared" si="49"/>
        <v>2025</v>
      </c>
      <c r="N772">
        <f t="shared" si="50"/>
        <v>102545.3</v>
      </c>
      <c r="O772" t="str">
        <f t="shared" si="51"/>
        <v>Moderate Delay</v>
      </c>
    </row>
    <row r="773" spans="1:15" x14ac:dyDescent="0.25">
      <c r="A773">
        <v>772</v>
      </c>
      <c r="B773" s="2">
        <v>45747</v>
      </c>
      <c r="C773" t="s">
        <v>25</v>
      </c>
      <c r="D773" t="s">
        <v>22</v>
      </c>
      <c r="E773" t="s">
        <v>17</v>
      </c>
      <c r="F773" t="s">
        <v>21</v>
      </c>
      <c r="G773">
        <v>230</v>
      </c>
      <c r="H773">
        <v>109.58</v>
      </c>
      <c r="I773">
        <v>35</v>
      </c>
      <c r="J773" t="s">
        <v>15</v>
      </c>
      <c r="K773">
        <v>25203.4</v>
      </c>
      <c r="L773" t="str">
        <f t="shared" si="48"/>
        <v>Mar</v>
      </c>
      <c r="M773">
        <f t="shared" si="49"/>
        <v>2025</v>
      </c>
      <c r="N773">
        <f t="shared" si="50"/>
        <v>25203.399999999998</v>
      </c>
      <c r="O773" t="str">
        <f t="shared" si="51"/>
        <v>Moderate Delay</v>
      </c>
    </row>
    <row r="774" spans="1:15" x14ac:dyDescent="0.25">
      <c r="A774">
        <v>773</v>
      </c>
      <c r="B774" s="2">
        <v>45829</v>
      </c>
      <c r="C774" t="s">
        <v>11</v>
      </c>
      <c r="D774" t="s">
        <v>19</v>
      </c>
      <c r="E774" t="s">
        <v>29</v>
      </c>
      <c r="F774" t="s">
        <v>21</v>
      </c>
      <c r="G774">
        <v>79</v>
      </c>
      <c r="H774">
        <v>540.29</v>
      </c>
      <c r="I774">
        <v>16</v>
      </c>
      <c r="J774" t="s">
        <v>30</v>
      </c>
      <c r="K774">
        <v>42682.91</v>
      </c>
      <c r="L774" t="str">
        <f t="shared" si="48"/>
        <v>Jun</v>
      </c>
      <c r="M774">
        <f t="shared" si="49"/>
        <v>2025</v>
      </c>
      <c r="N774">
        <f t="shared" si="50"/>
        <v>42682.909999999996</v>
      </c>
      <c r="O774" t="str">
        <f t="shared" si="51"/>
        <v>Minor Delay</v>
      </c>
    </row>
    <row r="775" spans="1:15" x14ac:dyDescent="0.25">
      <c r="A775">
        <v>774</v>
      </c>
      <c r="B775" s="2">
        <v>45822</v>
      </c>
      <c r="C775" t="s">
        <v>26</v>
      </c>
      <c r="D775" t="s">
        <v>19</v>
      </c>
      <c r="E775" t="s">
        <v>23</v>
      </c>
      <c r="F775" t="s">
        <v>24</v>
      </c>
      <c r="G775">
        <v>178</v>
      </c>
      <c r="H775">
        <v>563.37</v>
      </c>
      <c r="I775">
        <v>0</v>
      </c>
      <c r="J775" t="s">
        <v>15</v>
      </c>
      <c r="K775">
        <v>100279.86</v>
      </c>
      <c r="L775" t="str">
        <f t="shared" si="48"/>
        <v>Jun</v>
      </c>
      <c r="M775">
        <f t="shared" si="49"/>
        <v>2025</v>
      </c>
      <c r="N775">
        <f t="shared" si="50"/>
        <v>100279.86</v>
      </c>
      <c r="O775" t="str">
        <f t="shared" si="51"/>
        <v>On Time</v>
      </c>
    </row>
    <row r="776" spans="1:15" x14ac:dyDescent="0.25">
      <c r="A776">
        <v>775</v>
      </c>
      <c r="B776" s="2">
        <v>45834</v>
      </c>
      <c r="C776" t="s">
        <v>18</v>
      </c>
      <c r="D776" t="s">
        <v>12</v>
      </c>
      <c r="E776" t="s">
        <v>17</v>
      </c>
      <c r="F776" t="s">
        <v>24</v>
      </c>
      <c r="G776">
        <v>178</v>
      </c>
      <c r="H776">
        <v>449.75</v>
      </c>
      <c r="I776">
        <v>48</v>
      </c>
      <c r="J776" t="s">
        <v>15</v>
      </c>
      <c r="K776">
        <v>80055.5</v>
      </c>
      <c r="L776" t="str">
        <f t="shared" si="48"/>
        <v>Jun</v>
      </c>
      <c r="M776">
        <f t="shared" si="49"/>
        <v>2025</v>
      </c>
      <c r="N776">
        <f t="shared" si="50"/>
        <v>80055.5</v>
      </c>
      <c r="O776" t="str">
        <f t="shared" si="51"/>
        <v>Moderate Delay</v>
      </c>
    </row>
    <row r="777" spans="1:15" x14ac:dyDescent="0.25">
      <c r="A777">
        <v>776</v>
      </c>
      <c r="B777" s="2">
        <v>45889</v>
      </c>
      <c r="C777" t="s">
        <v>31</v>
      </c>
      <c r="D777" t="s">
        <v>27</v>
      </c>
      <c r="E777" t="s">
        <v>23</v>
      </c>
      <c r="F777" t="s">
        <v>24</v>
      </c>
      <c r="G777">
        <v>254</v>
      </c>
      <c r="H777">
        <v>558.25</v>
      </c>
      <c r="I777">
        <v>47</v>
      </c>
      <c r="J777" t="s">
        <v>15</v>
      </c>
      <c r="K777">
        <v>141795.5</v>
      </c>
      <c r="L777" t="str">
        <f t="shared" si="48"/>
        <v>Aug</v>
      </c>
      <c r="M777">
        <f t="shared" si="49"/>
        <v>2025</v>
      </c>
      <c r="N777">
        <f t="shared" si="50"/>
        <v>141795.5</v>
      </c>
      <c r="O777" t="str">
        <f t="shared" si="51"/>
        <v>Moderate Delay</v>
      </c>
    </row>
    <row r="778" spans="1:15" x14ac:dyDescent="0.25">
      <c r="A778">
        <v>777</v>
      </c>
      <c r="B778" s="2">
        <v>45892</v>
      </c>
      <c r="C778" t="s">
        <v>16</v>
      </c>
      <c r="D778" t="s">
        <v>12</v>
      </c>
      <c r="E778" t="s">
        <v>23</v>
      </c>
      <c r="F778" t="s">
        <v>14</v>
      </c>
      <c r="G778">
        <v>150</v>
      </c>
      <c r="H778">
        <v>724.48</v>
      </c>
      <c r="I778">
        <v>5</v>
      </c>
      <c r="J778" t="s">
        <v>15</v>
      </c>
      <c r="K778">
        <v>108672</v>
      </c>
      <c r="L778" t="str">
        <f t="shared" si="48"/>
        <v>Aug</v>
      </c>
      <c r="M778">
        <f t="shared" si="49"/>
        <v>2025</v>
      </c>
      <c r="N778">
        <f t="shared" si="50"/>
        <v>108672</v>
      </c>
      <c r="O778" t="str">
        <f t="shared" si="51"/>
        <v>Minor Delay</v>
      </c>
    </row>
    <row r="779" spans="1:15" x14ac:dyDescent="0.25">
      <c r="A779">
        <v>778</v>
      </c>
      <c r="B779" s="2">
        <v>46014</v>
      </c>
      <c r="C779" t="s">
        <v>11</v>
      </c>
      <c r="D779" t="s">
        <v>23</v>
      </c>
      <c r="E779" t="s">
        <v>12</v>
      </c>
      <c r="F779" t="s">
        <v>24</v>
      </c>
      <c r="G779">
        <v>88</v>
      </c>
      <c r="H779">
        <v>707.49</v>
      </c>
      <c r="I779">
        <v>80</v>
      </c>
      <c r="J779" t="s">
        <v>15</v>
      </c>
      <c r="K779">
        <v>62259.12</v>
      </c>
      <c r="L779" t="str">
        <f t="shared" si="48"/>
        <v>Dec</v>
      </c>
      <c r="M779">
        <f t="shared" si="49"/>
        <v>2025</v>
      </c>
      <c r="N779">
        <f t="shared" si="50"/>
        <v>62259.12</v>
      </c>
      <c r="O779" t="str">
        <f t="shared" si="51"/>
        <v>Major Delay</v>
      </c>
    </row>
    <row r="780" spans="1:15" x14ac:dyDescent="0.25">
      <c r="A780">
        <v>779</v>
      </c>
      <c r="B780" s="2">
        <v>45871</v>
      </c>
      <c r="C780" t="s">
        <v>25</v>
      </c>
      <c r="D780" t="s">
        <v>13</v>
      </c>
      <c r="E780" t="s">
        <v>22</v>
      </c>
      <c r="F780" t="s">
        <v>21</v>
      </c>
      <c r="G780">
        <v>288</v>
      </c>
      <c r="H780">
        <v>157.69999999999999</v>
      </c>
      <c r="I780">
        <v>4</v>
      </c>
      <c r="J780" t="s">
        <v>15</v>
      </c>
      <c r="K780">
        <v>45417.599999999999</v>
      </c>
      <c r="L780" t="str">
        <f t="shared" si="48"/>
        <v>Aug</v>
      </c>
      <c r="M780">
        <f t="shared" si="49"/>
        <v>2025</v>
      </c>
      <c r="N780">
        <f t="shared" si="50"/>
        <v>45417.599999999999</v>
      </c>
      <c r="O780" t="str">
        <f t="shared" si="51"/>
        <v>Minor Delay</v>
      </c>
    </row>
    <row r="781" spans="1:15" x14ac:dyDescent="0.25">
      <c r="A781">
        <v>780</v>
      </c>
      <c r="B781" s="2">
        <v>45690</v>
      </c>
      <c r="C781" t="s">
        <v>16</v>
      </c>
      <c r="D781" t="s">
        <v>23</v>
      </c>
      <c r="E781" t="s">
        <v>19</v>
      </c>
      <c r="F781" t="s">
        <v>14</v>
      </c>
      <c r="G781">
        <v>263</v>
      </c>
      <c r="H781">
        <v>761.11</v>
      </c>
      <c r="I781">
        <v>42</v>
      </c>
      <c r="J781" t="s">
        <v>15</v>
      </c>
      <c r="K781">
        <v>200171.93</v>
      </c>
      <c r="L781" t="str">
        <f t="shared" si="48"/>
        <v>Feb</v>
      </c>
      <c r="M781">
        <f t="shared" si="49"/>
        <v>2025</v>
      </c>
      <c r="N781">
        <f t="shared" si="50"/>
        <v>200171.93</v>
      </c>
      <c r="O781" t="str">
        <f t="shared" si="51"/>
        <v>Moderate Delay</v>
      </c>
    </row>
    <row r="782" spans="1:15" x14ac:dyDescent="0.25">
      <c r="A782">
        <v>781</v>
      </c>
      <c r="B782" s="2">
        <v>45993</v>
      </c>
      <c r="C782" t="s">
        <v>25</v>
      </c>
      <c r="D782" t="s">
        <v>17</v>
      </c>
      <c r="E782" t="s">
        <v>22</v>
      </c>
      <c r="F782" t="s">
        <v>24</v>
      </c>
      <c r="G782">
        <v>174</v>
      </c>
      <c r="H782">
        <v>499.08</v>
      </c>
      <c r="I782">
        <v>4</v>
      </c>
      <c r="J782" t="s">
        <v>15</v>
      </c>
      <c r="K782">
        <v>86839.92</v>
      </c>
      <c r="L782" t="str">
        <f t="shared" si="48"/>
        <v>Dec</v>
      </c>
      <c r="M782">
        <f t="shared" si="49"/>
        <v>2025</v>
      </c>
      <c r="N782">
        <f t="shared" si="50"/>
        <v>86839.92</v>
      </c>
      <c r="O782" t="str">
        <f t="shared" si="51"/>
        <v>Minor Delay</v>
      </c>
    </row>
    <row r="783" spans="1:15" x14ac:dyDescent="0.25">
      <c r="A783">
        <v>782</v>
      </c>
      <c r="B783" s="2">
        <v>45814</v>
      </c>
      <c r="C783" t="s">
        <v>11</v>
      </c>
      <c r="D783" t="s">
        <v>23</v>
      </c>
      <c r="E783" t="s">
        <v>29</v>
      </c>
      <c r="F783" t="s">
        <v>24</v>
      </c>
      <c r="G783">
        <v>108</v>
      </c>
      <c r="H783">
        <v>418.34</v>
      </c>
      <c r="I783">
        <v>0</v>
      </c>
      <c r="J783" t="s">
        <v>30</v>
      </c>
      <c r="K783">
        <v>45180.72</v>
      </c>
      <c r="L783" t="str">
        <f t="shared" si="48"/>
        <v>Jun</v>
      </c>
      <c r="M783">
        <f t="shared" si="49"/>
        <v>2025</v>
      </c>
      <c r="N783">
        <f t="shared" si="50"/>
        <v>45180.719999999994</v>
      </c>
      <c r="O783" t="str">
        <f t="shared" si="51"/>
        <v>On Time</v>
      </c>
    </row>
    <row r="784" spans="1:15" x14ac:dyDescent="0.25">
      <c r="A784">
        <v>783</v>
      </c>
      <c r="B784" s="2">
        <v>45838</v>
      </c>
      <c r="C784" t="s">
        <v>26</v>
      </c>
      <c r="D784" t="s">
        <v>13</v>
      </c>
      <c r="E784" t="s">
        <v>19</v>
      </c>
      <c r="F784" t="s">
        <v>24</v>
      </c>
      <c r="G784">
        <v>294</v>
      </c>
      <c r="H784">
        <v>183.11</v>
      </c>
      <c r="I784">
        <v>55</v>
      </c>
      <c r="J784" t="s">
        <v>15</v>
      </c>
      <c r="K784">
        <v>53834.34</v>
      </c>
      <c r="L784" t="str">
        <f t="shared" si="48"/>
        <v>Jun</v>
      </c>
      <c r="M784">
        <f t="shared" si="49"/>
        <v>2025</v>
      </c>
      <c r="N784">
        <f t="shared" si="50"/>
        <v>53834.340000000004</v>
      </c>
      <c r="O784" t="str">
        <f t="shared" si="51"/>
        <v>Moderate Delay</v>
      </c>
    </row>
    <row r="785" spans="1:15" x14ac:dyDescent="0.25">
      <c r="A785">
        <v>784</v>
      </c>
      <c r="B785" s="2">
        <v>45740</v>
      </c>
      <c r="C785" t="s">
        <v>11</v>
      </c>
      <c r="D785" t="s">
        <v>29</v>
      </c>
      <c r="E785" t="s">
        <v>19</v>
      </c>
      <c r="F785" t="s">
        <v>14</v>
      </c>
      <c r="G785">
        <v>60</v>
      </c>
      <c r="H785">
        <v>795.39</v>
      </c>
      <c r="I785">
        <v>1</v>
      </c>
      <c r="J785" t="s">
        <v>15</v>
      </c>
      <c r="K785">
        <v>47723.4</v>
      </c>
      <c r="L785" t="str">
        <f t="shared" si="48"/>
        <v>Mar</v>
      </c>
      <c r="M785">
        <f t="shared" si="49"/>
        <v>2025</v>
      </c>
      <c r="N785">
        <f t="shared" si="50"/>
        <v>47723.4</v>
      </c>
      <c r="O785" t="str">
        <f t="shared" si="51"/>
        <v>Minor Delay</v>
      </c>
    </row>
    <row r="786" spans="1:15" x14ac:dyDescent="0.25">
      <c r="A786">
        <v>785</v>
      </c>
      <c r="B786" s="2">
        <v>45847</v>
      </c>
      <c r="C786" t="s">
        <v>11</v>
      </c>
      <c r="D786" t="s">
        <v>20</v>
      </c>
      <c r="E786" t="s">
        <v>23</v>
      </c>
      <c r="F786" t="s">
        <v>14</v>
      </c>
      <c r="G786">
        <v>193</v>
      </c>
      <c r="H786">
        <v>583.28</v>
      </c>
      <c r="I786">
        <v>0</v>
      </c>
      <c r="J786" t="s">
        <v>15</v>
      </c>
      <c r="K786">
        <v>112573.04</v>
      </c>
      <c r="L786" t="str">
        <f t="shared" si="48"/>
        <v>Jul</v>
      </c>
      <c r="M786">
        <f t="shared" si="49"/>
        <v>2025</v>
      </c>
      <c r="N786">
        <f t="shared" si="50"/>
        <v>112573.04</v>
      </c>
      <c r="O786" t="str">
        <f t="shared" si="51"/>
        <v>On Time</v>
      </c>
    </row>
    <row r="787" spans="1:15" x14ac:dyDescent="0.25">
      <c r="A787">
        <v>786</v>
      </c>
      <c r="B787" s="2">
        <v>45931</v>
      </c>
      <c r="C787" t="s">
        <v>26</v>
      </c>
      <c r="D787" t="s">
        <v>20</v>
      </c>
      <c r="E787" t="s">
        <v>29</v>
      </c>
      <c r="F787" t="s">
        <v>14</v>
      </c>
      <c r="G787">
        <v>285</v>
      </c>
      <c r="H787">
        <v>78.44</v>
      </c>
      <c r="I787">
        <v>0</v>
      </c>
      <c r="J787" t="s">
        <v>30</v>
      </c>
      <c r="K787">
        <v>22355.4</v>
      </c>
      <c r="L787" t="str">
        <f t="shared" si="48"/>
        <v>Oct</v>
      </c>
      <c r="M787">
        <f t="shared" si="49"/>
        <v>2025</v>
      </c>
      <c r="N787">
        <f t="shared" si="50"/>
        <v>22355.399999999998</v>
      </c>
      <c r="O787" t="str">
        <f t="shared" si="51"/>
        <v>On Time</v>
      </c>
    </row>
    <row r="788" spans="1:15" x14ac:dyDescent="0.25">
      <c r="A788">
        <v>787</v>
      </c>
      <c r="B788" s="2">
        <v>45821</v>
      </c>
      <c r="C788" t="s">
        <v>11</v>
      </c>
      <c r="D788" t="s">
        <v>29</v>
      </c>
      <c r="E788" t="s">
        <v>27</v>
      </c>
      <c r="F788" t="s">
        <v>14</v>
      </c>
      <c r="G788">
        <v>298</v>
      </c>
      <c r="H788">
        <v>606.49</v>
      </c>
      <c r="I788">
        <v>42</v>
      </c>
      <c r="J788" t="s">
        <v>15</v>
      </c>
      <c r="K788">
        <v>180734.02</v>
      </c>
      <c r="L788" t="str">
        <f t="shared" si="48"/>
        <v>Jun</v>
      </c>
      <c r="M788">
        <f t="shared" si="49"/>
        <v>2025</v>
      </c>
      <c r="N788">
        <f t="shared" si="50"/>
        <v>180734.02</v>
      </c>
      <c r="O788" t="str">
        <f t="shared" si="51"/>
        <v>Moderate Delay</v>
      </c>
    </row>
    <row r="789" spans="1:15" x14ac:dyDescent="0.25">
      <c r="A789">
        <v>788</v>
      </c>
      <c r="B789" s="2">
        <v>45951</v>
      </c>
      <c r="C789" t="s">
        <v>25</v>
      </c>
      <c r="D789" t="s">
        <v>20</v>
      </c>
      <c r="E789" t="s">
        <v>23</v>
      </c>
      <c r="F789" t="s">
        <v>14</v>
      </c>
      <c r="G789">
        <v>254</v>
      </c>
      <c r="H789">
        <v>478.27</v>
      </c>
      <c r="I789">
        <v>16</v>
      </c>
      <c r="J789" t="s">
        <v>30</v>
      </c>
      <c r="K789">
        <v>121480.58</v>
      </c>
      <c r="L789" t="str">
        <f t="shared" si="48"/>
        <v>Oct</v>
      </c>
      <c r="M789">
        <f t="shared" si="49"/>
        <v>2025</v>
      </c>
      <c r="N789">
        <f t="shared" si="50"/>
        <v>121480.58</v>
      </c>
      <c r="O789" t="str">
        <f t="shared" si="51"/>
        <v>Minor Delay</v>
      </c>
    </row>
    <row r="790" spans="1:15" x14ac:dyDescent="0.25">
      <c r="A790">
        <v>789</v>
      </c>
      <c r="B790" s="2">
        <v>46010</v>
      </c>
      <c r="C790" t="s">
        <v>16</v>
      </c>
      <c r="D790" t="s">
        <v>20</v>
      </c>
      <c r="E790" t="s">
        <v>22</v>
      </c>
      <c r="F790" t="s">
        <v>21</v>
      </c>
      <c r="G790">
        <v>172</v>
      </c>
      <c r="H790">
        <v>726.13</v>
      </c>
      <c r="I790">
        <v>40</v>
      </c>
      <c r="J790" t="s">
        <v>15</v>
      </c>
      <c r="K790">
        <v>124894.36</v>
      </c>
      <c r="L790" t="str">
        <f t="shared" si="48"/>
        <v>Dec</v>
      </c>
      <c r="M790">
        <f t="shared" si="49"/>
        <v>2025</v>
      </c>
      <c r="N790">
        <f t="shared" si="50"/>
        <v>124894.36</v>
      </c>
      <c r="O790" t="str">
        <f t="shared" si="51"/>
        <v>Moderate Delay</v>
      </c>
    </row>
    <row r="791" spans="1:15" x14ac:dyDescent="0.25">
      <c r="A791">
        <v>790</v>
      </c>
      <c r="B791" s="2">
        <v>45886</v>
      </c>
      <c r="C791" t="s">
        <v>26</v>
      </c>
      <c r="D791" t="s">
        <v>17</v>
      </c>
      <c r="E791" t="s">
        <v>19</v>
      </c>
      <c r="F791" t="s">
        <v>14</v>
      </c>
      <c r="G791">
        <v>133</v>
      </c>
      <c r="H791">
        <v>100.72</v>
      </c>
      <c r="I791">
        <v>44</v>
      </c>
      <c r="J791" t="s">
        <v>15</v>
      </c>
      <c r="K791">
        <v>13395.76</v>
      </c>
      <c r="L791" t="str">
        <f t="shared" si="48"/>
        <v>Aug</v>
      </c>
      <c r="M791">
        <f t="shared" si="49"/>
        <v>2025</v>
      </c>
      <c r="N791">
        <f t="shared" si="50"/>
        <v>13395.76</v>
      </c>
      <c r="O791" t="str">
        <f t="shared" si="51"/>
        <v>Moderate Delay</v>
      </c>
    </row>
    <row r="792" spans="1:15" x14ac:dyDescent="0.25">
      <c r="A792">
        <v>791</v>
      </c>
      <c r="B792" s="2">
        <v>45800</v>
      </c>
      <c r="C792" t="s">
        <v>11</v>
      </c>
      <c r="D792" t="s">
        <v>27</v>
      </c>
      <c r="E792" t="s">
        <v>19</v>
      </c>
      <c r="F792" t="s">
        <v>14</v>
      </c>
      <c r="G792">
        <v>71</v>
      </c>
      <c r="H792">
        <v>458.43</v>
      </c>
      <c r="I792">
        <v>0</v>
      </c>
      <c r="J792" t="s">
        <v>15</v>
      </c>
      <c r="K792">
        <v>32548.53</v>
      </c>
      <c r="L792" t="str">
        <f t="shared" si="48"/>
        <v>May</v>
      </c>
      <c r="M792">
        <f t="shared" si="49"/>
        <v>2025</v>
      </c>
      <c r="N792">
        <f t="shared" si="50"/>
        <v>32548.53</v>
      </c>
      <c r="O792" t="str">
        <f t="shared" si="51"/>
        <v>On Time</v>
      </c>
    </row>
    <row r="793" spans="1:15" x14ac:dyDescent="0.25">
      <c r="A793">
        <v>792</v>
      </c>
      <c r="B793" s="2">
        <v>45757</v>
      </c>
      <c r="C793" t="s">
        <v>18</v>
      </c>
      <c r="D793" t="s">
        <v>27</v>
      </c>
      <c r="E793" t="s">
        <v>17</v>
      </c>
      <c r="F793" t="s">
        <v>24</v>
      </c>
      <c r="G793">
        <v>204</v>
      </c>
      <c r="H793">
        <v>507.76</v>
      </c>
      <c r="I793">
        <v>32</v>
      </c>
      <c r="J793" t="s">
        <v>30</v>
      </c>
      <c r="K793">
        <v>103583.03999999999</v>
      </c>
      <c r="L793" t="str">
        <f t="shared" si="48"/>
        <v>Apr</v>
      </c>
      <c r="M793">
        <f t="shared" si="49"/>
        <v>2025</v>
      </c>
      <c r="N793">
        <f t="shared" si="50"/>
        <v>103583.03999999999</v>
      </c>
      <c r="O793" t="str">
        <f t="shared" si="51"/>
        <v>Moderate Delay</v>
      </c>
    </row>
    <row r="794" spans="1:15" x14ac:dyDescent="0.25">
      <c r="A794">
        <v>793</v>
      </c>
      <c r="B794" s="2">
        <v>45733</v>
      </c>
      <c r="C794" t="s">
        <v>25</v>
      </c>
      <c r="D794" t="s">
        <v>22</v>
      </c>
      <c r="E794" t="s">
        <v>20</v>
      </c>
      <c r="F794" t="s">
        <v>24</v>
      </c>
      <c r="G794">
        <v>144</v>
      </c>
      <c r="H794">
        <v>345.72</v>
      </c>
      <c r="I794">
        <v>42</v>
      </c>
      <c r="J794" t="s">
        <v>15</v>
      </c>
      <c r="K794">
        <v>49783.68</v>
      </c>
      <c r="L794" t="str">
        <f t="shared" si="48"/>
        <v>Mar</v>
      </c>
      <c r="M794">
        <f t="shared" si="49"/>
        <v>2025</v>
      </c>
      <c r="N794">
        <f t="shared" si="50"/>
        <v>49783.680000000008</v>
      </c>
      <c r="O794" t="str">
        <f t="shared" si="51"/>
        <v>Moderate Delay</v>
      </c>
    </row>
    <row r="795" spans="1:15" x14ac:dyDescent="0.25">
      <c r="A795">
        <v>794</v>
      </c>
      <c r="B795" s="2">
        <v>45768</v>
      </c>
      <c r="C795" t="s">
        <v>25</v>
      </c>
      <c r="D795" t="s">
        <v>20</v>
      </c>
      <c r="E795" t="s">
        <v>12</v>
      </c>
      <c r="F795" t="s">
        <v>24</v>
      </c>
      <c r="G795">
        <v>239</v>
      </c>
      <c r="H795">
        <v>794.52</v>
      </c>
      <c r="I795">
        <v>21</v>
      </c>
      <c r="J795" t="s">
        <v>30</v>
      </c>
      <c r="K795">
        <v>189890.28</v>
      </c>
      <c r="L795" t="str">
        <f t="shared" si="48"/>
        <v>Apr</v>
      </c>
      <c r="M795">
        <f t="shared" si="49"/>
        <v>2025</v>
      </c>
      <c r="N795">
        <f t="shared" si="50"/>
        <v>189890.28</v>
      </c>
      <c r="O795" t="str">
        <f t="shared" si="51"/>
        <v>Minor Delay</v>
      </c>
    </row>
    <row r="796" spans="1:15" x14ac:dyDescent="0.25">
      <c r="A796">
        <v>795</v>
      </c>
      <c r="B796" s="2">
        <v>45875</v>
      </c>
      <c r="C796" t="s">
        <v>25</v>
      </c>
      <c r="D796" t="s">
        <v>23</v>
      </c>
      <c r="E796" t="s">
        <v>29</v>
      </c>
      <c r="F796" t="s">
        <v>24</v>
      </c>
      <c r="G796">
        <v>85</v>
      </c>
      <c r="H796">
        <v>678.28</v>
      </c>
      <c r="I796">
        <v>8</v>
      </c>
      <c r="J796" t="s">
        <v>15</v>
      </c>
      <c r="K796">
        <v>57653.8</v>
      </c>
      <c r="L796" t="str">
        <f t="shared" si="48"/>
        <v>Aug</v>
      </c>
      <c r="M796">
        <f t="shared" si="49"/>
        <v>2025</v>
      </c>
      <c r="N796">
        <f t="shared" si="50"/>
        <v>57653.799999999996</v>
      </c>
      <c r="O796" t="str">
        <f t="shared" si="51"/>
        <v>Minor Delay</v>
      </c>
    </row>
    <row r="797" spans="1:15" x14ac:dyDescent="0.25">
      <c r="A797">
        <v>796</v>
      </c>
      <c r="B797" s="2">
        <v>45691</v>
      </c>
      <c r="C797" t="s">
        <v>31</v>
      </c>
      <c r="D797" t="s">
        <v>27</v>
      </c>
      <c r="E797" t="s">
        <v>22</v>
      </c>
      <c r="F797" t="s">
        <v>24</v>
      </c>
      <c r="G797">
        <v>72</v>
      </c>
      <c r="H797">
        <v>64.900000000000006</v>
      </c>
      <c r="I797">
        <v>11</v>
      </c>
      <c r="J797" t="s">
        <v>15</v>
      </c>
      <c r="K797">
        <v>4672.8</v>
      </c>
      <c r="L797" t="str">
        <f t="shared" si="48"/>
        <v>Feb</v>
      </c>
      <c r="M797">
        <f t="shared" si="49"/>
        <v>2025</v>
      </c>
      <c r="N797">
        <f t="shared" si="50"/>
        <v>4672.8</v>
      </c>
      <c r="O797" t="str">
        <f t="shared" si="51"/>
        <v>Minor Delay</v>
      </c>
    </row>
    <row r="798" spans="1:15" x14ac:dyDescent="0.25">
      <c r="A798">
        <v>797</v>
      </c>
      <c r="B798" s="2">
        <v>45747</v>
      </c>
      <c r="C798" t="s">
        <v>31</v>
      </c>
      <c r="D798" t="s">
        <v>23</v>
      </c>
      <c r="E798" t="s">
        <v>20</v>
      </c>
      <c r="F798" t="s">
        <v>24</v>
      </c>
      <c r="G798">
        <v>231</v>
      </c>
      <c r="H798">
        <v>480.26</v>
      </c>
      <c r="I798">
        <v>34</v>
      </c>
      <c r="J798" t="s">
        <v>30</v>
      </c>
      <c r="K798">
        <v>110940.06</v>
      </c>
      <c r="L798" t="str">
        <f t="shared" si="48"/>
        <v>Mar</v>
      </c>
      <c r="M798">
        <f t="shared" si="49"/>
        <v>2025</v>
      </c>
      <c r="N798">
        <f t="shared" si="50"/>
        <v>110940.06</v>
      </c>
      <c r="O798" t="str">
        <f t="shared" si="51"/>
        <v>Moderate Delay</v>
      </c>
    </row>
    <row r="799" spans="1:15" x14ac:dyDescent="0.25">
      <c r="A799">
        <v>798</v>
      </c>
      <c r="B799" s="2">
        <v>45679</v>
      </c>
      <c r="C799" t="s">
        <v>26</v>
      </c>
      <c r="D799" t="s">
        <v>23</v>
      </c>
      <c r="E799" t="s">
        <v>27</v>
      </c>
      <c r="F799" t="s">
        <v>21</v>
      </c>
      <c r="G799">
        <v>127</v>
      </c>
      <c r="H799">
        <v>425.63</v>
      </c>
      <c r="I799">
        <v>11</v>
      </c>
      <c r="J799" t="s">
        <v>15</v>
      </c>
      <c r="K799">
        <v>54055.01</v>
      </c>
      <c r="L799" t="str">
        <f t="shared" si="48"/>
        <v>Jan</v>
      </c>
      <c r="M799">
        <f t="shared" si="49"/>
        <v>2025</v>
      </c>
      <c r="N799">
        <f t="shared" si="50"/>
        <v>54055.01</v>
      </c>
      <c r="O799" t="str">
        <f t="shared" si="51"/>
        <v>Minor Delay</v>
      </c>
    </row>
    <row r="800" spans="1:15" x14ac:dyDescent="0.25">
      <c r="A800">
        <v>799</v>
      </c>
      <c r="B800" s="2">
        <v>45659</v>
      </c>
      <c r="C800" t="s">
        <v>11</v>
      </c>
      <c r="D800" t="s">
        <v>19</v>
      </c>
      <c r="E800" t="s">
        <v>13</v>
      </c>
      <c r="F800" t="s">
        <v>24</v>
      </c>
      <c r="G800">
        <v>126</v>
      </c>
      <c r="H800">
        <v>767.46</v>
      </c>
      <c r="I800">
        <v>34</v>
      </c>
      <c r="J800" t="s">
        <v>15</v>
      </c>
      <c r="K800">
        <v>96699.96</v>
      </c>
      <c r="L800" t="str">
        <f t="shared" si="48"/>
        <v>Jan</v>
      </c>
      <c r="M800">
        <f t="shared" si="49"/>
        <v>2025</v>
      </c>
      <c r="N800">
        <f t="shared" si="50"/>
        <v>96699.96</v>
      </c>
      <c r="O800" t="str">
        <f t="shared" si="51"/>
        <v>Moderate Delay</v>
      </c>
    </row>
    <row r="801" spans="1:15" x14ac:dyDescent="0.25">
      <c r="A801">
        <v>800</v>
      </c>
      <c r="B801" s="2">
        <v>45749</v>
      </c>
      <c r="C801" t="s">
        <v>18</v>
      </c>
      <c r="D801" t="s">
        <v>23</v>
      </c>
      <c r="E801" t="s">
        <v>20</v>
      </c>
      <c r="F801" t="s">
        <v>21</v>
      </c>
      <c r="G801">
        <v>215</v>
      </c>
      <c r="H801">
        <v>241.12</v>
      </c>
      <c r="I801">
        <v>0</v>
      </c>
      <c r="J801" t="s">
        <v>15</v>
      </c>
      <c r="K801">
        <v>51840.800000000003</v>
      </c>
      <c r="L801" t="str">
        <f t="shared" si="48"/>
        <v>Apr</v>
      </c>
      <c r="M801">
        <f t="shared" si="49"/>
        <v>2025</v>
      </c>
      <c r="N801">
        <f t="shared" si="50"/>
        <v>51840.800000000003</v>
      </c>
      <c r="O801" t="str">
        <f t="shared" si="51"/>
        <v>On Time</v>
      </c>
    </row>
    <row r="802" spans="1:15" x14ac:dyDescent="0.25">
      <c r="A802">
        <v>801</v>
      </c>
      <c r="B802" s="2">
        <v>45692</v>
      </c>
      <c r="C802" t="s">
        <v>31</v>
      </c>
      <c r="D802" t="s">
        <v>23</v>
      </c>
      <c r="E802" t="s">
        <v>27</v>
      </c>
      <c r="F802" t="s">
        <v>21</v>
      </c>
      <c r="G802">
        <v>142</v>
      </c>
      <c r="H802">
        <v>489.99</v>
      </c>
      <c r="I802">
        <v>0</v>
      </c>
      <c r="J802" t="s">
        <v>15</v>
      </c>
      <c r="K802">
        <v>69578.58</v>
      </c>
      <c r="L802" t="str">
        <f t="shared" si="48"/>
        <v>Feb</v>
      </c>
      <c r="M802">
        <f t="shared" si="49"/>
        <v>2025</v>
      </c>
      <c r="N802">
        <f t="shared" si="50"/>
        <v>69578.58</v>
      </c>
      <c r="O802" t="str">
        <f t="shared" si="51"/>
        <v>On Time</v>
      </c>
    </row>
    <row r="803" spans="1:15" x14ac:dyDescent="0.25">
      <c r="A803">
        <v>802</v>
      </c>
      <c r="B803" s="2">
        <v>45849</v>
      </c>
      <c r="C803" t="s">
        <v>31</v>
      </c>
      <c r="D803" t="s">
        <v>20</v>
      </c>
      <c r="E803" t="s">
        <v>12</v>
      </c>
      <c r="F803" t="s">
        <v>21</v>
      </c>
      <c r="G803">
        <v>197</v>
      </c>
      <c r="H803">
        <v>72.98</v>
      </c>
      <c r="I803">
        <v>0</v>
      </c>
      <c r="J803" t="s">
        <v>15</v>
      </c>
      <c r="K803">
        <v>14377.06</v>
      </c>
      <c r="L803" t="str">
        <f t="shared" si="48"/>
        <v>Jul</v>
      </c>
      <c r="M803">
        <f t="shared" si="49"/>
        <v>2025</v>
      </c>
      <c r="N803">
        <f t="shared" si="50"/>
        <v>14377.060000000001</v>
      </c>
      <c r="O803" t="str">
        <f t="shared" si="51"/>
        <v>On Time</v>
      </c>
    </row>
    <row r="804" spans="1:15" x14ac:dyDescent="0.25">
      <c r="A804">
        <v>803</v>
      </c>
      <c r="B804" s="2">
        <v>45821</v>
      </c>
      <c r="C804" t="s">
        <v>18</v>
      </c>
      <c r="D804" t="s">
        <v>13</v>
      </c>
      <c r="E804" t="s">
        <v>19</v>
      </c>
      <c r="F804" t="s">
        <v>21</v>
      </c>
      <c r="G804">
        <v>84</v>
      </c>
      <c r="H804">
        <v>324.47000000000003</v>
      </c>
      <c r="I804">
        <v>42</v>
      </c>
      <c r="J804" t="s">
        <v>15</v>
      </c>
      <c r="K804">
        <v>27255.48</v>
      </c>
      <c r="L804" t="str">
        <f t="shared" si="48"/>
        <v>Jun</v>
      </c>
      <c r="M804">
        <f t="shared" si="49"/>
        <v>2025</v>
      </c>
      <c r="N804">
        <f t="shared" si="50"/>
        <v>27255.480000000003</v>
      </c>
      <c r="O804" t="str">
        <f t="shared" si="51"/>
        <v>Moderate Delay</v>
      </c>
    </row>
    <row r="805" spans="1:15" x14ac:dyDescent="0.25">
      <c r="A805">
        <v>804</v>
      </c>
      <c r="B805" s="2">
        <v>45806</v>
      </c>
      <c r="C805" t="s">
        <v>26</v>
      </c>
      <c r="D805" t="s">
        <v>22</v>
      </c>
      <c r="E805" t="s">
        <v>13</v>
      </c>
      <c r="F805" t="s">
        <v>21</v>
      </c>
      <c r="G805">
        <v>213</v>
      </c>
      <c r="H805">
        <v>752.87</v>
      </c>
      <c r="I805">
        <v>27</v>
      </c>
      <c r="J805" t="s">
        <v>15</v>
      </c>
      <c r="K805">
        <v>160361.31</v>
      </c>
      <c r="L805" t="str">
        <f t="shared" si="48"/>
        <v>May</v>
      </c>
      <c r="M805">
        <f t="shared" si="49"/>
        <v>2025</v>
      </c>
      <c r="N805">
        <f t="shared" si="50"/>
        <v>160361.31</v>
      </c>
      <c r="O805" t="str">
        <f t="shared" si="51"/>
        <v>Minor Delay</v>
      </c>
    </row>
    <row r="806" spans="1:15" x14ac:dyDescent="0.25">
      <c r="A806">
        <v>805</v>
      </c>
      <c r="B806" s="2">
        <v>45964</v>
      </c>
      <c r="C806" t="s">
        <v>11</v>
      </c>
      <c r="D806" t="s">
        <v>29</v>
      </c>
      <c r="E806" t="s">
        <v>12</v>
      </c>
      <c r="F806" t="s">
        <v>21</v>
      </c>
      <c r="G806">
        <v>132</v>
      </c>
      <c r="H806">
        <v>705.61</v>
      </c>
      <c r="I806">
        <v>37</v>
      </c>
      <c r="J806" t="s">
        <v>15</v>
      </c>
      <c r="K806">
        <v>93140.52</v>
      </c>
      <c r="L806" t="str">
        <f t="shared" si="48"/>
        <v>Nov</v>
      </c>
      <c r="M806">
        <f t="shared" si="49"/>
        <v>2025</v>
      </c>
      <c r="N806">
        <f t="shared" si="50"/>
        <v>93140.52</v>
      </c>
      <c r="O806" t="str">
        <f t="shared" si="51"/>
        <v>Moderate Delay</v>
      </c>
    </row>
    <row r="807" spans="1:15" x14ac:dyDescent="0.25">
      <c r="A807">
        <v>806</v>
      </c>
      <c r="B807" s="2">
        <v>45931</v>
      </c>
      <c r="C807" t="s">
        <v>31</v>
      </c>
      <c r="D807" t="s">
        <v>22</v>
      </c>
      <c r="E807" t="s">
        <v>12</v>
      </c>
      <c r="F807" t="s">
        <v>24</v>
      </c>
      <c r="G807">
        <v>260</v>
      </c>
      <c r="H807">
        <v>166.35</v>
      </c>
      <c r="I807">
        <v>0</v>
      </c>
      <c r="J807" t="s">
        <v>15</v>
      </c>
      <c r="K807">
        <v>43251</v>
      </c>
      <c r="L807" t="str">
        <f t="shared" si="48"/>
        <v>Oct</v>
      </c>
      <c r="M807">
        <f t="shared" si="49"/>
        <v>2025</v>
      </c>
      <c r="N807">
        <f t="shared" si="50"/>
        <v>43251</v>
      </c>
      <c r="O807" t="str">
        <f t="shared" si="51"/>
        <v>On Time</v>
      </c>
    </row>
    <row r="808" spans="1:15" x14ac:dyDescent="0.25">
      <c r="A808">
        <v>807</v>
      </c>
      <c r="B808" s="2">
        <v>45906</v>
      </c>
      <c r="C808" t="s">
        <v>18</v>
      </c>
      <c r="D808" t="s">
        <v>23</v>
      </c>
      <c r="E808" t="s">
        <v>17</v>
      </c>
      <c r="F808" t="s">
        <v>24</v>
      </c>
      <c r="G808">
        <v>285</v>
      </c>
      <c r="H808">
        <v>733.98</v>
      </c>
      <c r="I808">
        <v>31</v>
      </c>
      <c r="J808" t="s">
        <v>15</v>
      </c>
      <c r="K808">
        <v>209184.3</v>
      </c>
      <c r="L808" t="str">
        <f t="shared" si="48"/>
        <v>Sep</v>
      </c>
      <c r="M808">
        <f t="shared" si="49"/>
        <v>2025</v>
      </c>
      <c r="N808">
        <f t="shared" si="50"/>
        <v>209184.30000000002</v>
      </c>
      <c r="O808" t="str">
        <f t="shared" si="51"/>
        <v>Moderate Delay</v>
      </c>
    </row>
    <row r="809" spans="1:15" x14ac:dyDescent="0.25">
      <c r="A809">
        <v>808</v>
      </c>
      <c r="B809" s="2">
        <v>45871</v>
      </c>
      <c r="C809" t="s">
        <v>18</v>
      </c>
      <c r="D809" t="s">
        <v>19</v>
      </c>
      <c r="E809" t="s">
        <v>12</v>
      </c>
      <c r="F809" t="s">
        <v>14</v>
      </c>
      <c r="G809">
        <v>79</v>
      </c>
      <c r="H809">
        <v>665.95</v>
      </c>
      <c r="I809">
        <v>28</v>
      </c>
      <c r="J809" t="s">
        <v>30</v>
      </c>
      <c r="K809">
        <v>52610.05</v>
      </c>
      <c r="L809" t="str">
        <f t="shared" si="48"/>
        <v>Aug</v>
      </c>
      <c r="M809">
        <f t="shared" si="49"/>
        <v>2025</v>
      </c>
      <c r="N809">
        <f t="shared" si="50"/>
        <v>52610.05</v>
      </c>
      <c r="O809" t="str">
        <f t="shared" si="51"/>
        <v>Minor Delay</v>
      </c>
    </row>
    <row r="810" spans="1:15" x14ac:dyDescent="0.25">
      <c r="A810">
        <v>809</v>
      </c>
      <c r="B810" s="2">
        <v>45817</v>
      </c>
      <c r="C810" t="s">
        <v>25</v>
      </c>
      <c r="D810" t="s">
        <v>20</v>
      </c>
      <c r="E810" t="s">
        <v>22</v>
      </c>
      <c r="F810" t="s">
        <v>24</v>
      </c>
      <c r="G810">
        <v>85</v>
      </c>
      <c r="H810">
        <v>664.61</v>
      </c>
      <c r="I810">
        <v>45</v>
      </c>
      <c r="J810" t="s">
        <v>15</v>
      </c>
      <c r="K810">
        <v>56491.85</v>
      </c>
      <c r="L810" t="str">
        <f t="shared" si="48"/>
        <v>Jun</v>
      </c>
      <c r="M810">
        <f t="shared" si="49"/>
        <v>2025</v>
      </c>
      <c r="N810">
        <f t="shared" si="50"/>
        <v>56491.85</v>
      </c>
      <c r="O810" t="str">
        <f t="shared" si="51"/>
        <v>Moderate Delay</v>
      </c>
    </row>
    <row r="811" spans="1:15" x14ac:dyDescent="0.25">
      <c r="A811">
        <v>810</v>
      </c>
      <c r="B811" s="2">
        <v>46021</v>
      </c>
      <c r="C811" t="s">
        <v>26</v>
      </c>
      <c r="D811" t="s">
        <v>22</v>
      </c>
      <c r="E811" t="s">
        <v>29</v>
      </c>
      <c r="F811" t="s">
        <v>14</v>
      </c>
      <c r="G811">
        <v>240</v>
      </c>
      <c r="H811">
        <v>662.78</v>
      </c>
      <c r="I811">
        <v>0</v>
      </c>
      <c r="J811" t="s">
        <v>15</v>
      </c>
      <c r="K811">
        <v>159067.20000000001</v>
      </c>
      <c r="L811" t="str">
        <f t="shared" si="48"/>
        <v>Dec</v>
      </c>
      <c r="M811">
        <f t="shared" si="49"/>
        <v>2025</v>
      </c>
      <c r="N811">
        <f t="shared" si="50"/>
        <v>159067.19999999998</v>
      </c>
      <c r="O811" t="str">
        <f t="shared" si="51"/>
        <v>On Time</v>
      </c>
    </row>
    <row r="812" spans="1:15" x14ac:dyDescent="0.25">
      <c r="A812">
        <v>811</v>
      </c>
      <c r="B812" s="2">
        <v>45815</v>
      </c>
      <c r="C812" t="s">
        <v>11</v>
      </c>
      <c r="D812" t="s">
        <v>29</v>
      </c>
      <c r="E812" t="s">
        <v>23</v>
      </c>
      <c r="F812" t="s">
        <v>14</v>
      </c>
      <c r="G812">
        <v>83</v>
      </c>
      <c r="H812">
        <v>786.02</v>
      </c>
      <c r="I812">
        <v>0</v>
      </c>
      <c r="J812" t="s">
        <v>15</v>
      </c>
      <c r="K812">
        <v>65239.66</v>
      </c>
      <c r="L812" t="str">
        <f t="shared" si="48"/>
        <v>Jun</v>
      </c>
      <c r="M812">
        <f t="shared" si="49"/>
        <v>2025</v>
      </c>
      <c r="N812">
        <f t="shared" si="50"/>
        <v>65239.659999999996</v>
      </c>
      <c r="O812" t="str">
        <f t="shared" si="51"/>
        <v>On Time</v>
      </c>
    </row>
    <row r="813" spans="1:15" x14ac:dyDescent="0.25">
      <c r="A813">
        <v>812</v>
      </c>
      <c r="B813" s="2">
        <v>45878</v>
      </c>
      <c r="C813" t="s">
        <v>16</v>
      </c>
      <c r="D813" t="s">
        <v>13</v>
      </c>
      <c r="E813" t="s">
        <v>27</v>
      </c>
      <c r="F813" t="s">
        <v>14</v>
      </c>
      <c r="G813">
        <v>77</v>
      </c>
      <c r="H813">
        <v>84.27</v>
      </c>
      <c r="I813">
        <v>39</v>
      </c>
      <c r="J813" t="s">
        <v>15</v>
      </c>
      <c r="K813">
        <v>6488.79</v>
      </c>
      <c r="L813" t="str">
        <f t="shared" si="48"/>
        <v>Aug</v>
      </c>
      <c r="M813">
        <f t="shared" si="49"/>
        <v>2025</v>
      </c>
      <c r="N813">
        <f t="shared" si="50"/>
        <v>6488.79</v>
      </c>
      <c r="O813" t="str">
        <f t="shared" si="51"/>
        <v>Moderate Delay</v>
      </c>
    </row>
    <row r="814" spans="1:15" x14ac:dyDescent="0.25">
      <c r="A814">
        <v>813</v>
      </c>
      <c r="B814" s="2">
        <v>45718</v>
      </c>
      <c r="C814" t="s">
        <v>26</v>
      </c>
      <c r="D814" t="s">
        <v>13</v>
      </c>
      <c r="E814" t="s">
        <v>27</v>
      </c>
      <c r="F814" t="s">
        <v>14</v>
      </c>
      <c r="G814">
        <v>66</v>
      </c>
      <c r="H814">
        <v>283.22000000000003</v>
      </c>
      <c r="I814">
        <v>31</v>
      </c>
      <c r="J814" t="s">
        <v>15</v>
      </c>
      <c r="K814">
        <v>18692.52</v>
      </c>
      <c r="L814" t="str">
        <f t="shared" si="48"/>
        <v>Mar</v>
      </c>
      <c r="M814">
        <f t="shared" si="49"/>
        <v>2025</v>
      </c>
      <c r="N814">
        <f t="shared" si="50"/>
        <v>18692.52</v>
      </c>
      <c r="O814" t="str">
        <f t="shared" si="51"/>
        <v>Moderate Delay</v>
      </c>
    </row>
    <row r="815" spans="1:15" x14ac:dyDescent="0.25">
      <c r="A815">
        <v>814</v>
      </c>
      <c r="B815" s="2">
        <v>45752</v>
      </c>
      <c r="C815" t="s">
        <v>25</v>
      </c>
      <c r="D815" t="s">
        <v>19</v>
      </c>
      <c r="E815" t="s">
        <v>23</v>
      </c>
      <c r="F815" t="s">
        <v>24</v>
      </c>
      <c r="G815">
        <v>57</v>
      </c>
      <c r="H815">
        <v>127.18</v>
      </c>
      <c r="I815">
        <v>20</v>
      </c>
      <c r="J815" t="s">
        <v>30</v>
      </c>
      <c r="K815">
        <v>7249.26</v>
      </c>
      <c r="L815" t="str">
        <f t="shared" si="48"/>
        <v>Apr</v>
      </c>
      <c r="M815">
        <f t="shared" si="49"/>
        <v>2025</v>
      </c>
      <c r="N815">
        <f t="shared" si="50"/>
        <v>7249.26</v>
      </c>
      <c r="O815" t="str">
        <f t="shared" si="51"/>
        <v>Minor Delay</v>
      </c>
    </row>
    <row r="816" spans="1:15" x14ac:dyDescent="0.25">
      <c r="A816">
        <v>815</v>
      </c>
      <c r="B816" s="2">
        <v>45838</v>
      </c>
      <c r="C816" t="s">
        <v>11</v>
      </c>
      <c r="D816" t="s">
        <v>23</v>
      </c>
      <c r="E816" t="s">
        <v>17</v>
      </c>
      <c r="F816" t="s">
        <v>21</v>
      </c>
      <c r="G816">
        <v>249</v>
      </c>
      <c r="H816">
        <v>599.13</v>
      </c>
      <c r="I816">
        <v>21</v>
      </c>
      <c r="J816" t="s">
        <v>15</v>
      </c>
      <c r="K816">
        <v>149183.37</v>
      </c>
      <c r="L816" t="str">
        <f t="shared" si="48"/>
        <v>Jun</v>
      </c>
      <c r="M816">
        <f t="shared" si="49"/>
        <v>2025</v>
      </c>
      <c r="N816">
        <f t="shared" si="50"/>
        <v>149183.37</v>
      </c>
      <c r="O816" t="str">
        <f t="shared" si="51"/>
        <v>Minor Delay</v>
      </c>
    </row>
    <row r="817" spans="1:15" x14ac:dyDescent="0.25">
      <c r="A817">
        <v>816</v>
      </c>
      <c r="B817" s="2">
        <v>45756</v>
      </c>
      <c r="C817" t="s">
        <v>26</v>
      </c>
      <c r="D817" t="s">
        <v>13</v>
      </c>
      <c r="E817" t="s">
        <v>23</v>
      </c>
      <c r="F817" t="s">
        <v>14</v>
      </c>
      <c r="G817">
        <v>280</v>
      </c>
      <c r="H817">
        <v>617.97</v>
      </c>
      <c r="I817">
        <v>52</v>
      </c>
      <c r="J817" t="s">
        <v>15</v>
      </c>
      <c r="K817">
        <v>173031.6</v>
      </c>
      <c r="L817" t="str">
        <f t="shared" si="48"/>
        <v>Apr</v>
      </c>
      <c r="M817">
        <f t="shared" si="49"/>
        <v>2025</v>
      </c>
      <c r="N817">
        <f t="shared" si="50"/>
        <v>173031.6</v>
      </c>
      <c r="O817" t="str">
        <f t="shared" si="51"/>
        <v>Moderate Delay</v>
      </c>
    </row>
    <row r="818" spans="1:15" x14ac:dyDescent="0.25">
      <c r="A818">
        <v>817</v>
      </c>
      <c r="B818" s="2">
        <v>45916</v>
      </c>
      <c r="C818" t="s">
        <v>25</v>
      </c>
      <c r="D818" t="s">
        <v>12</v>
      </c>
      <c r="E818" t="s">
        <v>23</v>
      </c>
      <c r="F818" t="s">
        <v>24</v>
      </c>
      <c r="G818">
        <v>143</v>
      </c>
      <c r="H818">
        <v>576.62</v>
      </c>
      <c r="I818">
        <v>34</v>
      </c>
      <c r="J818" t="s">
        <v>15</v>
      </c>
      <c r="K818">
        <v>82456.66</v>
      </c>
      <c r="L818" t="str">
        <f t="shared" si="48"/>
        <v>Sep</v>
      </c>
      <c r="M818">
        <f t="shared" si="49"/>
        <v>2025</v>
      </c>
      <c r="N818">
        <f t="shared" si="50"/>
        <v>82456.66</v>
      </c>
      <c r="O818" t="str">
        <f t="shared" si="51"/>
        <v>Moderate Delay</v>
      </c>
    </row>
    <row r="819" spans="1:15" x14ac:dyDescent="0.25">
      <c r="A819">
        <v>818</v>
      </c>
      <c r="B819" s="2">
        <v>45875</v>
      </c>
      <c r="C819" t="s">
        <v>11</v>
      </c>
      <c r="D819" t="s">
        <v>22</v>
      </c>
      <c r="E819" t="s">
        <v>20</v>
      </c>
      <c r="F819" t="s">
        <v>21</v>
      </c>
      <c r="G819">
        <v>108</v>
      </c>
      <c r="H819">
        <v>361.61</v>
      </c>
      <c r="I819">
        <v>54</v>
      </c>
      <c r="J819" t="s">
        <v>15</v>
      </c>
      <c r="K819">
        <v>39053.879999999997</v>
      </c>
      <c r="L819" t="str">
        <f t="shared" si="48"/>
        <v>Aug</v>
      </c>
      <c r="M819">
        <f t="shared" si="49"/>
        <v>2025</v>
      </c>
      <c r="N819">
        <f t="shared" si="50"/>
        <v>39053.880000000005</v>
      </c>
      <c r="O819" t="str">
        <f t="shared" si="51"/>
        <v>Moderate Delay</v>
      </c>
    </row>
    <row r="820" spans="1:15" x14ac:dyDescent="0.25">
      <c r="A820">
        <v>819</v>
      </c>
      <c r="B820" s="2">
        <v>45896</v>
      </c>
      <c r="C820" t="s">
        <v>16</v>
      </c>
      <c r="D820" t="s">
        <v>22</v>
      </c>
      <c r="E820" t="s">
        <v>12</v>
      </c>
      <c r="F820" t="s">
        <v>21</v>
      </c>
      <c r="G820">
        <v>84</v>
      </c>
      <c r="H820">
        <v>426.9</v>
      </c>
      <c r="I820">
        <v>6</v>
      </c>
      <c r="J820" t="s">
        <v>15</v>
      </c>
      <c r="K820">
        <v>35859.599999999999</v>
      </c>
      <c r="L820" t="str">
        <f t="shared" si="48"/>
        <v>Aug</v>
      </c>
      <c r="M820">
        <f t="shared" si="49"/>
        <v>2025</v>
      </c>
      <c r="N820">
        <f t="shared" si="50"/>
        <v>35859.599999999999</v>
      </c>
      <c r="O820" t="str">
        <f t="shared" si="51"/>
        <v>Minor Delay</v>
      </c>
    </row>
    <row r="821" spans="1:15" x14ac:dyDescent="0.25">
      <c r="A821">
        <v>820</v>
      </c>
      <c r="B821" s="2">
        <v>45910</v>
      </c>
      <c r="C821" t="s">
        <v>16</v>
      </c>
      <c r="D821" t="s">
        <v>12</v>
      </c>
      <c r="E821" t="s">
        <v>17</v>
      </c>
      <c r="F821" t="s">
        <v>24</v>
      </c>
      <c r="G821">
        <v>122</v>
      </c>
      <c r="H821">
        <v>398.14</v>
      </c>
      <c r="I821">
        <v>35</v>
      </c>
      <c r="J821" t="s">
        <v>15</v>
      </c>
      <c r="K821">
        <v>48573.08</v>
      </c>
      <c r="L821" t="str">
        <f t="shared" si="48"/>
        <v>Sep</v>
      </c>
      <c r="M821">
        <f t="shared" si="49"/>
        <v>2025</v>
      </c>
      <c r="N821">
        <f t="shared" si="50"/>
        <v>48573.08</v>
      </c>
      <c r="O821" t="str">
        <f t="shared" si="51"/>
        <v>Moderate Delay</v>
      </c>
    </row>
    <row r="822" spans="1:15" x14ac:dyDescent="0.25">
      <c r="A822">
        <v>821</v>
      </c>
      <c r="B822" s="2">
        <v>45941</v>
      </c>
      <c r="C822" t="s">
        <v>18</v>
      </c>
      <c r="D822" t="s">
        <v>20</v>
      </c>
      <c r="E822" t="s">
        <v>19</v>
      </c>
      <c r="F822" t="s">
        <v>24</v>
      </c>
      <c r="G822">
        <v>268</v>
      </c>
      <c r="H822">
        <v>376.69</v>
      </c>
      <c r="I822">
        <v>52</v>
      </c>
      <c r="J822" t="s">
        <v>30</v>
      </c>
      <c r="K822">
        <v>100952.92</v>
      </c>
      <c r="L822" t="str">
        <f t="shared" si="48"/>
        <v>Oct</v>
      </c>
      <c r="M822">
        <f t="shared" si="49"/>
        <v>2025</v>
      </c>
      <c r="N822">
        <f t="shared" si="50"/>
        <v>100952.92</v>
      </c>
      <c r="O822" t="str">
        <f t="shared" si="51"/>
        <v>Moderate Delay</v>
      </c>
    </row>
    <row r="823" spans="1:15" x14ac:dyDescent="0.25">
      <c r="A823">
        <v>822</v>
      </c>
      <c r="B823" s="2">
        <v>45664</v>
      </c>
      <c r="C823" t="s">
        <v>25</v>
      </c>
      <c r="D823" t="s">
        <v>22</v>
      </c>
      <c r="E823" t="s">
        <v>29</v>
      </c>
      <c r="F823" t="s">
        <v>24</v>
      </c>
      <c r="G823">
        <v>222</v>
      </c>
      <c r="H823">
        <v>137.83000000000001</v>
      </c>
      <c r="I823">
        <v>0</v>
      </c>
      <c r="J823" t="s">
        <v>15</v>
      </c>
      <c r="K823">
        <v>30598.26</v>
      </c>
      <c r="L823" t="str">
        <f t="shared" si="48"/>
        <v>Jan</v>
      </c>
      <c r="M823">
        <f t="shared" si="49"/>
        <v>2025</v>
      </c>
      <c r="N823">
        <f t="shared" si="50"/>
        <v>30598.260000000002</v>
      </c>
      <c r="O823" t="str">
        <f t="shared" si="51"/>
        <v>On Time</v>
      </c>
    </row>
    <row r="824" spans="1:15" x14ac:dyDescent="0.25">
      <c r="A824">
        <v>823</v>
      </c>
      <c r="B824" s="2">
        <v>45731</v>
      </c>
      <c r="C824" t="s">
        <v>18</v>
      </c>
      <c r="D824" t="s">
        <v>12</v>
      </c>
      <c r="E824" t="s">
        <v>29</v>
      </c>
      <c r="F824" t="s">
        <v>24</v>
      </c>
      <c r="G824">
        <v>227</v>
      </c>
      <c r="H824">
        <v>497.01</v>
      </c>
      <c r="I824">
        <v>65</v>
      </c>
      <c r="J824" t="s">
        <v>30</v>
      </c>
      <c r="K824">
        <v>112821.27</v>
      </c>
      <c r="L824" t="str">
        <f t="shared" si="48"/>
        <v>Mar</v>
      </c>
      <c r="M824">
        <f t="shared" si="49"/>
        <v>2025</v>
      </c>
      <c r="N824">
        <f t="shared" si="50"/>
        <v>112821.27</v>
      </c>
      <c r="O824" t="str">
        <f t="shared" si="51"/>
        <v>Major Delay</v>
      </c>
    </row>
    <row r="825" spans="1:15" x14ac:dyDescent="0.25">
      <c r="A825">
        <v>824</v>
      </c>
      <c r="B825" s="2">
        <v>45759</v>
      </c>
      <c r="C825" t="s">
        <v>26</v>
      </c>
      <c r="D825" t="s">
        <v>12</v>
      </c>
      <c r="E825" t="s">
        <v>17</v>
      </c>
      <c r="F825" t="s">
        <v>14</v>
      </c>
      <c r="G825">
        <v>202</v>
      </c>
      <c r="H825">
        <v>684.58</v>
      </c>
      <c r="I825">
        <v>53</v>
      </c>
      <c r="J825" t="s">
        <v>15</v>
      </c>
      <c r="K825">
        <v>138285.16</v>
      </c>
      <c r="L825" t="str">
        <f t="shared" si="48"/>
        <v>Apr</v>
      </c>
      <c r="M825">
        <f t="shared" si="49"/>
        <v>2025</v>
      </c>
      <c r="N825">
        <f t="shared" si="50"/>
        <v>138285.16</v>
      </c>
      <c r="O825" t="str">
        <f t="shared" si="51"/>
        <v>Moderate Delay</v>
      </c>
    </row>
    <row r="826" spans="1:15" x14ac:dyDescent="0.25">
      <c r="A826">
        <v>825</v>
      </c>
      <c r="B826" s="2">
        <v>45913</v>
      </c>
      <c r="C826" t="s">
        <v>26</v>
      </c>
      <c r="D826" t="s">
        <v>19</v>
      </c>
      <c r="E826" t="s">
        <v>20</v>
      </c>
      <c r="F826" t="s">
        <v>21</v>
      </c>
      <c r="G826">
        <v>246</v>
      </c>
      <c r="H826">
        <v>490.62</v>
      </c>
      <c r="I826">
        <v>13</v>
      </c>
      <c r="J826" t="s">
        <v>15</v>
      </c>
      <c r="K826">
        <v>120692.52</v>
      </c>
      <c r="L826" t="str">
        <f t="shared" si="48"/>
        <v>Sep</v>
      </c>
      <c r="M826">
        <f t="shared" si="49"/>
        <v>2025</v>
      </c>
      <c r="N826">
        <f t="shared" si="50"/>
        <v>120692.52</v>
      </c>
      <c r="O826" t="str">
        <f t="shared" si="51"/>
        <v>Minor Delay</v>
      </c>
    </row>
    <row r="827" spans="1:15" x14ac:dyDescent="0.25">
      <c r="A827">
        <v>826</v>
      </c>
      <c r="B827" s="2">
        <v>45901</v>
      </c>
      <c r="C827" t="s">
        <v>25</v>
      </c>
      <c r="D827" t="s">
        <v>17</v>
      </c>
      <c r="E827" t="s">
        <v>22</v>
      </c>
      <c r="F827" t="s">
        <v>21</v>
      </c>
      <c r="G827">
        <v>293</v>
      </c>
      <c r="H827">
        <v>359.29</v>
      </c>
      <c r="I827">
        <v>63</v>
      </c>
      <c r="J827" t="s">
        <v>15</v>
      </c>
      <c r="K827">
        <v>105271.97</v>
      </c>
      <c r="L827" t="str">
        <f t="shared" si="48"/>
        <v>Sep</v>
      </c>
      <c r="M827">
        <f t="shared" si="49"/>
        <v>2025</v>
      </c>
      <c r="N827">
        <f t="shared" si="50"/>
        <v>105271.97</v>
      </c>
      <c r="O827" t="str">
        <f t="shared" si="51"/>
        <v>Major Delay</v>
      </c>
    </row>
    <row r="828" spans="1:15" x14ac:dyDescent="0.25">
      <c r="A828">
        <v>827</v>
      </c>
      <c r="B828" s="2">
        <v>45890</v>
      </c>
      <c r="C828" t="s">
        <v>16</v>
      </c>
      <c r="D828" t="s">
        <v>23</v>
      </c>
      <c r="E828" t="s">
        <v>29</v>
      </c>
      <c r="F828" t="s">
        <v>14</v>
      </c>
      <c r="G828">
        <v>114</v>
      </c>
      <c r="H828">
        <v>422.11</v>
      </c>
      <c r="I828">
        <v>27</v>
      </c>
      <c r="J828" t="s">
        <v>15</v>
      </c>
      <c r="K828">
        <v>48120.54</v>
      </c>
      <c r="L828" t="str">
        <f t="shared" si="48"/>
        <v>Aug</v>
      </c>
      <c r="M828">
        <f t="shared" si="49"/>
        <v>2025</v>
      </c>
      <c r="N828">
        <f t="shared" si="50"/>
        <v>48120.54</v>
      </c>
      <c r="O828" t="str">
        <f t="shared" si="51"/>
        <v>Minor Delay</v>
      </c>
    </row>
    <row r="829" spans="1:15" x14ac:dyDescent="0.25">
      <c r="A829">
        <v>828</v>
      </c>
      <c r="B829" s="2">
        <v>45913</v>
      </c>
      <c r="C829" t="s">
        <v>25</v>
      </c>
      <c r="D829" t="s">
        <v>13</v>
      </c>
      <c r="E829" t="s">
        <v>29</v>
      </c>
      <c r="F829" t="s">
        <v>14</v>
      </c>
      <c r="G829">
        <v>298</v>
      </c>
      <c r="H829">
        <v>192.53</v>
      </c>
      <c r="I829">
        <v>79</v>
      </c>
      <c r="J829" t="s">
        <v>15</v>
      </c>
      <c r="K829">
        <v>57373.94</v>
      </c>
      <c r="L829" t="str">
        <f t="shared" si="48"/>
        <v>Sep</v>
      </c>
      <c r="M829">
        <f t="shared" si="49"/>
        <v>2025</v>
      </c>
      <c r="N829">
        <f t="shared" si="50"/>
        <v>57373.94</v>
      </c>
      <c r="O829" t="str">
        <f t="shared" si="51"/>
        <v>Major Delay</v>
      </c>
    </row>
    <row r="830" spans="1:15" x14ac:dyDescent="0.25">
      <c r="A830">
        <v>829</v>
      </c>
      <c r="B830" s="2">
        <v>45813</v>
      </c>
      <c r="C830" t="s">
        <v>31</v>
      </c>
      <c r="D830" t="s">
        <v>22</v>
      </c>
      <c r="E830" t="s">
        <v>29</v>
      </c>
      <c r="F830" t="s">
        <v>21</v>
      </c>
      <c r="G830">
        <v>74</v>
      </c>
      <c r="H830">
        <v>622.53</v>
      </c>
      <c r="I830">
        <v>3</v>
      </c>
      <c r="J830" t="s">
        <v>15</v>
      </c>
      <c r="K830">
        <v>46067.22</v>
      </c>
      <c r="L830" t="str">
        <f t="shared" si="48"/>
        <v>Jun</v>
      </c>
      <c r="M830">
        <f t="shared" si="49"/>
        <v>2025</v>
      </c>
      <c r="N830">
        <f t="shared" si="50"/>
        <v>46067.22</v>
      </c>
      <c r="O830" t="str">
        <f t="shared" si="51"/>
        <v>Minor Delay</v>
      </c>
    </row>
    <row r="831" spans="1:15" x14ac:dyDescent="0.25">
      <c r="A831">
        <v>830</v>
      </c>
      <c r="B831" s="2">
        <v>45808</v>
      </c>
      <c r="C831" t="s">
        <v>25</v>
      </c>
      <c r="D831" t="s">
        <v>20</v>
      </c>
      <c r="E831" t="s">
        <v>19</v>
      </c>
      <c r="F831" t="s">
        <v>24</v>
      </c>
      <c r="G831">
        <v>175</v>
      </c>
      <c r="H831">
        <v>433.55</v>
      </c>
      <c r="I831">
        <v>0</v>
      </c>
      <c r="J831" t="s">
        <v>15</v>
      </c>
      <c r="K831">
        <v>75871.25</v>
      </c>
      <c r="L831" t="str">
        <f t="shared" si="48"/>
        <v>May</v>
      </c>
      <c r="M831">
        <f t="shared" si="49"/>
        <v>2025</v>
      </c>
      <c r="N831">
        <f t="shared" si="50"/>
        <v>75871.25</v>
      </c>
      <c r="O831" t="str">
        <f t="shared" si="51"/>
        <v>On Time</v>
      </c>
    </row>
    <row r="832" spans="1:15" x14ac:dyDescent="0.25">
      <c r="A832">
        <v>831</v>
      </c>
      <c r="B832" s="2">
        <v>45674</v>
      </c>
      <c r="C832" t="s">
        <v>18</v>
      </c>
      <c r="D832" t="s">
        <v>27</v>
      </c>
      <c r="E832" t="s">
        <v>13</v>
      </c>
      <c r="F832" t="s">
        <v>14</v>
      </c>
      <c r="G832">
        <v>148</v>
      </c>
      <c r="H832">
        <v>393.09</v>
      </c>
      <c r="I832">
        <v>36</v>
      </c>
      <c r="J832" t="s">
        <v>15</v>
      </c>
      <c r="K832">
        <v>58177.32</v>
      </c>
      <c r="L832" t="str">
        <f t="shared" si="48"/>
        <v>Jan</v>
      </c>
      <c r="M832">
        <f t="shared" si="49"/>
        <v>2025</v>
      </c>
      <c r="N832">
        <f t="shared" si="50"/>
        <v>58177.32</v>
      </c>
      <c r="O832" t="str">
        <f t="shared" si="51"/>
        <v>Moderate Delay</v>
      </c>
    </row>
    <row r="833" spans="1:15" x14ac:dyDescent="0.25">
      <c r="A833">
        <v>832</v>
      </c>
      <c r="B833" s="2">
        <v>46019</v>
      </c>
      <c r="C833" t="s">
        <v>11</v>
      </c>
      <c r="D833" t="s">
        <v>29</v>
      </c>
      <c r="E833" t="s">
        <v>22</v>
      </c>
      <c r="F833" t="s">
        <v>24</v>
      </c>
      <c r="G833">
        <v>160</v>
      </c>
      <c r="H833">
        <v>159.52000000000001</v>
      </c>
      <c r="I833">
        <v>0</v>
      </c>
      <c r="J833" t="s">
        <v>15</v>
      </c>
      <c r="K833">
        <v>25523.200000000001</v>
      </c>
      <c r="L833" t="str">
        <f t="shared" si="48"/>
        <v>Dec</v>
      </c>
      <c r="M833">
        <f t="shared" si="49"/>
        <v>2025</v>
      </c>
      <c r="N833">
        <f t="shared" si="50"/>
        <v>25523.200000000001</v>
      </c>
      <c r="O833" t="str">
        <f t="shared" si="51"/>
        <v>On Time</v>
      </c>
    </row>
    <row r="834" spans="1:15" x14ac:dyDescent="0.25">
      <c r="A834">
        <v>833</v>
      </c>
      <c r="B834" s="2">
        <v>45949</v>
      </c>
      <c r="C834" t="s">
        <v>25</v>
      </c>
      <c r="D834" t="s">
        <v>20</v>
      </c>
      <c r="E834" t="s">
        <v>12</v>
      </c>
      <c r="F834" t="s">
        <v>24</v>
      </c>
      <c r="G834">
        <v>218</v>
      </c>
      <c r="H834">
        <v>469.8</v>
      </c>
      <c r="I834">
        <v>0</v>
      </c>
      <c r="J834" t="s">
        <v>15</v>
      </c>
      <c r="K834">
        <v>102416.4</v>
      </c>
      <c r="L834" t="str">
        <f t="shared" si="48"/>
        <v>Oct</v>
      </c>
      <c r="M834">
        <f t="shared" si="49"/>
        <v>2025</v>
      </c>
      <c r="N834">
        <f t="shared" si="50"/>
        <v>102416.40000000001</v>
      </c>
      <c r="O834" t="str">
        <f t="shared" si="51"/>
        <v>On Time</v>
      </c>
    </row>
    <row r="835" spans="1:15" x14ac:dyDescent="0.25">
      <c r="A835">
        <v>834</v>
      </c>
      <c r="B835" s="2">
        <v>45858</v>
      </c>
      <c r="C835" t="s">
        <v>26</v>
      </c>
      <c r="D835" t="s">
        <v>29</v>
      </c>
      <c r="E835" t="s">
        <v>13</v>
      </c>
      <c r="F835" t="s">
        <v>24</v>
      </c>
      <c r="G835">
        <v>201</v>
      </c>
      <c r="H835">
        <v>778.44</v>
      </c>
      <c r="I835">
        <v>13</v>
      </c>
      <c r="J835" t="s">
        <v>15</v>
      </c>
      <c r="K835">
        <v>156466.44</v>
      </c>
      <c r="L835" t="str">
        <f t="shared" ref="L835:L898" si="52">TEXT(B835,"MMM")</f>
        <v>Jul</v>
      </c>
      <c r="M835">
        <f t="shared" ref="M835:M898" si="53">YEAR(B835)</f>
        <v>2025</v>
      </c>
      <c r="N835">
        <f t="shared" ref="N835:N898" si="54">G835*H835</f>
        <v>156466.44</v>
      </c>
      <c r="O835" t="str">
        <f t="shared" ref="O835:O898" si="55">IF(I835=0,"On Time",IF(I835&lt;=30,"Minor Delay",IF(I835&lt;=60,"Moderate Delay","Major Delay")))</f>
        <v>Minor Delay</v>
      </c>
    </row>
    <row r="836" spans="1:15" x14ac:dyDescent="0.25">
      <c r="A836">
        <v>835</v>
      </c>
      <c r="B836" s="2">
        <v>45822</v>
      </c>
      <c r="C836" t="s">
        <v>16</v>
      </c>
      <c r="D836" t="s">
        <v>22</v>
      </c>
      <c r="E836" t="s">
        <v>23</v>
      </c>
      <c r="F836" t="s">
        <v>14</v>
      </c>
      <c r="G836">
        <v>201</v>
      </c>
      <c r="H836">
        <v>93.39</v>
      </c>
      <c r="I836">
        <v>32</v>
      </c>
      <c r="J836" t="s">
        <v>15</v>
      </c>
      <c r="K836">
        <v>18771.39</v>
      </c>
      <c r="L836" t="str">
        <f t="shared" si="52"/>
        <v>Jun</v>
      </c>
      <c r="M836">
        <f t="shared" si="53"/>
        <v>2025</v>
      </c>
      <c r="N836">
        <f t="shared" si="54"/>
        <v>18771.39</v>
      </c>
      <c r="O836" t="str">
        <f t="shared" si="55"/>
        <v>Moderate Delay</v>
      </c>
    </row>
    <row r="837" spans="1:15" x14ac:dyDescent="0.25">
      <c r="A837">
        <v>836</v>
      </c>
      <c r="B837" s="2">
        <v>45852</v>
      </c>
      <c r="C837" t="s">
        <v>16</v>
      </c>
      <c r="D837" t="s">
        <v>13</v>
      </c>
      <c r="E837" t="s">
        <v>17</v>
      </c>
      <c r="F837" t="s">
        <v>24</v>
      </c>
      <c r="G837">
        <v>138</v>
      </c>
      <c r="H837">
        <v>794.04</v>
      </c>
      <c r="I837">
        <v>0</v>
      </c>
      <c r="J837" t="s">
        <v>15</v>
      </c>
      <c r="K837">
        <v>109577.52</v>
      </c>
      <c r="L837" t="str">
        <f t="shared" si="52"/>
        <v>Jul</v>
      </c>
      <c r="M837">
        <f t="shared" si="53"/>
        <v>2025</v>
      </c>
      <c r="N837">
        <f t="shared" si="54"/>
        <v>109577.51999999999</v>
      </c>
      <c r="O837" t="str">
        <f t="shared" si="55"/>
        <v>On Time</v>
      </c>
    </row>
    <row r="838" spans="1:15" x14ac:dyDescent="0.25">
      <c r="A838">
        <v>837</v>
      </c>
      <c r="B838" s="2">
        <v>45784</v>
      </c>
      <c r="C838" t="s">
        <v>11</v>
      </c>
      <c r="D838" t="s">
        <v>13</v>
      </c>
      <c r="E838" t="s">
        <v>23</v>
      </c>
      <c r="F838" t="s">
        <v>21</v>
      </c>
      <c r="G838">
        <v>129</v>
      </c>
      <c r="H838">
        <v>498.47</v>
      </c>
      <c r="I838">
        <v>27</v>
      </c>
      <c r="J838" t="s">
        <v>15</v>
      </c>
      <c r="K838">
        <v>64302.63</v>
      </c>
      <c r="L838" t="str">
        <f t="shared" si="52"/>
        <v>May</v>
      </c>
      <c r="M838">
        <f t="shared" si="53"/>
        <v>2025</v>
      </c>
      <c r="N838">
        <f t="shared" si="54"/>
        <v>64302.630000000005</v>
      </c>
      <c r="O838" t="str">
        <f t="shared" si="55"/>
        <v>Minor Delay</v>
      </c>
    </row>
    <row r="839" spans="1:15" x14ac:dyDescent="0.25">
      <c r="A839">
        <v>838</v>
      </c>
      <c r="B839" s="2">
        <v>45668</v>
      </c>
      <c r="C839" t="s">
        <v>31</v>
      </c>
      <c r="D839" t="s">
        <v>22</v>
      </c>
      <c r="E839" t="s">
        <v>29</v>
      </c>
      <c r="F839" t="s">
        <v>24</v>
      </c>
      <c r="G839">
        <v>59</v>
      </c>
      <c r="H839">
        <v>401.07</v>
      </c>
      <c r="I839">
        <v>15</v>
      </c>
      <c r="J839" t="s">
        <v>30</v>
      </c>
      <c r="K839">
        <v>23663.13</v>
      </c>
      <c r="L839" t="str">
        <f t="shared" si="52"/>
        <v>Jan</v>
      </c>
      <c r="M839">
        <f t="shared" si="53"/>
        <v>2025</v>
      </c>
      <c r="N839">
        <f t="shared" si="54"/>
        <v>23663.13</v>
      </c>
      <c r="O839" t="str">
        <f t="shared" si="55"/>
        <v>Minor Delay</v>
      </c>
    </row>
    <row r="840" spans="1:15" x14ac:dyDescent="0.25">
      <c r="A840">
        <v>839</v>
      </c>
      <c r="B840" s="2">
        <v>45794</v>
      </c>
      <c r="C840" t="s">
        <v>16</v>
      </c>
      <c r="D840" t="s">
        <v>27</v>
      </c>
      <c r="E840" t="s">
        <v>17</v>
      </c>
      <c r="F840" t="s">
        <v>21</v>
      </c>
      <c r="G840">
        <v>170</v>
      </c>
      <c r="H840">
        <v>495.11</v>
      </c>
      <c r="I840">
        <v>44</v>
      </c>
      <c r="J840" t="s">
        <v>15</v>
      </c>
      <c r="K840">
        <v>84168.7</v>
      </c>
      <c r="L840" t="str">
        <f t="shared" si="52"/>
        <v>May</v>
      </c>
      <c r="M840">
        <f t="shared" si="53"/>
        <v>2025</v>
      </c>
      <c r="N840">
        <f t="shared" si="54"/>
        <v>84168.7</v>
      </c>
      <c r="O840" t="str">
        <f t="shared" si="55"/>
        <v>Moderate Delay</v>
      </c>
    </row>
    <row r="841" spans="1:15" x14ac:dyDescent="0.25">
      <c r="A841">
        <v>840</v>
      </c>
      <c r="B841" s="2">
        <v>45709</v>
      </c>
      <c r="C841" t="s">
        <v>25</v>
      </c>
      <c r="D841" t="s">
        <v>12</v>
      </c>
      <c r="E841" t="s">
        <v>27</v>
      </c>
      <c r="F841" t="s">
        <v>21</v>
      </c>
      <c r="G841">
        <v>102</v>
      </c>
      <c r="H841">
        <v>308.62</v>
      </c>
      <c r="I841">
        <v>17</v>
      </c>
      <c r="J841" t="s">
        <v>15</v>
      </c>
      <c r="K841">
        <v>31479.24</v>
      </c>
      <c r="L841" t="str">
        <f t="shared" si="52"/>
        <v>Feb</v>
      </c>
      <c r="M841">
        <f t="shared" si="53"/>
        <v>2025</v>
      </c>
      <c r="N841">
        <f t="shared" si="54"/>
        <v>31479.24</v>
      </c>
      <c r="O841" t="str">
        <f t="shared" si="55"/>
        <v>Minor Delay</v>
      </c>
    </row>
    <row r="842" spans="1:15" x14ac:dyDescent="0.25">
      <c r="A842">
        <v>841</v>
      </c>
      <c r="B842" s="2">
        <v>45972</v>
      </c>
      <c r="C842" t="s">
        <v>26</v>
      </c>
      <c r="D842" t="s">
        <v>22</v>
      </c>
      <c r="E842" t="s">
        <v>29</v>
      </c>
      <c r="F842" t="s">
        <v>24</v>
      </c>
      <c r="G842">
        <v>298</v>
      </c>
      <c r="H842">
        <v>382.63</v>
      </c>
      <c r="I842">
        <v>0</v>
      </c>
      <c r="J842" t="s">
        <v>15</v>
      </c>
      <c r="K842">
        <v>114023.74</v>
      </c>
      <c r="L842" t="str">
        <f t="shared" si="52"/>
        <v>Nov</v>
      </c>
      <c r="M842">
        <f t="shared" si="53"/>
        <v>2025</v>
      </c>
      <c r="N842">
        <f t="shared" si="54"/>
        <v>114023.74</v>
      </c>
      <c r="O842" t="str">
        <f t="shared" si="55"/>
        <v>On Time</v>
      </c>
    </row>
    <row r="843" spans="1:15" x14ac:dyDescent="0.25">
      <c r="A843">
        <v>842</v>
      </c>
      <c r="B843" s="2">
        <v>45805</v>
      </c>
      <c r="C843" t="s">
        <v>26</v>
      </c>
      <c r="D843" t="s">
        <v>27</v>
      </c>
      <c r="E843" t="s">
        <v>19</v>
      </c>
      <c r="F843" t="s">
        <v>14</v>
      </c>
      <c r="G843">
        <v>126</v>
      </c>
      <c r="H843">
        <v>797.21</v>
      </c>
      <c r="I843">
        <v>20</v>
      </c>
      <c r="J843" t="s">
        <v>15</v>
      </c>
      <c r="K843">
        <v>100448.46</v>
      </c>
      <c r="L843" t="str">
        <f t="shared" si="52"/>
        <v>May</v>
      </c>
      <c r="M843">
        <f t="shared" si="53"/>
        <v>2025</v>
      </c>
      <c r="N843">
        <f t="shared" si="54"/>
        <v>100448.46</v>
      </c>
      <c r="O843" t="str">
        <f t="shared" si="55"/>
        <v>Minor Delay</v>
      </c>
    </row>
    <row r="844" spans="1:15" x14ac:dyDescent="0.25">
      <c r="A844">
        <v>843</v>
      </c>
      <c r="B844" s="2">
        <v>45954</v>
      </c>
      <c r="C844" t="s">
        <v>16</v>
      </c>
      <c r="D844" t="s">
        <v>19</v>
      </c>
      <c r="E844" t="s">
        <v>12</v>
      </c>
      <c r="F844" t="s">
        <v>21</v>
      </c>
      <c r="G844">
        <v>136</v>
      </c>
      <c r="H844">
        <v>262.29000000000002</v>
      </c>
      <c r="I844">
        <v>0</v>
      </c>
      <c r="J844" t="s">
        <v>15</v>
      </c>
      <c r="K844">
        <v>35671.440000000002</v>
      </c>
      <c r="L844" t="str">
        <f t="shared" si="52"/>
        <v>Oct</v>
      </c>
      <c r="M844">
        <f t="shared" si="53"/>
        <v>2025</v>
      </c>
      <c r="N844">
        <f t="shared" si="54"/>
        <v>35671.440000000002</v>
      </c>
      <c r="O844" t="str">
        <f t="shared" si="55"/>
        <v>On Time</v>
      </c>
    </row>
    <row r="845" spans="1:15" x14ac:dyDescent="0.25">
      <c r="A845">
        <v>844</v>
      </c>
      <c r="B845" s="2">
        <v>45991</v>
      </c>
      <c r="C845" t="s">
        <v>26</v>
      </c>
      <c r="D845" t="s">
        <v>22</v>
      </c>
      <c r="E845" t="s">
        <v>12</v>
      </c>
      <c r="F845" t="s">
        <v>21</v>
      </c>
      <c r="G845">
        <v>255</v>
      </c>
      <c r="H845">
        <v>281.93</v>
      </c>
      <c r="I845">
        <v>7</v>
      </c>
      <c r="J845" t="s">
        <v>15</v>
      </c>
      <c r="K845">
        <v>71892.149999999994</v>
      </c>
      <c r="L845" t="str">
        <f t="shared" si="52"/>
        <v>Nov</v>
      </c>
      <c r="M845">
        <f t="shared" si="53"/>
        <v>2025</v>
      </c>
      <c r="N845">
        <f t="shared" si="54"/>
        <v>71892.150000000009</v>
      </c>
      <c r="O845" t="str">
        <f t="shared" si="55"/>
        <v>Minor Delay</v>
      </c>
    </row>
    <row r="846" spans="1:15" x14ac:dyDescent="0.25">
      <c r="A846">
        <v>845</v>
      </c>
      <c r="B846" s="2">
        <v>45870</v>
      </c>
      <c r="C846" t="s">
        <v>18</v>
      </c>
      <c r="D846" t="s">
        <v>22</v>
      </c>
      <c r="E846" t="s">
        <v>19</v>
      </c>
      <c r="F846" t="s">
        <v>24</v>
      </c>
      <c r="G846">
        <v>209</v>
      </c>
      <c r="H846">
        <v>441.37</v>
      </c>
      <c r="I846">
        <v>5</v>
      </c>
      <c r="J846" t="s">
        <v>30</v>
      </c>
      <c r="K846">
        <v>92246.33</v>
      </c>
      <c r="L846" t="str">
        <f t="shared" si="52"/>
        <v>Aug</v>
      </c>
      <c r="M846">
        <f t="shared" si="53"/>
        <v>2025</v>
      </c>
      <c r="N846">
        <f t="shared" si="54"/>
        <v>92246.33</v>
      </c>
      <c r="O846" t="str">
        <f t="shared" si="55"/>
        <v>Minor Delay</v>
      </c>
    </row>
    <row r="847" spans="1:15" x14ac:dyDescent="0.25">
      <c r="A847">
        <v>846</v>
      </c>
      <c r="B847" s="2">
        <v>45953</v>
      </c>
      <c r="C847" t="s">
        <v>18</v>
      </c>
      <c r="D847" t="s">
        <v>27</v>
      </c>
      <c r="E847" t="s">
        <v>29</v>
      </c>
      <c r="F847" t="s">
        <v>14</v>
      </c>
      <c r="G847">
        <v>219</v>
      </c>
      <c r="H847">
        <v>771.97</v>
      </c>
      <c r="I847">
        <v>0</v>
      </c>
      <c r="J847" t="s">
        <v>15</v>
      </c>
      <c r="K847">
        <v>169061.43</v>
      </c>
      <c r="L847" t="str">
        <f t="shared" si="52"/>
        <v>Oct</v>
      </c>
      <c r="M847">
        <f t="shared" si="53"/>
        <v>2025</v>
      </c>
      <c r="N847">
        <f t="shared" si="54"/>
        <v>169061.43</v>
      </c>
      <c r="O847" t="str">
        <f t="shared" si="55"/>
        <v>On Time</v>
      </c>
    </row>
    <row r="848" spans="1:15" x14ac:dyDescent="0.25">
      <c r="A848">
        <v>847</v>
      </c>
      <c r="B848" s="2">
        <v>45984</v>
      </c>
      <c r="C848" t="s">
        <v>31</v>
      </c>
      <c r="D848" t="s">
        <v>20</v>
      </c>
      <c r="E848" t="s">
        <v>23</v>
      </c>
      <c r="F848" t="s">
        <v>21</v>
      </c>
      <c r="G848">
        <v>268</v>
      </c>
      <c r="H848">
        <v>629.15</v>
      </c>
      <c r="I848">
        <v>0</v>
      </c>
      <c r="J848" t="s">
        <v>15</v>
      </c>
      <c r="K848">
        <v>168612.2</v>
      </c>
      <c r="L848" t="str">
        <f t="shared" si="52"/>
        <v>Nov</v>
      </c>
      <c r="M848">
        <f t="shared" si="53"/>
        <v>2025</v>
      </c>
      <c r="N848">
        <f t="shared" si="54"/>
        <v>168612.19999999998</v>
      </c>
      <c r="O848" t="str">
        <f t="shared" si="55"/>
        <v>On Time</v>
      </c>
    </row>
    <row r="849" spans="1:15" x14ac:dyDescent="0.25">
      <c r="A849">
        <v>848</v>
      </c>
      <c r="B849" s="2">
        <v>45844</v>
      </c>
      <c r="C849" t="s">
        <v>18</v>
      </c>
      <c r="D849" t="s">
        <v>27</v>
      </c>
      <c r="E849" t="s">
        <v>19</v>
      </c>
      <c r="F849" t="s">
        <v>14</v>
      </c>
      <c r="G849">
        <v>111</v>
      </c>
      <c r="H849">
        <v>171.35</v>
      </c>
      <c r="I849">
        <v>33</v>
      </c>
      <c r="J849" t="s">
        <v>15</v>
      </c>
      <c r="K849">
        <v>19019.849999999999</v>
      </c>
      <c r="L849" t="str">
        <f t="shared" si="52"/>
        <v>Jul</v>
      </c>
      <c r="M849">
        <f t="shared" si="53"/>
        <v>2025</v>
      </c>
      <c r="N849">
        <f t="shared" si="54"/>
        <v>19019.849999999999</v>
      </c>
      <c r="O849" t="str">
        <f t="shared" si="55"/>
        <v>Moderate Delay</v>
      </c>
    </row>
    <row r="850" spans="1:15" x14ac:dyDescent="0.25">
      <c r="A850">
        <v>849</v>
      </c>
      <c r="B850" s="2">
        <v>45868</v>
      </c>
      <c r="C850" t="s">
        <v>26</v>
      </c>
      <c r="D850" t="s">
        <v>23</v>
      </c>
      <c r="E850" t="s">
        <v>20</v>
      </c>
      <c r="F850" t="s">
        <v>14</v>
      </c>
      <c r="G850">
        <v>212</v>
      </c>
      <c r="H850">
        <v>210.63</v>
      </c>
      <c r="I850">
        <v>0</v>
      </c>
      <c r="J850" t="s">
        <v>15</v>
      </c>
      <c r="K850">
        <v>44653.56</v>
      </c>
      <c r="L850" t="str">
        <f t="shared" si="52"/>
        <v>Jul</v>
      </c>
      <c r="M850">
        <f t="shared" si="53"/>
        <v>2025</v>
      </c>
      <c r="N850">
        <f t="shared" si="54"/>
        <v>44653.56</v>
      </c>
      <c r="O850" t="str">
        <f t="shared" si="55"/>
        <v>On Time</v>
      </c>
    </row>
    <row r="851" spans="1:15" x14ac:dyDescent="0.25">
      <c r="A851">
        <v>850</v>
      </c>
      <c r="B851" s="2">
        <v>45865</v>
      </c>
      <c r="C851" t="s">
        <v>11</v>
      </c>
      <c r="D851" t="s">
        <v>23</v>
      </c>
      <c r="E851" t="s">
        <v>19</v>
      </c>
      <c r="F851" t="s">
        <v>14</v>
      </c>
      <c r="G851">
        <v>88</v>
      </c>
      <c r="H851">
        <v>202.02</v>
      </c>
      <c r="I851">
        <v>44</v>
      </c>
      <c r="J851" t="s">
        <v>15</v>
      </c>
      <c r="K851">
        <v>17777.759999999998</v>
      </c>
      <c r="L851" t="str">
        <f t="shared" si="52"/>
        <v>Jul</v>
      </c>
      <c r="M851">
        <f t="shared" si="53"/>
        <v>2025</v>
      </c>
      <c r="N851">
        <f t="shared" si="54"/>
        <v>17777.760000000002</v>
      </c>
      <c r="O851" t="str">
        <f t="shared" si="55"/>
        <v>Moderate Delay</v>
      </c>
    </row>
    <row r="852" spans="1:15" x14ac:dyDescent="0.25">
      <c r="A852">
        <v>851</v>
      </c>
      <c r="B852" s="2">
        <v>45906</v>
      </c>
      <c r="C852" t="s">
        <v>31</v>
      </c>
      <c r="D852" t="s">
        <v>23</v>
      </c>
      <c r="E852" t="s">
        <v>27</v>
      </c>
      <c r="F852" t="s">
        <v>24</v>
      </c>
      <c r="G852">
        <v>158</v>
      </c>
      <c r="H852">
        <v>538.72</v>
      </c>
      <c r="I852">
        <v>34</v>
      </c>
      <c r="J852" t="s">
        <v>15</v>
      </c>
      <c r="K852">
        <v>85117.759999999995</v>
      </c>
      <c r="L852" t="str">
        <f t="shared" si="52"/>
        <v>Sep</v>
      </c>
      <c r="M852">
        <f t="shared" si="53"/>
        <v>2025</v>
      </c>
      <c r="N852">
        <f t="shared" si="54"/>
        <v>85117.760000000009</v>
      </c>
      <c r="O852" t="str">
        <f t="shared" si="55"/>
        <v>Moderate Delay</v>
      </c>
    </row>
    <row r="853" spans="1:15" x14ac:dyDescent="0.25">
      <c r="A853">
        <v>852</v>
      </c>
      <c r="B853" s="2">
        <v>45995</v>
      </c>
      <c r="C853" t="s">
        <v>31</v>
      </c>
      <c r="D853" t="s">
        <v>23</v>
      </c>
      <c r="E853" t="s">
        <v>22</v>
      </c>
      <c r="F853" t="s">
        <v>14</v>
      </c>
      <c r="G853">
        <v>214</v>
      </c>
      <c r="H853">
        <v>690.87</v>
      </c>
      <c r="I853">
        <v>23</v>
      </c>
      <c r="J853" t="s">
        <v>30</v>
      </c>
      <c r="K853">
        <v>147846.18</v>
      </c>
      <c r="L853" t="str">
        <f t="shared" si="52"/>
        <v>Dec</v>
      </c>
      <c r="M853">
        <f t="shared" si="53"/>
        <v>2025</v>
      </c>
      <c r="N853">
        <f t="shared" si="54"/>
        <v>147846.18</v>
      </c>
      <c r="O853" t="str">
        <f t="shared" si="55"/>
        <v>Minor Delay</v>
      </c>
    </row>
    <row r="854" spans="1:15" x14ac:dyDescent="0.25">
      <c r="A854">
        <v>853</v>
      </c>
      <c r="B854" s="2">
        <v>45686</v>
      </c>
      <c r="C854" t="s">
        <v>16</v>
      </c>
      <c r="D854" t="s">
        <v>20</v>
      </c>
      <c r="E854" t="s">
        <v>13</v>
      </c>
      <c r="F854" t="s">
        <v>24</v>
      </c>
      <c r="G854">
        <v>204</v>
      </c>
      <c r="H854">
        <v>280.5</v>
      </c>
      <c r="I854">
        <v>77</v>
      </c>
      <c r="J854" t="s">
        <v>30</v>
      </c>
      <c r="K854">
        <v>57222</v>
      </c>
      <c r="L854" t="str">
        <f t="shared" si="52"/>
        <v>Jan</v>
      </c>
      <c r="M854">
        <f t="shared" si="53"/>
        <v>2025</v>
      </c>
      <c r="N854">
        <f t="shared" si="54"/>
        <v>57222</v>
      </c>
      <c r="O854" t="str">
        <f t="shared" si="55"/>
        <v>Major Delay</v>
      </c>
    </row>
    <row r="855" spans="1:15" x14ac:dyDescent="0.25">
      <c r="A855">
        <v>854</v>
      </c>
      <c r="B855" s="2">
        <v>45729</v>
      </c>
      <c r="C855" t="s">
        <v>11</v>
      </c>
      <c r="D855" t="s">
        <v>12</v>
      </c>
      <c r="E855" t="s">
        <v>20</v>
      </c>
      <c r="F855" t="s">
        <v>14</v>
      </c>
      <c r="G855">
        <v>196</v>
      </c>
      <c r="H855">
        <v>603.52</v>
      </c>
      <c r="I855">
        <v>44</v>
      </c>
      <c r="J855" t="s">
        <v>30</v>
      </c>
      <c r="K855">
        <v>118289.92</v>
      </c>
      <c r="L855" t="str">
        <f t="shared" si="52"/>
        <v>Mar</v>
      </c>
      <c r="M855">
        <f t="shared" si="53"/>
        <v>2025</v>
      </c>
      <c r="N855">
        <f t="shared" si="54"/>
        <v>118289.92</v>
      </c>
      <c r="O855" t="str">
        <f t="shared" si="55"/>
        <v>Moderate Delay</v>
      </c>
    </row>
    <row r="856" spans="1:15" x14ac:dyDescent="0.25">
      <c r="A856">
        <v>855</v>
      </c>
      <c r="B856" s="2">
        <v>45912</v>
      </c>
      <c r="C856" t="s">
        <v>16</v>
      </c>
      <c r="D856" t="s">
        <v>27</v>
      </c>
      <c r="E856" t="s">
        <v>23</v>
      </c>
      <c r="F856" t="s">
        <v>14</v>
      </c>
      <c r="G856">
        <v>203</v>
      </c>
      <c r="H856">
        <v>150.47999999999999</v>
      </c>
      <c r="I856">
        <v>27</v>
      </c>
      <c r="J856" t="s">
        <v>15</v>
      </c>
      <c r="K856">
        <v>30547.439999999999</v>
      </c>
      <c r="L856" t="str">
        <f t="shared" si="52"/>
        <v>Sep</v>
      </c>
      <c r="M856">
        <f t="shared" si="53"/>
        <v>2025</v>
      </c>
      <c r="N856">
        <f t="shared" si="54"/>
        <v>30547.439999999999</v>
      </c>
      <c r="O856" t="str">
        <f t="shared" si="55"/>
        <v>Minor Delay</v>
      </c>
    </row>
    <row r="857" spans="1:15" x14ac:dyDescent="0.25">
      <c r="A857">
        <v>856</v>
      </c>
      <c r="B857" s="2">
        <v>45874</v>
      </c>
      <c r="C857" t="s">
        <v>11</v>
      </c>
      <c r="D857" t="s">
        <v>17</v>
      </c>
      <c r="E857" t="s">
        <v>19</v>
      </c>
      <c r="F857" t="s">
        <v>14</v>
      </c>
      <c r="G857">
        <v>77</v>
      </c>
      <c r="H857">
        <v>189.61</v>
      </c>
      <c r="I857">
        <v>0</v>
      </c>
      <c r="J857" t="s">
        <v>30</v>
      </c>
      <c r="K857">
        <v>14599.97</v>
      </c>
      <c r="L857" t="str">
        <f t="shared" si="52"/>
        <v>Aug</v>
      </c>
      <c r="M857">
        <f t="shared" si="53"/>
        <v>2025</v>
      </c>
      <c r="N857">
        <f t="shared" si="54"/>
        <v>14599.970000000001</v>
      </c>
      <c r="O857" t="str">
        <f t="shared" si="55"/>
        <v>On Time</v>
      </c>
    </row>
    <row r="858" spans="1:15" x14ac:dyDescent="0.25">
      <c r="A858">
        <v>857</v>
      </c>
      <c r="B858" s="2">
        <v>45788</v>
      </c>
      <c r="C858" t="s">
        <v>31</v>
      </c>
      <c r="D858" t="s">
        <v>20</v>
      </c>
      <c r="E858" t="s">
        <v>17</v>
      </c>
      <c r="F858" t="s">
        <v>14</v>
      </c>
      <c r="G858">
        <v>175</v>
      </c>
      <c r="H858">
        <v>454.77</v>
      </c>
      <c r="I858">
        <v>16</v>
      </c>
      <c r="J858" t="s">
        <v>15</v>
      </c>
      <c r="K858">
        <v>79584.75</v>
      </c>
      <c r="L858" t="str">
        <f t="shared" si="52"/>
        <v>May</v>
      </c>
      <c r="M858">
        <f t="shared" si="53"/>
        <v>2025</v>
      </c>
      <c r="N858">
        <f t="shared" si="54"/>
        <v>79584.75</v>
      </c>
      <c r="O858" t="str">
        <f t="shared" si="55"/>
        <v>Minor Delay</v>
      </c>
    </row>
    <row r="859" spans="1:15" x14ac:dyDescent="0.25">
      <c r="A859">
        <v>858</v>
      </c>
      <c r="B859" s="2">
        <v>45800</v>
      </c>
      <c r="C859" t="s">
        <v>11</v>
      </c>
      <c r="D859" t="s">
        <v>20</v>
      </c>
      <c r="E859" t="s">
        <v>19</v>
      </c>
      <c r="F859" t="s">
        <v>24</v>
      </c>
      <c r="G859">
        <v>171</v>
      </c>
      <c r="H859">
        <v>589.6</v>
      </c>
      <c r="I859">
        <v>8</v>
      </c>
      <c r="J859" t="s">
        <v>30</v>
      </c>
      <c r="K859">
        <v>100821.6</v>
      </c>
      <c r="L859" t="str">
        <f t="shared" si="52"/>
        <v>May</v>
      </c>
      <c r="M859">
        <f t="shared" si="53"/>
        <v>2025</v>
      </c>
      <c r="N859">
        <f t="shared" si="54"/>
        <v>100821.6</v>
      </c>
      <c r="O859" t="str">
        <f t="shared" si="55"/>
        <v>Minor Delay</v>
      </c>
    </row>
    <row r="860" spans="1:15" x14ac:dyDescent="0.25">
      <c r="A860">
        <v>859</v>
      </c>
      <c r="B860" s="2">
        <v>45997</v>
      </c>
      <c r="C860" t="s">
        <v>16</v>
      </c>
      <c r="D860" t="s">
        <v>13</v>
      </c>
      <c r="E860" t="s">
        <v>12</v>
      </c>
      <c r="F860" t="s">
        <v>21</v>
      </c>
      <c r="G860">
        <v>284</v>
      </c>
      <c r="H860">
        <v>643.71</v>
      </c>
      <c r="I860">
        <v>22</v>
      </c>
      <c r="J860" t="s">
        <v>15</v>
      </c>
      <c r="K860">
        <v>182813.64</v>
      </c>
      <c r="L860" t="str">
        <f t="shared" si="52"/>
        <v>Dec</v>
      </c>
      <c r="M860">
        <f t="shared" si="53"/>
        <v>2025</v>
      </c>
      <c r="N860">
        <f t="shared" si="54"/>
        <v>182813.64</v>
      </c>
      <c r="O860" t="str">
        <f t="shared" si="55"/>
        <v>Minor Delay</v>
      </c>
    </row>
    <row r="861" spans="1:15" x14ac:dyDescent="0.25">
      <c r="A861">
        <v>860</v>
      </c>
      <c r="B861" s="2">
        <v>45931</v>
      </c>
      <c r="C861" t="s">
        <v>11</v>
      </c>
      <c r="D861" t="s">
        <v>22</v>
      </c>
      <c r="E861" t="s">
        <v>12</v>
      </c>
      <c r="F861" t="s">
        <v>24</v>
      </c>
      <c r="G861">
        <v>149</v>
      </c>
      <c r="H861">
        <v>65.819999999999993</v>
      </c>
      <c r="I861">
        <v>51</v>
      </c>
      <c r="J861" t="s">
        <v>30</v>
      </c>
      <c r="K861">
        <v>9807.18</v>
      </c>
      <c r="L861" t="str">
        <f t="shared" si="52"/>
        <v>Oct</v>
      </c>
      <c r="M861">
        <f t="shared" si="53"/>
        <v>2025</v>
      </c>
      <c r="N861">
        <f t="shared" si="54"/>
        <v>9807.1799999999985</v>
      </c>
      <c r="O861" t="str">
        <f t="shared" si="55"/>
        <v>Moderate Delay</v>
      </c>
    </row>
    <row r="862" spans="1:15" x14ac:dyDescent="0.25">
      <c r="A862">
        <v>861</v>
      </c>
      <c r="B862" s="2">
        <v>45704</v>
      </c>
      <c r="C862" t="s">
        <v>11</v>
      </c>
      <c r="D862" t="s">
        <v>23</v>
      </c>
      <c r="E862" t="s">
        <v>22</v>
      </c>
      <c r="F862" t="s">
        <v>24</v>
      </c>
      <c r="G862">
        <v>103</v>
      </c>
      <c r="H862">
        <v>695.97</v>
      </c>
      <c r="I862">
        <v>34</v>
      </c>
      <c r="J862" t="s">
        <v>15</v>
      </c>
      <c r="K862">
        <v>71684.91</v>
      </c>
      <c r="L862" t="str">
        <f t="shared" si="52"/>
        <v>Feb</v>
      </c>
      <c r="M862">
        <f t="shared" si="53"/>
        <v>2025</v>
      </c>
      <c r="N862">
        <f t="shared" si="54"/>
        <v>71684.91</v>
      </c>
      <c r="O862" t="str">
        <f t="shared" si="55"/>
        <v>Moderate Delay</v>
      </c>
    </row>
    <row r="863" spans="1:15" x14ac:dyDescent="0.25">
      <c r="A863">
        <v>862</v>
      </c>
      <c r="B863" s="2">
        <v>45798</v>
      </c>
      <c r="C863" t="s">
        <v>16</v>
      </c>
      <c r="D863" t="s">
        <v>17</v>
      </c>
      <c r="E863" t="s">
        <v>13</v>
      </c>
      <c r="F863" t="s">
        <v>24</v>
      </c>
      <c r="G863">
        <v>170</v>
      </c>
      <c r="H863">
        <v>605.34</v>
      </c>
      <c r="I863">
        <v>42</v>
      </c>
      <c r="J863" t="s">
        <v>30</v>
      </c>
      <c r="K863">
        <v>102907.8</v>
      </c>
      <c r="L863" t="str">
        <f t="shared" si="52"/>
        <v>May</v>
      </c>
      <c r="M863">
        <f t="shared" si="53"/>
        <v>2025</v>
      </c>
      <c r="N863">
        <f t="shared" si="54"/>
        <v>102907.8</v>
      </c>
      <c r="O863" t="str">
        <f t="shared" si="55"/>
        <v>Moderate Delay</v>
      </c>
    </row>
    <row r="864" spans="1:15" x14ac:dyDescent="0.25">
      <c r="A864">
        <v>863</v>
      </c>
      <c r="B864" s="2">
        <v>45709</v>
      </c>
      <c r="C864" t="s">
        <v>11</v>
      </c>
      <c r="D864" t="s">
        <v>22</v>
      </c>
      <c r="E864" t="s">
        <v>20</v>
      </c>
      <c r="F864" t="s">
        <v>21</v>
      </c>
      <c r="G864">
        <v>116</v>
      </c>
      <c r="H864">
        <v>434.69</v>
      </c>
      <c r="I864">
        <v>0</v>
      </c>
      <c r="J864" t="s">
        <v>30</v>
      </c>
      <c r="K864">
        <v>50424.04</v>
      </c>
      <c r="L864" t="str">
        <f t="shared" si="52"/>
        <v>Feb</v>
      </c>
      <c r="M864">
        <f t="shared" si="53"/>
        <v>2025</v>
      </c>
      <c r="N864">
        <f t="shared" si="54"/>
        <v>50424.04</v>
      </c>
      <c r="O864" t="str">
        <f t="shared" si="55"/>
        <v>On Time</v>
      </c>
    </row>
    <row r="865" spans="1:15" x14ac:dyDescent="0.25">
      <c r="A865">
        <v>864</v>
      </c>
      <c r="B865" s="2">
        <v>46013</v>
      </c>
      <c r="C865" t="s">
        <v>16</v>
      </c>
      <c r="D865" t="s">
        <v>22</v>
      </c>
      <c r="E865" t="s">
        <v>27</v>
      </c>
      <c r="F865" t="s">
        <v>14</v>
      </c>
      <c r="G865">
        <v>214</v>
      </c>
      <c r="H865">
        <v>534.78</v>
      </c>
      <c r="I865">
        <v>47</v>
      </c>
      <c r="J865" t="s">
        <v>15</v>
      </c>
      <c r="K865">
        <v>114442.92</v>
      </c>
      <c r="L865" t="str">
        <f t="shared" si="52"/>
        <v>Dec</v>
      </c>
      <c r="M865">
        <f t="shared" si="53"/>
        <v>2025</v>
      </c>
      <c r="N865">
        <f t="shared" si="54"/>
        <v>114442.92</v>
      </c>
      <c r="O865" t="str">
        <f t="shared" si="55"/>
        <v>Moderate Delay</v>
      </c>
    </row>
    <row r="866" spans="1:15" x14ac:dyDescent="0.25">
      <c r="A866">
        <v>865</v>
      </c>
      <c r="B866" s="2">
        <v>45863</v>
      </c>
      <c r="C866" t="s">
        <v>11</v>
      </c>
      <c r="D866" t="s">
        <v>29</v>
      </c>
      <c r="E866" t="s">
        <v>13</v>
      </c>
      <c r="F866" t="s">
        <v>21</v>
      </c>
      <c r="G866">
        <v>128</v>
      </c>
      <c r="H866">
        <v>292.14999999999998</v>
      </c>
      <c r="I866">
        <v>32</v>
      </c>
      <c r="J866" t="s">
        <v>15</v>
      </c>
      <c r="K866">
        <v>37395.199999999997</v>
      </c>
      <c r="L866" t="str">
        <f t="shared" si="52"/>
        <v>Jul</v>
      </c>
      <c r="M866">
        <f t="shared" si="53"/>
        <v>2025</v>
      </c>
      <c r="N866">
        <f t="shared" si="54"/>
        <v>37395.199999999997</v>
      </c>
      <c r="O866" t="str">
        <f t="shared" si="55"/>
        <v>Moderate Delay</v>
      </c>
    </row>
    <row r="867" spans="1:15" x14ac:dyDescent="0.25">
      <c r="A867">
        <v>866</v>
      </c>
      <c r="B867" s="2">
        <v>45821</v>
      </c>
      <c r="C867" t="s">
        <v>18</v>
      </c>
      <c r="D867" t="s">
        <v>29</v>
      </c>
      <c r="E867" t="s">
        <v>20</v>
      </c>
      <c r="F867" t="s">
        <v>24</v>
      </c>
      <c r="G867">
        <v>273</v>
      </c>
      <c r="H867">
        <v>604.03</v>
      </c>
      <c r="I867">
        <v>27</v>
      </c>
      <c r="J867" t="s">
        <v>15</v>
      </c>
      <c r="K867">
        <v>164900.19</v>
      </c>
      <c r="L867" t="str">
        <f t="shared" si="52"/>
        <v>Jun</v>
      </c>
      <c r="M867">
        <f t="shared" si="53"/>
        <v>2025</v>
      </c>
      <c r="N867">
        <f t="shared" si="54"/>
        <v>164900.19</v>
      </c>
      <c r="O867" t="str">
        <f t="shared" si="55"/>
        <v>Minor Delay</v>
      </c>
    </row>
    <row r="868" spans="1:15" x14ac:dyDescent="0.25">
      <c r="A868">
        <v>867</v>
      </c>
      <c r="B868" s="2">
        <v>45759</v>
      </c>
      <c r="C868" t="s">
        <v>16</v>
      </c>
      <c r="D868" t="s">
        <v>22</v>
      </c>
      <c r="E868" t="s">
        <v>23</v>
      </c>
      <c r="F868" t="s">
        <v>24</v>
      </c>
      <c r="G868">
        <v>144</v>
      </c>
      <c r="H868">
        <v>194.6</v>
      </c>
      <c r="I868">
        <v>62</v>
      </c>
      <c r="J868" t="s">
        <v>30</v>
      </c>
      <c r="K868">
        <v>28022.400000000001</v>
      </c>
      <c r="L868" t="str">
        <f t="shared" si="52"/>
        <v>Apr</v>
      </c>
      <c r="M868">
        <f t="shared" si="53"/>
        <v>2025</v>
      </c>
      <c r="N868">
        <f t="shared" si="54"/>
        <v>28022.399999999998</v>
      </c>
      <c r="O868" t="str">
        <f t="shared" si="55"/>
        <v>Major Delay</v>
      </c>
    </row>
    <row r="869" spans="1:15" x14ac:dyDescent="0.25">
      <c r="A869">
        <v>868</v>
      </c>
      <c r="B869" s="2">
        <v>45669</v>
      </c>
      <c r="C869" t="s">
        <v>31</v>
      </c>
      <c r="D869" t="s">
        <v>19</v>
      </c>
      <c r="E869" t="s">
        <v>13</v>
      </c>
      <c r="F869" t="s">
        <v>21</v>
      </c>
      <c r="G869">
        <v>206</v>
      </c>
      <c r="H869">
        <v>523.70000000000005</v>
      </c>
      <c r="I869">
        <v>0</v>
      </c>
      <c r="J869" t="s">
        <v>30</v>
      </c>
      <c r="K869">
        <v>107882.2</v>
      </c>
      <c r="L869" t="str">
        <f t="shared" si="52"/>
        <v>Jan</v>
      </c>
      <c r="M869">
        <f t="shared" si="53"/>
        <v>2025</v>
      </c>
      <c r="N869">
        <f t="shared" si="54"/>
        <v>107882.20000000001</v>
      </c>
      <c r="O869" t="str">
        <f t="shared" si="55"/>
        <v>On Time</v>
      </c>
    </row>
    <row r="870" spans="1:15" x14ac:dyDescent="0.25">
      <c r="A870">
        <v>869</v>
      </c>
      <c r="B870" s="2">
        <v>45792</v>
      </c>
      <c r="C870" t="s">
        <v>25</v>
      </c>
      <c r="D870" t="s">
        <v>20</v>
      </c>
      <c r="E870" t="s">
        <v>19</v>
      </c>
      <c r="F870" t="s">
        <v>14</v>
      </c>
      <c r="G870">
        <v>62</v>
      </c>
      <c r="H870">
        <v>356.77</v>
      </c>
      <c r="I870">
        <v>2</v>
      </c>
      <c r="J870" t="s">
        <v>15</v>
      </c>
      <c r="K870">
        <v>22119.74</v>
      </c>
      <c r="L870" t="str">
        <f t="shared" si="52"/>
        <v>May</v>
      </c>
      <c r="M870">
        <f t="shared" si="53"/>
        <v>2025</v>
      </c>
      <c r="N870">
        <f t="shared" si="54"/>
        <v>22119.739999999998</v>
      </c>
      <c r="O870" t="str">
        <f t="shared" si="55"/>
        <v>Minor Delay</v>
      </c>
    </row>
    <row r="871" spans="1:15" x14ac:dyDescent="0.25">
      <c r="A871">
        <v>870</v>
      </c>
      <c r="B871" s="2">
        <v>45948</v>
      </c>
      <c r="C871" t="s">
        <v>16</v>
      </c>
      <c r="D871" t="s">
        <v>22</v>
      </c>
      <c r="E871" t="s">
        <v>29</v>
      </c>
      <c r="F871" t="s">
        <v>14</v>
      </c>
      <c r="G871">
        <v>233</v>
      </c>
      <c r="H871">
        <v>449.12</v>
      </c>
      <c r="I871">
        <v>28</v>
      </c>
      <c r="J871" t="s">
        <v>15</v>
      </c>
      <c r="K871">
        <v>104644.96</v>
      </c>
      <c r="L871" t="str">
        <f t="shared" si="52"/>
        <v>Oct</v>
      </c>
      <c r="M871">
        <f t="shared" si="53"/>
        <v>2025</v>
      </c>
      <c r="N871">
        <f t="shared" si="54"/>
        <v>104644.96</v>
      </c>
      <c r="O871" t="str">
        <f t="shared" si="55"/>
        <v>Minor Delay</v>
      </c>
    </row>
    <row r="872" spans="1:15" x14ac:dyDescent="0.25">
      <c r="A872">
        <v>871</v>
      </c>
      <c r="B872" s="2">
        <v>45718</v>
      </c>
      <c r="C872" t="s">
        <v>11</v>
      </c>
      <c r="D872" t="s">
        <v>20</v>
      </c>
      <c r="E872" t="s">
        <v>27</v>
      </c>
      <c r="F872" t="s">
        <v>21</v>
      </c>
      <c r="G872">
        <v>102</v>
      </c>
      <c r="H872">
        <v>201</v>
      </c>
      <c r="I872">
        <v>48</v>
      </c>
      <c r="J872" t="s">
        <v>15</v>
      </c>
      <c r="K872">
        <v>20502</v>
      </c>
      <c r="L872" t="str">
        <f t="shared" si="52"/>
        <v>Mar</v>
      </c>
      <c r="M872">
        <f t="shared" si="53"/>
        <v>2025</v>
      </c>
      <c r="N872">
        <f t="shared" si="54"/>
        <v>20502</v>
      </c>
      <c r="O872" t="str">
        <f t="shared" si="55"/>
        <v>Moderate Delay</v>
      </c>
    </row>
    <row r="873" spans="1:15" x14ac:dyDescent="0.25">
      <c r="A873">
        <v>872</v>
      </c>
      <c r="B873" s="2">
        <v>45724</v>
      </c>
      <c r="C873" t="s">
        <v>18</v>
      </c>
      <c r="D873" t="s">
        <v>20</v>
      </c>
      <c r="E873" t="s">
        <v>17</v>
      </c>
      <c r="F873" t="s">
        <v>14</v>
      </c>
      <c r="G873">
        <v>203</v>
      </c>
      <c r="H873">
        <v>219.52</v>
      </c>
      <c r="I873">
        <v>0</v>
      </c>
      <c r="J873" t="s">
        <v>30</v>
      </c>
      <c r="K873">
        <v>44562.559999999998</v>
      </c>
      <c r="L873" t="str">
        <f t="shared" si="52"/>
        <v>Mar</v>
      </c>
      <c r="M873">
        <f t="shared" si="53"/>
        <v>2025</v>
      </c>
      <c r="N873">
        <f t="shared" si="54"/>
        <v>44562.560000000005</v>
      </c>
      <c r="O873" t="str">
        <f t="shared" si="55"/>
        <v>On Time</v>
      </c>
    </row>
    <row r="874" spans="1:15" x14ac:dyDescent="0.25">
      <c r="A874">
        <v>873</v>
      </c>
      <c r="B874" s="2">
        <v>45750</v>
      </c>
      <c r="C874" t="s">
        <v>18</v>
      </c>
      <c r="D874" t="s">
        <v>19</v>
      </c>
      <c r="E874" t="s">
        <v>20</v>
      </c>
      <c r="F874" t="s">
        <v>14</v>
      </c>
      <c r="G874">
        <v>57</v>
      </c>
      <c r="H874">
        <v>274.74</v>
      </c>
      <c r="I874">
        <v>17</v>
      </c>
      <c r="J874" t="s">
        <v>30</v>
      </c>
      <c r="K874">
        <v>15660.18</v>
      </c>
      <c r="L874" t="str">
        <f t="shared" si="52"/>
        <v>Apr</v>
      </c>
      <c r="M874">
        <f t="shared" si="53"/>
        <v>2025</v>
      </c>
      <c r="N874">
        <f t="shared" si="54"/>
        <v>15660.18</v>
      </c>
      <c r="O874" t="str">
        <f t="shared" si="55"/>
        <v>Minor Delay</v>
      </c>
    </row>
    <row r="875" spans="1:15" x14ac:dyDescent="0.25">
      <c r="A875">
        <v>874</v>
      </c>
      <c r="B875" s="2">
        <v>45701</v>
      </c>
      <c r="C875" t="s">
        <v>16</v>
      </c>
      <c r="D875" t="s">
        <v>22</v>
      </c>
      <c r="E875" t="s">
        <v>27</v>
      </c>
      <c r="F875" t="s">
        <v>24</v>
      </c>
      <c r="G875">
        <v>84</v>
      </c>
      <c r="H875">
        <v>704.87</v>
      </c>
      <c r="I875">
        <v>54</v>
      </c>
      <c r="J875" t="s">
        <v>30</v>
      </c>
      <c r="K875">
        <v>59209.08</v>
      </c>
      <c r="L875" t="str">
        <f t="shared" si="52"/>
        <v>Feb</v>
      </c>
      <c r="M875">
        <f t="shared" si="53"/>
        <v>2025</v>
      </c>
      <c r="N875">
        <f t="shared" si="54"/>
        <v>59209.08</v>
      </c>
      <c r="O875" t="str">
        <f t="shared" si="55"/>
        <v>Moderate Delay</v>
      </c>
    </row>
    <row r="876" spans="1:15" x14ac:dyDescent="0.25">
      <c r="A876">
        <v>875</v>
      </c>
      <c r="B876" s="2">
        <v>45854</v>
      </c>
      <c r="C876" t="s">
        <v>25</v>
      </c>
      <c r="D876" t="s">
        <v>17</v>
      </c>
      <c r="E876" t="s">
        <v>19</v>
      </c>
      <c r="F876" t="s">
        <v>24</v>
      </c>
      <c r="G876">
        <v>238</v>
      </c>
      <c r="H876">
        <v>501.92</v>
      </c>
      <c r="I876">
        <v>48</v>
      </c>
      <c r="J876" t="s">
        <v>15</v>
      </c>
      <c r="K876">
        <v>119456.96000000001</v>
      </c>
      <c r="L876" t="str">
        <f t="shared" si="52"/>
        <v>Jul</v>
      </c>
      <c r="M876">
        <f t="shared" si="53"/>
        <v>2025</v>
      </c>
      <c r="N876">
        <f t="shared" si="54"/>
        <v>119456.96000000001</v>
      </c>
      <c r="O876" t="str">
        <f t="shared" si="55"/>
        <v>Moderate Delay</v>
      </c>
    </row>
    <row r="877" spans="1:15" x14ac:dyDescent="0.25">
      <c r="A877">
        <v>876</v>
      </c>
      <c r="B877" s="2">
        <v>45839</v>
      </c>
      <c r="C877" t="s">
        <v>31</v>
      </c>
      <c r="D877" t="s">
        <v>19</v>
      </c>
      <c r="E877" t="s">
        <v>27</v>
      </c>
      <c r="F877" t="s">
        <v>21</v>
      </c>
      <c r="G877">
        <v>297</v>
      </c>
      <c r="H877">
        <v>653.66</v>
      </c>
      <c r="I877">
        <v>34</v>
      </c>
      <c r="J877" t="s">
        <v>15</v>
      </c>
      <c r="K877">
        <v>194137.02</v>
      </c>
      <c r="L877" t="str">
        <f t="shared" si="52"/>
        <v>Jul</v>
      </c>
      <c r="M877">
        <f t="shared" si="53"/>
        <v>2025</v>
      </c>
      <c r="N877">
        <f t="shared" si="54"/>
        <v>194137.02</v>
      </c>
      <c r="O877" t="str">
        <f t="shared" si="55"/>
        <v>Moderate Delay</v>
      </c>
    </row>
    <row r="878" spans="1:15" x14ac:dyDescent="0.25">
      <c r="A878">
        <v>877</v>
      </c>
      <c r="B878" s="2">
        <v>45787</v>
      </c>
      <c r="C878" t="s">
        <v>31</v>
      </c>
      <c r="D878" t="s">
        <v>13</v>
      </c>
      <c r="E878" t="s">
        <v>12</v>
      </c>
      <c r="F878" t="s">
        <v>21</v>
      </c>
      <c r="G878">
        <v>147</v>
      </c>
      <c r="H878">
        <v>283.86</v>
      </c>
      <c r="I878">
        <v>1</v>
      </c>
      <c r="J878" t="s">
        <v>30</v>
      </c>
      <c r="K878">
        <v>41727.42</v>
      </c>
      <c r="L878" t="str">
        <f t="shared" si="52"/>
        <v>May</v>
      </c>
      <c r="M878">
        <f t="shared" si="53"/>
        <v>2025</v>
      </c>
      <c r="N878">
        <f t="shared" si="54"/>
        <v>41727.420000000006</v>
      </c>
      <c r="O878" t="str">
        <f t="shared" si="55"/>
        <v>Minor Delay</v>
      </c>
    </row>
    <row r="879" spans="1:15" x14ac:dyDescent="0.25">
      <c r="A879">
        <v>878</v>
      </c>
      <c r="B879" s="2">
        <v>45955</v>
      </c>
      <c r="C879" t="s">
        <v>11</v>
      </c>
      <c r="D879" t="s">
        <v>27</v>
      </c>
      <c r="E879" t="s">
        <v>13</v>
      </c>
      <c r="F879" t="s">
        <v>24</v>
      </c>
      <c r="G879">
        <v>93</v>
      </c>
      <c r="H879">
        <v>432.77</v>
      </c>
      <c r="I879">
        <v>34</v>
      </c>
      <c r="J879" t="s">
        <v>30</v>
      </c>
      <c r="K879">
        <v>40247.61</v>
      </c>
      <c r="L879" t="str">
        <f t="shared" si="52"/>
        <v>Oct</v>
      </c>
      <c r="M879">
        <f t="shared" si="53"/>
        <v>2025</v>
      </c>
      <c r="N879">
        <f t="shared" si="54"/>
        <v>40247.61</v>
      </c>
      <c r="O879" t="str">
        <f t="shared" si="55"/>
        <v>Moderate Delay</v>
      </c>
    </row>
    <row r="880" spans="1:15" x14ac:dyDescent="0.25">
      <c r="A880">
        <v>879</v>
      </c>
      <c r="B880" s="2">
        <v>45703</v>
      </c>
      <c r="C880" t="s">
        <v>26</v>
      </c>
      <c r="D880" t="s">
        <v>20</v>
      </c>
      <c r="E880" t="s">
        <v>29</v>
      </c>
      <c r="F880" t="s">
        <v>21</v>
      </c>
      <c r="G880">
        <v>185</v>
      </c>
      <c r="H880">
        <v>380.37</v>
      </c>
      <c r="I880">
        <v>18</v>
      </c>
      <c r="J880" t="s">
        <v>30</v>
      </c>
      <c r="K880">
        <v>70368.45</v>
      </c>
      <c r="L880" t="str">
        <f t="shared" si="52"/>
        <v>Feb</v>
      </c>
      <c r="M880">
        <f t="shared" si="53"/>
        <v>2025</v>
      </c>
      <c r="N880">
        <f t="shared" si="54"/>
        <v>70368.45</v>
      </c>
      <c r="O880" t="str">
        <f t="shared" si="55"/>
        <v>Minor Delay</v>
      </c>
    </row>
    <row r="881" spans="1:15" x14ac:dyDescent="0.25">
      <c r="A881">
        <v>880</v>
      </c>
      <c r="B881" s="2">
        <v>45842</v>
      </c>
      <c r="C881" t="s">
        <v>18</v>
      </c>
      <c r="D881" t="s">
        <v>20</v>
      </c>
      <c r="E881" t="s">
        <v>23</v>
      </c>
      <c r="F881" t="s">
        <v>24</v>
      </c>
      <c r="G881">
        <v>281</v>
      </c>
      <c r="H881">
        <v>708.93</v>
      </c>
      <c r="I881">
        <v>41</v>
      </c>
      <c r="J881" t="s">
        <v>15</v>
      </c>
      <c r="K881">
        <v>199209.33</v>
      </c>
      <c r="L881" t="str">
        <f t="shared" si="52"/>
        <v>Jul</v>
      </c>
      <c r="M881">
        <f t="shared" si="53"/>
        <v>2025</v>
      </c>
      <c r="N881">
        <f t="shared" si="54"/>
        <v>199209.33</v>
      </c>
      <c r="O881" t="str">
        <f t="shared" si="55"/>
        <v>Moderate Delay</v>
      </c>
    </row>
    <row r="882" spans="1:15" x14ac:dyDescent="0.25">
      <c r="A882">
        <v>881</v>
      </c>
      <c r="B882" s="2">
        <v>45881</v>
      </c>
      <c r="C882" t="s">
        <v>11</v>
      </c>
      <c r="D882" t="s">
        <v>23</v>
      </c>
      <c r="E882" t="s">
        <v>17</v>
      </c>
      <c r="F882" t="s">
        <v>24</v>
      </c>
      <c r="G882">
        <v>238</v>
      </c>
      <c r="H882">
        <v>795.98</v>
      </c>
      <c r="I882">
        <v>21</v>
      </c>
      <c r="J882" t="s">
        <v>30</v>
      </c>
      <c r="K882">
        <v>189443.24</v>
      </c>
      <c r="L882" t="str">
        <f t="shared" si="52"/>
        <v>Aug</v>
      </c>
      <c r="M882">
        <f t="shared" si="53"/>
        <v>2025</v>
      </c>
      <c r="N882">
        <f t="shared" si="54"/>
        <v>189443.24</v>
      </c>
      <c r="O882" t="str">
        <f t="shared" si="55"/>
        <v>Minor Delay</v>
      </c>
    </row>
    <row r="883" spans="1:15" x14ac:dyDescent="0.25">
      <c r="A883">
        <v>882</v>
      </c>
      <c r="B883" s="2">
        <v>45754</v>
      </c>
      <c r="C883" t="s">
        <v>11</v>
      </c>
      <c r="D883" t="s">
        <v>20</v>
      </c>
      <c r="E883" t="s">
        <v>13</v>
      </c>
      <c r="F883" t="s">
        <v>14</v>
      </c>
      <c r="G883">
        <v>108</v>
      </c>
      <c r="H883">
        <v>195.52</v>
      </c>
      <c r="I883">
        <v>5</v>
      </c>
      <c r="J883" t="s">
        <v>15</v>
      </c>
      <c r="K883">
        <v>21116.16</v>
      </c>
      <c r="L883" t="str">
        <f t="shared" si="52"/>
        <v>Apr</v>
      </c>
      <c r="M883">
        <f t="shared" si="53"/>
        <v>2025</v>
      </c>
      <c r="N883">
        <f t="shared" si="54"/>
        <v>21116.16</v>
      </c>
      <c r="O883" t="str">
        <f t="shared" si="55"/>
        <v>Minor Delay</v>
      </c>
    </row>
    <row r="884" spans="1:15" x14ac:dyDescent="0.25">
      <c r="A884">
        <v>883</v>
      </c>
      <c r="B884" s="2">
        <v>45881</v>
      </c>
      <c r="C884" t="s">
        <v>16</v>
      </c>
      <c r="D884" t="s">
        <v>29</v>
      </c>
      <c r="E884" t="s">
        <v>27</v>
      </c>
      <c r="F884" t="s">
        <v>24</v>
      </c>
      <c r="G884">
        <v>60</v>
      </c>
      <c r="H884">
        <v>386.72</v>
      </c>
      <c r="I884">
        <v>51</v>
      </c>
      <c r="J884" t="s">
        <v>15</v>
      </c>
      <c r="K884">
        <v>23203.200000000001</v>
      </c>
      <c r="L884" t="str">
        <f t="shared" si="52"/>
        <v>Aug</v>
      </c>
      <c r="M884">
        <f t="shared" si="53"/>
        <v>2025</v>
      </c>
      <c r="N884">
        <f t="shared" si="54"/>
        <v>23203.200000000001</v>
      </c>
      <c r="O884" t="str">
        <f t="shared" si="55"/>
        <v>Moderate Delay</v>
      </c>
    </row>
    <row r="885" spans="1:15" x14ac:dyDescent="0.25">
      <c r="A885">
        <v>884</v>
      </c>
      <c r="B885" s="2">
        <v>45721</v>
      </c>
      <c r="C885" t="s">
        <v>26</v>
      </c>
      <c r="D885" t="s">
        <v>12</v>
      </c>
      <c r="E885" t="s">
        <v>19</v>
      </c>
      <c r="F885" t="s">
        <v>14</v>
      </c>
      <c r="G885">
        <v>102</v>
      </c>
      <c r="H885">
        <v>702.45</v>
      </c>
      <c r="I885">
        <v>17</v>
      </c>
      <c r="J885" t="s">
        <v>15</v>
      </c>
      <c r="K885">
        <v>71649.899999999994</v>
      </c>
      <c r="L885" t="str">
        <f t="shared" si="52"/>
        <v>Mar</v>
      </c>
      <c r="M885">
        <f t="shared" si="53"/>
        <v>2025</v>
      </c>
      <c r="N885">
        <f t="shared" si="54"/>
        <v>71649.900000000009</v>
      </c>
      <c r="O885" t="str">
        <f t="shared" si="55"/>
        <v>Minor Delay</v>
      </c>
    </row>
    <row r="886" spans="1:15" x14ac:dyDescent="0.25">
      <c r="A886">
        <v>885</v>
      </c>
      <c r="B886" s="2">
        <v>45946</v>
      </c>
      <c r="C886" t="s">
        <v>25</v>
      </c>
      <c r="D886" t="s">
        <v>29</v>
      </c>
      <c r="E886" t="s">
        <v>22</v>
      </c>
      <c r="F886" t="s">
        <v>21</v>
      </c>
      <c r="G886">
        <v>104</v>
      </c>
      <c r="H886">
        <v>491.83</v>
      </c>
      <c r="I886">
        <v>50</v>
      </c>
      <c r="J886" t="s">
        <v>15</v>
      </c>
      <c r="K886">
        <v>51150.32</v>
      </c>
      <c r="L886" t="str">
        <f t="shared" si="52"/>
        <v>Oct</v>
      </c>
      <c r="M886">
        <f t="shared" si="53"/>
        <v>2025</v>
      </c>
      <c r="N886">
        <f t="shared" si="54"/>
        <v>51150.32</v>
      </c>
      <c r="O886" t="str">
        <f t="shared" si="55"/>
        <v>Moderate Delay</v>
      </c>
    </row>
    <row r="887" spans="1:15" x14ac:dyDescent="0.25">
      <c r="A887">
        <v>886</v>
      </c>
      <c r="B887" s="2">
        <v>45784</v>
      </c>
      <c r="C887" t="s">
        <v>18</v>
      </c>
      <c r="D887" t="s">
        <v>17</v>
      </c>
      <c r="E887" t="s">
        <v>12</v>
      </c>
      <c r="F887" t="s">
        <v>21</v>
      </c>
      <c r="G887">
        <v>74</v>
      </c>
      <c r="H887">
        <v>716.65</v>
      </c>
      <c r="I887">
        <v>14</v>
      </c>
      <c r="J887" t="s">
        <v>15</v>
      </c>
      <c r="K887">
        <v>53032.1</v>
      </c>
      <c r="L887" t="str">
        <f t="shared" si="52"/>
        <v>May</v>
      </c>
      <c r="M887">
        <f t="shared" si="53"/>
        <v>2025</v>
      </c>
      <c r="N887">
        <f t="shared" si="54"/>
        <v>53032.1</v>
      </c>
      <c r="O887" t="str">
        <f t="shared" si="55"/>
        <v>Minor Delay</v>
      </c>
    </row>
    <row r="888" spans="1:15" x14ac:dyDescent="0.25">
      <c r="A888">
        <v>887</v>
      </c>
      <c r="B888" s="2">
        <v>45849</v>
      </c>
      <c r="C888" t="s">
        <v>31</v>
      </c>
      <c r="D888" t="s">
        <v>12</v>
      </c>
      <c r="E888" t="s">
        <v>20</v>
      </c>
      <c r="F888" t="s">
        <v>14</v>
      </c>
      <c r="G888">
        <v>264</v>
      </c>
      <c r="H888">
        <v>299.42</v>
      </c>
      <c r="I888">
        <v>47</v>
      </c>
      <c r="J888" t="s">
        <v>15</v>
      </c>
      <c r="K888">
        <v>79046.880000000005</v>
      </c>
      <c r="L888" t="str">
        <f t="shared" si="52"/>
        <v>Jul</v>
      </c>
      <c r="M888">
        <f t="shared" si="53"/>
        <v>2025</v>
      </c>
      <c r="N888">
        <f t="shared" si="54"/>
        <v>79046.880000000005</v>
      </c>
      <c r="O888" t="str">
        <f t="shared" si="55"/>
        <v>Moderate Delay</v>
      </c>
    </row>
    <row r="889" spans="1:15" x14ac:dyDescent="0.25">
      <c r="A889">
        <v>888</v>
      </c>
      <c r="B889" s="2">
        <v>45979</v>
      </c>
      <c r="C889" t="s">
        <v>26</v>
      </c>
      <c r="D889" t="s">
        <v>20</v>
      </c>
      <c r="E889" t="s">
        <v>27</v>
      </c>
      <c r="F889" t="s">
        <v>21</v>
      </c>
      <c r="G889">
        <v>218</v>
      </c>
      <c r="H889">
        <v>64.3</v>
      </c>
      <c r="I889">
        <v>25</v>
      </c>
      <c r="J889" t="s">
        <v>30</v>
      </c>
      <c r="K889">
        <v>14017.4</v>
      </c>
      <c r="L889" t="str">
        <f t="shared" si="52"/>
        <v>Nov</v>
      </c>
      <c r="M889">
        <f t="shared" si="53"/>
        <v>2025</v>
      </c>
      <c r="N889">
        <f t="shared" si="54"/>
        <v>14017.4</v>
      </c>
      <c r="O889" t="str">
        <f t="shared" si="55"/>
        <v>Minor Delay</v>
      </c>
    </row>
    <row r="890" spans="1:15" x14ac:dyDescent="0.25">
      <c r="A890">
        <v>889</v>
      </c>
      <c r="B890" s="2">
        <v>45949</v>
      </c>
      <c r="C890" t="s">
        <v>11</v>
      </c>
      <c r="D890" t="s">
        <v>20</v>
      </c>
      <c r="E890" t="s">
        <v>22</v>
      </c>
      <c r="F890" t="s">
        <v>14</v>
      </c>
      <c r="G890">
        <v>270</v>
      </c>
      <c r="H890">
        <v>96.02</v>
      </c>
      <c r="I890">
        <v>6</v>
      </c>
      <c r="J890" t="s">
        <v>15</v>
      </c>
      <c r="K890">
        <v>25925.4</v>
      </c>
      <c r="L890" t="str">
        <f t="shared" si="52"/>
        <v>Oct</v>
      </c>
      <c r="M890">
        <f t="shared" si="53"/>
        <v>2025</v>
      </c>
      <c r="N890">
        <f t="shared" si="54"/>
        <v>25925.399999999998</v>
      </c>
      <c r="O890" t="str">
        <f t="shared" si="55"/>
        <v>Minor Delay</v>
      </c>
    </row>
    <row r="891" spans="1:15" x14ac:dyDescent="0.25">
      <c r="A891">
        <v>890</v>
      </c>
      <c r="B891" s="2">
        <v>45705</v>
      </c>
      <c r="C891" t="s">
        <v>18</v>
      </c>
      <c r="D891" t="s">
        <v>12</v>
      </c>
      <c r="E891" t="s">
        <v>20</v>
      </c>
      <c r="F891" t="s">
        <v>24</v>
      </c>
      <c r="G891">
        <v>95</v>
      </c>
      <c r="H891">
        <v>237.66</v>
      </c>
      <c r="I891">
        <v>2</v>
      </c>
      <c r="J891" t="s">
        <v>15</v>
      </c>
      <c r="K891">
        <v>22577.7</v>
      </c>
      <c r="L891" t="str">
        <f t="shared" si="52"/>
        <v>Feb</v>
      </c>
      <c r="M891">
        <f t="shared" si="53"/>
        <v>2025</v>
      </c>
      <c r="N891">
        <f t="shared" si="54"/>
        <v>22577.7</v>
      </c>
      <c r="O891" t="str">
        <f t="shared" si="55"/>
        <v>Minor Delay</v>
      </c>
    </row>
    <row r="892" spans="1:15" x14ac:dyDescent="0.25">
      <c r="A892">
        <v>891</v>
      </c>
      <c r="B892" s="2">
        <v>45668</v>
      </c>
      <c r="C892" t="s">
        <v>11</v>
      </c>
      <c r="D892" t="s">
        <v>17</v>
      </c>
      <c r="E892" t="s">
        <v>12</v>
      </c>
      <c r="F892" t="s">
        <v>14</v>
      </c>
      <c r="G892">
        <v>149</v>
      </c>
      <c r="H892">
        <v>636.82000000000005</v>
      </c>
      <c r="I892">
        <v>10</v>
      </c>
      <c r="J892" t="s">
        <v>15</v>
      </c>
      <c r="K892">
        <v>94886.18</v>
      </c>
      <c r="L892" t="str">
        <f t="shared" si="52"/>
        <v>Jan</v>
      </c>
      <c r="M892">
        <f t="shared" si="53"/>
        <v>2025</v>
      </c>
      <c r="N892">
        <f t="shared" si="54"/>
        <v>94886.180000000008</v>
      </c>
      <c r="O892" t="str">
        <f t="shared" si="55"/>
        <v>Minor Delay</v>
      </c>
    </row>
    <row r="893" spans="1:15" x14ac:dyDescent="0.25">
      <c r="A893">
        <v>892</v>
      </c>
      <c r="B893" s="2">
        <v>45909</v>
      </c>
      <c r="C893" t="s">
        <v>18</v>
      </c>
      <c r="D893" t="s">
        <v>12</v>
      </c>
      <c r="E893" t="s">
        <v>22</v>
      </c>
      <c r="F893" t="s">
        <v>21</v>
      </c>
      <c r="G893">
        <v>256</v>
      </c>
      <c r="H893">
        <v>742.06</v>
      </c>
      <c r="I893">
        <v>60</v>
      </c>
      <c r="J893" t="s">
        <v>30</v>
      </c>
      <c r="K893">
        <v>189967.35999999999</v>
      </c>
      <c r="L893" t="str">
        <f t="shared" si="52"/>
        <v>Sep</v>
      </c>
      <c r="M893">
        <f t="shared" si="53"/>
        <v>2025</v>
      </c>
      <c r="N893">
        <f t="shared" si="54"/>
        <v>189967.35999999999</v>
      </c>
      <c r="O893" t="str">
        <f t="shared" si="55"/>
        <v>Moderate Delay</v>
      </c>
    </row>
    <row r="894" spans="1:15" x14ac:dyDescent="0.25">
      <c r="A894">
        <v>893</v>
      </c>
      <c r="B894" s="2">
        <v>45998</v>
      </c>
      <c r="C894" t="s">
        <v>16</v>
      </c>
      <c r="D894" t="s">
        <v>29</v>
      </c>
      <c r="E894" t="s">
        <v>17</v>
      </c>
      <c r="F894" t="s">
        <v>24</v>
      </c>
      <c r="G894">
        <v>181</v>
      </c>
      <c r="H894">
        <v>207.9</v>
      </c>
      <c r="I894">
        <v>0</v>
      </c>
      <c r="J894" t="s">
        <v>15</v>
      </c>
      <c r="K894">
        <v>37629.9</v>
      </c>
      <c r="L894" t="str">
        <f t="shared" si="52"/>
        <v>Dec</v>
      </c>
      <c r="M894">
        <f t="shared" si="53"/>
        <v>2025</v>
      </c>
      <c r="N894">
        <f t="shared" si="54"/>
        <v>37629.9</v>
      </c>
      <c r="O894" t="str">
        <f t="shared" si="55"/>
        <v>On Time</v>
      </c>
    </row>
    <row r="895" spans="1:15" x14ac:dyDescent="0.25">
      <c r="A895">
        <v>894</v>
      </c>
      <c r="B895" s="2">
        <v>45874</v>
      </c>
      <c r="C895" t="s">
        <v>26</v>
      </c>
      <c r="D895" t="s">
        <v>17</v>
      </c>
      <c r="E895" t="s">
        <v>12</v>
      </c>
      <c r="F895" t="s">
        <v>21</v>
      </c>
      <c r="G895">
        <v>97</v>
      </c>
      <c r="H895">
        <v>381.24</v>
      </c>
      <c r="I895">
        <v>28</v>
      </c>
      <c r="J895" t="s">
        <v>15</v>
      </c>
      <c r="K895">
        <v>36980.28</v>
      </c>
      <c r="L895" t="str">
        <f t="shared" si="52"/>
        <v>Aug</v>
      </c>
      <c r="M895">
        <f t="shared" si="53"/>
        <v>2025</v>
      </c>
      <c r="N895">
        <f t="shared" si="54"/>
        <v>36980.28</v>
      </c>
      <c r="O895" t="str">
        <f t="shared" si="55"/>
        <v>Minor Delay</v>
      </c>
    </row>
    <row r="896" spans="1:15" x14ac:dyDescent="0.25">
      <c r="A896">
        <v>895</v>
      </c>
      <c r="B896" s="2">
        <v>45895</v>
      </c>
      <c r="C896" t="s">
        <v>25</v>
      </c>
      <c r="D896" t="s">
        <v>13</v>
      </c>
      <c r="E896" t="s">
        <v>17</v>
      </c>
      <c r="F896" t="s">
        <v>14</v>
      </c>
      <c r="G896">
        <v>215</v>
      </c>
      <c r="H896">
        <v>567.82000000000005</v>
      </c>
      <c r="I896">
        <v>36</v>
      </c>
      <c r="J896" t="s">
        <v>15</v>
      </c>
      <c r="K896">
        <v>122081.3</v>
      </c>
      <c r="L896" t="str">
        <f t="shared" si="52"/>
        <v>Aug</v>
      </c>
      <c r="M896">
        <f t="shared" si="53"/>
        <v>2025</v>
      </c>
      <c r="N896">
        <f t="shared" si="54"/>
        <v>122081.30000000002</v>
      </c>
      <c r="O896" t="str">
        <f t="shared" si="55"/>
        <v>Moderate Delay</v>
      </c>
    </row>
    <row r="897" spans="1:15" x14ac:dyDescent="0.25">
      <c r="A897">
        <v>896</v>
      </c>
      <c r="B897" s="2">
        <v>45806</v>
      </c>
      <c r="C897" t="s">
        <v>18</v>
      </c>
      <c r="D897" t="s">
        <v>27</v>
      </c>
      <c r="E897" t="s">
        <v>12</v>
      </c>
      <c r="F897" t="s">
        <v>24</v>
      </c>
      <c r="G897">
        <v>70</v>
      </c>
      <c r="H897">
        <v>731.33</v>
      </c>
      <c r="I897">
        <v>44</v>
      </c>
      <c r="J897" t="s">
        <v>15</v>
      </c>
      <c r="K897">
        <v>51193.1</v>
      </c>
      <c r="L897" t="str">
        <f t="shared" si="52"/>
        <v>May</v>
      </c>
      <c r="M897">
        <f t="shared" si="53"/>
        <v>2025</v>
      </c>
      <c r="N897">
        <f t="shared" si="54"/>
        <v>51193.100000000006</v>
      </c>
      <c r="O897" t="str">
        <f t="shared" si="55"/>
        <v>Moderate Delay</v>
      </c>
    </row>
    <row r="898" spans="1:15" x14ac:dyDescent="0.25">
      <c r="A898">
        <v>897</v>
      </c>
      <c r="B898" s="2">
        <v>46008</v>
      </c>
      <c r="C898" t="s">
        <v>26</v>
      </c>
      <c r="D898" t="s">
        <v>29</v>
      </c>
      <c r="E898" t="s">
        <v>19</v>
      </c>
      <c r="F898" t="s">
        <v>14</v>
      </c>
      <c r="G898">
        <v>183</v>
      </c>
      <c r="H898">
        <v>376.52</v>
      </c>
      <c r="I898">
        <v>0</v>
      </c>
      <c r="J898" t="s">
        <v>30</v>
      </c>
      <c r="K898">
        <v>68903.16</v>
      </c>
      <c r="L898" t="str">
        <f t="shared" si="52"/>
        <v>Dec</v>
      </c>
      <c r="M898">
        <f t="shared" si="53"/>
        <v>2025</v>
      </c>
      <c r="N898">
        <f t="shared" si="54"/>
        <v>68903.16</v>
      </c>
      <c r="O898" t="str">
        <f t="shared" si="55"/>
        <v>On Time</v>
      </c>
    </row>
    <row r="899" spans="1:15" x14ac:dyDescent="0.25">
      <c r="A899">
        <v>898</v>
      </c>
      <c r="B899" s="2">
        <v>45919</v>
      </c>
      <c r="C899" t="s">
        <v>18</v>
      </c>
      <c r="D899" t="s">
        <v>27</v>
      </c>
      <c r="E899" t="s">
        <v>12</v>
      </c>
      <c r="F899" t="s">
        <v>24</v>
      </c>
      <c r="G899">
        <v>74</v>
      </c>
      <c r="H899">
        <v>403.85</v>
      </c>
      <c r="I899">
        <v>6</v>
      </c>
      <c r="J899" t="s">
        <v>15</v>
      </c>
      <c r="K899">
        <v>29884.9</v>
      </c>
      <c r="L899" t="str">
        <f t="shared" ref="L899:L962" si="56">TEXT(B899,"MMM")</f>
        <v>Sep</v>
      </c>
      <c r="M899">
        <f t="shared" ref="M899:M962" si="57">YEAR(B899)</f>
        <v>2025</v>
      </c>
      <c r="N899">
        <f t="shared" ref="N899:N962" si="58">G899*H899</f>
        <v>29884.9</v>
      </c>
      <c r="O899" t="str">
        <f t="shared" ref="O899:O962" si="59">IF(I899=0,"On Time",IF(I899&lt;=30,"Minor Delay",IF(I899&lt;=60,"Moderate Delay","Major Delay")))</f>
        <v>Minor Delay</v>
      </c>
    </row>
    <row r="900" spans="1:15" x14ac:dyDescent="0.25">
      <c r="A900">
        <v>899</v>
      </c>
      <c r="B900" s="2">
        <v>45788</v>
      </c>
      <c r="C900" t="s">
        <v>31</v>
      </c>
      <c r="D900" t="s">
        <v>23</v>
      </c>
      <c r="E900" t="s">
        <v>17</v>
      </c>
      <c r="F900" t="s">
        <v>14</v>
      </c>
      <c r="G900">
        <v>246</v>
      </c>
      <c r="H900">
        <v>432.55</v>
      </c>
      <c r="I900">
        <v>47</v>
      </c>
      <c r="J900" t="s">
        <v>15</v>
      </c>
      <c r="K900">
        <v>106407.3</v>
      </c>
      <c r="L900" t="str">
        <f t="shared" si="56"/>
        <v>May</v>
      </c>
      <c r="M900">
        <f t="shared" si="57"/>
        <v>2025</v>
      </c>
      <c r="N900">
        <f t="shared" si="58"/>
        <v>106407.3</v>
      </c>
      <c r="O900" t="str">
        <f t="shared" si="59"/>
        <v>Moderate Delay</v>
      </c>
    </row>
    <row r="901" spans="1:15" x14ac:dyDescent="0.25">
      <c r="A901">
        <v>900</v>
      </c>
      <c r="B901" s="2">
        <v>45681</v>
      </c>
      <c r="C901" t="s">
        <v>16</v>
      </c>
      <c r="D901" t="s">
        <v>29</v>
      </c>
      <c r="E901" t="s">
        <v>20</v>
      </c>
      <c r="F901" t="s">
        <v>24</v>
      </c>
      <c r="G901">
        <v>274</v>
      </c>
      <c r="H901">
        <v>581.24</v>
      </c>
      <c r="I901">
        <v>44</v>
      </c>
      <c r="J901" t="s">
        <v>15</v>
      </c>
      <c r="K901">
        <v>159259.76</v>
      </c>
      <c r="L901" t="str">
        <f t="shared" si="56"/>
        <v>Jan</v>
      </c>
      <c r="M901">
        <f t="shared" si="57"/>
        <v>2025</v>
      </c>
      <c r="N901">
        <f t="shared" si="58"/>
        <v>159259.76</v>
      </c>
      <c r="O901" t="str">
        <f t="shared" si="59"/>
        <v>Moderate Delay</v>
      </c>
    </row>
    <row r="902" spans="1:15" x14ac:dyDescent="0.25">
      <c r="A902">
        <v>901</v>
      </c>
      <c r="B902" s="2">
        <v>45977</v>
      </c>
      <c r="C902" t="s">
        <v>26</v>
      </c>
      <c r="D902" t="s">
        <v>20</v>
      </c>
      <c r="E902" t="s">
        <v>27</v>
      </c>
      <c r="F902" t="s">
        <v>24</v>
      </c>
      <c r="G902">
        <v>297</v>
      </c>
      <c r="H902">
        <v>739.4</v>
      </c>
      <c r="I902">
        <v>26</v>
      </c>
      <c r="J902" t="s">
        <v>15</v>
      </c>
      <c r="K902">
        <v>219601.8</v>
      </c>
      <c r="L902" t="str">
        <f t="shared" si="56"/>
        <v>Nov</v>
      </c>
      <c r="M902">
        <f t="shared" si="57"/>
        <v>2025</v>
      </c>
      <c r="N902">
        <f t="shared" si="58"/>
        <v>219601.8</v>
      </c>
      <c r="O902" t="str">
        <f t="shared" si="59"/>
        <v>Minor Delay</v>
      </c>
    </row>
    <row r="903" spans="1:15" x14ac:dyDescent="0.25">
      <c r="A903">
        <v>902</v>
      </c>
      <c r="B903" s="2">
        <v>45880</v>
      </c>
      <c r="C903" t="s">
        <v>31</v>
      </c>
      <c r="D903" t="s">
        <v>23</v>
      </c>
      <c r="E903" t="s">
        <v>12</v>
      </c>
      <c r="F903" t="s">
        <v>14</v>
      </c>
      <c r="G903">
        <v>51</v>
      </c>
      <c r="H903">
        <v>352.25</v>
      </c>
      <c r="I903">
        <v>3</v>
      </c>
      <c r="J903" t="s">
        <v>15</v>
      </c>
      <c r="K903">
        <v>17964.75</v>
      </c>
      <c r="L903" t="str">
        <f t="shared" si="56"/>
        <v>Aug</v>
      </c>
      <c r="M903">
        <f t="shared" si="57"/>
        <v>2025</v>
      </c>
      <c r="N903">
        <f t="shared" si="58"/>
        <v>17964.75</v>
      </c>
      <c r="O903" t="str">
        <f t="shared" si="59"/>
        <v>Minor Delay</v>
      </c>
    </row>
    <row r="904" spans="1:15" x14ac:dyDescent="0.25">
      <c r="A904">
        <v>903</v>
      </c>
      <c r="B904" s="2">
        <v>46012</v>
      </c>
      <c r="C904" t="s">
        <v>18</v>
      </c>
      <c r="D904" t="s">
        <v>20</v>
      </c>
      <c r="E904" t="s">
        <v>27</v>
      </c>
      <c r="F904" t="s">
        <v>21</v>
      </c>
      <c r="G904">
        <v>297</v>
      </c>
      <c r="H904">
        <v>610.74</v>
      </c>
      <c r="I904">
        <v>16</v>
      </c>
      <c r="J904" t="s">
        <v>30</v>
      </c>
      <c r="K904">
        <v>181389.78</v>
      </c>
      <c r="L904" t="str">
        <f t="shared" si="56"/>
        <v>Dec</v>
      </c>
      <c r="M904">
        <f t="shared" si="57"/>
        <v>2025</v>
      </c>
      <c r="N904">
        <f t="shared" si="58"/>
        <v>181389.78</v>
      </c>
      <c r="O904" t="str">
        <f t="shared" si="59"/>
        <v>Minor Delay</v>
      </c>
    </row>
    <row r="905" spans="1:15" x14ac:dyDescent="0.25">
      <c r="A905">
        <v>904</v>
      </c>
      <c r="B905" s="2">
        <v>45812</v>
      </c>
      <c r="C905" t="s">
        <v>16</v>
      </c>
      <c r="D905" t="s">
        <v>22</v>
      </c>
      <c r="E905" t="s">
        <v>20</v>
      </c>
      <c r="F905" t="s">
        <v>14</v>
      </c>
      <c r="G905">
        <v>84</v>
      </c>
      <c r="H905">
        <v>70.27</v>
      </c>
      <c r="I905">
        <v>0</v>
      </c>
      <c r="J905" t="s">
        <v>15</v>
      </c>
      <c r="K905">
        <v>5902.68</v>
      </c>
      <c r="L905" t="str">
        <f t="shared" si="56"/>
        <v>Jun</v>
      </c>
      <c r="M905">
        <f t="shared" si="57"/>
        <v>2025</v>
      </c>
      <c r="N905">
        <f t="shared" si="58"/>
        <v>5902.6799999999994</v>
      </c>
      <c r="O905" t="str">
        <f t="shared" si="59"/>
        <v>On Time</v>
      </c>
    </row>
    <row r="906" spans="1:15" x14ac:dyDescent="0.25">
      <c r="A906">
        <v>905</v>
      </c>
      <c r="B906" s="2">
        <v>45671</v>
      </c>
      <c r="C906" t="s">
        <v>11</v>
      </c>
      <c r="D906" t="s">
        <v>13</v>
      </c>
      <c r="E906" t="s">
        <v>23</v>
      </c>
      <c r="F906" t="s">
        <v>24</v>
      </c>
      <c r="G906">
        <v>216</v>
      </c>
      <c r="H906">
        <v>167.41</v>
      </c>
      <c r="I906">
        <v>22</v>
      </c>
      <c r="J906" t="s">
        <v>30</v>
      </c>
      <c r="K906">
        <v>36160.559999999998</v>
      </c>
      <c r="L906" t="str">
        <f t="shared" si="56"/>
        <v>Jan</v>
      </c>
      <c r="M906">
        <f t="shared" si="57"/>
        <v>2025</v>
      </c>
      <c r="N906">
        <f t="shared" si="58"/>
        <v>36160.559999999998</v>
      </c>
      <c r="O906" t="str">
        <f t="shared" si="59"/>
        <v>Minor Delay</v>
      </c>
    </row>
    <row r="907" spans="1:15" x14ac:dyDescent="0.25">
      <c r="A907">
        <v>906</v>
      </c>
      <c r="B907" s="2">
        <v>45702</v>
      </c>
      <c r="C907" t="s">
        <v>26</v>
      </c>
      <c r="D907" t="s">
        <v>27</v>
      </c>
      <c r="E907" t="s">
        <v>19</v>
      </c>
      <c r="F907" t="s">
        <v>24</v>
      </c>
      <c r="G907">
        <v>87</v>
      </c>
      <c r="H907">
        <v>410.75</v>
      </c>
      <c r="I907">
        <v>67</v>
      </c>
      <c r="J907" t="s">
        <v>15</v>
      </c>
      <c r="K907">
        <v>35735.25</v>
      </c>
      <c r="L907" t="str">
        <f t="shared" si="56"/>
        <v>Feb</v>
      </c>
      <c r="M907">
        <f t="shared" si="57"/>
        <v>2025</v>
      </c>
      <c r="N907">
        <f t="shared" si="58"/>
        <v>35735.25</v>
      </c>
      <c r="O907" t="str">
        <f t="shared" si="59"/>
        <v>Major Delay</v>
      </c>
    </row>
    <row r="908" spans="1:15" x14ac:dyDescent="0.25">
      <c r="A908">
        <v>907</v>
      </c>
      <c r="B908" s="2">
        <v>46017</v>
      </c>
      <c r="C908" t="s">
        <v>18</v>
      </c>
      <c r="D908" t="s">
        <v>29</v>
      </c>
      <c r="E908" t="s">
        <v>19</v>
      </c>
      <c r="F908" t="s">
        <v>24</v>
      </c>
      <c r="G908">
        <v>170</v>
      </c>
      <c r="H908">
        <v>74.52</v>
      </c>
      <c r="I908">
        <v>2</v>
      </c>
      <c r="J908" t="s">
        <v>15</v>
      </c>
      <c r="K908">
        <v>12668.4</v>
      </c>
      <c r="L908" t="str">
        <f t="shared" si="56"/>
        <v>Dec</v>
      </c>
      <c r="M908">
        <f t="shared" si="57"/>
        <v>2025</v>
      </c>
      <c r="N908">
        <f t="shared" si="58"/>
        <v>12668.4</v>
      </c>
      <c r="O908" t="str">
        <f t="shared" si="59"/>
        <v>Minor Delay</v>
      </c>
    </row>
    <row r="909" spans="1:15" x14ac:dyDescent="0.25">
      <c r="A909">
        <v>908</v>
      </c>
      <c r="B909" s="2">
        <v>45828</v>
      </c>
      <c r="C909" t="s">
        <v>16</v>
      </c>
      <c r="D909" t="s">
        <v>17</v>
      </c>
      <c r="E909" t="s">
        <v>13</v>
      </c>
      <c r="F909" t="s">
        <v>14</v>
      </c>
      <c r="G909">
        <v>211</v>
      </c>
      <c r="H909">
        <v>687.25</v>
      </c>
      <c r="I909">
        <v>25</v>
      </c>
      <c r="J909" t="s">
        <v>15</v>
      </c>
      <c r="K909">
        <v>145009.75</v>
      </c>
      <c r="L909" t="str">
        <f t="shared" si="56"/>
        <v>Jun</v>
      </c>
      <c r="M909">
        <f t="shared" si="57"/>
        <v>2025</v>
      </c>
      <c r="N909">
        <f t="shared" si="58"/>
        <v>145009.75</v>
      </c>
      <c r="O909" t="str">
        <f t="shared" si="59"/>
        <v>Minor Delay</v>
      </c>
    </row>
    <row r="910" spans="1:15" x14ac:dyDescent="0.25">
      <c r="A910">
        <v>909</v>
      </c>
      <c r="B910" s="2">
        <v>45954</v>
      </c>
      <c r="C910" t="s">
        <v>31</v>
      </c>
      <c r="D910" t="s">
        <v>17</v>
      </c>
      <c r="E910" t="s">
        <v>27</v>
      </c>
      <c r="F910" t="s">
        <v>21</v>
      </c>
      <c r="G910">
        <v>191</v>
      </c>
      <c r="H910">
        <v>799.28</v>
      </c>
      <c r="I910">
        <v>44</v>
      </c>
      <c r="J910" t="s">
        <v>15</v>
      </c>
      <c r="K910">
        <v>152662.48000000001</v>
      </c>
      <c r="L910" t="str">
        <f t="shared" si="56"/>
        <v>Oct</v>
      </c>
      <c r="M910">
        <f t="shared" si="57"/>
        <v>2025</v>
      </c>
      <c r="N910">
        <f t="shared" si="58"/>
        <v>152662.47999999998</v>
      </c>
      <c r="O910" t="str">
        <f t="shared" si="59"/>
        <v>Moderate Delay</v>
      </c>
    </row>
    <row r="911" spans="1:15" x14ac:dyDescent="0.25">
      <c r="A911">
        <v>910</v>
      </c>
      <c r="B911" s="2">
        <v>45689</v>
      </c>
      <c r="C911" t="s">
        <v>31</v>
      </c>
      <c r="D911" t="s">
        <v>20</v>
      </c>
      <c r="E911" t="s">
        <v>19</v>
      </c>
      <c r="F911" t="s">
        <v>14</v>
      </c>
      <c r="G911">
        <v>158</v>
      </c>
      <c r="H911">
        <v>486.54</v>
      </c>
      <c r="I911">
        <v>25</v>
      </c>
      <c r="J911" t="s">
        <v>15</v>
      </c>
      <c r="K911">
        <v>76873.320000000007</v>
      </c>
      <c r="L911" t="str">
        <f t="shared" si="56"/>
        <v>Feb</v>
      </c>
      <c r="M911">
        <f t="shared" si="57"/>
        <v>2025</v>
      </c>
      <c r="N911">
        <f t="shared" si="58"/>
        <v>76873.320000000007</v>
      </c>
      <c r="O911" t="str">
        <f t="shared" si="59"/>
        <v>Minor Delay</v>
      </c>
    </row>
    <row r="912" spans="1:15" x14ac:dyDescent="0.25">
      <c r="A912">
        <v>911</v>
      </c>
      <c r="B912" s="2">
        <v>45900</v>
      </c>
      <c r="C912" t="s">
        <v>16</v>
      </c>
      <c r="D912" t="s">
        <v>23</v>
      </c>
      <c r="E912" t="s">
        <v>20</v>
      </c>
      <c r="F912" t="s">
        <v>24</v>
      </c>
      <c r="G912">
        <v>209</v>
      </c>
      <c r="H912">
        <v>754.83</v>
      </c>
      <c r="I912">
        <v>0</v>
      </c>
      <c r="J912" t="s">
        <v>15</v>
      </c>
      <c r="K912">
        <v>157759.47</v>
      </c>
      <c r="L912" t="str">
        <f t="shared" si="56"/>
        <v>Aug</v>
      </c>
      <c r="M912">
        <f t="shared" si="57"/>
        <v>2025</v>
      </c>
      <c r="N912">
        <f t="shared" si="58"/>
        <v>157759.47</v>
      </c>
      <c r="O912" t="str">
        <f t="shared" si="59"/>
        <v>On Time</v>
      </c>
    </row>
    <row r="913" spans="1:15" x14ac:dyDescent="0.25">
      <c r="A913">
        <v>912</v>
      </c>
      <c r="B913" s="2">
        <v>45898</v>
      </c>
      <c r="C913" t="s">
        <v>26</v>
      </c>
      <c r="D913" t="s">
        <v>23</v>
      </c>
      <c r="E913" t="s">
        <v>19</v>
      </c>
      <c r="F913" t="s">
        <v>24</v>
      </c>
      <c r="G913">
        <v>109</v>
      </c>
      <c r="H913">
        <v>435.65</v>
      </c>
      <c r="I913">
        <v>51</v>
      </c>
      <c r="J913" t="s">
        <v>15</v>
      </c>
      <c r="K913">
        <v>47485.85</v>
      </c>
      <c r="L913" t="str">
        <f t="shared" si="56"/>
        <v>Aug</v>
      </c>
      <c r="M913">
        <f t="shared" si="57"/>
        <v>2025</v>
      </c>
      <c r="N913">
        <f t="shared" si="58"/>
        <v>47485.85</v>
      </c>
      <c r="O913" t="str">
        <f t="shared" si="59"/>
        <v>Moderate Delay</v>
      </c>
    </row>
    <row r="914" spans="1:15" x14ac:dyDescent="0.25">
      <c r="A914">
        <v>913</v>
      </c>
      <c r="B914" s="2">
        <v>45725</v>
      </c>
      <c r="C914" t="s">
        <v>26</v>
      </c>
      <c r="D914" t="s">
        <v>22</v>
      </c>
      <c r="E914" t="s">
        <v>27</v>
      </c>
      <c r="F914" t="s">
        <v>21</v>
      </c>
      <c r="G914">
        <v>232</v>
      </c>
      <c r="H914">
        <v>348.87</v>
      </c>
      <c r="I914">
        <v>0</v>
      </c>
      <c r="J914" t="s">
        <v>15</v>
      </c>
      <c r="K914">
        <v>80937.84</v>
      </c>
      <c r="L914" t="str">
        <f t="shared" si="56"/>
        <v>Mar</v>
      </c>
      <c r="M914">
        <f t="shared" si="57"/>
        <v>2025</v>
      </c>
      <c r="N914">
        <f t="shared" si="58"/>
        <v>80937.84</v>
      </c>
      <c r="O914" t="str">
        <f t="shared" si="59"/>
        <v>On Time</v>
      </c>
    </row>
    <row r="915" spans="1:15" x14ac:dyDescent="0.25">
      <c r="A915">
        <v>914</v>
      </c>
      <c r="B915" s="2">
        <v>45740</v>
      </c>
      <c r="C915" t="s">
        <v>31</v>
      </c>
      <c r="D915" t="s">
        <v>22</v>
      </c>
      <c r="E915" t="s">
        <v>27</v>
      </c>
      <c r="F915" t="s">
        <v>14</v>
      </c>
      <c r="G915">
        <v>122</v>
      </c>
      <c r="H915">
        <v>571.12</v>
      </c>
      <c r="I915">
        <v>49</v>
      </c>
      <c r="J915" t="s">
        <v>15</v>
      </c>
      <c r="K915">
        <v>69676.639999999999</v>
      </c>
      <c r="L915" t="str">
        <f t="shared" si="56"/>
        <v>Mar</v>
      </c>
      <c r="M915">
        <f t="shared" si="57"/>
        <v>2025</v>
      </c>
      <c r="N915">
        <f t="shared" si="58"/>
        <v>69676.639999999999</v>
      </c>
      <c r="O915" t="str">
        <f t="shared" si="59"/>
        <v>Moderate Delay</v>
      </c>
    </row>
    <row r="916" spans="1:15" x14ac:dyDescent="0.25">
      <c r="A916">
        <v>915</v>
      </c>
      <c r="B916" s="2">
        <v>45746</v>
      </c>
      <c r="C916" t="s">
        <v>11</v>
      </c>
      <c r="D916" t="s">
        <v>20</v>
      </c>
      <c r="E916" t="s">
        <v>29</v>
      </c>
      <c r="F916" t="s">
        <v>14</v>
      </c>
      <c r="G916">
        <v>205</v>
      </c>
      <c r="H916">
        <v>424.22</v>
      </c>
      <c r="I916">
        <v>36</v>
      </c>
      <c r="J916" t="s">
        <v>15</v>
      </c>
      <c r="K916">
        <v>86965.1</v>
      </c>
      <c r="L916" t="str">
        <f t="shared" si="56"/>
        <v>Mar</v>
      </c>
      <c r="M916">
        <f t="shared" si="57"/>
        <v>2025</v>
      </c>
      <c r="N916">
        <f t="shared" si="58"/>
        <v>86965.1</v>
      </c>
      <c r="O916" t="str">
        <f t="shared" si="59"/>
        <v>Moderate Delay</v>
      </c>
    </row>
    <row r="917" spans="1:15" x14ac:dyDescent="0.25">
      <c r="A917">
        <v>916</v>
      </c>
      <c r="B917" s="2">
        <v>45943</v>
      </c>
      <c r="C917" t="s">
        <v>16</v>
      </c>
      <c r="D917" t="s">
        <v>19</v>
      </c>
      <c r="E917" t="s">
        <v>23</v>
      </c>
      <c r="F917" t="s">
        <v>14</v>
      </c>
      <c r="G917">
        <v>141</v>
      </c>
      <c r="H917">
        <v>711.87</v>
      </c>
      <c r="I917">
        <v>0</v>
      </c>
      <c r="J917" t="s">
        <v>15</v>
      </c>
      <c r="K917">
        <v>100373.67</v>
      </c>
      <c r="L917" t="str">
        <f t="shared" si="56"/>
        <v>Oct</v>
      </c>
      <c r="M917">
        <f t="shared" si="57"/>
        <v>2025</v>
      </c>
      <c r="N917">
        <f t="shared" si="58"/>
        <v>100373.67</v>
      </c>
      <c r="O917" t="str">
        <f t="shared" si="59"/>
        <v>On Time</v>
      </c>
    </row>
    <row r="918" spans="1:15" x14ac:dyDescent="0.25">
      <c r="A918">
        <v>917</v>
      </c>
      <c r="B918" s="2">
        <v>45915</v>
      </c>
      <c r="C918" t="s">
        <v>16</v>
      </c>
      <c r="D918" t="s">
        <v>29</v>
      </c>
      <c r="E918" t="s">
        <v>19</v>
      </c>
      <c r="F918" t="s">
        <v>14</v>
      </c>
      <c r="G918">
        <v>136</v>
      </c>
      <c r="H918">
        <v>378.66</v>
      </c>
      <c r="I918">
        <v>10</v>
      </c>
      <c r="J918" t="s">
        <v>15</v>
      </c>
      <c r="K918">
        <v>51497.760000000002</v>
      </c>
      <c r="L918" t="str">
        <f t="shared" si="56"/>
        <v>Sep</v>
      </c>
      <c r="M918">
        <f t="shared" si="57"/>
        <v>2025</v>
      </c>
      <c r="N918">
        <f t="shared" si="58"/>
        <v>51497.760000000002</v>
      </c>
      <c r="O918" t="str">
        <f t="shared" si="59"/>
        <v>Minor Delay</v>
      </c>
    </row>
    <row r="919" spans="1:15" x14ac:dyDescent="0.25">
      <c r="A919">
        <v>918</v>
      </c>
      <c r="B919" s="2">
        <v>45839</v>
      </c>
      <c r="C919" t="s">
        <v>16</v>
      </c>
      <c r="D919" t="s">
        <v>23</v>
      </c>
      <c r="E919" t="s">
        <v>17</v>
      </c>
      <c r="F919" t="s">
        <v>21</v>
      </c>
      <c r="G919">
        <v>118</v>
      </c>
      <c r="H919">
        <v>723.28</v>
      </c>
      <c r="I919">
        <v>11</v>
      </c>
      <c r="J919" t="s">
        <v>30</v>
      </c>
      <c r="K919">
        <v>85347.04</v>
      </c>
      <c r="L919" t="str">
        <f t="shared" si="56"/>
        <v>Jul</v>
      </c>
      <c r="M919">
        <f t="shared" si="57"/>
        <v>2025</v>
      </c>
      <c r="N919">
        <f t="shared" si="58"/>
        <v>85347.04</v>
      </c>
      <c r="O919" t="str">
        <f t="shared" si="59"/>
        <v>Minor Delay</v>
      </c>
    </row>
    <row r="920" spans="1:15" x14ac:dyDescent="0.25">
      <c r="A920">
        <v>919</v>
      </c>
      <c r="B920" s="2">
        <v>46019</v>
      </c>
      <c r="C920" t="s">
        <v>16</v>
      </c>
      <c r="D920" t="s">
        <v>27</v>
      </c>
      <c r="E920" t="s">
        <v>12</v>
      </c>
      <c r="F920" t="s">
        <v>24</v>
      </c>
      <c r="G920">
        <v>254</v>
      </c>
      <c r="H920">
        <v>398.28</v>
      </c>
      <c r="I920">
        <v>26</v>
      </c>
      <c r="J920" t="s">
        <v>15</v>
      </c>
      <c r="K920">
        <v>101163.12</v>
      </c>
      <c r="L920" t="str">
        <f t="shared" si="56"/>
        <v>Dec</v>
      </c>
      <c r="M920">
        <f t="shared" si="57"/>
        <v>2025</v>
      </c>
      <c r="N920">
        <f t="shared" si="58"/>
        <v>101163.12</v>
      </c>
      <c r="O920" t="str">
        <f t="shared" si="59"/>
        <v>Minor Delay</v>
      </c>
    </row>
    <row r="921" spans="1:15" x14ac:dyDescent="0.25">
      <c r="A921">
        <v>920</v>
      </c>
      <c r="B921" s="2">
        <v>45917</v>
      </c>
      <c r="C921" t="s">
        <v>16</v>
      </c>
      <c r="D921" t="s">
        <v>12</v>
      </c>
      <c r="E921" t="s">
        <v>13</v>
      </c>
      <c r="F921" t="s">
        <v>14</v>
      </c>
      <c r="G921">
        <v>211</v>
      </c>
      <c r="H921">
        <v>147.36000000000001</v>
      </c>
      <c r="I921">
        <v>9</v>
      </c>
      <c r="J921" t="s">
        <v>15</v>
      </c>
      <c r="K921">
        <v>31092.959999999999</v>
      </c>
      <c r="L921" t="str">
        <f t="shared" si="56"/>
        <v>Sep</v>
      </c>
      <c r="M921">
        <f t="shared" si="57"/>
        <v>2025</v>
      </c>
      <c r="N921">
        <f t="shared" si="58"/>
        <v>31092.960000000003</v>
      </c>
      <c r="O921" t="str">
        <f t="shared" si="59"/>
        <v>Minor Delay</v>
      </c>
    </row>
    <row r="922" spans="1:15" x14ac:dyDescent="0.25">
      <c r="A922">
        <v>921</v>
      </c>
      <c r="B922" s="2">
        <v>45807</v>
      </c>
      <c r="C922" t="s">
        <v>25</v>
      </c>
      <c r="D922" t="s">
        <v>22</v>
      </c>
      <c r="E922" t="s">
        <v>29</v>
      </c>
      <c r="F922" t="s">
        <v>24</v>
      </c>
      <c r="G922">
        <v>245</v>
      </c>
      <c r="H922">
        <v>434.36</v>
      </c>
      <c r="I922">
        <v>18</v>
      </c>
      <c r="J922" t="s">
        <v>15</v>
      </c>
      <c r="K922">
        <v>106418.2</v>
      </c>
      <c r="L922" t="str">
        <f t="shared" si="56"/>
        <v>May</v>
      </c>
      <c r="M922">
        <f t="shared" si="57"/>
        <v>2025</v>
      </c>
      <c r="N922">
        <f t="shared" si="58"/>
        <v>106418.2</v>
      </c>
      <c r="O922" t="str">
        <f t="shared" si="59"/>
        <v>Minor Delay</v>
      </c>
    </row>
    <row r="923" spans="1:15" x14ac:dyDescent="0.25">
      <c r="A923">
        <v>922</v>
      </c>
      <c r="B923" s="2">
        <v>45720</v>
      </c>
      <c r="C923" t="s">
        <v>11</v>
      </c>
      <c r="D923" t="s">
        <v>22</v>
      </c>
      <c r="E923" t="s">
        <v>29</v>
      </c>
      <c r="F923" t="s">
        <v>24</v>
      </c>
      <c r="G923">
        <v>298</v>
      </c>
      <c r="H923">
        <v>367.65</v>
      </c>
      <c r="I923">
        <v>8</v>
      </c>
      <c r="J923" t="s">
        <v>15</v>
      </c>
      <c r="K923">
        <v>109559.7</v>
      </c>
      <c r="L923" t="str">
        <f t="shared" si="56"/>
        <v>Mar</v>
      </c>
      <c r="M923">
        <f t="shared" si="57"/>
        <v>2025</v>
      </c>
      <c r="N923">
        <f t="shared" si="58"/>
        <v>109559.7</v>
      </c>
      <c r="O923" t="str">
        <f t="shared" si="59"/>
        <v>Minor Delay</v>
      </c>
    </row>
    <row r="924" spans="1:15" x14ac:dyDescent="0.25">
      <c r="A924">
        <v>923</v>
      </c>
      <c r="B924" s="2">
        <v>45832</v>
      </c>
      <c r="C924" t="s">
        <v>26</v>
      </c>
      <c r="D924" t="s">
        <v>19</v>
      </c>
      <c r="E924" t="s">
        <v>27</v>
      </c>
      <c r="F924" t="s">
        <v>21</v>
      </c>
      <c r="G924">
        <v>93</v>
      </c>
      <c r="H924">
        <v>123.07</v>
      </c>
      <c r="I924">
        <v>0</v>
      </c>
      <c r="J924" t="s">
        <v>15</v>
      </c>
      <c r="K924">
        <v>11445.51</v>
      </c>
      <c r="L924" t="str">
        <f t="shared" si="56"/>
        <v>Jun</v>
      </c>
      <c r="M924">
        <f t="shared" si="57"/>
        <v>2025</v>
      </c>
      <c r="N924">
        <f t="shared" si="58"/>
        <v>11445.51</v>
      </c>
      <c r="O924" t="str">
        <f t="shared" si="59"/>
        <v>On Time</v>
      </c>
    </row>
    <row r="925" spans="1:15" x14ac:dyDescent="0.25">
      <c r="A925">
        <v>924</v>
      </c>
      <c r="B925" s="2">
        <v>45929</v>
      </c>
      <c r="C925" t="s">
        <v>18</v>
      </c>
      <c r="D925" t="s">
        <v>19</v>
      </c>
      <c r="E925" t="s">
        <v>29</v>
      </c>
      <c r="F925" t="s">
        <v>14</v>
      </c>
      <c r="G925">
        <v>85</v>
      </c>
      <c r="H925">
        <v>653.30999999999995</v>
      </c>
      <c r="I925">
        <v>50</v>
      </c>
      <c r="J925" t="s">
        <v>15</v>
      </c>
      <c r="K925">
        <v>55531.35</v>
      </c>
      <c r="L925" t="str">
        <f t="shared" si="56"/>
        <v>Sep</v>
      </c>
      <c r="M925">
        <f t="shared" si="57"/>
        <v>2025</v>
      </c>
      <c r="N925">
        <f t="shared" si="58"/>
        <v>55531.35</v>
      </c>
      <c r="O925" t="str">
        <f t="shared" si="59"/>
        <v>Moderate Delay</v>
      </c>
    </row>
    <row r="926" spans="1:15" x14ac:dyDescent="0.25">
      <c r="A926">
        <v>925</v>
      </c>
      <c r="B926" s="2">
        <v>45922</v>
      </c>
      <c r="C926" t="s">
        <v>25</v>
      </c>
      <c r="D926" t="s">
        <v>17</v>
      </c>
      <c r="E926" t="s">
        <v>27</v>
      </c>
      <c r="F926" t="s">
        <v>24</v>
      </c>
      <c r="G926">
        <v>291</v>
      </c>
      <c r="H926">
        <v>82.02</v>
      </c>
      <c r="I926">
        <v>22</v>
      </c>
      <c r="J926" t="s">
        <v>30</v>
      </c>
      <c r="K926">
        <v>23867.82</v>
      </c>
      <c r="L926" t="str">
        <f t="shared" si="56"/>
        <v>Sep</v>
      </c>
      <c r="M926">
        <f t="shared" si="57"/>
        <v>2025</v>
      </c>
      <c r="N926">
        <f t="shared" si="58"/>
        <v>23867.82</v>
      </c>
      <c r="O926" t="str">
        <f t="shared" si="59"/>
        <v>Minor Delay</v>
      </c>
    </row>
    <row r="927" spans="1:15" x14ac:dyDescent="0.25">
      <c r="A927">
        <v>926</v>
      </c>
      <c r="B927" s="2">
        <v>45831</v>
      </c>
      <c r="C927" t="s">
        <v>26</v>
      </c>
      <c r="D927" t="s">
        <v>12</v>
      </c>
      <c r="E927" t="s">
        <v>29</v>
      </c>
      <c r="F927" t="s">
        <v>24</v>
      </c>
      <c r="G927">
        <v>247</v>
      </c>
      <c r="H927">
        <v>181.6</v>
      </c>
      <c r="I927">
        <v>22</v>
      </c>
      <c r="J927" t="s">
        <v>15</v>
      </c>
      <c r="K927">
        <v>44855.199999999997</v>
      </c>
      <c r="L927" t="str">
        <f t="shared" si="56"/>
        <v>Jun</v>
      </c>
      <c r="M927">
        <f t="shared" si="57"/>
        <v>2025</v>
      </c>
      <c r="N927">
        <f t="shared" si="58"/>
        <v>44855.199999999997</v>
      </c>
      <c r="O927" t="str">
        <f t="shared" si="59"/>
        <v>Minor Delay</v>
      </c>
    </row>
    <row r="928" spans="1:15" x14ac:dyDescent="0.25">
      <c r="A928">
        <v>927</v>
      </c>
      <c r="B928" s="2">
        <v>45952</v>
      </c>
      <c r="C928" t="s">
        <v>16</v>
      </c>
      <c r="D928" t="s">
        <v>13</v>
      </c>
      <c r="E928" t="s">
        <v>19</v>
      </c>
      <c r="F928" t="s">
        <v>21</v>
      </c>
      <c r="G928">
        <v>300</v>
      </c>
      <c r="H928">
        <v>587.89</v>
      </c>
      <c r="I928">
        <v>3</v>
      </c>
      <c r="J928" t="s">
        <v>15</v>
      </c>
      <c r="K928">
        <v>176367</v>
      </c>
      <c r="L928" t="str">
        <f t="shared" si="56"/>
        <v>Oct</v>
      </c>
      <c r="M928">
        <f t="shared" si="57"/>
        <v>2025</v>
      </c>
      <c r="N928">
        <f t="shared" si="58"/>
        <v>176367</v>
      </c>
      <c r="O928" t="str">
        <f t="shared" si="59"/>
        <v>Minor Delay</v>
      </c>
    </row>
    <row r="929" spans="1:15" x14ac:dyDescent="0.25">
      <c r="A929">
        <v>928</v>
      </c>
      <c r="B929" s="2">
        <v>45818</v>
      </c>
      <c r="C929" t="s">
        <v>26</v>
      </c>
      <c r="D929" t="s">
        <v>17</v>
      </c>
      <c r="E929" t="s">
        <v>23</v>
      </c>
      <c r="F929" t="s">
        <v>14</v>
      </c>
      <c r="G929">
        <v>261</v>
      </c>
      <c r="H929">
        <v>267.04000000000002</v>
      </c>
      <c r="I929">
        <v>0</v>
      </c>
      <c r="J929" t="s">
        <v>15</v>
      </c>
      <c r="K929">
        <v>69697.440000000002</v>
      </c>
      <c r="L929" t="str">
        <f t="shared" si="56"/>
        <v>Jun</v>
      </c>
      <c r="M929">
        <f t="shared" si="57"/>
        <v>2025</v>
      </c>
      <c r="N929">
        <f t="shared" si="58"/>
        <v>69697.440000000002</v>
      </c>
      <c r="O929" t="str">
        <f t="shared" si="59"/>
        <v>On Time</v>
      </c>
    </row>
    <row r="930" spans="1:15" x14ac:dyDescent="0.25">
      <c r="A930">
        <v>929</v>
      </c>
      <c r="B930" s="2">
        <v>45886</v>
      </c>
      <c r="C930" t="s">
        <v>25</v>
      </c>
      <c r="D930" t="s">
        <v>29</v>
      </c>
      <c r="E930" t="s">
        <v>20</v>
      </c>
      <c r="F930" t="s">
        <v>14</v>
      </c>
      <c r="G930">
        <v>277</v>
      </c>
      <c r="H930">
        <v>462.87</v>
      </c>
      <c r="I930">
        <v>28</v>
      </c>
      <c r="J930" t="s">
        <v>15</v>
      </c>
      <c r="K930">
        <v>128214.99</v>
      </c>
      <c r="L930" t="str">
        <f t="shared" si="56"/>
        <v>Aug</v>
      </c>
      <c r="M930">
        <f t="shared" si="57"/>
        <v>2025</v>
      </c>
      <c r="N930">
        <f t="shared" si="58"/>
        <v>128214.99</v>
      </c>
      <c r="O930" t="str">
        <f t="shared" si="59"/>
        <v>Minor Delay</v>
      </c>
    </row>
    <row r="931" spans="1:15" x14ac:dyDescent="0.25">
      <c r="A931">
        <v>930</v>
      </c>
      <c r="B931" s="2">
        <v>45812</v>
      </c>
      <c r="C931" t="s">
        <v>16</v>
      </c>
      <c r="D931" t="s">
        <v>17</v>
      </c>
      <c r="E931" t="s">
        <v>19</v>
      </c>
      <c r="F931" t="s">
        <v>14</v>
      </c>
      <c r="G931">
        <v>187</v>
      </c>
      <c r="H931">
        <v>307.52</v>
      </c>
      <c r="I931">
        <v>0</v>
      </c>
      <c r="J931" t="s">
        <v>15</v>
      </c>
      <c r="K931">
        <v>57506.239999999998</v>
      </c>
      <c r="L931" t="str">
        <f t="shared" si="56"/>
        <v>Jun</v>
      </c>
      <c r="M931">
        <f t="shared" si="57"/>
        <v>2025</v>
      </c>
      <c r="N931">
        <f t="shared" si="58"/>
        <v>57506.239999999998</v>
      </c>
      <c r="O931" t="str">
        <f t="shared" si="59"/>
        <v>On Time</v>
      </c>
    </row>
    <row r="932" spans="1:15" x14ac:dyDescent="0.25">
      <c r="A932">
        <v>931</v>
      </c>
      <c r="B932" s="2">
        <v>45767</v>
      </c>
      <c r="C932" t="s">
        <v>16</v>
      </c>
      <c r="D932" t="s">
        <v>29</v>
      </c>
      <c r="E932" t="s">
        <v>22</v>
      </c>
      <c r="F932" t="s">
        <v>21</v>
      </c>
      <c r="G932">
        <v>191</v>
      </c>
      <c r="H932">
        <v>291.07</v>
      </c>
      <c r="I932">
        <v>0</v>
      </c>
      <c r="J932" t="s">
        <v>15</v>
      </c>
      <c r="K932">
        <v>55594.37</v>
      </c>
      <c r="L932" t="str">
        <f t="shared" si="56"/>
        <v>Apr</v>
      </c>
      <c r="M932">
        <f t="shared" si="57"/>
        <v>2025</v>
      </c>
      <c r="N932">
        <f t="shared" si="58"/>
        <v>55594.369999999995</v>
      </c>
      <c r="O932" t="str">
        <f t="shared" si="59"/>
        <v>On Time</v>
      </c>
    </row>
    <row r="933" spans="1:15" x14ac:dyDescent="0.25">
      <c r="A933">
        <v>932</v>
      </c>
      <c r="B933" s="2">
        <v>45781</v>
      </c>
      <c r="C933" t="s">
        <v>26</v>
      </c>
      <c r="D933" t="s">
        <v>27</v>
      </c>
      <c r="E933" t="s">
        <v>23</v>
      </c>
      <c r="F933" t="s">
        <v>21</v>
      </c>
      <c r="G933">
        <v>158</v>
      </c>
      <c r="H933">
        <v>790.35</v>
      </c>
      <c r="I933">
        <v>49</v>
      </c>
      <c r="J933" t="s">
        <v>15</v>
      </c>
      <c r="K933">
        <v>124875.3</v>
      </c>
      <c r="L933" t="str">
        <f t="shared" si="56"/>
        <v>May</v>
      </c>
      <c r="M933">
        <f t="shared" si="57"/>
        <v>2025</v>
      </c>
      <c r="N933">
        <f t="shared" si="58"/>
        <v>124875.3</v>
      </c>
      <c r="O933" t="str">
        <f t="shared" si="59"/>
        <v>Moderate Delay</v>
      </c>
    </row>
    <row r="934" spans="1:15" x14ac:dyDescent="0.25">
      <c r="A934">
        <v>933</v>
      </c>
      <c r="B934" s="2">
        <v>45790</v>
      </c>
      <c r="C934" t="s">
        <v>25</v>
      </c>
      <c r="D934" t="s">
        <v>13</v>
      </c>
      <c r="E934" t="s">
        <v>17</v>
      </c>
      <c r="F934" t="s">
        <v>21</v>
      </c>
      <c r="G934">
        <v>140</v>
      </c>
      <c r="H934">
        <v>151.62</v>
      </c>
      <c r="I934">
        <v>22</v>
      </c>
      <c r="J934" t="s">
        <v>15</v>
      </c>
      <c r="K934">
        <v>21226.799999999999</v>
      </c>
      <c r="L934" t="str">
        <f t="shared" si="56"/>
        <v>May</v>
      </c>
      <c r="M934">
        <f t="shared" si="57"/>
        <v>2025</v>
      </c>
      <c r="N934">
        <f t="shared" si="58"/>
        <v>21226.799999999999</v>
      </c>
      <c r="O934" t="str">
        <f t="shared" si="59"/>
        <v>Minor Delay</v>
      </c>
    </row>
    <row r="935" spans="1:15" x14ac:dyDescent="0.25">
      <c r="A935">
        <v>934</v>
      </c>
      <c r="B935" s="2">
        <v>45831</v>
      </c>
      <c r="C935" t="s">
        <v>11</v>
      </c>
      <c r="D935" t="s">
        <v>13</v>
      </c>
      <c r="E935" t="s">
        <v>27</v>
      </c>
      <c r="F935" t="s">
        <v>21</v>
      </c>
      <c r="G935">
        <v>198</v>
      </c>
      <c r="H935">
        <v>478.54</v>
      </c>
      <c r="I935">
        <v>0</v>
      </c>
      <c r="J935" t="s">
        <v>30</v>
      </c>
      <c r="K935">
        <v>94750.92</v>
      </c>
      <c r="L935" t="str">
        <f t="shared" si="56"/>
        <v>Jun</v>
      </c>
      <c r="M935">
        <f t="shared" si="57"/>
        <v>2025</v>
      </c>
      <c r="N935">
        <f t="shared" si="58"/>
        <v>94750.92</v>
      </c>
      <c r="O935" t="str">
        <f t="shared" si="59"/>
        <v>On Time</v>
      </c>
    </row>
    <row r="936" spans="1:15" x14ac:dyDescent="0.25">
      <c r="A936">
        <v>935</v>
      </c>
      <c r="B936" s="2">
        <v>45837</v>
      </c>
      <c r="C936" t="s">
        <v>26</v>
      </c>
      <c r="D936" t="s">
        <v>27</v>
      </c>
      <c r="E936" t="s">
        <v>19</v>
      </c>
      <c r="F936" t="s">
        <v>24</v>
      </c>
      <c r="G936">
        <v>220</v>
      </c>
      <c r="H936">
        <v>640.74</v>
      </c>
      <c r="I936">
        <v>11</v>
      </c>
      <c r="J936" t="s">
        <v>15</v>
      </c>
      <c r="K936">
        <v>140962.79999999999</v>
      </c>
      <c r="L936" t="str">
        <f t="shared" si="56"/>
        <v>Jun</v>
      </c>
      <c r="M936">
        <f t="shared" si="57"/>
        <v>2025</v>
      </c>
      <c r="N936">
        <f t="shared" si="58"/>
        <v>140962.79999999999</v>
      </c>
      <c r="O936" t="str">
        <f t="shared" si="59"/>
        <v>Minor Delay</v>
      </c>
    </row>
    <row r="937" spans="1:15" x14ac:dyDescent="0.25">
      <c r="A937">
        <v>936</v>
      </c>
      <c r="B937" s="2">
        <v>45711</v>
      </c>
      <c r="C937" t="s">
        <v>26</v>
      </c>
      <c r="D937" t="s">
        <v>27</v>
      </c>
      <c r="E937" t="s">
        <v>19</v>
      </c>
      <c r="F937" t="s">
        <v>21</v>
      </c>
      <c r="G937">
        <v>199</v>
      </c>
      <c r="H937">
        <v>202.49</v>
      </c>
      <c r="I937">
        <v>0</v>
      </c>
      <c r="J937" t="s">
        <v>15</v>
      </c>
      <c r="K937">
        <v>40295.51</v>
      </c>
      <c r="L937" t="str">
        <f t="shared" si="56"/>
        <v>Feb</v>
      </c>
      <c r="M937">
        <f t="shared" si="57"/>
        <v>2025</v>
      </c>
      <c r="N937">
        <f t="shared" si="58"/>
        <v>40295.51</v>
      </c>
      <c r="O937" t="str">
        <f t="shared" si="59"/>
        <v>On Time</v>
      </c>
    </row>
    <row r="938" spans="1:15" x14ac:dyDescent="0.25">
      <c r="A938">
        <v>937</v>
      </c>
      <c r="B938" s="2">
        <v>45733</v>
      </c>
      <c r="C938" t="s">
        <v>25</v>
      </c>
      <c r="D938" t="s">
        <v>20</v>
      </c>
      <c r="E938" t="s">
        <v>12</v>
      </c>
      <c r="F938" t="s">
        <v>24</v>
      </c>
      <c r="G938">
        <v>262</v>
      </c>
      <c r="H938">
        <v>364.92</v>
      </c>
      <c r="I938">
        <v>42</v>
      </c>
      <c r="J938" t="s">
        <v>15</v>
      </c>
      <c r="K938">
        <v>95609.04</v>
      </c>
      <c r="L938" t="str">
        <f t="shared" si="56"/>
        <v>Mar</v>
      </c>
      <c r="M938">
        <f t="shared" si="57"/>
        <v>2025</v>
      </c>
      <c r="N938">
        <f t="shared" si="58"/>
        <v>95609.040000000008</v>
      </c>
      <c r="O938" t="str">
        <f t="shared" si="59"/>
        <v>Moderate Delay</v>
      </c>
    </row>
    <row r="939" spans="1:15" x14ac:dyDescent="0.25">
      <c r="A939">
        <v>938</v>
      </c>
      <c r="B939" s="2">
        <v>45697</v>
      </c>
      <c r="C939" t="s">
        <v>26</v>
      </c>
      <c r="D939" t="s">
        <v>19</v>
      </c>
      <c r="E939" t="s">
        <v>27</v>
      </c>
      <c r="F939" t="s">
        <v>21</v>
      </c>
      <c r="G939">
        <v>184</v>
      </c>
      <c r="H939">
        <v>358.04</v>
      </c>
      <c r="I939">
        <v>34</v>
      </c>
      <c r="J939" t="s">
        <v>15</v>
      </c>
      <c r="K939">
        <v>65879.360000000001</v>
      </c>
      <c r="L939" t="str">
        <f t="shared" si="56"/>
        <v>Feb</v>
      </c>
      <c r="M939">
        <f t="shared" si="57"/>
        <v>2025</v>
      </c>
      <c r="N939">
        <f t="shared" si="58"/>
        <v>65879.360000000001</v>
      </c>
      <c r="O939" t="str">
        <f t="shared" si="59"/>
        <v>Moderate Delay</v>
      </c>
    </row>
    <row r="940" spans="1:15" x14ac:dyDescent="0.25">
      <c r="A940">
        <v>939</v>
      </c>
      <c r="B940" s="2">
        <v>45957</v>
      </c>
      <c r="C940" t="s">
        <v>18</v>
      </c>
      <c r="D940" t="s">
        <v>17</v>
      </c>
      <c r="E940" t="s">
        <v>23</v>
      </c>
      <c r="F940" t="s">
        <v>21</v>
      </c>
      <c r="G940">
        <v>158</v>
      </c>
      <c r="H940">
        <v>797.42</v>
      </c>
      <c r="I940">
        <v>0</v>
      </c>
      <c r="J940" t="s">
        <v>15</v>
      </c>
      <c r="K940">
        <v>125992.36</v>
      </c>
      <c r="L940" t="str">
        <f t="shared" si="56"/>
        <v>Oct</v>
      </c>
      <c r="M940">
        <f t="shared" si="57"/>
        <v>2025</v>
      </c>
      <c r="N940">
        <f t="shared" si="58"/>
        <v>125992.36</v>
      </c>
      <c r="O940" t="str">
        <f t="shared" si="59"/>
        <v>On Time</v>
      </c>
    </row>
    <row r="941" spans="1:15" x14ac:dyDescent="0.25">
      <c r="A941">
        <v>940</v>
      </c>
      <c r="B941" s="2">
        <v>45731</v>
      </c>
      <c r="C941" t="s">
        <v>31</v>
      </c>
      <c r="D941" t="s">
        <v>17</v>
      </c>
      <c r="E941" t="s">
        <v>29</v>
      </c>
      <c r="F941" t="s">
        <v>14</v>
      </c>
      <c r="G941">
        <v>174</v>
      </c>
      <c r="H941">
        <v>586.25</v>
      </c>
      <c r="I941">
        <v>0</v>
      </c>
      <c r="J941" t="s">
        <v>15</v>
      </c>
      <c r="K941">
        <v>102007.5</v>
      </c>
      <c r="L941" t="str">
        <f t="shared" si="56"/>
        <v>Mar</v>
      </c>
      <c r="M941">
        <f t="shared" si="57"/>
        <v>2025</v>
      </c>
      <c r="N941">
        <f t="shared" si="58"/>
        <v>102007.5</v>
      </c>
      <c r="O941" t="str">
        <f t="shared" si="59"/>
        <v>On Time</v>
      </c>
    </row>
    <row r="942" spans="1:15" x14ac:dyDescent="0.25">
      <c r="A942">
        <v>941</v>
      </c>
      <c r="B942" s="2">
        <v>46013</v>
      </c>
      <c r="C942" t="s">
        <v>11</v>
      </c>
      <c r="D942" t="s">
        <v>27</v>
      </c>
      <c r="E942" t="s">
        <v>12</v>
      </c>
      <c r="F942" t="s">
        <v>24</v>
      </c>
      <c r="G942">
        <v>171</v>
      </c>
      <c r="H942">
        <v>84.13</v>
      </c>
      <c r="I942">
        <v>37</v>
      </c>
      <c r="J942" t="s">
        <v>30</v>
      </c>
      <c r="K942">
        <v>14386.23</v>
      </c>
      <c r="L942" t="str">
        <f t="shared" si="56"/>
        <v>Dec</v>
      </c>
      <c r="M942">
        <f t="shared" si="57"/>
        <v>2025</v>
      </c>
      <c r="N942">
        <f t="shared" si="58"/>
        <v>14386.23</v>
      </c>
      <c r="O942" t="str">
        <f t="shared" si="59"/>
        <v>Moderate Delay</v>
      </c>
    </row>
    <row r="943" spans="1:15" x14ac:dyDescent="0.25">
      <c r="A943">
        <v>942</v>
      </c>
      <c r="B943" s="2">
        <v>45714</v>
      </c>
      <c r="C943" t="s">
        <v>16</v>
      </c>
      <c r="D943" t="s">
        <v>12</v>
      </c>
      <c r="E943" t="s">
        <v>20</v>
      </c>
      <c r="F943" t="s">
        <v>24</v>
      </c>
      <c r="G943">
        <v>196</v>
      </c>
      <c r="H943">
        <v>274.3</v>
      </c>
      <c r="I943">
        <v>46</v>
      </c>
      <c r="J943" t="s">
        <v>15</v>
      </c>
      <c r="K943">
        <v>53762.8</v>
      </c>
      <c r="L943" t="str">
        <f t="shared" si="56"/>
        <v>Feb</v>
      </c>
      <c r="M943">
        <f t="shared" si="57"/>
        <v>2025</v>
      </c>
      <c r="N943">
        <f t="shared" si="58"/>
        <v>53762.8</v>
      </c>
      <c r="O943" t="str">
        <f t="shared" si="59"/>
        <v>Moderate Delay</v>
      </c>
    </row>
    <row r="944" spans="1:15" x14ac:dyDescent="0.25">
      <c r="A944">
        <v>943</v>
      </c>
      <c r="B944" s="2">
        <v>45814</v>
      </c>
      <c r="C944" t="s">
        <v>26</v>
      </c>
      <c r="D944" t="s">
        <v>12</v>
      </c>
      <c r="E944" t="s">
        <v>17</v>
      </c>
      <c r="F944" t="s">
        <v>24</v>
      </c>
      <c r="G944">
        <v>125</v>
      </c>
      <c r="H944">
        <v>419.58</v>
      </c>
      <c r="I944">
        <v>23</v>
      </c>
      <c r="J944" t="s">
        <v>15</v>
      </c>
      <c r="K944">
        <v>52447.5</v>
      </c>
      <c r="L944" t="str">
        <f t="shared" si="56"/>
        <v>Jun</v>
      </c>
      <c r="M944">
        <f t="shared" si="57"/>
        <v>2025</v>
      </c>
      <c r="N944">
        <f t="shared" si="58"/>
        <v>52447.5</v>
      </c>
      <c r="O944" t="str">
        <f t="shared" si="59"/>
        <v>Minor Delay</v>
      </c>
    </row>
    <row r="945" spans="1:15" x14ac:dyDescent="0.25">
      <c r="A945">
        <v>944</v>
      </c>
      <c r="B945" s="2">
        <v>45803</v>
      </c>
      <c r="C945" t="s">
        <v>11</v>
      </c>
      <c r="D945" t="s">
        <v>13</v>
      </c>
      <c r="E945" t="s">
        <v>22</v>
      </c>
      <c r="F945" t="s">
        <v>14</v>
      </c>
      <c r="G945">
        <v>259</v>
      </c>
      <c r="H945">
        <v>607.35</v>
      </c>
      <c r="I945">
        <v>6</v>
      </c>
      <c r="J945" t="s">
        <v>15</v>
      </c>
      <c r="K945">
        <v>157303.65</v>
      </c>
      <c r="L945" t="str">
        <f t="shared" si="56"/>
        <v>May</v>
      </c>
      <c r="M945">
        <f t="shared" si="57"/>
        <v>2025</v>
      </c>
      <c r="N945">
        <f t="shared" si="58"/>
        <v>157303.65</v>
      </c>
      <c r="O945" t="str">
        <f t="shared" si="59"/>
        <v>Minor Delay</v>
      </c>
    </row>
    <row r="946" spans="1:15" x14ac:dyDescent="0.25">
      <c r="A946">
        <v>945</v>
      </c>
      <c r="B946" s="2">
        <v>45692</v>
      </c>
      <c r="C946" t="s">
        <v>16</v>
      </c>
      <c r="D946" t="s">
        <v>27</v>
      </c>
      <c r="E946" t="s">
        <v>22</v>
      </c>
      <c r="F946" t="s">
        <v>24</v>
      </c>
      <c r="G946">
        <v>173</v>
      </c>
      <c r="H946">
        <v>484.06</v>
      </c>
      <c r="I946">
        <v>0</v>
      </c>
      <c r="J946" t="s">
        <v>15</v>
      </c>
      <c r="K946">
        <v>83742.38</v>
      </c>
      <c r="L946" t="str">
        <f t="shared" si="56"/>
        <v>Feb</v>
      </c>
      <c r="M946">
        <f t="shared" si="57"/>
        <v>2025</v>
      </c>
      <c r="N946">
        <f t="shared" si="58"/>
        <v>83742.38</v>
      </c>
      <c r="O946" t="str">
        <f t="shared" si="59"/>
        <v>On Time</v>
      </c>
    </row>
    <row r="947" spans="1:15" x14ac:dyDescent="0.25">
      <c r="A947">
        <v>946</v>
      </c>
      <c r="B947" s="2">
        <v>45728</v>
      </c>
      <c r="C947" t="s">
        <v>31</v>
      </c>
      <c r="D947" t="s">
        <v>20</v>
      </c>
      <c r="E947" t="s">
        <v>29</v>
      </c>
      <c r="F947" t="s">
        <v>21</v>
      </c>
      <c r="G947">
        <v>167</v>
      </c>
      <c r="H947">
        <v>623.64</v>
      </c>
      <c r="I947">
        <v>0</v>
      </c>
      <c r="J947" t="s">
        <v>15</v>
      </c>
      <c r="K947">
        <v>104147.88</v>
      </c>
      <c r="L947" t="str">
        <f t="shared" si="56"/>
        <v>Mar</v>
      </c>
      <c r="M947">
        <f t="shared" si="57"/>
        <v>2025</v>
      </c>
      <c r="N947">
        <f t="shared" si="58"/>
        <v>104147.88</v>
      </c>
      <c r="O947" t="str">
        <f t="shared" si="59"/>
        <v>On Time</v>
      </c>
    </row>
    <row r="948" spans="1:15" x14ac:dyDescent="0.25">
      <c r="A948">
        <v>947</v>
      </c>
      <c r="B948" s="2">
        <v>45703</v>
      </c>
      <c r="C948" t="s">
        <v>31</v>
      </c>
      <c r="D948" t="s">
        <v>29</v>
      </c>
      <c r="E948" t="s">
        <v>17</v>
      </c>
      <c r="F948" t="s">
        <v>21</v>
      </c>
      <c r="G948">
        <v>209</v>
      </c>
      <c r="H948">
        <v>363.12</v>
      </c>
      <c r="I948">
        <v>22</v>
      </c>
      <c r="J948" t="s">
        <v>15</v>
      </c>
      <c r="K948">
        <v>75892.08</v>
      </c>
      <c r="L948" t="str">
        <f t="shared" si="56"/>
        <v>Feb</v>
      </c>
      <c r="M948">
        <f t="shared" si="57"/>
        <v>2025</v>
      </c>
      <c r="N948">
        <f t="shared" si="58"/>
        <v>75892.08</v>
      </c>
      <c r="O948" t="str">
        <f t="shared" si="59"/>
        <v>Minor Delay</v>
      </c>
    </row>
    <row r="949" spans="1:15" x14ac:dyDescent="0.25">
      <c r="A949">
        <v>948</v>
      </c>
      <c r="B949" s="2">
        <v>45988</v>
      </c>
      <c r="C949" t="s">
        <v>16</v>
      </c>
      <c r="D949" t="s">
        <v>20</v>
      </c>
      <c r="E949" t="s">
        <v>23</v>
      </c>
      <c r="F949" t="s">
        <v>14</v>
      </c>
      <c r="G949">
        <v>231</v>
      </c>
      <c r="H949">
        <v>78.36</v>
      </c>
      <c r="I949">
        <v>44</v>
      </c>
      <c r="J949" t="s">
        <v>15</v>
      </c>
      <c r="K949">
        <v>18101.16</v>
      </c>
      <c r="L949" t="str">
        <f t="shared" si="56"/>
        <v>Nov</v>
      </c>
      <c r="M949">
        <f t="shared" si="57"/>
        <v>2025</v>
      </c>
      <c r="N949">
        <f t="shared" si="58"/>
        <v>18101.16</v>
      </c>
      <c r="O949" t="str">
        <f t="shared" si="59"/>
        <v>Moderate Delay</v>
      </c>
    </row>
    <row r="950" spans="1:15" x14ac:dyDescent="0.25">
      <c r="A950">
        <v>949</v>
      </c>
      <c r="B950" s="2">
        <v>45987</v>
      </c>
      <c r="C950" t="s">
        <v>31</v>
      </c>
      <c r="D950" t="s">
        <v>23</v>
      </c>
      <c r="E950" t="s">
        <v>12</v>
      </c>
      <c r="F950" t="s">
        <v>14</v>
      </c>
      <c r="G950">
        <v>99</v>
      </c>
      <c r="H950">
        <v>766.82</v>
      </c>
      <c r="I950">
        <v>0</v>
      </c>
      <c r="J950" t="s">
        <v>30</v>
      </c>
      <c r="K950">
        <v>75915.179999999993</v>
      </c>
      <c r="L950" t="str">
        <f t="shared" si="56"/>
        <v>Nov</v>
      </c>
      <c r="M950">
        <f t="shared" si="57"/>
        <v>2025</v>
      </c>
      <c r="N950">
        <f t="shared" si="58"/>
        <v>75915.180000000008</v>
      </c>
      <c r="O950" t="str">
        <f t="shared" si="59"/>
        <v>On Time</v>
      </c>
    </row>
    <row r="951" spans="1:15" x14ac:dyDescent="0.25">
      <c r="A951">
        <v>950</v>
      </c>
      <c r="B951" s="2">
        <v>45901</v>
      </c>
      <c r="C951" t="s">
        <v>31</v>
      </c>
      <c r="D951" t="s">
        <v>27</v>
      </c>
      <c r="E951" t="s">
        <v>19</v>
      </c>
      <c r="F951" t="s">
        <v>14</v>
      </c>
      <c r="G951">
        <v>80</v>
      </c>
      <c r="H951">
        <v>547.11</v>
      </c>
      <c r="I951">
        <v>9</v>
      </c>
      <c r="J951" t="s">
        <v>15</v>
      </c>
      <c r="K951">
        <v>43768.800000000003</v>
      </c>
      <c r="L951" t="str">
        <f t="shared" si="56"/>
        <v>Sep</v>
      </c>
      <c r="M951">
        <f t="shared" si="57"/>
        <v>2025</v>
      </c>
      <c r="N951">
        <f t="shared" si="58"/>
        <v>43768.800000000003</v>
      </c>
      <c r="O951" t="str">
        <f t="shared" si="59"/>
        <v>Minor Delay</v>
      </c>
    </row>
    <row r="952" spans="1:15" x14ac:dyDescent="0.25">
      <c r="A952">
        <v>951</v>
      </c>
      <c r="B952" s="2">
        <v>45763</v>
      </c>
      <c r="C952" t="s">
        <v>11</v>
      </c>
      <c r="D952" t="s">
        <v>13</v>
      </c>
      <c r="E952" t="s">
        <v>22</v>
      </c>
      <c r="F952" t="s">
        <v>21</v>
      </c>
      <c r="G952">
        <v>264</v>
      </c>
      <c r="H952">
        <v>716.87</v>
      </c>
      <c r="I952">
        <v>0</v>
      </c>
      <c r="J952" t="s">
        <v>15</v>
      </c>
      <c r="K952">
        <v>189253.68</v>
      </c>
      <c r="L952" t="str">
        <f t="shared" si="56"/>
        <v>Apr</v>
      </c>
      <c r="M952">
        <f t="shared" si="57"/>
        <v>2025</v>
      </c>
      <c r="N952">
        <f t="shared" si="58"/>
        <v>189253.68</v>
      </c>
      <c r="O952" t="str">
        <f t="shared" si="59"/>
        <v>On Time</v>
      </c>
    </row>
    <row r="953" spans="1:15" x14ac:dyDescent="0.25">
      <c r="A953">
        <v>952</v>
      </c>
      <c r="B953" s="2">
        <v>45909</v>
      </c>
      <c r="C953" t="s">
        <v>16</v>
      </c>
      <c r="D953" t="s">
        <v>17</v>
      </c>
      <c r="E953" t="s">
        <v>13</v>
      </c>
      <c r="F953" t="s">
        <v>24</v>
      </c>
      <c r="G953">
        <v>161</v>
      </c>
      <c r="H953">
        <v>193.58</v>
      </c>
      <c r="I953">
        <v>35</v>
      </c>
      <c r="J953" t="s">
        <v>15</v>
      </c>
      <c r="K953">
        <v>31166.38</v>
      </c>
      <c r="L953" t="str">
        <f t="shared" si="56"/>
        <v>Sep</v>
      </c>
      <c r="M953">
        <f t="shared" si="57"/>
        <v>2025</v>
      </c>
      <c r="N953">
        <f t="shared" si="58"/>
        <v>31166.38</v>
      </c>
      <c r="O953" t="str">
        <f t="shared" si="59"/>
        <v>Moderate Delay</v>
      </c>
    </row>
    <row r="954" spans="1:15" x14ac:dyDescent="0.25">
      <c r="A954">
        <v>953</v>
      </c>
      <c r="B954" s="2">
        <v>45853</v>
      </c>
      <c r="C954" t="s">
        <v>26</v>
      </c>
      <c r="D954" t="s">
        <v>27</v>
      </c>
      <c r="E954" t="s">
        <v>22</v>
      </c>
      <c r="F954" t="s">
        <v>14</v>
      </c>
      <c r="G954">
        <v>79</v>
      </c>
      <c r="H954">
        <v>785.04</v>
      </c>
      <c r="I954">
        <v>0</v>
      </c>
      <c r="J954" t="s">
        <v>15</v>
      </c>
      <c r="K954">
        <v>62018.16</v>
      </c>
      <c r="L954" t="str">
        <f t="shared" si="56"/>
        <v>Jul</v>
      </c>
      <c r="M954">
        <f t="shared" si="57"/>
        <v>2025</v>
      </c>
      <c r="N954">
        <f t="shared" si="58"/>
        <v>62018.159999999996</v>
      </c>
      <c r="O954" t="str">
        <f t="shared" si="59"/>
        <v>On Time</v>
      </c>
    </row>
    <row r="955" spans="1:15" x14ac:dyDescent="0.25">
      <c r="A955">
        <v>954</v>
      </c>
      <c r="B955" s="2">
        <v>45815</v>
      </c>
      <c r="C955" t="s">
        <v>18</v>
      </c>
      <c r="D955" t="s">
        <v>12</v>
      </c>
      <c r="E955" t="s">
        <v>19</v>
      </c>
      <c r="F955" t="s">
        <v>21</v>
      </c>
      <c r="G955">
        <v>93</v>
      </c>
      <c r="H955">
        <v>103.6</v>
      </c>
      <c r="I955">
        <v>14</v>
      </c>
      <c r="J955" t="s">
        <v>30</v>
      </c>
      <c r="K955">
        <v>9634.7999999999993</v>
      </c>
      <c r="L955" t="str">
        <f t="shared" si="56"/>
        <v>Jun</v>
      </c>
      <c r="M955">
        <f t="shared" si="57"/>
        <v>2025</v>
      </c>
      <c r="N955">
        <f t="shared" si="58"/>
        <v>9634.7999999999993</v>
      </c>
      <c r="O955" t="str">
        <f t="shared" si="59"/>
        <v>Minor Delay</v>
      </c>
    </row>
    <row r="956" spans="1:15" x14ac:dyDescent="0.25">
      <c r="A956">
        <v>955</v>
      </c>
      <c r="B956" s="2">
        <v>45687</v>
      </c>
      <c r="C956" t="s">
        <v>26</v>
      </c>
      <c r="D956" t="s">
        <v>29</v>
      </c>
      <c r="E956" t="s">
        <v>13</v>
      </c>
      <c r="F956" t="s">
        <v>24</v>
      </c>
      <c r="G956">
        <v>75</v>
      </c>
      <c r="H956">
        <v>296.83</v>
      </c>
      <c r="I956">
        <v>1</v>
      </c>
      <c r="J956" t="s">
        <v>15</v>
      </c>
      <c r="K956">
        <v>22262.25</v>
      </c>
      <c r="L956" t="str">
        <f t="shared" si="56"/>
        <v>Jan</v>
      </c>
      <c r="M956">
        <f t="shared" si="57"/>
        <v>2025</v>
      </c>
      <c r="N956">
        <f t="shared" si="58"/>
        <v>22262.25</v>
      </c>
      <c r="O956" t="str">
        <f t="shared" si="59"/>
        <v>Minor Delay</v>
      </c>
    </row>
    <row r="957" spans="1:15" x14ac:dyDescent="0.25">
      <c r="A957">
        <v>956</v>
      </c>
      <c r="B957" s="2">
        <v>45761</v>
      </c>
      <c r="C957" t="s">
        <v>11</v>
      </c>
      <c r="D957" t="s">
        <v>12</v>
      </c>
      <c r="E957" t="s">
        <v>13</v>
      </c>
      <c r="F957" t="s">
        <v>21</v>
      </c>
      <c r="G957">
        <v>200</v>
      </c>
      <c r="H957">
        <v>235</v>
      </c>
      <c r="I957">
        <v>31</v>
      </c>
      <c r="J957" t="s">
        <v>15</v>
      </c>
      <c r="K957">
        <v>47000</v>
      </c>
      <c r="L957" t="str">
        <f t="shared" si="56"/>
        <v>Apr</v>
      </c>
      <c r="M957">
        <f t="shared" si="57"/>
        <v>2025</v>
      </c>
      <c r="N957">
        <f t="shared" si="58"/>
        <v>47000</v>
      </c>
      <c r="O957" t="str">
        <f t="shared" si="59"/>
        <v>Moderate Delay</v>
      </c>
    </row>
    <row r="958" spans="1:15" x14ac:dyDescent="0.25">
      <c r="A958">
        <v>957</v>
      </c>
      <c r="B958" s="2">
        <v>45716</v>
      </c>
      <c r="C958" t="s">
        <v>26</v>
      </c>
      <c r="D958" t="s">
        <v>27</v>
      </c>
      <c r="E958" t="s">
        <v>17</v>
      </c>
      <c r="F958" t="s">
        <v>14</v>
      </c>
      <c r="G958">
        <v>131</v>
      </c>
      <c r="H958">
        <v>403.97</v>
      </c>
      <c r="I958">
        <v>0</v>
      </c>
      <c r="J958" t="s">
        <v>15</v>
      </c>
      <c r="K958">
        <v>52920.07</v>
      </c>
      <c r="L958" t="str">
        <f t="shared" si="56"/>
        <v>Feb</v>
      </c>
      <c r="M958">
        <f t="shared" si="57"/>
        <v>2025</v>
      </c>
      <c r="N958">
        <f t="shared" si="58"/>
        <v>52920.070000000007</v>
      </c>
      <c r="O958" t="str">
        <f t="shared" si="59"/>
        <v>On Time</v>
      </c>
    </row>
    <row r="959" spans="1:15" x14ac:dyDescent="0.25">
      <c r="A959">
        <v>958</v>
      </c>
      <c r="B959" s="2">
        <v>45795</v>
      </c>
      <c r="C959" t="s">
        <v>31</v>
      </c>
      <c r="D959" t="s">
        <v>19</v>
      </c>
      <c r="E959" t="s">
        <v>13</v>
      </c>
      <c r="F959" t="s">
        <v>21</v>
      </c>
      <c r="G959">
        <v>222</v>
      </c>
      <c r="H959">
        <v>135.12</v>
      </c>
      <c r="I959">
        <v>35</v>
      </c>
      <c r="J959" t="s">
        <v>15</v>
      </c>
      <c r="K959">
        <v>29996.639999999999</v>
      </c>
      <c r="L959" t="str">
        <f t="shared" si="56"/>
        <v>May</v>
      </c>
      <c r="M959">
        <f t="shared" si="57"/>
        <v>2025</v>
      </c>
      <c r="N959">
        <f t="shared" si="58"/>
        <v>29996.639999999999</v>
      </c>
      <c r="O959" t="str">
        <f t="shared" si="59"/>
        <v>Moderate Delay</v>
      </c>
    </row>
    <row r="960" spans="1:15" x14ac:dyDescent="0.25">
      <c r="A960">
        <v>959</v>
      </c>
      <c r="B960" s="2">
        <v>45948</v>
      </c>
      <c r="C960" t="s">
        <v>18</v>
      </c>
      <c r="D960" t="s">
        <v>29</v>
      </c>
      <c r="E960" t="s">
        <v>22</v>
      </c>
      <c r="F960" t="s">
        <v>24</v>
      </c>
      <c r="G960">
        <v>71</v>
      </c>
      <c r="H960">
        <v>686.25</v>
      </c>
      <c r="I960">
        <v>0</v>
      </c>
      <c r="J960" t="s">
        <v>15</v>
      </c>
      <c r="K960">
        <v>48723.75</v>
      </c>
      <c r="L960" t="str">
        <f t="shared" si="56"/>
        <v>Oct</v>
      </c>
      <c r="M960">
        <f t="shared" si="57"/>
        <v>2025</v>
      </c>
      <c r="N960">
        <f t="shared" si="58"/>
        <v>48723.75</v>
      </c>
      <c r="O960" t="str">
        <f t="shared" si="59"/>
        <v>On Time</v>
      </c>
    </row>
    <row r="961" spans="1:15" x14ac:dyDescent="0.25">
      <c r="A961">
        <v>960</v>
      </c>
      <c r="B961" s="2">
        <v>45783</v>
      </c>
      <c r="C961" t="s">
        <v>31</v>
      </c>
      <c r="D961" t="s">
        <v>27</v>
      </c>
      <c r="E961" t="s">
        <v>29</v>
      </c>
      <c r="F961" t="s">
        <v>24</v>
      </c>
      <c r="G961">
        <v>296</v>
      </c>
      <c r="H961">
        <v>734.5</v>
      </c>
      <c r="I961">
        <v>19</v>
      </c>
      <c r="J961" t="s">
        <v>15</v>
      </c>
      <c r="K961">
        <v>217412</v>
      </c>
      <c r="L961" t="str">
        <f t="shared" si="56"/>
        <v>May</v>
      </c>
      <c r="M961">
        <f t="shared" si="57"/>
        <v>2025</v>
      </c>
      <c r="N961">
        <f t="shared" si="58"/>
        <v>217412</v>
      </c>
      <c r="O961" t="str">
        <f t="shared" si="59"/>
        <v>Minor Delay</v>
      </c>
    </row>
    <row r="962" spans="1:15" x14ac:dyDescent="0.25">
      <c r="A962">
        <v>961</v>
      </c>
      <c r="B962" s="2">
        <v>45975</v>
      </c>
      <c r="C962" t="s">
        <v>26</v>
      </c>
      <c r="D962" t="s">
        <v>13</v>
      </c>
      <c r="E962" t="s">
        <v>27</v>
      </c>
      <c r="F962" t="s">
        <v>21</v>
      </c>
      <c r="G962">
        <v>298</v>
      </c>
      <c r="H962">
        <v>183.86</v>
      </c>
      <c r="I962">
        <v>72</v>
      </c>
      <c r="J962" t="s">
        <v>15</v>
      </c>
      <c r="K962">
        <v>54790.28</v>
      </c>
      <c r="L962" t="str">
        <f t="shared" si="56"/>
        <v>Nov</v>
      </c>
      <c r="M962">
        <f t="shared" si="57"/>
        <v>2025</v>
      </c>
      <c r="N962">
        <f t="shared" si="58"/>
        <v>54790.280000000006</v>
      </c>
      <c r="O962" t="str">
        <f t="shared" si="59"/>
        <v>Major Delay</v>
      </c>
    </row>
    <row r="963" spans="1:15" x14ac:dyDescent="0.25">
      <c r="A963">
        <v>962</v>
      </c>
      <c r="B963" s="2">
        <v>45837</v>
      </c>
      <c r="C963" t="s">
        <v>25</v>
      </c>
      <c r="D963" t="s">
        <v>23</v>
      </c>
      <c r="E963" t="s">
        <v>20</v>
      </c>
      <c r="F963" t="s">
        <v>14</v>
      </c>
      <c r="G963">
        <v>199</v>
      </c>
      <c r="H963">
        <v>682.11</v>
      </c>
      <c r="I963">
        <v>40</v>
      </c>
      <c r="J963" t="s">
        <v>15</v>
      </c>
      <c r="K963">
        <v>135739.89000000001</v>
      </c>
      <c r="L963" t="str">
        <f t="shared" ref="L963:L1026" si="60">TEXT(B963,"MMM")</f>
        <v>Jun</v>
      </c>
      <c r="M963">
        <f t="shared" ref="M963:M1026" si="61">YEAR(B963)</f>
        <v>2025</v>
      </c>
      <c r="N963">
        <f t="shared" ref="N963:N1026" si="62">G963*H963</f>
        <v>135739.89000000001</v>
      </c>
      <c r="O963" t="str">
        <f t="shared" ref="O963:O1026" si="63">IF(I963=0,"On Time",IF(I963&lt;=30,"Minor Delay",IF(I963&lt;=60,"Moderate Delay","Major Delay")))</f>
        <v>Moderate Delay</v>
      </c>
    </row>
    <row r="964" spans="1:15" x14ac:dyDescent="0.25">
      <c r="A964">
        <v>963</v>
      </c>
      <c r="B964" s="2">
        <v>45811</v>
      </c>
      <c r="C964" t="s">
        <v>16</v>
      </c>
      <c r="D964" t="s">
        <v>29</v>
      </c>
      <c r="E964" t="s">
        <v>12</v>
      </c>
      <c r="F964" t="s">
        <v>24</v>
      </c>
      <c r="G964">
        <v>228</v>
      </c>
      <c r="H964">
        <v>151</v>
      </c>
      <c r="I964">
        <v>40</v>
      </c>
      <c r="J964" t="s">
        <v>15</v>
      </c>
      <c r="K964">
        <v>34428</v>
      </c>
      <c r="L964" t="str">
        <f t="shared" si="60"/>
        <v>Jun</v>
      </c>
      <c r="M964">
        <f t="shared" si="61"/>
        <v>2025</v>
      </c>
      <c r="N964">
        <f t="shared" si="62"/>
        <v>34428</v>
      </c>
      <c r="O964" t="str">
        <f t="shared" si="63"/>
        <v>Moderate Delay</v>
      </c>
    </row>
    <row r="965" spans="1:15" x14ac:dyDescent="0.25">
      <c r="A965">
        <v>964</v>
      </c>
      <c r="B965" s="2">
        <v>45970</v>
      </c>
      <c r="C965" t="s">
        <v>31</v>
      </c>
      <c r="D965" t="s">
        <v>17</v>
      </c>
      <c r="E965" t="s">
        <v>19</v>
      </c>
      <c r="F965" t="s">
        <v>24</v>
      </c>
      <c r="G965">
        <v>276</v>
      </c>
      <c r="H965">
        <v>564.75</v>
      </c>
      <c r="I965">
        <v>44</v>
      </c>
      <c r="J965" t="s">
        <v>15</v>
      </c>
      <c r="K965">
        <v>155871</v>
      </c>
      <c r="L965" t="str">
        <f t="shared" si="60"/>
        <v>Nov</v>
      </c>
      <c r="M965">
        <f t="shared" si="61"/>
        <v>2025</v>
      </c>
      <c r="N965">
        <f t="shared" si="62"/>
        <v>155871</v>
      </c>
      <c r="O965" t="str">
        <f t="shared" si="63"/>
        <v>Moderate Delay</v>
      </c>
    </row>
    <row r="966" spans="1:15" x14ac:dyDescent="0.25">
      <c r="A966">
        <v>965</v>
      </c>
      <c r="B966" s="2">
        <v>45797</v>
      </c>
      <c r="C966" t="s">
        <v>11</v>
      </c>
      <c r="D966" t="s">
        <v>23</v>
      </c>
      <c r="E966" t="s">
        <v>27</v>
      </c>
      <c r="F966" t="s">
        <v>21</v>
      </c>
      <c r="G966">
        <v>132</v>
      </c>
      <c r="H966">
        <v>312.81</v>
      </c>
      <c r="I966">
        <v>0</v>
      </c>
      <c r="J966" t="s">
        <v>15</v>
      </c>
      <c r="K966">
        <v>41290.92</v>
      </c>
      <c r="L966" t="str">
        <f t="shared" si="60"/>
        <v>May</v>
      </c>
      <c r="M966">
        <f t="shared" si="61"/>
        <v>2025</v>
      </c>
      <c r="N966">
        <f t="shared" si="62"/>
        <v>41290.92</v>
      </c>
      <c r="O966" t="str">
        <f t="shared" si="63"/>
        <v>On Time</v>
      </c>
    </row>
    <row r="967" spans="1:15" x14ac:dyDescent="0.25">
      <c r="A967">
        <v>966</v>
      </c>
      <c r="B967" s="2">
        <v>45969</v>
      </c>
      <c r="C967" t="s">
        <v>18</v>
      </c>
      <c r="D967" t="s">
        <v>29</v>
      </c>
      <c r="E967" t="s">
        <v>13</v>
      </c>
      <c r="F967" t="s">
        <v>14</v>
      </c>
      <c r="G967">
        <v>280</v>
      </c>
      <c r="H967">
        <v>67.09</v>
      </c>
      <c r="I967">
        <v>28</v>
      </c>
      <c r="J967" t="s">
        <v>15</v>
      </c>
      <c r="K967">
        <v>18785.2</v>
      </c>
      <c r="L967" t="str">
        <f t="shared" si="60"/>
        <v>Nov</v>
      </c>
      <c r="M967">
        <f t="shared" si="61"/>
        <v>2025</v>
      </c>
      <c r="N967">
        <f t="shared" si="62"/>
        <v>18785.2</v>
      </c>
      <c r="O967" t="str">
        <f t="shared" si="63"/>
        <v>Minor Delay</v>
      </c>
    </row>
    <row r="968" spans="1:15" x14ac:dyDescent="0.25">
      <c r="A968">
        <v>967</v>
      </c>
      <c r="B968" s="2">
        <v>45859</v>
      </c>
      <c r="C968" t="s">
        <v>31</v>
      </c>
      <c r="D968" t="s">
        <v>27</v>
      </c>
      <c r="E968" t="s">
        <v>20</v>
      </c>
      <c r="F968" t="s">
        <v>14</v>
      </c>
      <c r="G968">
        <v>251</v>
      </c>
      <c r="H968">
        <v>708.77</v>
      </c>
      <c r="I968">
        <v>1</v>
      </c>
      <c r="J968" t="s">
        <v>30</v>
      </c>
      <c r="K968">
        <v>177901.27</v>
      </c>
      <c r="L968" t="str">
        <f t="shared" si="60"/>
        <v>Jul</v>
      </c>
      <c r="M968">
        <f t="shared" si="61"/>
        <v>2025</v>
      </c>
      <c r="N968">
        <f t="shared" si="62"/>
        <v>177901.27</v>
      </c>
      <c r="O968" t="str">
        <f t="shared" si="63"/>
        <v>Minor Delay</v>
      </c>
    </row>
    <row r="969" spans="1:15" x14ac:dyDescent="0.25">
      <c r="A969">
        <v>968</v>
      </c>
      <c r="B969" s="2">
        <v>45838</v>
      </c>
      <c r="C969" t="s">
        <v>18</v>
      </c>
      <c r="D969" t="s">
        <v>20</v>
      </c>
      <c r="E969" t="s">
        <v>12</v>
      </c>
      <c r="F969" t="s">
        <v>21</v>
      </c>
      <c r="G969">
        <v>141</v>
      </c>
      <c r="H969">
        <v>346.2</v>
      </c>
      <c r="I969">
        <v>0</v>
      </c>
      <c r="J969" t="s">
        <v>30</v>
      </c>
      <c r="K969">
        <v>48814.2</v>
      </c>
      <c r="L969" t="str">
        <f t="shared" si="60"/>
        <v>Jun</v>
      </c>
      <c r="M969">
        <f t="shared" si="61"/>
        <v>2025</v>
      </c>
      <c r="N969">
        <f t="shared" si="62"/>
        <v>48814.2</v>
      </c>
      <c r="O969" t="str">
        <f t="shared" si="63"/>
        <v>On Time</v>
      </c>
    </row>
    <row r="970" spans="1:15" x14ac:dyDescent="0.25">
      <c r="A970">
        <v>969</v>
      </c>
      <c r="B970" s="2">
        <v>45894</v>
      </c>
      <c r="C970" t="s">
        <v>26</v>
      </c>
      <c r="D970" t="s">
        <v>13</v>
      </c>
      <c r="E970" t="s">
        <v>29</v>
      </c>
      <c r="F970" t="s">
        <v>14</v>
      </c>
      <c r="G970">
        <v>163</v>
      </c>
      <c r="H970">
        <v>66.930000000000007</v>
      </c>
      <c r="I970">
        <v>18</v>
      </c>
      <c r="J970" t="s">
        <v>15</v>
      </c>
      <c r="K970">
        <v>10909.59</v>
      </c>
      <c r="L970" t="str">
        <f t="shared" si="60"/>
        <v>Aug</v>
      </c>
      <c r="M970">
        <f t="shared" si="61"/>
        <v>2025</v>
      </c>
      <c r="N970">
        <f t="shared" si="62"/>
        <v>10909.590000000002</v>
      </c>
      <c r="O970" t="str">
        <f t="shared" si="63"/>
        <v>Minor Delay</v>
      </c>
    </row>
    <row r="971" spans="1:15" x14ac:dyDescent="0.25">
      <c r="A971">
        <v>970</v>
      </c>
      <c r="B971" s="2">
        <v>45704</v>
      </c>
      <c r="C971" t="s">
        <v>31</v>
      </c>
      <c r="D971" t="s">
        <v>22</v>
      </c>
      <c r="E971" t="s">
        <v>19</v>
      </c>
      <c r="F971" t="s">
        <v>21</v>
      </c>
      <c r="G971">
        <v>127</v>
      </c>
      <c r="H971">
        <v>658.23</v>
      </c>
      <c r="I971">
        <v>0</v>
      </c>
      <c r="J971" t="s">
        <v>15</v>
      </c>
      <c r="K971">
        <v>83595.210000000006</v>
      </c>
      <c r="L971" t="str">
        <f t="shared" si="60"/>
        <v>Feb</v>
      </c>
      <c r="M971">
        <f t="shared" si="61"/>
        <v>2025</v>
      </c>
      <c r="N971">
        <f t="shared" si="62"/>
        <v>83595.210000000006</v>
      </c>
      <c r="O971" t="str">
        <f t="shared" si="63"/>
        <v>On Time</v>
      </c>
    </row>
    <row r="972" spans="1:15" x14ac:dyDescent="0.25">
      <c r="A972">
        <v>971</v>
      </c>
      <c r="B972" s="2">
        <v>45676</v>
      </c>
      <c r="C972" t="s">
        <v>26</v>
      </c>
      <c r="D972" t="s">
        <v>20</v>
      </c>
      <c r="E972" t="s">
        <v>22</v>
      </c>
      <c r="F972" t="s">
        <v>24</v>
      </c>
      <c r="G972">
        <v>281</v>
      </c>
      <c r="H972">
        <v>581</v>
      </c>
      <c r="I972">
        <v>17</v>
      </c>
      <c r="J972" t="s">
        <v>28</v>
      </c>
      <c r="K972">
        <v>163261</v>
      </c>
      <c r="L972" t="str">
        <f t="shared" si="60"/>
        <v>Jan</v>
      </c>
      <c r="M972">
        <f t="shared" si="61"/>
        <v>2025</v>
      </c>
      <c r="N972">
        <f t="shared" si="62"/>
        <v>163261</v>
      </c>
      <c r="O972" t="str">
        <f t="shared" si="63"/>
        <v>Minor Delay</v>
      </c>
    </row>
    <row r="973" spans="1:15" x14ac:dyDescent="0.25">
      <c r="A973">
        <v>972</v>
      </c>
      <c r="B973" s="2">
        <v>45800</v>
      </c>
      <c r="C973" t="s">
        <v>31</v>
      </c>
      <c r="D973" t="s">
        <v>17</v>
      </c>
      <c r="E973" t="s">
        <v>12</v>
      </c>
      <c r="F973" t="s">
        <v>21</v>
      </c>
      <c r="G973">
        <v>176</v>
      </c>
      <c r="H973">
        <v>186.15</v>
      </c>
      <c r="I973">
        <v>18</v>
      </c>
      <c r="J973" t="s">
        <v>15</v>
      </c>
      <c r="K973">
        <v>32762.400000000001</v>
      </c>
      <c r="L973" t="str">
        <f t="shared" si="60"/>
        <v>May</v>
      </c>
      <c r="M973">
        <f t="shared" si="61"/>
        <v>2025</v>
      </c>
      <c r="N973">
        <f t="shared" si="62"/>
        <v>32762.400000000001</v>
      </c>
      <c r="O973" t="str">
        <f t="shared" si="63"/>
        <v>Minor Delay</v>
      </c>
    </row>
    <row r="974" spans="1:15" x14ac:dyDescent="0.25">
      <c r="A974">
        <v>973</v>
      </c>
      <c r="B974" s="2">
        <v>45959</v>
      </c>
      <c r="C974" t="s">
        <v>11</v>
      </c>
      <c r="D974" t="s">
        <v>29</v>
      </c>
      <c r="E974" t="s">
        <v>12</v>
      </c>
      <c r="F974" t="s">
        <v>21</v>
      </c>
      <c r="G974">
        <v>66</v>
      </c>
      <c r="H974">
        <v>154.30000000000001</v>
      </c>
      <c r="I974">
        <v>64</v>
      </c>
      <c r="J974" t="s">
        <v>30</v>
      </c>
      <c r="K974">
        <v>10183.799999999999</v>
      </c>
      <c r="L974" t="str">
        <f t="shared" si="60"/>
        <v>Oct</v>
      </c>
      <c r="M974">
        <f t="shared" si="61"/>
        <v>2025</v>
      </c>
      <c r="N974">
        <f t="shared" si="62"/>
        <v>10183.800000000001</v>
      </c>
      <c r="O974" t="str">
        <f t="shared" si="63"/>
        <v>Major Delay</v>
      </c>
    </row>
    <row r="975" spans="1:15" x14ac:dyDescent="0.25">
      <c r="A975">
        <v>974</v>
      </c>
      <c r="B975" s="2">
        <v>46005</v>
      </c>
      <c r="C975" t="s">
        <v>16</v>
      </c>
      <c r="D975" t="s">
        <v>23</v>
      </c>
      <c r="E975" t="s">
        <v>19</v>
      </c>
      <c r="F975" t="s">
        <v>21</v>
      </c>
      <c r="G975">
        <v>223</v>
      </c>
      <c r="H975">
        <v>454.38</v>
      </c>
      <c r="I975">
        <v>0</v>
      </c>
      <c r="J975" t="s">
        <v>15</v>
      </c>
      <c r="K975">
        <v>101326.74</v>
      </c>
      <c r="L975" t="str">
        <f t="shared" si="60"/>
        <v>Dec</v>
      </c>
      <c r="M975">
        <f t="shared" si="61"/>
        <v>2025</v>
      </c>
      <c r="N975">
        <f t="shared" si="62"/>
        <v>101326.74</v>
      </c>
      <c r="O975" t="str">
        <f t="shared" si="63"/>
        <v>On Time</v>
      </c>
    </row>
    <row r="976" spans="1:15" x14ac:dyDescent="0.25">
      <c r="A976">
        <v>975</v>
      </c>
      <c r="B976" s="2">
        <v>45659</v>
      </c>
      <c r="C976" t="s">
        <v>18</v>
      </c>
      <c r="D976" t="s">
        <v>27</v>
      </c>
      <c r="E976" t="s">
        <v>20</v>
      </c>
      <c r="F976" t="s">
        <v>21</v>
      </c>
      <c r="G976">
        <v>222</v>
      </c>
      <c r="H976">
        <v>757.87</v>
      </c>
      <c r="I976">
        <v>75</v>
      </c>
      <c r="J976" t="s">
        <v>15</v>
      </c>
      <c r="K976">
        <v>168247.14</v>
      </c>
      <c r="L976" t="str">
        <f t="shared" si="60"/>
        <v>Jan</v>
      </c>
      <c r="M976">
        <f t="shared" si="61"/>
        <v>2025</v>
      </c>
      <c r="N976">
        <f t="shared" si="62"/>
        <v>168247.14</v>
      </c>
      <c r="O976" t="str">
        <f t="shared" si="63"/>
        <v>Major Delay</v>
      </c>
    </row>
    <row r="977" spans="1:15" x14ac:dyDescent="0.25">
      <c r="A977">
        <v>976</v>
      </c>
      <c r="B977" s="2">
        <v>45720</v>
      </c>
      <c r="C977" t="s">
        <v>25</v>
      </c>
      <c r="D977" t="s">
        <v>17</v>
      </c>
      <c r="E977" t="s">
        <v>23</v>
      </c>
      <c r="F977" t="s">
        <v>21</v>
      </c>
      <c r="G977">
        <v>169</v>
      </c>
      <c r="H977">
        <v>426.73</v>
      </c>
      <c r="I977">
        <v>38</v>
      </c>
      <c r="J977" t="s">
        <v>15</v>
      </c>
      <c r="K977">
        <v>72117.37</v>
      </c>
      <c r="L977" t="str">
        <f t="shared" si="60"/>
        <v>Mar</v>
      </c>
      <c r="M977">
        <f t="shared" si="61"/>
        <v>2025</v>
      </c>
      <c r="N977">
        <f t="shared" si="62"/>
        <v>72117.37000000001</v>
      </c>
      <c r="O977" t="str">
        <f t="shared" si="63"/>
        <v>Moderate Delay</v>
      </c>
    </row>
    <row r="978" spans="1:15" x14ac:dyDescent="0.25">
      <c r="A978">
        <v>977</v>
      </c>
      <c r="B978" s="2">
        <v>45682</v>
      </c>
      <c r="C978" t="s">
        <v>26</v>
      </c>
      <c r="D978" t="s">
        <v>13</v>
      </c>
      <c r="E978" t="s">
        <v>23</v>
      </c>
      <c r="F978" t="s">
        <v>24</v>
      </c>
      <c r="G978">
        <v>186</v>
      </c>
      <c r="H978">
        <v>392.16</v>
      </c>
      <c r="I978">
        <v>36</v>
      </c>
      <c r="J978" t="s">
        <v>15</v>
      </c>
      <c r="K978">
        <v>72941.759999999995</v>
      </c>
      <c r="L978" t="str">
        <f t="shared" si="60"/>
        <v>Jan</v>
      </c>
      <c r="M978">
        <f t="shared" si="61"/>
        <v>2025</v>
      </c>
      <c r="N978">
        <f t="shared" si="62"/>
        <v>72941.760000000009</v>
      </c>
      <c r="O978" t="str">
        <f t="shared" si="63"/>
        <v>Moderate Delay</v>
      </c>
    </row>
    <row r="979" spans="1:15" x14ac:dyDescent="0.25">
      <c r="A979">
        <v>978</v>
      </c>
      <c r="B979" s="2">
        <v>46011</v>
      </c>
      <c r="C979" t="s">
        <v>18</v>
      </c>
      <c r="D979" t="s">
        <v>13</v>
      </c>
      <c r="E979" t="s">
        <v>23</v>
      </c>
      <c r="F979" t="s">
        <v>14</v>
      </c>
      <c r="G979">
        <v>284</v>
      </c>
      <c r="H979">
        <v>244.99</v>
      </c>
      <c r="I979">
        <v>20</v>
      </c>
      <c r="J979" t="s">
        <v>15</v>
      </c>
      <c r="K979">
        <v>69577.16</v>
      </c>
      <c r="L979" t="str">
        <f t="shared" si="60"/>
        <v>Dec</v>
      </c>
      <c r="M979">
        <f t="shared" si="61"/>
        <v>2025</v>
      </c>
      <c r="N979">
        <f t="shared" si="62"/>
        <v>69577.16</v>
      </c>
      <c r="O979" t="str">
        <f t="shared" si="63"/>
        <v>Minor Delay</v>
      </c>
    </row>
    <row r="980" spans="1:15" x14ac:dyDescent="0.25">
      <c r="A980">
        <v>979</v>
      </c>
      <c r="B980" s="2">
        <v>45978</v>
      </c>
      <c r="C980" t="s">
        <v>25</v>
      </c>
      <c r="D980" t="s">
        <v>23</v>
      </c>
      <c r="E980" t="s">
        <v>12</v>
      </c>
      <c r="F980" t="s">
        <v>14</v>
      </c>
      <c r="G980">
        <v>57</v>
      </c>
      <c r="H980">
        <v>415.18</v>
      </c>
      <c r="I980">
        <v>31</v>
      </c>
      <c r="J980" t="s">
        <v>15</v>
      </c>
      <c r="K980">
        <v>23665.26</v>
      </c>
      <c r="L980" t="str">
        <f t="shared" si="60"/>
        <v>Nov</v>
      </c>
      <c r="M980">
        <f t="shared" si="61"/>
        <v>2025</v>
      </c>
      <c r="N980">
        <f t="shared" si="62"/>
        <v>23665.260000000002</v>
      </c>
      <c r="O980" t="str">
        <f t="shared" si="63"/>
        <v>Moderate Delay</v>
      </c>
    </row>
    <row r="981" spans="1:15" x14ac:dyDescent="0.25">
      <c r="A981">
        <v>980</v>
      </c>
      <c r="B981" s="2">
        <v>45784</v>
      </c>
      <c r="C981" t="s">
        <v>16</v>
      </c>
      <c r="D981" t="s">
        <v>22</v>
      </c>
      <c r="E981" t="s">
        <v>23</v>
      </c>
      <c r="F981" t="s">
        <v>24</v>
      </c>
      <c r="G981">
        <v>111</v>
      </c>
      <c r="H981">
        <v>769.51</v>
      </c>
      <c r="I981">
        <v>0</v>
      </c>
      <c r="J981" t="s">
        <v>30</v>
      </c>
      <c r="K981">
        <v>85415.61</v>
      </c>
      <c r="L981" t="str">
        <f t="shared" si="60"/>
        <v>May</v>
      </c>
      <c r="M981">
        <f t="shared" si="61"/>
        <v>2025</v>
      </c>
      <c r="N981">
        <f t="shared" si="62"/>
        <v>85415.61</v>
      </c>
      <c r="O981" t="str">
        <f t="shared" si="63"/>
        <v>On Time</v>
      </c>
    </row>
    <row r="982" spans="1:15" x14ac:dyDescent="0.25">
      <c r="A982">
        <v>981</v>
      </c>
      <c r="B982" s="2">
        <v>45695</v>
      </c>
      <c r="C982" t="s">
        <v>31</v>
      </c>
      <c r="D982" t="s">
        <v>22</v>
      </c>
      <c r="E982" t="s">
        <v>19</v>
      </c>
      <c r="F982" t="s">
        <v>21</v>
      </c>
      <c r="G982">
        <v>162</v>
      </c>
      <c r="H982">
        <v>625.42999999999995</v>
      </c>
      <c r="I982">
        <v>0</v>
      </c>
      <c r="J982" t="s">
        <v>15</v>
      </c>
      <c r="K982">
        <v>101319.66</v>
      </c>
      <c r="L982" t="str">
        <f t="shared" si="60"/>
        <v>Feb</v>
      </c>
      <c r="M982">
        <f t="shared" si="61"/>
        <v>2025</v>
      </c>
      <c r="N982">
        <f t="shared" si="62"/>
        <v>101319.65999999999</v>
      </c>
      <c r="O982" t="str">
        <f t="shared" si="63"/>
        <v>On Time</v>
      </c>
    </row>
    <row r="983" spans="1:15" x14ac:dyDescent="0.25">
      <c r="A983">
        <v>982</v>
      </c>
      <c r="B983" s="2">
        <v>45851</v>
      </c>
      <c r="C983" t="s">
        <v>26</v>
      </c>
      <c r="D983" t="s">
        <v>13</v>
      </c>
      <c r="E983" t="s">
        <v>12</v>
      </c>
      <c r="F983" t="s">
        <v>21</v>
      </c>
      <c r="G983">
        <v>66</v>
      </c>
      <c r="H983">
        <v>639.16</v>
      </c>
      <c r="I983">
        <v>0</v>
      </c>
      <c r="J983" t="s">
        <v>15</v>
      </c>
      <c r="K983">
        <v>42184.56</v>
      </c>
      <c r="L983" t="str">
        <f t="shared" si="60"/>
        <v>Jul</v>
      </c>
      <c r="M983">
        <f t="shared" si="61"/>
        <v>2025</v>
      </c>
      <c r="N983">
        <f t="shared" si="62"/>
        <v>42184.56</v>
      </c>
      <c r="O983" t="str">
        <f t="shared" si="63"/>
        <v>On Time</v>
      </c>
    </row>
    <row r="984" spans="1:15" x14ac:dyDescent="0.25">
      <c r="A984">
        <v>983</v>
      </c>
      <c r="B984" s="2">
        <v>45812</v>
      </c>
      <c r="C984" t="s">
        <v>31</v>
      </c>
      <c r="D984" t="s">
        <v>20</v>
      </c>
      <c r="E984" t="s">
        <v>13</v>
      </c>
      <c r="F984" t="s">
        <v>21</v>
      </c>
      <c r="G984">
        <v>160</v>
      </c>
      <c r="H984">
        <v>108.68</v>
      </c>
      <c r="I984">
        <v>5</v>
      </c>
      <c r="J984" t="s">
        <v>15</v>
      </c>
      <c r="K984">
        <v>17388.8</v>
      </c>
      <c r="L984" t="str">
        <f t="shared" si="60"/>
        <v>Jun</v>
      </c>
      <c r="M984">
        <f t="shared" si="61"/>
        <v>2025</v>
      </c>
      <c r="N984">
        <f t="shared" si="62"/>
        <v>17388.800000000003</v>
      </c>
      <c r="O984" t="str">
        <f t="shared" si="63"/>
        <v>Minor Delay</v>
      </c>
    </row>
    <row r="985" spans="1:15" x14ac:dyDescent="0.25">
      <c r="A985">
        <v>984</v>
      </c>
      <c r="B985" s="2">
        <v>45707</v>
      </c>
      <c r="C985" t="s">
        <v>31</v>
      </c>
      <c r="D985" t="s">
        <v>17</v>
      </c>
      <c r="E985" t="s">
        <v>20</v>
      </c>
      <c r="F985" t="s">
        <v>24</v>
      </c>
      <c r="G985">
        <v>109</v>
      </c>
      <c r="H985">
        <v>699.79</v>
      </c>
      <c r="I985">
        <v>0</v>
      </c>
      <c r="J985" t="s">
        <v>15</v>
      </c>
      <c r="K985">
        <v>76277.11</v>
      </c>
      <c r="L985" t="str">
        <f t="shared" si="60"/>
        <v>Feb</v>
      </c>
      <c r="M985">
        <f t="shared" si="61"/>
        <v>2025</v>
      </c>
      <c r="N985">
        <f t="shared" si="62"/>
        <v>76277.11</v>
      </c>
      <c r="O985" t="str">
        <f t="shared" si="63"/>
        <v>On Time</v>
      </c>
    </row>
    <row r="986" spans="1:15" x14ac:dyDescent="0.25">
      <c r="A986">
        <v>985</v>
      </c>
      <c r="B986" s="2">
        <v>45854</v>
      </c>
      <c r="C986" t="s">
        <v>18</v>
      </c>
      <c r="D986" t="s">
        <v>13</v>
      </c>
      <c r="E986" t="s">
        <v>27</v>
      </c>
      <c r="F986" t="s">
        <v>24</v>
      </c>
      <c r="G986">
        <v>275</v>
      </c>
      <c r="H986">
        <v>518.96</v>
      </c>
      <c r="I986">
        <v>49</v>
      </c>
      <c r="J986" t="s">
        <v>15</v>
      </c>
      <c r="K986">
        <v>142714</v>
      </c>
      <c r="L986" t="str">
        <f t="shared" si="60"/>
        <v>Jul</v>
      </c>
      <c r="M986">
        <f t="shared" si="61"/>
        <v>2025</v>
      </c>
      <c r="N986">
        <f t="shared" si="62"/>
        <v>142714</v>
      </c>
      <c r="O986" t="str">
        <f t="shared" si="63"/>
        <v>Moderate Delay</v>
      </c>
    </row>
    <row r="987" spans="1:15" x14ac:dyDescent="0.25">
      <c r="A987">
        <v>986</v>
      </c>
      <c r="B987" s="2">
        <v>45922</v>
      </c>
      <c r="C987" t="s">
        <v>26</v>
      </c>
      <c r="D987" t="s">
        <v>13</v>
      </c>
      <c r="E987" t="s">
        <v>27</v>
      </c>
      <c r="F987" t="s">
        <v>21</v>
      </c>
      <c r="G987">
        <v>99</v>
      </c>
      <c r="H987">
        <v>139.91999999999999</v>
      </c>
      <c r="I987">
        <v>41</v>
      </c>
      <c r="J987" t="s">
        <v>15</v>
      </c>
      <c r="K987">
        <v>13852.08</v>
      </c>
      <c r="L987" t="str">
        <f t="shared" si="60"/>
        <v>Sep</v>
      </c>
      <c r="M987">
        <f t="shared" si="61"/>
        <v>2025</v>
      </c>
      <c r="N987">
        <f t="shared" si="62"/>
        <v>13852.079999999998</v>
      </c>
      <c r="O987" t="str">
        <f t="shared" si="63"/>
        <v>Moderate Delay</v>
      </c>
    </row>
    <row r="988" spans="1:15" x14ac:dyDescent="0.25">
      <c r="A988">
        <v>987</v>
      </c>
      <c r="B988" s="2">
        <v>45951</v>
      </c>
      <c r="C988" t="s">
        <v>11</v>
      </c>
      <c r="D988" t="s">
        <v>12</v>
      </c>
      <c r="E988" t="s">
        <v>23</v>
      </c>
      <c r="F988" t="s">
        <v>21</v>
      </c>
      <c r="G988">
        <v>180</v>
      </c>
      <c r="H988">
        <v>249.65</v>
      </c>
      <c r="I988">
        <v>0</v>
      </c>
      <c r="J988" t="s">
        <v>15</v>
      </c>
      <c r="K988">
        <v>44937</v>
      </c>
      <c r="L988" t="str">
        <f t="shared" si="60"/>
        <v>Oct</v>
      </c>
      <c r="M988">
        <f t="shared" si="61"/>
        <v>2025</v>
      </c>
      <c r="N988">
        <f t="shared" si="62"/>
        <v>44937</v>
      </c>
      <c r="O988" t="str">
        <f t="shared" si="63"/>
        <v>On Time</v>
      </c>
    </row>
    <row r="989" spans="1:15" x14ac:dyDescent="0.25">
      <c r="A989">
        <v>988</v>
      </c>
      <c r="B989" s="2">
        <v>45680</v>
      </c>
      <c r="C989" t="s">
        <v>16</v>
      </c>
      <c r="D989" t="s">
        <v>19</v>
      </c>
      <c r="E989" t="s">
        <v>29</v>
      </c>
      <c r="F989" t="s">
        <v>14</v>
      </c>
      <c r="G989">
        <v>129</v>
      </c>
      <c r="H989">
        <v>492.55</v>
      </c>
      <c r="I989">
        <v>39</v>
      </c>
      <c r="J989" t="s">
        <v>15</v>
      </c>
      <c r="K989">
        <v>63538.95</v>
      </c>
      <c r="L989" t="str">
        <f t="shared" si="60"/>
        <v>Jan</v>
      </c>
      <c r="M989">
        <f t="shared" si="61"/>
        <v>2025</v>
      </c>
      <c r="N989">
        <f t="shared" si="62"/>
        <v>63538.950000000004</v>
      </c>
      <c r="O989" t="str">
        <f t="shared" si="63"/>
        <v>Moderate Delay</v>
      </c>
    </row>
    <row r="990" spans="1:15" x14ac:dyDescent="0.25">
      <c r="A990">
        <v>989</v>
      </c>
      <c r="B990" s="2">
        <v>45956</v>
      </c>
      <c r="C990" t="s">
        <v>31</v>
      </c>
      <c r="D990" t="s">
        <v>22</v>
      </c>
      <c r="E990" t="s">
        <v>23</v>
      </c>
      <c r="F990" t="s">
        <v>14</v>
      </c>
      <c r="G990">
        <v>87</v>
      </c>
      <c r="H990">
        <v>407.45</v>
      </c>
      <c r="I990">
        <v>3</v>
      </c>
      <c r="J990" t="s">
        <v>30</v>
      </c>
      <c r="K990">
        <v>35448.15</v>
      </c>
      <c r="L990" t="str">
        <f t="shared" si="60"/>
        <v>Oct</v>
      </c>
      <c r="M990">
        <f t="shared" si="61"/>
        <v>2025</v>
      </c>
      <c r="N990">
        <f t="shared" si="62"/>
        <v>35448.15</v>
      </c>
      <c r="O990" t="str">
        <f t="shared" si="63"/>
        <v>Minor Delay</v>
      </c>
    </row>
    <row r="991" spans="1:15" x14ac:dyDescent="0.25">
      <c r="A991">
        <v>990</v>
      </c>
      <c r="B991" s="2">
        <v>45687</v>
      </c>
      <c r="C991" t="s">
        <v>11</v>
      </c>
      <c r="D991" t="s">
        <v>27</v>
      </c>
      <c r="E991" t="s">
        <v>29</v>
      </c>
      <c r="F991" t="s">
        <v>21</v>
      </c>
      <c r="G991">
        <v>259</v>
      </c>
      <c r="H991">
        <v>678.03</v>
      </c>
      <c r="I991">
        <v>7</v>
      </c>
      <c r="J991" t="s">
        <v>30</v>
      </c>
      <c r="K991">
        <v>175609.77</v>
      </c>
      <c r="L991" t="str">
        <f t="shared" si="60"/>
        <v>Jan</v>
      </c>
      <c r="M991">
        <f t="shared" si="61"/>
        <v>2025</v>
      </c>
      <c r="N991">
        <f t="shared" si="62"/>
        <v>175609.77</v>
      </c>
      <c r="O991" t="str">
        <f t="shared" si="63"/>
        <v>Minor Delay</v>
      </c>
    </row>
    <row r="992" spans="1:15" x14ac:dyDescent="0.25">
      <c r="A992">
        <v>991</v>
      </c>
      <c r="B992" s="2">
        <v>45758</v>
      </c>
      <c r="C992" t="s">
        <v>11</v>
      </c>
      <c r="D992" t="s">
        <v>17</v>
      </c>
      <c r="E992" t="s">
        <v>22</v>
      </c>
      <c r="F992" t="s">
        <v>21</v>
      </c>
      <c r="G992">
        <v>282</v>
      </c>
      <c r="H992">
        <v>208.93</v>
      </c>
      <c r="I992">
        <v>34</v>
      </c>
      <c r="J992" t="s">
        <v>15</v>
      </c>
      <c r="K992">
        <v>58918.26</v>
      </c>
      <c r="L992" t="str">
        <f t="shared" si="60"/>
        <v>Apr</v>
      </c>
      <c r="M992">
        <f t="shared" si="61"/>
        <v>2025</v>
      </c>
      <c r="N992">
        <f t="shared" si="62"/>
        <v>58918.26</v>
      </c>
      <c r="O992" t="str">
        <f t="shared" si="63"/>
        <v>Moderate Delay</v>
      </c>
    </row>
    <row r="993" spans="1:15" x14ac:dyDescent="0.25">
      <c r="A993">
        <v>992</v>
      </c>
      <c r="B993" s="2">
        <v>45954</v>
      </c>
      <c r="C993" t="s">
        <v>31</v>
      </c>
      <c r="D993" t="s">
        <v>20</v>
      </c>
      <c r="E993" t="s">
        <v>22</v>
      </c>
      <c r="F993" t="s">
        <v>24</v>
      </c>
      <c r="G993">
        <v>207</v>
      </c>
      <c r="H993">
        <v>281.73</v>
      </c>
      <c r="I993">
        <v>26</v>
      </c>
      <c r="J993" t="s">
        <v>15</v>
      </c>
      <c r="K993">
        <v>58318.11</v>
      </c>
      <c r="L993" t="str">
        <f t="shared" si="60"/>
        <v>Oct</v>
      </c>
      <c r="M993">
        <f t="shared" si="61"/>
        <v>2025</v>
      </c>
      <c r="N993">
        <f t="shared" si="62"/>
        <v>58318.11</v>
      </c>
      <c r="O993" t="str">
        <f t="shared" si="63"/>
        <v>Minor Delay</v>
      </c>
    </row>
    <row r="994" spans="1:15" x14ac:dyDescent="0.25">
      <c r="A994">
        <v>993</v>
      </c>
      <c r="B994" s="2">
        <v>45679</v>
      </c>
      <c r="C994" t="s">
        <v>18</v>
      </c>
      <c r="D994" t="s">
        <v>12</v>
      </c>
      <c r="E994" t="s">
        <v>27</v>
      </c>
      <c r="F994" t="s">
        <v>14</v>
      </c>
      <c r="G994">
        <v>285</v>
      </c>
      <c r="H994">
        <v>62.74</v>
      </c>
      <c r="I994">
        <v>23</v>
      </c>
      <c r="J994" t="s">
        <v>15</v>
      </c>
      <c r="K994">
        <v>17880.900000000001</v>
      </c>
      <c r="L994" t="str">
        <f t="shared" si="60"/>
        <v>Jan</v>
      </c>
      <c r="M994">
        <f t="shared" si="61"/>
        <v>2025</v>
      </c>
      <c r="N994">
        <f t="shared" si="62"/>
        <v>17880.900000000001</v>
      </c>
      <c r="O994" t="str">
        <f t="shared" si="63"/>
        <v>Minor Delay</v>
      </c>
    </row>
    <row r="995" spans="1:15" x14ac:dyDescent="0.25">
      <c r="A995">
        <v>994</v>
      </c>
      <c r="B995" s="2">
        <v>45827</v>
      </c>
      <c r="C995" t="s">
        <v>25</v>
      </c>
      <c r="D995" t="s">
        <v>19</v>
      </c>
      <c r="E995" t="s">
        <v>27</v>
      </c>
      <c r="F995" t="s">
        <v>24</v>
      </c>
      <c r="G995">
        <v>102</v>
      </c>
      <c r="H995">
        <v>356.23</v>
      </c>
      <c r="I995">
        <v>37</v>
      </c>
      <c r="J995" t="s">
        <v>30</v>
      </c>
      <c r="K995">
        <v>36335.46</v>
      </c>
      <c r="L995" t="str">
        <f t="shared" si="60"/>
        <v>Jun</v>
      </c>
      <c r="M995">
        <f t="shared" si="61"/>
        <v>2025</v>
      </c>
      <c r="N995">
        <f t="shared" si="62"/>
        <v>36335.46</v>
      </c>
      <c r="O995" t="str">
        <f t="shared" si="63"/>
        <v>Moderate Delay</v>
      </c>
    </row>
    <row r="996" spans="1:15" x14ac:dyDescent="0.25">
      <c r="A996">
        <v>995</v>
      </c>
      <c r="B996" s="2">
        <v>45663</v>
      </c>
      <c r="C996" t="s">
        <v>16</v>
      </c>
      <c r="D996" t="s">
        <v>13</v>
      </c>
      <c r="E996" t="s">
        <v>17</v>
      </c>
      <c r="F996" t="s">
        <v>24</v>
      </c>
      <c r="G996">
        <v>57</v>
      </c>
      <c r="H996">
        <v>470.47</v>
      </c>
      <c r="I996">
        <v>36</v>
      </c>
      <c r="J996" t="s">
        <v>15</v>
      </c>
      <c r="K996">
        <v>26816.79</v>
      </c>
      <c r="L996" t="str">
        <f t="shared" si="60"/>
        <v>Jan</v>
      </c>
      <c r="M996">
        <f t="shared" si="61"/>
        <v>2025</v>
      </c>
      <c r="N996">
        <f t="shared" si="62"/>
        <v>26816.79</v>
      </c>
      <c r="O996" t="str">
        <f t="shared" si="63"/>
        <v>Moderate Delay</v>
      </c>
    </row>
    <row r="997" spans="1:15" x14ac:dyDescent="0.25">
      <c r="A997">
        <v>996</v>
      </c>
      <c r="B997" s="2">
        <v>45673</v>
      </c>
      <c r="C997" t="s">
        <v>11</v>
      </c>
      <c r="D997" t="s">
        <v>22</v>
      </c>
      <c r="E997" t="s">
        <v>13</v>
      </c>
      <c r="F997" t="s">
        <v>14</v>
      </c>
      <c r="G997">
        <v>122</v>
      </c>
      <c r="H997">
        <v>188.87</v>
      </c>
      <c r="I997">
        <v>41</v>
      </c>
      <c r="J997" t="s">
        <v>30</v>
      </c>
      <c r="K997">
        <v>23042.14</v>
      </c>
      <c r="L997" t="str">
        <f t="shared" si="60"/>
        <v>Jan</v>
      </c>
      <c r="M997">
        <f t="shared" si="61"/>
        <v>2025</v>
      </c>
      <c r="N997">
        <f t="shared" si="62"/>
        <v>23042.14</v>
      </c>
      <c r="O997" t="str">
        <f t="shared" si="63"/>
        <v>Moderate Delay</v>
      </c>
    </row>
    <row r="998" spans="1:15" x14ac:dyDescent="0.25">
      <c r="A998">
        <v>997</v>
      </c>
      <c r="B998" s="2">
        <v>45941</v>
      </c>
      <c r="C998" t="s">
        <v>11</v>
      </c>
      <c r="D998" t="s">
        <v>29</v>
      </c>
      <c r="E998" t="s">
        <v>17</v>
      </c>
      <c r="F998" t="s">
        <v>14</v>
      </c>
      <c r="G998">
        <v>100</v>
      </c>
      <c r="H998">
        <v>75.900000000000006</v>
      </c>
      <c r="I998">
        <v>50</v>
      </c>
      <c r="J998" t="s">
        <v>15</v>
      </c>
      <c r="K998">
        <v>7590</v>
      </c>
      <c r="L998" t="str">
        <f t="shared" si="60"/>
        <v>Oct</v>
      </c>
      <c r="M998">
        <f t="shared" si="61"/>
        <v>2025</v>
      </c>
      <c r="N998">
        <f t="shared" si="62"/>
        <v>7590.0000000000009</v>
      </c>
      <c r="O998" t="str">
        <f t="shared" si="63"/>
        <v>Moderate Delay</v>
      </c>
    </row>
    <row r="999" spans="1:15" x14ac:dyDescent="0.25">
      <c r="A999">
        <v>998</v>
      </c>
      <c r="B999" s="2">
        <v>45993</v>
      </c>
      <c r="C999" t="s">
        <v>16</v>
      </c>
      <c r="D999" t="s">
        <v>29</v>
      </c>
      <c r="E999" t="s">
        <v>20</v>
      </c>
      <c r="F999" t="s">
        <v>24</v>
      </c>
      <c r="G999">
        <v>289</v>
      </c>
      <c r="H999">
        <v>215.58</v>
      </c>
      <c r="I999">
        <v>0</v>
      </c>
      <c r="J999" t="s">
        <v>15</v>
      </c>
      <c r="K999">
        <v>62302.62</v>
      </c>
      <c r="L999" t="str">
        <f t="shared" si="60"/>
        <v>Dec</v>
      </c>
      <c r="M999">
        <f t="shared" si="61"/>
        <v>2025</v>
      </c>
      <c r="N999">
        <f t="shared" si="62"/>
        <v>62302.62</v>
      </c>
      <c r="O999" t="str">
        <f t="shared" si="63"/>
        <v>On Time</v>
      </c>
    </row>
    <row r="1000" spans="1:15" x14ac:dyDescent="0.25">
      <c r="A1000">
        <v>999</v>
      </c>
      <c r="B1000" s="2">
        <v>45996</v>
      </c>
      <c r="C1000" t="s">
        <v>11</v>
      </c>
      <c r="D1000" t="s">
        <v>22</v>
      </c>
      <c r="E1000" t="s">
        <v>17</v>
      </c>
      <c r="F1000" t="s">
        <v>21</v>
      </c>
      <c r="G1000">
        <v>300</v>
      </c>
      <c r="H1000">
        <v>651.28</v>
      </c>
      <c r="I1000">
        <v>0</v>
      </c>
      <c r="J1000" t="s">
        <v>15</v>
      </c>
      <c r="K1000">
        <v>195384</v>
      </c>
      <c r="L1000" t="str">
        <f t="shared" si="60"/>
        <v>Dec</v>
      </c>
      <c r="M1000">
        <f t="shared" si="61"/>
        <v>2025</v>
      </c>
      <c r="N1000">
        <f t="shared" si="62"/>
        <v>195384</v>
      </c>
      <c r="O1000" t="str">
        <f t="shared" si="63"/>
        <v>On Time</v>
      </c>
    </row>
    <row r="1001" spans="1:15" x14ac:dyDescent="0.25">
      <c r="A1001">
        <v>1000</v>
      </c>
      <c r="B1001" s="2">
        <v>45724</v>
      </c>
      <c r="C1001" t="s">
        <v>11</v>
      </c>
      <c r="D1001" t="s">
        <v>12</v>
      </c>
      <c r="E1001" t="s">
        <v>19</v>
      </c>
      <c r="F1001" t="s">
        <v>14</v>
      </c>
      <c r="G1001">
        <v>186</v>
      </c>
      <c r="H1001">
        <v>339.86</v>
      </c>
      <c r="I1001">
        <v>1</v>
      </c>
      <c r="J1001" t="s">
        <v>15</v>
      </c>
      <c r="K1001">
        <v>63213.96</v>
      </c>
      <c r="L1001" t="str">
        <f t="shared" si="60"/>
        <v>Mar</v>
      </c>
      <c r="M1001">
        <f t="shared" si="61"/>
        <v>2025</v>
      </c>
      <c r="N1001">
        <f t="shared" si="62"/>
        <v>63213.96</v>
      </c>
      <c r="O1001" t="str">
        <f t="shared" si="63"/>
        <v>Minor Delay</v>
      </c>
    </row>
    <row r="1002" spans="1:15" x14ac:dyDescent="0.25">
      <c r="A1002">
        <v>1001</v>
      </c>
      <c r="B1002" s="2">
        <v>45681</v>
      </c>
      <c r="C1002" t="s">
        <v>31</v>
      </c>
      <c r="D1002" t="s">
        <v>17</v>
      </c>
      <c r="E1002" t="s">
        <v>19</v>
      </c>
      <c r="F1002" t="s">
        <v>21</v>
      </c>
      <c r="G1002">
        <v>98</v>
      </c>
      <c r="H1002">
        <v>692.28</v>
      </c>
      <c r="I1002">
        <v>16</v>
      </c>
      <c r="J1002" t="s">
        <v>15</v>
      </c>
      <c r="K1002">
        <v>67843.44</v>
      </c>
      <c r="L1002" t="str">
        <f t="shared" si="60"/>
        <v>Jan</v>
      </c>
      <c r="M1002">
        <f t="shared" si="61"/>
        <v>2025</v>
      </c>
      <c r="N1002">
        <f t="shared" si="62"/>
        <v>67843.44</v>
      </c>
      <c r="O1002" t="str">
        <f t="shared" si="63"/>
        <v>Minor Delay</v>
      </c>
    </row>
    <row r="1003" spans="1:15" x14ac:dyDescent="0.25">
      <c r="A1003">
        <v>1002</v>
      </c>
      <c r="B1003" s="2">
        <v>45918</v>
      </c>
      <c r="C1003" t="s">
        <v>31</v>
      </c>
      <c r="D1003" t="s">
        <v>23</v>
      </c>
      <c r="E1003" t="s">
        <v>29</v>
      </c>
      <c r="F1003" t="s">
        <v>24</v>
      </c>
      <c r="G1003">
        <v>103</v>
      </c>
      <c r="H1003">
        <v>598.20000000000005</v>
      </c>
      <c r="I1003">
        <v>33</v>
      </c>
      <c r="J1003" t="s">
        <v>15</v>
      </c>
      <c r="K1003">
        <v>61614.6</v>
      </c>
      <c r="L1003" t="str">
        <f t="shared" si="60"/>
        <v>Sep</v>
      </c>
      <c r="M1003">
        <f t="shared" si="61"/>
        <v>2025</v>
      </c>
      <c r="N1003">
        <f t="shared" si="62"/>
        <v>61614.600000000006</v>
      </c>
      <c r="O1003" t="str">
        <f t="shared" si="63"/>
        <v>Moderate Delay</v>
      </c>
    </row>
    <row r="1004" spans="1:15" x14ac:dyDescent="0.25">
      <c r="A1004">
        <v>1003</v>
      </c>
      <c r="B1004" s="2">
        <v>45918</v>
      </c>
      <c r="C1004" t="s">
        <v>18</v>
      </c>
      <c r="D1004" t="s">
        <v>12</v>
      </c>
      <c r="E1004" t="s">
        <v>19</v>
      </c>
      <c r="F1004" t="s">
        <v>21</v>
      </c>
      <c r="G1004">
        <v>242</v>
      </c>
      <c r="H1004">
        <v>436.78</v>
      </c>
      <c r="I1004">
        <v>0</v>
      </c>
      <c r="J1004" t="s">
        <v>15</v>
      </c>
      <c r="K1004">
        <v>105700.76</v>
      </c>
      <c r="L1004" t="str">
        <f t="shared" si="60"/>
        <v>Sep</v>
      </c>
      <c r="M1004">
        <f t="shared" si="61"/>
        <v>2025</v>
      </c>
      <c r="N1004">
        <f t="shared" si="62"/>
        <v>105700.76</v>
      </c>
      <c r="O1004" t="str">
        <f t="shared" si="63"/>
        <v>On Time</v>
      </c>
    </row>
    <row r="1005" spans="1:15" x14ac:dyDescent="0.25">
      <c r="A1005">
        <v>1004</v>
      </c>
      <c r="B1005" s="2">
        <v>45911</v>
      </c>
      <c r="C1005" t="s">
        <v>18</v>
      </c>
      <c r="D1005" t="s">
        <v>22</v>
      </c>
      <c r="E1005" t="s">
        <v>27</v>
      </c>
      <c r="F1005" t="s">
        <v>24</v>
      </c>
      <c r="G1005">
        <v>198</v>
      </c>
      <c r="H1005">
        <v>356.7</v>
      </c>
      <c r="I1005">
        <v>20</v>
      </c>
      <c r="J1005" t="s">
        <v>30</v>
      </c>
      <c r="K1005">
        <v>70626.600000000006</v>
      </c>
      <c r="L1005" t="str">
        <f t="shared" si="60"/>
        <v>Sep</v>
      </c>
      <c r="M1005">
        <f t="shared" si="61"/>
        <v>2025</v>
      </c>
      <c r="N1005">
        <f t="shared" si="62"/>
        <v>70626.599999999991</v>
      </c>
      <c r="O1005" t="str">
        <f t="shared" si="63"/>
        <v>Minor Delay</v>
      </c>
    </row>
    <row r="1006" spans="1:15" x14ac:dyDescent="0.25">
      <c r="A1006">
        <v>1005</v>
      </c>
      <c r="B1006" s="2">
        <v>45770</v>
      </c>
      <c r="C1006" t="s">
        <v>11</v>
      </c>
      <c r="D1006" t="s">
        <v>13</v>
      </c>
      <c r="E1006" t="s">
        <v>23</v>
      </c>
      <c r="F1006" t="s">
        <v>24</v>
      </c>
      <c r="G1006">
        <v>270</v>
      </c>
      <c r="H1006">
        <v>233.44</v>
      </c>
      <c r="I1006">
        <v>25</v>
      </c>
      <c r="J1006" t="s">
        <v>15</v>
      </c>
      <c r="K1006">
        <v>63028.800000000003</v>
      </c>
      <c r="L1006" t="str">
        <f t="shared" si="60"/>
        <v>Apr</v>
      </c>
      <c r="M1006">
        <f t="shared" si="61"/>
        <v>2025</v>
      </c>
      <c r="N1006">
        <f t="shared" si="62"/>
        <v>63028.800000000003</v>
      </c>
      <c r="O1006" t="str">
        <f t="shared" si="63"/>
        <v>Minor Delay</v>
      </c>
    </row>
    <row r="1007" spans="1:15" x14ac:dyDescent="0.25">
      <c r="A1007">
        <v>1006</v>
      </c>
      <c r="B1007" s="2">
        <v>45788</v>
      </c>
      <c r="C1007" t="s">
        <v>31</v>
      </c>
      <c r="D1007" t="s">
        <v>29</v>
      </c>
      <c r="E1007" t="s">
        <v>17</v>
      </c>
      <c r="F1007" t="s">
        <v>14</v>
      </c>
      <c r="G1007">
        <v>84</v>
      </c>
      <c r="H1007">
        <v>616.20000000000005</v>
      </c>
      <c r="I1007">
        <v>45</v>
      </c>
      <c r="J1007" t="s">
        <v>15</v>
      </c>
      <c r="K1007">
        <v>51760.800000000003</v>
      </c>
      <c r="L1007" t="str">
        <f t="shared" si="60"/>
        <v>May</v>
      </c>
      <c r="M1007">
        <f t="shared" si="61"/>
        <v>2025</v>
      </c>
      <c r="N1007">
        <f t="shared" si="62"/>
        <v>51760.800000000003</v>
      </c>
      <c r="O1007" t="str">
        <f t="shared" si="63"/>
        <v>Moderate Delay</v>
      </c>
    </row>
    <row r="1008" spans="1:15" x14ac:dyDescent="0.25">
      <c r="A1008">
        <v>1007</v>
      </c>
      <c r="B1008" s="2">
        <v>45775</v>
      </c>
      <c r="C1008" t="s">
        <v>31</v>
      </c>
      <c r="D1008" t="s">
        <v>27</v>
      </c>
      <c r="E1008" t="s">
        <v>22</v>
      </c>
      <c r="F1008" t="s">
        <v>14</v>
      </c>
      <c r="G1008">
        <v>169</v>
      </c>
      <c r="H1008">
        <v>439.07</v>
      </c>
      <c r="I1008">
        <v>5</v>
      </c>
      <c r="J1008" t="s">
        <v>15</v>
      </c>
      <c r="K1008">
        <v>74202.83</v>
      </c>
      <c r="L1008" t="str">
        <f t="shared" si="60"/>
        <v>Apr</v>
      </c>
      <c r="M1008">
        <f t="shared" si="61"/>
        <v>2025</v>
      </c>
      <c r="N1008">
        <f t="shared" si="62"/>
        <v>74202.83</v>
      </c>
      <c r="O1008" t="str">
        <f t="shared" si="63"/>
        <v>Minor Delay</v>
      </c>
    </row>
    <row r="1009" spans="1:15" x14ac:dyDescent="0.25">
      <c r="A1009">
        <v>1008</v>
      </c>
      <c r="B1009" s="2">
        <v>45820</v>
      </c>
      <c r="C1009" t="s">
        <v>26</v>
      </c>
      <c r="D1009" t="s">
        <v>22</v>
      </c>
      <c r="E1009" t="s">
        <v>27</v>
      </c>
      <c r="F1009" t="s">
        <v>24</v>
      </c>
      <c r="G1009">
        <v>56</v>
      </c>
      <c r="H1009">
        <v>192.88</v>
      </c>
      <c r="I1009">
        <v>43</v>
      </c>
      <c r="J1009" t="s">
        <v>15</v>
      </c>
      <c r="K1009">
        <v>10801.28</v>
      </c>
      <c r="L1009" t="str">
        <f t="shared" si="60"/>
        <v>Jun</v>
      </c>
      <c r="M1009">
        <f t="shared" si="61"/>
        <v>2025</v>
      </c>
      <c r="N1009">
        <f t="shared" si="62"/>
        <v>10801.279999999999</v>
      </c>
      <c r="O1009" t="str">
        <f t="shared" si="63"/>
        <v>Moderate Delay</v>
      </c>
    </row>
    <row r="1010" spans="1:15" x14ac:dyDescent="0.25">
      <c r="A1010">
        <v>1009</v>
      </c>
      <c r="B1010" s="2">
        <v>45700</v>
      </c>
      <c r="C1010" t="s">
        <v>26</v>
      </c>
      <c r="D1010" t="s">
        <v>12</v>
      </c>
      <c r="E1010" t="s">
        <v>17</v>
      </c>
      <c r="F1010" t="s">
        <v>21</v>
      </c>
      <c r="G1010">
        <v>181</v>
      </c>
      <c r="H1010">
        <v>464.52</v>
      </c>
      <c r="I1010">
        <v>37</v>
      </c>
      <c r="J1010" t="s">
        <v>15</v>
      </c>
      <c r="K1010">
        <v>84078.12</v>
      </c>
      <c r="L1010" t="str">
        <f t="shared" si="60"/>
        <v>Feb</v>
      </c>
      <c r="M1010">
        <f t="shared" si="61"/>
        <v>2025</v>
      </c>
      <c r="N1010">
        <f t="shared" si="62"/>
        <v>84078.12</v>
      </c>
      <c r="O1010" t="str">
        <f t="shared" si="63"/>
        <v>Moderate Delay</v>
      </c>
    </row>
    <row r="1011" spans="1:15" x14ac:dyDescent="0.25">
      <c r="A1011">
        <v>1010</v>
      </c>
      <c r="B1011" s="2">
        <v>45842</v>
      </c>
      <c r="C1011" t="s">
        <v>16</v>
      </c>
      <c r="D1011" t="s">
        <v>12</v>
      </c>
      <c r="E1011" t="s">
        <v>29</v>
      </c>
      <c r="F1011" t="s">
        <v>21</v>
      </c>
      <c r="G1011">
        <v>101</v>
      </c>
      <c r="H1011">
        <v>306.98</v>
      </c>
      <c r="I1011">
        <v>29</v>
      </c>
      <c r="J1011" t="s">
        <v>15</v>
      </c>
      <c r="K1011">
        <v>31004.98</v>
      </c>
      <c r="L1011" t="str">
        <f t="shared" si="60"/>
        <v>Jul</v>
      </c>
      <c r="M1011">
        <f t="shared" si="61"/>
        <v>2025</v>
      </c>
      <c r="N1011">
        <f t="shared" si="62"/>
        <v>31004.980000000003</v>
      </c>
      <c r="O1011" t="str">
        <f t="shared" si="63"/>
        <v>Minor Delay</v>
      </c>
    </row>
    <row r="1012" spans="1:15" x14ac:dyDescent="0.25">
      <c r="A1012">
        <v>1011</v>
      </c>
      <c r="B1012" s="2">
        <v>46007</v>
      </c>
      <c r="C1012" t="s">
        <v>26</v>
      </c>
      <c r="D1012" t="s">
        <v>23</v>
      </c>
      <c r="E1012" t="s">
        <v>22</v>
      </c>
      <c r="F1012" t="s">
        <v>14</v>
      </c>
      <c r="G1012">
        <v>230</v>
      </c>
      <c r="H1012">
        <v>506.99</v>
      </c>
      <c r="I1012">
        <v>51</v>
      </c>
      <c r="J1012" t="s">
        <v>15</v>
      </c>
      <c r="K1012">
        <v>116607.7</v>
      </c>
      <c r="L1012" t="str">
        <f t="shared" si="60"/>
        <v>Dec</v>
      </c>
      <c r="M1012">
        <f t="shared" si="61"/>
        <v>2025</v>
      </c>
      <c r="N1012">
        <f t="shared" si="62"/>
        <v>116607.7</v>
      </c>
      <c r="O1012" t="str">
        <f t="shared" si="63"/>
        <v>Moderate Delay</v>
      </c>
    </row>
    <row r="1013" spans="1:15" x14ac:dyDescent="0.25">
      <c r="A1013">
        <v>1012</v>
      </c>
      <c r="B1013" s="2">
        <v>45662</v>
      </c>
      <c r="C1013" t="s">
        <v>26</v>
      </c>
      <c r="D1013" t="s">
        <v>27</v>
      </c>
      <c r="E1013" t="s">
        <v>23</v>
      </c>
      <c r="F1013" t="s">
        <v>24</v>
      </c>
      <c r="G1013">
        <v>260</v>
      </c>
      <c r="H1013">
        <v>316.51</v>
      </c>
      <c r="I1013">
        <v>57</v>
      </c>
      <c r="J1013" t="s">
        <v>28</v>
      </c>
      <c r="K1013">
        <v>82292.600000000006</v>
      </c>
      <c r="L1013" t="str">
        <f t="shared" si="60"/>
        <v>Jan</v>
      </c>
      <c r="M1013">
        <f t="shared" si="61"/>
        <v>2025</v>
      </c>
      <c r="N1013">
        <f t="shared" si="62"/>
        <v>82292.599999999991</v>
      </c>
      <c r="O1013" t="str">
        <f t="shared" si="63"/>
        <v>Moderate Delay</v>
      </c>
    </row>
    <row r="1014" spans="1:15" x14ac:dyDescent="0.25">
      <c r="A1014">
        <v>1013</v>
      </c>
      <c r="B1014" s="2">
        <v>45899</v>
      </c>
      <c r="C1014" t="s">
        <v>25</v>
      </c>
      <c r="D1014" t="s">
        <v>17</v>
      </c>
      <c r="E1014" t="s">
        <v>13</v>
      </c>
      <c r="F1014" t="s">
        <v>21</v>
      </c>
      <c r="G1014">
        <v>244</v>
      </c>
      <c r="H1014">
        <v>764.1</v>
      </c>
      <c r="I1014">
        <v>31</v>
      </c>
      <c r="J1014" t="s">
        <v>15</v>
      </c>
      <c r="K1014">
        <v>186440.4</v>
      </c>
      <c r="L1014" t="str">
        <f t="shared" si="60"/>
        <v>Aug</v>
      </c>
      <c r="M1014">
        <f t="shared" si="61"/>
        <v>2025</v>
      </c>
      <c r="N1014">
        <f t="shared" si="62"/>
        <v>186440.4</v>
      </c>
      <c r="O1014" t="str">
        <f t="shared" si="63"/>
        <v>Moderate Delay</v>
      </c>
    </row>
    <row r="1015" spans="1:15" x14ac:dyDescent="0.25">
      <c r="A1015">
        <v>1014</v>
      </c>
      <c r="B1015" s="2">
        <v>45777</v>
      </c>
      <c r="C1015" t="s">
        <v>31</v>
      </c>
      <c r="D1015" t="s">
        <v>19</v>
      </c>
      <c r="E1015" t="s">
        <v>27</v>
      </c>
      <c r="F1015" t="s">
        <v>21</v>
      </c>
      <c r="G1015">
        <v>251</v>
      </c>
      <c r="H1015">
        <v>468.94</v>
      </c>
      <c r="I1015">
        <v>6</v>
      </c>
      <c r="J1015" t="s">
        <v>15</v>
      </c>
      <c r="K1015">
        <v>117703.94</v>
      </c>
      <c r="L1015" t="str">
        <f t="shared" si="60"/>
        <v>Apr</v>
      </c>
      <c r="M1015">
        <f t="shared" si="61"/>
        <v>2025</v>
      </c>
      <c r="N1015">
        <f t="shared" si="62"/>
        <v>117703.94</v>
      </c>
      <c r="O1015" t="str">
        <f t="shared" si="63"/>
        <v>Minor Delay</v>
      </c>
    </row>
    <row r="1016" spans="1:15" x14ac:dyDescent="0.25">
      <c r="A1016">
        <v>1015</v>
      </c>
      <c r="B1016" s="2">
        <v>45701</v>
      </c>
      <c r="C1016" t="s">
        <v>26</v>
      </c>
      <c r="D1016" t="s">
        <v>20</v>
      </c>
      <c r="E1016" t="s">
        <v>22</v>
      </c>
      <c r="F1016" t="s">
        <v>14</v>
      </c>
      <c r="G1016">
        <v>159</v>
      </c>
      <c r="H1016">
        <v>629.9</v>
      </c>
      <c r="I1016">
        <v>14</v>
      </c>
      <c r="J1016" t="s">
        <v>15</v>
      </c>
      <c r="K1016">
        <v>100154.1</v>
      </c>
      <c r="L1016" t="str">
        <f t="shared" si="60"/>
        <v>Feb</v>
      </c>
      <c r="M1016">
        <f t="shared" si="61"/>
        <v>2025</v>
      </c>
      <c r="N1016">
        <f t="shared" si="62"/>
        <v>100154.09999999999</v>
      </c>
      <c r="O1016" t="str">
        <f t="shared" si="63"/>
        <v>Minor Delay</v>
      </c>
    </row>
    <row r="1017" spans="1:15" x14ac:dyDescent="0.25">
      <c r="A1017">
        <v>1016</v>
      </c>
      <c r="B1017" s="2">
        <v>45849</v>
      </c>
      <c r="C1017" t="s">
        <v>11</v>
      </c>
      <c r="D1017" t="s">
        <v>27</v>
      </c>
      <c r="E1017" t="s">
        <v>13</v>
      </c>
      <c r="F1017" t="s">
        <v>21</v>
      </c>
      <c r="G1017">
        <v>273</v>
      </c>
      <c r="H1017">
        <v>154.97999999999999</v>
      </c>
      <c r="I1017">
        <v>3</v>
      </c>
      <c r="J1017" t="s">
        <v>30</v>
      </c>
      <c r="K1017">
        <v>42309.54</v>
      </c>
      <c r="L1017" t="str">
        <f t="shared" si="60"/>
        <v>Jul</v>
      </c>
      <c r="M1017">
        <f t="shared" si="61"/>
        <v>2025</v>
      </c>
      <c r="N1017">
        <f t="shared" si="62"/>
        <v>42309.539999999994</v>
      </c>
      <c r="O1017" t="str">
        <f t="shared" si="63"/>
        <v>Minor Delay</v>
      </c>
    </row>
    <row r="1018" spans="1:15" x14ac:dyDescent="0.25">
      <c r="A1018">
        <v>1017</v>
      </c>
      <c r="B1018" s="2">
        <v>45995</v>
      </c>
      <c r="C1018" t="s">
        <v>26</v>
      </c>
      <c r="D1018" t="s">
        <v>13</v>
      </c>
      <c r="E1018" t="s">
        <v>27</v>
      </c>
      <c r="F1018" t="s">
        <v>24</v>
      </c>
      <c r="G1018">
        <v>107</v>
      </c>
      <c r="H1018">
        <v>370.17</v>
      </c>
      <c r="I1018">
        <v>10</v>
      </c>
      <c r="J1018" t="s">
        <v>15</v>
      </c>
      <c r="K1018">
        <v>39608.19</v>
      </c>
      <c r="L1018" t="str">
        <f t="shared" si="60"/>
        <v>Dec</v>
      </c>
      <c r="M1018">
        <f t="shared" si="61"/>
        <v>2025</v>
      </c>
      <c r="N1018">
        <f t="shared" si="62"/>
        <v>39608.19</v>
      </c>
      <c r="O1018" t="str">
        <f t="shared" si="63"/>
        <v>Minor Delay</v>
      </c>
    </row>
    <row r="1019" spans="1:15" x14ac:dyDescent="0.25">
      <c r="A1019">
        <v>1018</v>
      </c>
      <c r="B1019" s="2">
        <v>45824</v>
      </c>
      <c r="C1019" t="s">
        <v>31</v>
      </c>
      <c r="D1019" t="s">
        <v>27</v>
      </c>
      <c r="E1019" t="s">
        <v>23</v>
      </c>
      <c r="F1019" t="s">
        <v>14</v>
      </c>
      <c r="G1019">
        <v>195</v>
      </c>
      <c r="H1019">
        <v>641.16</v>
      </c>
      <c r="I1019">
        <v>0</v>
      </c>
      <c r="J1019" t="s">
        <v>30</v>
      </c>
      <c r="K1019">
        <v>125026.2</v>
      </c>
      <c r="L1019" t="str">
        <f t="shared" si="60"/>
        <v>Jun</v>
      </c>
      <c r="M1019">
        <f t="shared" si="61"/>
        <v>2025</v>
      </c>
      <c r="N1019">
        <f t="shared" si="62"/>
        <v>125026.2</v>
      </c>
      <c r="O1019" t="str">
        <f t="shared" si="63"/>
        <v>On Time</v>
      </c>
    </row>
    <row r="1020" spans="1:15" x14ac:dyDescent="0.25">
      <c r="A1020">
        <v>1019</v>
      </c>
      <c r="B1020" s="2">
        <v>45948</v>
      </c>
      <c r="C1020" t="s">
        <v>25</v>
      </c>
      <c r="D1020" t="s">
        <v>29</v>
      </c>
      <c r="E1020" t="s">
        <v>17</v>
      </c>
      <c r="F1020" t="s">
        <v>21</v>
      </c>
      <c r="G1020">
        <v>283</v>
      </c>
      <c r="H1020">
        <v>509.8</v>
      </c>
      <c r="I1020">
        <v>66</v>
      </c>
      <c r="J1020" t="s">
        <v>15</v>
      </c>
      <c r="K1020">
        <v>144273.4</v>
      </c>
      <c r="L1020" t="str">
        <f t="shared" si="60"/>
        <v>Oct</v>
      </c>
      <c r="M1020">
        <f t="shared" si="61"/>
        <v>2025</v>
      </c>
      <c r="N1020">
        <f t="shared" si="62"/>
        <v>144273.4</v>
      </c>
      <c r="O1020" t="str">
        <f t="shared" si="63"/>
        <v>Major Delay</v>
      </c>
    </row>
    <row r="1021" spans="1:15" x14ac:dyDescent="0.25">
      <c r="A1021">
        <v>1020</v>
      </c>
      <c r="B1021" s="2">
        <v>45931</v>
      </c>
      <c r="C1021" t="s">
        <v>18</v>
      </c>
      <c r="D1021" t="s">
        <v>17</v>
      </c>
      <c r="E1021" t="s">
        <v>12</v>
      </c>
      <c r="F1021" t="s">
        <v>14</v>
      </c>
      <c r="G1021">
        <v>171</v>
      </c>
      <c r="H1021">
        <v>140.38999999999999</v>
      </c>
      <c r="I1021">
        <v>0</v>
      </c>
      <c r="J1021" t="s">
        <v>15</v>
      </c>
      <c r="K1021">
        <v>24006.69</v>
      </c>
      <c r="L1021" t="str">
        <f t="shared" si="60"/>
        <v>Oct</v>
      </c>
      <c r="M1021">
        <f t="shared" si="61"/>
        <v>2025</v>
      </c>
      <c r="N1021">
        <f t="shared" si="62"/>
        <v>24006.69</v>
      </c>
      <c r="O1021" t="str">
        <f t="shared" si="63"/>
        <v>On Time</v>
      </c>
    </row>
    <row r="1022" spans="1:15" x14ac:dyDescent="0.25">
      <c r="A1022">
        <v>1021</v>
      </c>
      <c r="B1022" s="2">
        <v>45705</v>
      </c>
      <c r="C1022" t="s">
        <v>11</v>
      </c>
      <c r="D1022" t="s">
        <v>20</v>
      </c>
      <c r="E1022" t="s">
        <v>23</v>
      </c>
      <c r="F1022" t="s">
        <v>14</v>
      </c>
      <c r="G1022">
        <v>222</v>
      </c>
      <c r="H1022">
        <v>469.15</v>
      </c>
      <c r="I1022">
        <v>57</v>
      </c>
      <c r="J1022" t="s">
        <v>15</v>
      </c>
      <c r="K1022">
        <v>104151.3</v>
      </c>
      <c r="L1022" t="str">
        <f t="shared" si="60"/>
        <v>Feb</v>
      </c>
      <c r="M1022">
        <f t="shared" si="61"/>
        <v>2025</v>
      </c>
      <c r="N1022">
        <f t="shared" si="62"/>
        <v>104151.29999999999</v>
      </c>
      <c r="O1022" t="str">
        <f t="shared" si="63"/>
        <v>Moderate Delay</v>
      </c>
    </row>
    <row r="1023" spans="1:15" x14ac:dyDescent="0.25">
      <c r="A1023">
        <v>1022</v>
      </c>
      <c r="B1023" s="2">
        <v>45693</v>
      </c>
      <c r="C1023" t="s">
        <v>18</v>
      </c>
      <c r="D1023" t="s">
        <v>29</v>
      </c>
      <c r="E1023" t="s">
        <v>23</v>
      </c>
      <c r="F1023" t="s">
        <v>24</v>
      </c>
      <c r="G1023">
        <v>102</v>
      </c>
      <c r="H1023">
        <v>232.45</v>
      </c>
      <c r="I1023">
        <v>27</v>
      </c>
      <c r="J1023" t="s">
        <v>15</v>
      </c>
      <c r="K1023">
        <v>23709.9</v>
      </c>
      <c r="L1023" t="str">
        <f t="shared" si="60"/>
        <v>Feb</v>
      </c>
      <c r="M1023">
        <f t="shared" si="61"/>
        <v>2025</v>
      </c>
      <c r="N1023">
        <f t="shared" si="62"/>
        <v>23709.899999999998</v>
      </c>
      <c r="O1023" t="str">
        <f t="shared" si="63"/>
        <v>Minor Delay</v>
      </c>
    </row>
    <row r="1024" spans="1:15" x14ac:dyDescent="0.25">
      <c r="A1024">
        <v>1023</v>
      </c>
      <c r="B1024" s="2">
        <v>45687</v>
      </c>
      <c r="C1024" t="s">
        <v>26</v>
      </c>
      <c r="D1024" t="s">
        <v>12</v>
      </c>
      <c r="E1024" t="s">
        <v>27</v>
      </c>
      <c r="F1024" t="s">
        <v>21</v>
      </c>
      <c r="G1024">
        <v>52</v>
      </c>
      <c r="H1024">
        <v>187.15</v>
      </c>
      <c r="I1024">
        <v>36</v>
      </c>
      <c r="J1024" t="s">
        <v>15</v>
      </c>
      <c r="K1024">
        <v>9731.7999999999993</v>
      </c>
      <c r="L1024" t="str">
        <f t="shared" si="60"/>
        <v>Jan</v>
      </c>
      <c r="M1024">
        <f t="shared" si="61"/>
        <v>2025</v>
      </c>
      <c r="N1024">
        <f t="shared" si="62"/>
        <v>9731.8000000000011</v>
      </c>
      <c r="O1024" t="str">
        <f t="shared" si="63"/>
        <v>Moderate Delay</v>
      </c>
    </row>
    <row r="1025" spans="1:15" x14ac:dyDescent="0.25">
      <c r="A1025">
        <v>1024</v>
      </c>
      <c r="B1025" s="2">
        <v>45932</v>
      </c>
      <c r="C1025" t="s">
        <v>18</v>
      </c>
      <c r="D1025" t="s">
        <v>12</v>
      </c>
      <c r="E1025" t="s">
        <v>19</v>
      </c>
      <c r="F1025" t="s">
        <v>24</v>
      </c>
      <c r="G1025">
        <v>240</v>
      </c>
      <c r="H1025">
        <v>110.88</v>
      </c>
      <c r="I1025">
        <v>0</v>
      </c>
      <c r="J1025" t="s">
        <v>30</v>
      </c>
      <c r="K1025">
        <v>26611.200000000001</v>
      </c>
      <c r="L1025" t="str">
        <f t="shared" si="60"/>
        <v>Oct</v>
      </c>
      <c r="M1025">
        <f t="shared" si="61"/>
        <v>2025</v>
      </c>
      <c r="N1025">
        <f t="shared" si="62"/>
        <v>26611.199999999997</v>
      </c>
      <c r="O1025" t="str">
        <f t="shared" si="63"/>
        <v>On Time</v>
      </c>
    </row>
    <row r="1026" spans="1:15" x14ac:dyDescent="0.25">
      <c r="A1026">
        <v>1025</v>
      </c>
      <c r="B1026" s="2">
        <v>45763</v>
      </c>
      <c r="C1026" t="s">
        <v>26</v>
      </c>
      <c r="D1026" t="s">
        <v>19</v>
      </c>
      <c r="E1026" t="s">
        <v>29</v>
      </c>
      <c r="F1026" t="s">
        <v>24</v>
      </c>
      <c r="G1026">
        <v>259</v>
      </c>
      <c r="H1026">
        <v>585.16</v>
      </c>
      <c r="I1026">
        <v>0</v>
      </c>
      <c r="J1026" t="s">
        <v>30</v>
      </c>
      <c r="K1026">
        <v>151556.44</v>
      </c>
      <c r="L1026" t="str">
        <f t="shared" si="60"/>
        <v>Apr</v>
      </c>
      <c r="M1026">
        <f t="shared" si="61"/>
        <v>2025</v>
      </c>
      <c r="N1026">
        <f t="shared" si="62"/>
        <v>151556.44</v>
      </c>
      <c r="O1026" t="str">
        <f t="shared" si="63"/>
        <v>On Time</v>
      </c>
    </row>
    <row r="1027" spans="1:15" x14ac:dyDescent="0.25">
      <c r="A1027">
        <v>1026</v>
      </c>
      <c r="B1027" s="2">
        <v>45799</v>
      </c>
      <c r="C1027" t="s">
        <v>11</v>
      </c>
      <c r="D1027" t="s">
        <v>19</v>
      </c>
      <c r="E1027" t="s">
        <v>27</v>
      </c>
      <c r="F1027" t="s">
        <v>14</v>
      </c>
      <c r="G1027">
        <v>86</v>
      </c>
      <c r="H1027">
        <v>389.84</v>
      </c>
      <c r="I1027">
        <v>25</v>
      </c>
      <c r="J1027" t="s">
        <v>30</v>
      </c>
      <c r="K1027">
        <v>33526.239999999998</v>
      </c>
      <c r="L1027" t="str">
        <f t="shared" ref="L1027:L1090" si="64">TEXT(B1027,"MMM")</f>
        <v>May</v>
      </c>
      <c r="M1027">
        <f t="shared" ref="M1027:M1090" si="65">YEAR(B1027)</f>
        <v>2025</v>
      </c>
      <c r="N1027">
        <f t="shared" ref="N1027:N1090" si="66">G1027*H1027</f>
        <v>33526.239999999998</v>
      </c>
      <c r="O1027" t="str">
        <f t="shared" ref="O1027:O1090" si="67">IF(I1027=0,"On Time",IF(I1027&lt;=30,"Minor Delay",IF(I1027&lt;=60,"Moderate Delay","Major Delay")))</f>
        <v>Minor Delay</v>
      </c>
    </row>
    <row r="1028" spans="1:15" x14ac:dyDescent="0.25">
      <c r="A1028">
        <v>1027</v>
      </c>
      <c r="B1028" s="2">
        <v>45949</v>
      </c>
      <c r="C1028" t="s">
        <v>18</v>
      </c>
      <c r="D1028" t="s">
        <v>19</v>
      </c>
      <c r="E1028" t="s">
        <v>17</v>
      </c>
      <c r="F1028" t="s">
        <v>24</v>
      </c>
      <c r="G1028">
        <v>168</v>
      </c>
      <c r="H1028">
        <v>486.34</v>
      </c>
      <c r="I1028">
        <v>18</v>
      </c>
      <c r="J1028" t="s">
        <v>30</v>
      </c>
      <c r="K1028">
        <v>81705.119999999995</v>
      </c>
      <c r="L1028" t="str">
        <f t="shared" si="64"/>
        <v>Oct</v>
      </c>
      <c r="M1028">
        <f t="shared" si="65"/>
        <v>2025</v>
      </c>
      <c r="N1028">
        <f t="shared" si="66"/>
        <v>81705.119999999995</v>
      </c>
      <c r="O1028" t="str">
        <f t="shared" si="67"/>
        <v>Minor Delay</v>
      </c>
    </row>
    <row r="1029" spans="1:15" x14ac:dyDescent="0.25">
      <c r="A1029">
        <v>1028</v>
      </c>
      <c r="B1029" s="2">
        <v>46016</v>
      </c>
      <c r="C1029" t="s">
        <v>25</v>
      </c>
      <c r="D1029" t="s">
        <v>20</v>
      </c>
      <c r="E1029" t="s">
        <v>22</v>
      </c>
      <c r="F1029" t="s">
        <v>24</v>
      </c>
      <c r="G1029">
        <v>150</v>
      </c>
      <c r="H1029">
        <v>513.64</v>
      </c>
      <c r="I1029">
        <v>0</v>
      </c>
      <c r="J1029" t="s">
        <v>30</v>
      </c>
      <c r="K1029">
        <v>77046</v>
      </c>
      <c r="L1029" t="str">
        <f t="shared" si="64"/>
        <v>Dec</v>
      </c>
      <c r="M1029">
        <f t="shared" si="65"/>
        <v>2025</v>
      </c>
      <c r="N1029">
        <f t="shared" si="66"/>
        <v>77046</v>
      </c>
      <c r="O1029" t="str">
        <f t="shared" si="67"/>
        <v>On Time</v>
      </c>
    </row>
    <row r="1030" spans="1:15" x14ac:dyDescent="0.25">
      <c r="A1030">
        <v>1029</v>
      </c>
      <c r="B1030" s="2">
        <v>45785</v>
      </c>
      <c r="C1030" t="s">
        <v>11</v>
      </c>
      <c r="D1030" t="s">
        <v>29</v>
      </c>
      <c r="E1030" t="s">
        <v>20</v>
      </c>
      <c r="F1030" t="s">
        <v>21</v>
      </c>
      <c r="G1030">
        <v>237</v>
      </c>
      <c r="H1030">
        <v>379.74</v>
      </c>
      <c r="I1030">
        <v>0</v>
      </c>
      <c r="J1030" t="s">
        <v>15</v>
      </c>
      <c r="K1030">
        <v>89998.38</v>
      </c>
      <c r="L1030" t="str">
        <f t="shared" si="64"/>
        <v>May</v>
      </c>
      <c r="M1030">
        <f t="shared" si="65"/>
        <v>2025</v>
      </c>
      <c r="N1030">
        <f t="shared" si="66"/>
        <v>89998.38</v>
      </c>
      <c r="O1030" t="str">
        <f t="shared" si="67"/>
        <v>On Time</v>
      </c>
    </row>
    <row r="1031" spans="1:15" x14ac:dyDescent="0.25">
      <c r="A1031">
        <v>1030</v>
      </c>
      <c r="B1031" s="2">
        <v>46015</v>
      </c>
      <c r="C1031" t="s">
        <v>16</v>
      </c>
      <c r="D1031" t="s">
        <v>12</v>
      </c>
      <c r="E1031" t="s">
        <v>20</v>
      </c>
      <c r="F1031" t="s">
        <v>14</v>
      </c>
      <c r="G1031">
        <v>276</v>
      </c>
      <c r="H1031">
        <v>704.2</v>
      </c>
      <c r="I1031">
        <v>44</v>
      </c>
      <c r="J1031" t="s">
        <v>15</v>
      </c>
      <c r="K1031">
        <v>194359.2</v>
      </c>
      <c r="L1031" t="str">
        <f t="shared" si="64"/>
        <v>Dec</v>
      </c>
      <c r="M1031">
        <f t="shared" si="65"/>
        <v>2025</v>
      </c>
      <c r="N1031">
        <f t="shared" si="66"/>
        <v>194359.2</v>
      </c>
      <c r="O1031" t="str">
        <f t="shared" si="67"/>
        <v>Moderate Delay</v>
      </c>
    </row>
    <row r="1032" spans="1:15" x14ac:dyDescent="0.25">
      <c r="A1032">
        <v>1031</v>
      </c>
      <c r="B1032" s="2">
        <v>45999</v>
      </c>
      <c r="C1032" t="s">
        <v>16</v>
      </c>
      <c r="D1032" t="s">
        <v>27</v>
      </c>
      <c r="E1032" t="s">
        <v>23</v>
      </c>
      <c r="F1032" t="s">
        <v>21</v>
      </c>
      <c r="G1032">
        <v>235</v>
      </c>
      <c r="H1032">
        <v>594.58000000000004</v>
      </c>
      <c r="I1032">
        <v>25</v>
      </c>
      <c r="J1032" t="s">
        <v>28</v>
      </c>
      <c r="K1032">
        <v>139726.29999999999</v>
      </c>
      <c r="L1032" t="str">
        <f t="shared" si="64"/>
        <v>Dec</v>
      </c>
      <c r="M1032">
        <f t="shared" si="65"/>
        <v>2025</v>
      </c>
      <c r="N1032">
        <f t="shared" si="66"/>
        <v>139726.30000000002</v>
      </c>
      <c r="O1032" t="str">
        <f t="shared" si="67"/>
        <v>Minor Delay</v>
      </c>
    </row>
    <row r="1033" spans="1:15" x14ac:dyDescent="0.25">
      <c r="A1033">
        <v>1032</v>
      </c>
      <c r="B1033" s="2">
        <v>45846</v>
      </c>
      <c r="C1033" t="s">
        <v>16</v>
      </c>
      <c r="D1033" t="s">
        <v>27</v>
      </c>
      <c r="E1033" t="s">
        <v>12</v>
      </c>
      <c r="F1033" t="s">
        <v>14</v>
      </c>
      <c r="G1033">
        <v>179</v>
      </c>
      <c r="H1033">
        <v>627.24</v>
      </c>
      <c r="I1033">
        <v>48</v>
      </c>
      <c r="J1033" t="s">
        <v>15</v>
      </c>
      <c r="K1033">
        <v>112275.96</v>
      </c>
      <c r="L1033" t="str">
        <f t="shared" si="64"/>
        <v>Jul</v>
      </c>
      <c r="M1033">
        <f t="shared" si="65"/>
        <v>2025</v>
      </c>
      <c r="N1033">
        <f t="shared" si="66"/>
        <v>112275.96</v>
      </c>
      <c r="O1033" t="str">
        <f t="shared" si="67"/>
        <v>Moderate Delay</v>
      </c>
    </row>
    <row r="1034" spans="1:15" x14ac:dyDescent="0.25">
      <c r="A1034">
        <v>1033</v>
      </c>
      <c r="B1034" s="2">
        <v>45787</v>
      </c>
      <c r="C1034" t="s">
        <v>11</v>
      </c>
      <c r="D1034" t="s">
        <v>20</v>
      </c>
      <c r="E1034" t="s">
        <v>29</v>
      </c>
      <c r="F1034" t="s">
        <v>21</v>
      </c>
      <c r="G1034">
        <v>61</v>
      </c>
      <c r="H1034">
        <v>402</v>
      </c>
      <c r="I1034">
        <v>54</v>
      </c>
      <c r="J1034" t="s">
        <v>15</v>
      </c>
      <c r="K1034">
        <v>24522</v>
      </c>
      <c r="L1034" t="str">
        <f t="shared" si="64"/>
        <v>May</v>
      </c>
      <c r="M1034">
        <f t="shared" si="65"/>
        <v>2025</v>
      </c>
      <c r="N1034">
        <f t="shared" si="66"/>
        <v>24522</v>
      </c>
      <c r="O1034" t="str">
        <f t="shared" si="67"/>
        <v>Moderate Delay</v>
      </c>
    </row>
    <row r="1035" spans="1:15" x14ac:dyDescent="0.25">
      <c r="A1035">
        <v>1034</v>
      </c>
      <c r="B1035" s="2">
        <v>45862</v>
      </c>
      <c r="C1035" t="s">
        <v>11</v>
      </c>
      <c r="D1035" t="s">
        <v>17</v>
      </c>
      <c r="E1035" t="s">
        <v>22</v>
      </c>
      <c r="F1035" t="s">
        <v>24</v>
      </c>
      <c r="G1035">
        <v>59</v>
      </c>
      <c r="H1035">
        <v>67.95</v>
      </c>
      <c r="I1035">
        <v>37</v>
      </c>
      <c r="J1035" t="s">
        <v>15</v>
      </c>
      <c r="K1035">
        <v>4009.05</v>
      </c>
      <c r="L1035" t="str">
        <f t="shared" si="64"/>
        <v>Jul</v>
      </c>
      <c r="M1035">
        <f t="shared" si="65"/>
        <v>2025</v>
      </c>
      <c r="N1035">
        <f t="shared" si="66"/>
        <v>4009.05</v>
      </c>
      <c r="O1035" t="str">
        <f t="shared" si="67"/>
        <v>Moderate Delay</v>
      </c>
    </row>
    <row r="1036" spans="1:15" x14ac:dyDescent="0.25">
      <c r="A1036">
        <v>1035</v>
      </c>
      <c r="B1036" s="2">
        <v>46001</v>
      </c>
      <c r="C1036" t="s">
        <v>25</v>
      </c>
      <c r="D1036" t="s">
        <v>29</v>
      </c>
      <c r="E1036" t="s">
        <v>17</v>
      </c>
      <c r="F1036" t="s">
        <v>24</v>
      </c>
      <c r="G1036">
        <v>174</v>
      </c>
      <c r="H1036">
        <v>401.4</v>
      </c>
      <c r="I1036">
        <v>51</v>
      </c>
      <c r="J1036" t="s">
        <v>15</v>
      </c>
      <c r="K1036">
        <v>69843.600000000006</v>
      </c>
      <c r="L1036" t="str">
        <f t="shared" si="64"/>
        <v>Dec</v>
      </c>
      <c r="M1036">
        <f t="shared" si="65"/>
        <v>2025</v>
      </c>
      <c r="N1036">
        <f t="shared" si="66"/>
        <v>69843.599999999991</v>
      </c>
      <c r="O1036" t="str">
        <f t="shared" si="67"/>
        <v>Moderate Delay</v>
      </c>
    </row>
    <row r="1037" spans="1:15" x14ac:dyDescent="0.25">
      <c r="A1037">
        <v>1036</v>
      </c>
      <c r="B1037" s="2">
        <v>45899</v>
      </c>
      <c r="C1037" t="s">
        <v>26</v>
      </c>
      <c r="D1037" t="s">
        <v>20</v>
      </c>
      <c r="E1037" t="s">
        <v>29</v>
      </c>
      <c r="F1037" t="s">
        <v>14</v>
      </c>
      <c r="G1037">
        <v>93</v>
      </c>
      <c r="H1037">
        <v>680.49</v>
      </c>
      <c r="I1037">
        <v>38</v>
      </c>
      <c r="J1037" t="s">
        <v>15</v>
      </c>
      <c r="K1037">
        <v>63285.57</v>
      </c>
      <c r="L1037" t="str">
        <f t="shared" si="64"/>
        <v>Aug</v>
      </c>
      <c r="M1037">
        <f t="shared" si="65"/>
        <v>2025</v>
      </c>
      <c r="N1037">
        <f t="shared" si="66"/>
        <v>63285.57</v>
      </c>
      <c r="O1037" t="str">
        <f t="shared" si="67"/>
        <v>Moderate Delay</v>
      </c>
    </row>
    <row r="1038" spans="1:15" x14ac:dyDescent="0.25">
      <c r="A1038">
        <v>1037</v>
      </c>
      <c r="B1038" s="2">
        <v>45721</v>
      </c>
      <c r="C1038" t="s">
        <v>31</v>
      </c>
      <c r="D1038" t="s">
        <v>29</v>
      </c>
      <c r="E1038" t="s">
        <v>22</v>
      </c>
      <c r="F1038" t="s">
        <v>21</v>
      </c>
      <c r="G1038">
        <v>150</v>
      </c>
      <c r="H1038">
        <v>184.66</v>
      </c>
      <c r="I1038">
        <v>18</v>
      </c>
      <c r="J1038" t="s">
        <v>15</v>
      </c>
      <c r="K1038">
        <v>27699</v>
      </c>
      <c r="L1038" t="str">
        <f t="shared" si="64"/>
        <v>Mar</v>
      </c>
      <c r="M1038">
        <f t="shared" si="65"/>
        <v>2025</v>
      </c>
      <c r="N1038">
        <f t="shared" si="66"/>
        <v>27699</v>
      </c>
      <c r="O1038" t="str">
        <f t="shared" si="67"/>
        <v>Minor Delay</v>
      </c>
    </row>
    <row r="1039" spans="1:15" x14ac:dyDescent="0.25">
      <c r="A1039">
        <v>1038</v>
      </c>
      <c r="B1039" s="2">
        <v>45749</v>
      </c>
      <c r="C1039" t="s">
        <v>11</v>
      </c>
      <c r="D1039" t="s">
        <v>20</v>
      </c>
      <c r="E1039" t="s">
        <v>22</v>
      </c>
      <c r="F1039" t="s">
        <v>21</v>
      </c>
      <c r="G1039">
        <v>58</v>
      </c>
      <c r="H1039">
        <v>720.59</v>
      </c>
      <c r="I1039">
        <v>16</v>
      </c>
      <c r="J1039" t="s">
        <v>15</v>
      </c>
      <c r="K1039">
        <v>41794.22</v>
      </c>
      <c r="L1039" t="str">
        <f t="shared" si="64"/>
        <v>Apr</v>
      </c>
      <c r="M1039">
        <f t="shared" si="65"/>
        <v>2025</v>
      </c>
      <c r="N1039">
        <f t="shared" si="66"/>
        <v>41794.22</v>
      </c>
      <c r="O1039" t="str">
        <f t="shared" si="67"/>
        <v>Minor Delay</v>
      </c>
    </row>
    <row r="1040" spans="1:15" x14ac:dyDescent="0.25">
      <c r="A1040">
        <v>1039</v>
      </c>
      <c r="B1040" s="2">
        <v>45983</v>
      </c>
      <c r="C1040" t="s">
        <v>31</v>
      </c>
      <c r="D1040" t="s">
        <v>20</v>
      </c>
      <c r="E1040" t="s">
        <v>13</v>
      </c>
      <c r="F1040" t="s">
        <v>21</v>
      </c>
      <c r="G1040">
        <v>219</v>
      </c>
      <c r="H1040">
        <v>590.14</v>
      </c>
      <c r="I1040">
        <v>39</v>
      </c>
      <c r="J1040" t="s">
        <v>15</v>
      </c>
      <c r="K1040">
        <v>129240.66</v>
      </c>
      <c r="L1040" t="str">
        <f t="shared" si="64"/>
        <v>Nov</v>
      </c>
      <c r="M1040">
        <f t="shared" si="65"/>
        <v>2025</v>
      </c>
      <c r="N1040">
        <f t="shared" si="66"/>
        <v>129240.66</v>
      </c>
      <c r="O1040" t="str">
        <f t="shared" si="67"/>
        <v>Moderate Delay</v>
      </c>
    </row>
    <row r="1041" spans="1:15" x14ac:dyDescent="0.25">
      <c r="A1041">
        <v>1040</v>
      </c>
      <c r="B1041" s="2">
        <v>45682</v>
      </c>
      <c r="C1041" t="s">
        <v>18</v>
      </c>
      <c r="D1041" t="s">
        <v>13</v>
      </c>
      <c r="E1041" t="s">
        <v>12</v>
      </c>
      <c r="F1041" t="s">
        <v>14</v>
      </c>
      <c r="G1041">
        <v>287</v>
      </c>
      <c r="H1041">
        <v>244.78</v>
      </c>
      <c r="I1041">
        <v>4</v>
      </c>
      <c r="J1041" t="s">
        <v>30</v>
      </c>
      <c r="K1041">
        <v>70251.86</v>
      </c>
      <c r="L1041" t="str">
        <f t="shared" si="64"/>
        <v>Jan</v>
      </c>
      <c r="M1041">
        <f t="shared" si="65"/>
        <v>2025</v>
      </c>
      <c r="N1041">
        <f t="shared" si="66"/>
        <v>70251.86</v>
      </c>
      <c r="O1041" t="str">
        <f t="shared" si="67"/>
        <v>Minor Delay</v>
      </c>
    </row>
    <row r="1042" spans="1:15" x14ac:dyDescent="0.25">
      <c r="A1042">
        <v>1041</v>
      </c>
      <c r="B1042" s="2">
        <v>45666</v>
      </c>
      <c r="C1042" t="s">
        <v>18</v>
      </c>
      <c r="D1042" t="s">
        <v>19</v>
      </c>
      <c r="E1042" t="s">
        <v>12</v>
      </c>
      <c r="F1042" t="s">
        <v>14</v>
      </c>
      <c r="G1042">
        <v>53</v>
      </c>
      <c r="H1042">
        <v>309.47000000000003</v>
      </c>
      <c r="I1042">
        <v>33</v>
      </c>
      <c r="J1042" t="s">
        <v>15</v>
      </c>
      <c r="K1042">
        <v>16401.91</v>
      </c>
      <c r="L1042" t="str">
        <f t="shared" si="64"/>
        <v>Jan</v>
      </c>
      <c r="M1042">
        <f t="shared" si="65"/>
        <v>2025</v>
      </c>
      <c r="N1042">
        <f t="shared" si="66"/>
        <v>16401.91</v>
      </c>
      <c r="O1042" t="str">
        <f t="shared" si="67"/>
        <v>Moderate Delay</v>
      </c>
    </row>
    <row r="1043" spans="1:15" x14ac:dyDescent="0.25">
      <c r="A1043">
        <v>1042</v>
      </c>
      <c r="B1043" s="2">
        <v>45743</v>
      </c>
      <c r="C1043" t="s">
        <v>16</v>
      </c>
      <c r="D1043" t="s">
        <v>12</v>
      </c>
      <c r="E1043" t="s">
        <v>19</v>
      </c>
      <c r="F1043" t="s">
        <v>24</v>
      </c>
      <c r="G1043">
        <v>181</v>
      </c>
      <c r="H1043">
        <v>139.69</v>
      </c>
      <c r="I1043">
        <v>54</v>
      </c>
      <c r="J1043" t="s">
        <v>15</v>
      </c>
      <c r="K1043">
        <v>25283.89</v>
      </c>
      <c r="L1043" t="str">
        <f t="shared" si="64"/>
        <v>Mar</v>
      </c>
      <c r="M1043">
        <f t="shared" si="65"/>
        <v>2025</v>
      </c>
      <c r="N1043">
        <f t="shared" si="66"/>
        <v>25283.89</v>
      </c>
      <c r="O1043" t="str">
        <f t="shared" si="67"/>
        <v>Moderate Delay</v>
      </c>
    </row>
    <row r="1044" spans="1:15" x14ac:dyDescent="0.25">
      <c r="A1044">
        <v>1043</v>
      </c>
      <c r="B1044" s="2">
        <v>45977</v>
      </c>
      <c r="C1044" t="s">
        <v>11</v>
      </c>
      <c r="D1044" t="s">
        <v>27</v>
      </c>
      <c r="E1044" t="s">
        <v>19</v>
      </c>
      <c r="F1044" t="s">
        <v>21</v>
      </c>
      <c r="G1044">
        <v>151</v>
      </c>
      <c r="H1044">
        <v>754.8</v>
      </c>
      <c r="I1044">
        <v>32</v>
      </c>
      <c r="J1044" t="s">
        <v>15</v>
      </c>
      <c r="K1044">
        <v>113974.8</v>
      </c>
      <c r="L1044" t="str">
        <f t="shared" si="64"/>
        <v>Nov</v>
      </c>
      <c r="M1044">
        <f t="shared" si="65"/>
        <v>2025</v>
      </c>
      <c r="N1044">
        <f t="shared" si="66"/>
        <v>113974.79999999999</v>
      </c>
      <c r="O1044" t="str">
        <f t="shared" si="67"/>
        <v>Moderate Delay</v>
      </c>
    </row>
    <row r="1045" spans="1:15" x14ac:dyDescent="0.25">
      <c r="A1045">
        <v>1044</v>
      </c>
      <c r="B1045" s="2">
        <v>45863</v>
      </c>
      <c r="C1045" t="s">
        <v>25</v>
      </c>
      <c r="D1045" t="s">
        <v>29</v>
      </c>
      <c r="E1045" t="s">
        <v>13</v>
      </c>
      <c r="F1045" t="s">
        <v>24</v>
      </c>
      <c r="G1045">
        <v>53</v>
      </c>
      <c r="H1045">
        <v>348</v>
      </c>
      <c r="I1045">
        <v>31</v>
      </c>
      <c r="J1045" t="s">
        <v>15</v>
      </c>
      <c r="K1045">
        <v>18444</v>
      </c>
      <c r="L1045" t="str">
        <f t="shared" si="64"/>
        <v>Jul</v>
      </c>
      <c r="M1045">
        <f t="shared" si="65"/>
        <v>2025</v>
      </c>
      <c r="N1045">
        <f t="shared" si="66"/>
        <v>18444</v>
      </c>
      <c r="O1045" t="str">
        <f t="shared" si="67"/>
        <v>Moderate Delay</v>
      </c>
    </row>
    <row r="1046" spans="1:15" x14ac:dyDescent="0.25">
      <c r="A1046">
        <v>1045</v>
      </c>
      <c r="B1046" s="2">
        <v>45990</v>
      </c>
      <c r="C1046" t="s">
        <v>31</v>
      </c>
      <c r="D1046" t="s">
        <v>12</v>
      </c>
      <c r="E1046" t="s">
        <v>22</v>
      </c>
      <c r="F1046" t="s">
        <v>24</v>
      </c>
      <c r="G1046">
        <v>61</v>
      </c>
      <c r="H1046">
        <v>109.83</v>
      </c>
      <c r="I1046">
        <v>24</v>
      </c>
      <c r="J1046" t="s">
        <v>15</v>
      </c>
      <c r="K1046">
        <v>6699.63</v>
      </c>
      <c r="L1046" t="str">
        <f t="shared" si="64"/>
        <v>Nov</v>
      </c>
      <c r="M1046">
        <f t="shared" si="65"/>
        <v>2025</v>
      </c>
      <c r="N1046">
        <f t="shared" si="66"/>
        <v>6699.63</v>
      </c>
      <c r="O1046" t="str">
        <f t="shared" si="67"/>
        <v>Minor Delay</v>
      </c>
    </row>
    <row r="1047" spans="1:15" x14ac:dyDescent="0.25">
      <c r="A1047">
        <v>1046</v>
      </c>
      <c r="B1047" s="2">
        <v>45786</v>
      </c>
      <c r="C1047" t="s">
        <v>16</v>
      </c>
      <c r="D1047" t="s">
        <v>12</v>
      </c>
      <c r="E1047" t="s">
        <v>19</v>
      </c>
      <c r="F1047" t="s">
        <v>21</v>
      </c>
      <c r="G1047">
        <v>133</v>
      </c>
      <c r="H1047">
        <v>786.25</v>
      </c>
      <c r="I1047">
        <v>40</v>
      </c>
      <c r="J1047" t="s">
        <v>15</v>
      </c>
      <c r="K1047">
        <v>104571.25</v>
      </c>
      <c r="L1047" t="str">
        <f t="shared" si="64"/>
        <v>May</v>
      </c>
      <c r="M1047">
        <f t="shared" si="65"/>
        <v>2025</v>
      </c>
      <c r="N1047">
        <f t="shared" si="66"/>
        <v>104571.25</v>
      </c>
      <c r="O1047" t="str">
        <f t="shared" si="67"/>
        <v>Moderate Delay</v>
      </c>
    </row>
    <row r="1048" spans="1:15" x14ac:dyDescent="0.25">
      <c r="A1048">
        <v>1047</v>
      </c>
      <c r="B1048" s="2">
        <v>45747</v>
      </c>
      <c r="C1048" t="s">
        <v>25</v>
      </c>
      <c r="D1048" t="s">
        <v>29</v>
      </c>
      <c r="E1048" t="s">
        <v>17</v>
      </c>
      <c r="F1048" t="s">
        <v>21</v>
      </c>
      <c r="G1048">
        <v>131</v>
      </c>
      <c r="H1048">
        <v>783.74</v>
      </c>
      <c r="I1048">
        <v>15</v>
      </c>
      <c r="J1048" t="s">
        <v>15</v>
      </c>
      <c r="K1048">
        <v>102669.94</v>
      </c>
      <c r="L1048" t="str">
        <f t="shared" si="64"/>
        <v>Mar</v>
      </c>
      <c r="M1048">
        <f t="shared" si="65"/>
        <v>2025</v>
      </c>
      <c r="N1048">
        <f t="shared" si="66"/>
        <v>102669.94</v>
      </c>
      <c r="O1048" t="str">
        <f t="shared" si="67"/>
        <v>Minor Delay</v>
      </c>
    </row>
    <row r="1049" spans="1:15" x14ac:dyDescent="0.25">
      <c r="A1049">
        <v>1048</v>
      </c>
      <c r="B1049" s="2">
        <v>45919</v>
      </c>
      <c r="C1049" t="s">
        <v>25</v>
      </c>
      <c r="D1049" t="s">
        <v>20</v>
      </c>
      <c r="E1049" t="s">
        <v>17</v>
      </c>
      <c r="F1049" t="s">
        <v>21</v>
      </c>
      <c r="G1049">
        <v>109</v>
      </c>
      <c r="H1049">
        <v>432.53</v>
      </c>
      <c r="I1049">
        <v>11</v>
      </c>
      <c r="J1049" t="s">
        <v>15</v>
      </c>
      <c r="K1049">
        <v>47145.77</v>
      </c>
      <c r="L1049" t="str">
        <f t="shared" si="64"/>
        <v>Sep</v>
      </c>
      <c r="M1049">
        <f t="shared" si="65"/>
        <v>2025</v>
      </c>
      <c r="N1049">
        <f t="shared" si="66"/>
        <v>47145.77</v>
      </c>
      <c r="O1049" t="str">
        <f t="shared" si="67"/>
        <v>Minor Delay</v>
      </c>
    </row>
    <row r="1050" spans="1:15" x14ac:dyDescent="0.25">
      <c r="A1050">
        <v>1049</v>
      </c>
      <c r="B1050" s="2">
        <v>45668</v>
      </c>
      <c r="C1050" t="s">
        <v>31</v>
      </c>
      <c r="D1050" t="s">
        <v>13</v>
      </c>
      <c r="E1050" t="s">
        <v>23</v>
      </c>
      <c r="F1050" t="s">
        <v>14</v>
      </c>
      <c r="G1050">
        <v>129</v>
      </c>
      <c r="H1050">
        <v>234.93</v>
      </c>
      <c r="I1050">
        <v>3</v>
      </c>
      <c r="J1050" t="s">
        <v>15</v>
      </c>
      <c r="K1050">
        <v>30305.97</v>
      </c>
      <c r="L1050" t="str">
        <f t="shared" si="64"/>
        <v>Jan</v>
      </c>
      <c r="M1050">
        <f t="shared" si="65"/>
        <v>2025</v>
      </c>
      <c r="N1050">
        <f t="shared" si="66"/>
        <v>30305.97</v>
      </c>
      <c r="O1050" t="str">
        <f t="shared" si="67"/>
        <v>Minor Delay</v>
      </c>
    </row>
    <row r="1051" spans="1:15" x14ac:dyDescent="0.25">
      <c r="A1051">
        <v>1050</v>
      </c>
      <c r="B1051" s="2">
        <v>45913</v>
      </c>
      <c r="C1051" t="s">
        <v>26</v>
      </c>
      <c r="D1051" t="s">
        <v>29</v>
      </c>
      <c r="E1051" t="s">
        <v>17</v>
      </c>
      <c r="F1051" t="s">
        <v>14</v>
      </c>
      <c r="G1051">
        <v>88</v>
      </c>
      <c r="H1051">
        <v>338.05</v>
      </c>
      <c r="I1051">
        <v>28</v>
      </c>
      <c r="J1051" t="s">
        <v>15</v>
      </c>
      <c r="K1051">
        <v>29748.400000000001</v>
      </c>
      <c r="L1051" t="str">
        <f t="shared" si="64"/>
        <v>Sep</v>
      </c>
      <c r="M1051">
        <f t="shared" si="65"/>
        <v>2025</v>
      </c>
      <c r="N1051">
        <f t="shared" si="66"/>
        <v>29748.400000000001</v>
      </c>
      <c r="O1051" t="str">
        <f t="shared" si="67"/>
        <v>Minor Delay</v>
      </c>
    </row>
    <row r="1052" spans="1:15" x14ac:dyDescent="0.25">
      <c r="A1052">
        <v>1051</v>
      </c>
      <c r="B1052" s="2">
        <v>45826</v>
      </c>
      <c r="C1052" t="s">
        <v>11</v>
      </c>
      <c r="D1052" t="s">
        <v>19</v>
      </c>
      <c r="E1052" t="s">
        <v>27</v>
      </c>
      <c r="F1052" t="s">
        <v>24</v>
      </c>
      <c r="G1052">
        <v>131</v>
      </c>
      <c r="H1052">
        <v>536.27</v>
      </c>
      <c r="I1052">
        <v>21</v>
      </c>
      <c r="J1052" t="s">
        <v>30</v>
      </c>
      <c r="K1052">
        <v>70251.37</v>
      </c>
      <c r="L1052" t="str">
        <f t="shared" si="64"/>
        <v>Jun</v>
      </c>
      <c r="M1052">
        <f t="shared" si="65"/>
        <v>2025</v>
      </c>
      <c r="N1052">
        <f t="shared" si="66"/>
        <v>70251.37</v>
      </c>
      <c r="O1052" t="str">
        <f t="shared" si="67"/>
        <v>Minor Delay</v>
      </c>
    </row>
    <row r="1053" spans="1:15" x14ac:dyDescent="0.25">
      <c r="A1053">
        <v>1052</v>
      </c>
      <c r="B1053" s="2">
        <v>45775</v>
      </c>
      <c r="C1053" t="s">
        <v>25</v>
      </c>
      <c r="D1053" t="s">
        <v>23</v>
      </c>
      <c r="E1053" t="s">
        <v>13</v>
      </c>
      <c r="F1053" t="s">
        <v>24</v>
      </c>
      <c r="G1053">
        <v>137</v>
      </c>
      <c r="H1053">
        <v>239.26</v>
      </c>
      <c r="I1053">
        <v>0</v>
      </c>
      <c r="J1053" t="s">
        <v>15</v>
      </c>
      <c r="K1053">
        <v>32778.620000000003</v>
      </c>
      <c r="L1053" t="str">
        <f t="shared" si="64"/>
        <v>Apr</v>
      </c>
      <c r="M1053">
        <f t="shared" si="65"/>
        <v>2025</v>
      </c>
      <c r="N1053">
        <f t="shared" si="66"/>
        <v>32778.619999999995</v>
      </c>
      <c r="O1053" t="str">
        <f t="shared" si="67"/>
        <v>On Time</v>
      </c>
    </row>
    <row r="1054" spans="1:15" x14ac:dyDescent="0.25">
      <c r="A1054">
        <v>1053</v>
      </c>
      <c r="B1054" s="2">
        <v>45969</v>
      </c>
      <c r="C1054" t="s">
        <v>18</v>
      </c>
      <c r="D1054" t="s">
        <v>19</v>
      </c>
      <c r="E1054" t="s">
        <v>23</v>
      </c>
      <c r="F1054" t="s">
        <v>21</v>
      </c>
      <c r="G1054">
        <v>132</v>
      </c>
      <c r="H1054">
        <v>195.82</v>
      </c>
      <c r="I1054">
        <v>13</v>
      </c>
      <c r="J1054" t="s">
        <v>15</v>
      </c>
      <c r="K1054">
        <v>25848.240000000002</v>
      </c>
      <c r="L1054" t="str">
        <f t="shared" si="64"/>
        <v>Nov</v>
      </c>
      <c r="M1054">
        <f t="shared" si="65"/>
        <v>2025</v>
      </c>
      <c r="N1054">
        <f t="shared" si="66"/>
        <v>25848.239999999998</v>
      </c>
      <c r="O1054" t="str">
        <f t="shared" si="67"/>
        <v>Minor Delay</v>
      </c>
    </row>
    <row r="1055" spans="1:15" x14ac:dyDescent="0.25">
      <c r="A1055">
        <v>1054</v>
      </c>
      <c r="B1055" s="2">
        <v>45982</v>
      </c>
      <c r="C1055" t="s">
        <v>11</v>
      </c>
      <c r="D1055" t="s">
        <v>19</v>
      </c>
      <c r="E1055" t="s">
        <v>13</v>
      </c>
      <c r="F1055" t="s">
        <v>14</v>
      </c>
      <c r="G1055">
        <v>82</v>
      </c>
      <c r="H1055">
        <v>127.9</v>
      </c>
      <c r="I1055">
        <v>13</v>
      </c>
      <c r="J1055" t="s">
        <v>15</v>
      </c>
      <c r="K1055">
        <v>10487.8</v>
      </c>
      <c r="L1055" t="str">
        <f t="shared" si="64"/>
        <v>Nov</v>
      </c>
      <c r="M1055">
        <f t="shared" si="65"/>
        <v>2025</v>
      </c>
      <c r="N1055">
        <f t="shared" si="66"/>
        <v>10487.800000000001</v>
      </c>
      <c r="O1055" t="str">
        <f t="shared" si="67"/>
        <v>Minor Delay</v>
      </c>
    </row>
    <row r="1056" spans="1:15" x14ac:dyDescent="0.25">
      <c r="A1056">
        <v>1055</v>
      </c>
      <c r="B1056" s="2">
        <v>45917</v>
      </c>
      <c r="C1056" t="s">
        <v>16</v>
      </c>
      <c r="D1056" t="s">
        <v>19</v>
      </c>
      <c r="E1056" t="s">
        <v>23</v>
      </c>
      <c r="F1056" t="s">
        <v>24</v>
      </c>
      <c r="G1056">
        <v>235</v>
      </c>
      <c r="H1056">
        <v>405.63</v>
      </c>
      <c r="I1056">
        <v>28</v>
      </c>
      <c r="J1056" t="s">
        <v>15</v>
      </c>
      <c r="K1056">
        <v>95323.05</v>
      </c>
      <c r="L1056" t="str">
        <f t="shared" si="64"/>
        <v>Sep</v>
      </c>
      <c r="M1056">
        <f t="shared" si="65"/>
        <v>2025</v>
      </c>
      <c r="N1056">
        <f t="shared" si="66"/>
        <v>95323.05</v>
      </c>
      <c r="O1056" t="str">
        <f t="shared" si="67"/>
        <v>Minor Delay</v>
      </c>
    </row>
    <row r="1057" spans="1:15" x14ac:dyDescent="0.25">
      <c r="A1057">
        <v>1056</v>
      </c>
      <c r="B1057" s="2">
        <v>45804</v>
      </c>
      <c r="C1057" t="s">
        <v>31</v>
      </c>
      <c r="D1057" t="s">
        <v>19</v>
      </c>
      <c r="E1057" t="s">
        <v>22</v>
      </c>
      <c r="F1057" t="s">
        <v>24</v>
      </c>
      <c r="G1057">
        <v>297</v>
      </c>
      <c r="H1057">
        <v>530.35</v>
      </c>
      <c r="I1057">
        <v>34</v>
      </c>
      <c r="J1057" t="s">
        <v>15</v>
      </c>
      <c r="K1057">
        <v>157513.95000000001</v>
      </c>
      <c r="L1057" t="str">
        <f t="shared" si="64"/>
        <v>May</v>
      </c>
      <c r="M1057">
        <f t="shared" si="65"/>
        <v>2025</v>
      </c>
      <c r="N1057">
        <f t="shared" si="66"/>
        <v>157513.95000000001</v>
      </c>
      <c r="O1057" t="str">
        <f t="shared" si="67"/>
        <v>Moderate Delay</v>
      </c>
    </row>
    <row r="1058" spans="1:15" x14ac:dyDescent="0.25">
      <c r="A1058">
        <v>1057</v>
      </c>
      <c r="B1058" s="2">
        <v>45842</v>
      </c>
      <c r="C1058" t="s">
        <v>18</v>
      </c>
      <c r="D1058" t="s">
        <v>20</v>
      </c>
      <c r="E1058" t="s">
        <v>12</v>
      </c>
      <c r="F1058" t="s">
        <v>24</v>
      </c>
      <c r="G1058">
        <v>92</v>
      </c>
      <c r="H1058">
        <v>408.33</v>
      </c>
      <c r="I1058">
        <v>0</v>
      </c>
      <c r="J1058" t="s">
        <v>15</v>
      </c>
      <c r="K1058">
        <v>37566.36</v>
      </c>
      <c r="L1058" t="str">
        <f t="shared" si="64"/>
        <v>Jul</v>
      </c>
      <c r="M1058">
        <f t="shared" si="65"/>
        <v>2025</v>
      </c>
      <c r="N1058">
        <f t="shared" si="66"/>
        <v>37566.36</v>
      </c>
      <c r="O1058" t="str">
        <f t="shared" si="67"/>
        <v>On Time</v>
      </c>
    </row>
    <row r="1059" spans="1:15" x14ac:dyDescent="0.25">
      <c r="A1059">
        <v>1058</v>
      </c>
      <c r="B1059" s="2">
        <v>45668</v>
      </c>
      <c r="C1059" t="s">
        <v>18</v>
      </c>
      <c r="D1059" t="s">
        <v>29</v>
      </c>
      <c r="E1059" t="s">
        <v>27</v>
      </c>
      <c r="F1059" t="s">
        <v>24</v>
      </c>
      <c r="G1059">
        <v>268</v>
      </c>
      <c r="H1059">
        <v>121.59</v>
      </c>
      <c r="I1059">
        <v>36</v>
      </c>
      <c r="J1059" t="s">
        <v>30</v>
      </c>
      <c r="K1059">
        <v>32586.12</v>
      </c>
      <c r="L1059" t="str">
        <f t="shared" si="64"/>
        <v>Jan</v>
      </c>
      <c r="M1059">
        <f t="shared" si="65"/>
        <v>2025</v>
      </c>
      <c r="N1059">
        <f t="shared" si="66"/>
        <v>32586.120000000003</v>
      </c>
      <c r="O1059" t="str">
        <f t="shared" si="67"/>
        <v>Moderate Delay</v>
      </c>
    </row>
    <row r="1060" spans="1:15" x14ac:dyDescent="0.25">
      <c r="A1060">
        <v>1059</v>
      </c>
      <c r="B1060" s="2">
        <v>45941</v>
      </c>
      <c r="C1060" t="s">
        <v>25</v>
      </c>
      <c r="D1060" t="s">
        <v>23</v>
      </c>
      <c r="E1060" t="s">
        <v>29</v>
      </c>
      <c r="F1060" t="s">
        <v>14</v>
      </c>
      <c r="G1060">
        <v>115</v>
      </c>
      <c r="H1060">
        <v>341.53</v>
      </c>
      <c r="I1060">
        <v>12</v>
      </c>
      <c r="J1060" t="s">
        <v>15</v>
      </c>
      <c r="K1060">
        <v>39275.949999999997</v>
      </c>
      <c r="L1060" t="str">
        <f t="shared" si="64"/>
        <v>Oct</v>
      </c>
      <c r="M1060">
        <f t="shared" si="65"/>
        <v>2025</v>
      </c>
      <c r="N1060">
        <f t="shared" si="66"/>
        <v>39275.949999999997</v>
      </c>
      <c r="O1060" t="str">
        <f t="shared" si="67"/>
        <v>Minor Delay</v>
      </c>
    </row>
    <row r="1061" spans="1:15" x14ac:dyDescent="0.25">
      <c r="A1061">
        <v>1060</v>
      </c>
      <c r="B1061" s="2">
        <v>45828</v>
      </c>
      <c r="C1061" t="s">
        <v>11</v>
      </c>
      <c r="D1061" t="s">
        <v>20</v>
      </c>
      <c r="E1061" t="s">
        <v>12</v>
      </c>
      <c r="F1061" t="s">
        <v>21</v>
      </c>
      <c r="G1061">
        <v>170</v>
      </c>
      <c r="H1061">
        <v>204.83</v>
      </c>
      <c r="I1061">
        <v>39</v>
      </c>
      <c r="J1061" t="s">
        <v>30</v>
      </c>
      <c r="K1061">
        <v>34821.1</v>
      </c>
      <c r="L1061" t="str">
        <f t="shared" si="64"/>
        <v>Jun</v>
      </c>
      <c r="M1061">
        <f t="shared" si="65"/>
        <v>2025</v>
      </c>
      <c r="N1061">
        <f t="shared" si="66"/>
        <v>34821.1</v>
      </c>
      <c r="O1061" t="str">
        <f t="shared" si="67"/>
        <v>Moderate Delay</v>
      </c>
    </row>
    <row r="1062" spans="1:15" x14ac:dyDescent="0.25">
      <c r="A1062">
        <v>1061</v>
      </c>
      <c r="B1062" s="2">
        <v>45914</v>
      </c>
      <c r="C1062" t="s">
        <v>25</v>
      </c>
      <c r="D1062" t="s">
        <v>13</v>
      </c>
      <c r="E1062" t="s">
        <v>12</v>
      </c>
      <c r="F1062" t="s">
        <v>21</v>
      </c>
      <c r="G1062">
        <v>145</v>
      </c>
      <c r="H1062">
        <v>423.68</v>
      </c>
      <c r="I1062">
        <v>72</v>
      </c>
      <c r="J1062" t="s">
        <v>30</v>
      </c>
      <c r="K1062">
        <v>61433.599999999999</v>
      </c>
      <c r="L1062" t="str">
        <f t="shared" si="64"/>
        <v>Sep</v>
      </c>
      <c r="M1062">
        <f t="shared" si="65"/>
        <v>2025</v>
      </c>
      <c r="N1062">
        <f t="shared" si="66"/>
        <v>61433.599999999999</v>
      </c>
      <c r="O1062" t="str">
        <f t="shared" si="67"/>
        <v>Major Delay</v>
      </c>
    </row>
    <row r="1063" spans="1:15" x14ac:dyDescent="0.25">
      <c r="A1063">
        <v>1062</v>
      </c>
      <c r="B1063" s="2">
        <v>45908</v>
      </c>
      <c r="C1063" t="s">
        <v>26</v>
      </c>
      <c r="D1063" t="s">
        <v>22</v>
      </c>
      <c r="E1063" t="s">
        <v>20</v>
      </c>
      <c r="F1063" t="s">
        <v>21</v>
      </c>
      <c r="G1063">
        <v>200</v>
      </c>
      <c r="H1063">
        <v>112.71</v>
      </c>
      <c r="I1063">
        <v>0</v>
      </c>
      <c r="J1063" t="s">
        <v>30</v>
      </c>
      <c r="K1063">
        <v>22542</v>
      </c>
      <c r="L1063" t="str">
        <f t="shared" si="64"/>
        <v>Sep</v>
      </c>
      <c r="M1063">
        <f t="shared" si="65"/>
        <v>2025</v>
      </c>
      <c r="N1063">
        <f t="shared" si="66"/>
        <v>22542</v>
      </c>
      <c r="O1063" t="str">
        <f t="shared" si="67"/>
        <v>On Time</v>
      </c>
    </row>
    <row r="1064" spans="1:15" x14ac:dyDescent="0.25">
      <c r="A1064">
        <v>1063</v>
      </c>
      <c r="B1064" s="2">
        <v>45947</v>
      </c>
      <c r="C1064" t="s">
        <v>11</v>
      </c>
      <c r="D1064" t="s">
        <v>12</v>
      </c>
      <c r="E1064" t="s">
        <v>20</v>
      </c>
      <c r="F1064" t="s">
        <v>14</v>
      </c>
      <c r="G1064">
        <v>245</v>
      </c>
      <c r="H1064">
        <v>382.86</v>
      </c>
      <c r="I1064">
        <v>18</v>
      </c>
      <c r="J1064" t="s">
        <v>15</v>
      </c>
      <c r="K1064">
        <v>93800.7</v>
      </c>
      <c r="L1064" t="str">
        <f t="shared" si="64"/>
        <v>Oct</v>
      </c>
      <c r="M1064">
        <f t="shared" si="65"/>
        <v>2025</v>
      </c>
      <c r="N1064">
        <f t="shared" si="66"/>
        <v>93800.7</v>
      </c>
      <c r="O1064" t="str">
        <f t="shared" si="67"/>
        <v>Minor Delay</v>
      </c>
    </row>
    <row r="1065" spans="1:15" x14ac:dyDescent="0.25">
      <c r="A1065">
        <v>1064</v>
      </c>
      <c r="B1065" s="2">
        <v>45983</v>
      </c>
      <c r="C1065" t="s">
        <v>25</v>
      </c>
      <c r="D1065" t="s">
        <v>27</v>
      </c>
      <c r="E1065" t="s">
        <v>20</v>
      </c>
      <c r="F1065" t="s">
        <v>24</v>
      </c>
      <c r="G1065">
        <v>228</v>
      </c>
      <c r="H1065">
        <v>102.7</v>
      </c>
      <c r="I1065">
        <v>75</v>
      </c>
      <c r="J1065" t="s">
        <v>15</v>
      </c>
      <c r="K1065">
        <v>23415.599999999999</v>
      </c>
      <c r="L1065" t="str">
        <f t="shared" si="64"/>
        <v>Nov</v>
      </c>
      <c r="M1065">
        <f t="shared" si="65"/>
        <v>2025</v>
      </c>
      <c r="N1065">
        <f t="shared" si="66"/>
        <v>23415.600000000002</v>
      </c>
      <c r="O1065" t="str">
        <f t="shared" si="67"/>
        <v>Major Delay</v>
      </c>
    </row>
    <row r="1066" spans="1:15" x14ac:dyDescent="0.25">
      <c r="A1066">
        <v>1065</v>
      </c>
      <c r="B1066" s="2">
        <v>45782</v>
      </c>
      <c r="C1066" t="s">
        <v>18</v>
      </c>
      <c r="D1066" t="s">
        <v>17</v>
      </c>
      <c r="E1066" t="s">
        <v>19</v>
      </c>
      <c r="F1066" t="s">
        <v>14</v>
      </c>
      <c r="G1066">
        <v>285</v>
      </c>
      <c r="H1066">
        <v>661.71</v>
      </c>
      <c r="I1066">
        <v>0</v>
      </c>
      <c r="J1066" t="s">
        <v>15</v>
      </c>
      <c r="K1066">
        <v>188587.35</v>
      </c>
      <c r="L1066" t="str">
        <f t="shared" si="64"/>
        <v>May</v>
      </c>
      <c r="M1066">
        <f t="shared" si="65"/>
        <v>2025</v>
      </c>
      <c r="N1066">
        <f t="shared" si="66"/>
        <v>188587.35</v>
      </c>
      <c r="O1066" t="str">
        <f t="shared" si="67"/>
        <v>On Time</v>
      </c>
    </row>
    <row r="1067" spans="1:15" x14ac:dyDescent="0.25">
      <c r="A1067">
        <v>1066</v>
      </c>
      <c r="B1067" s="2">
        <v>45967</v>
      </c>
      <c r="C1067" t="s">
        <v>18</v>
      </c>
      <c r="D1067" t="s">
        <v>29</v>
      </c>
      <c r="E1067" t="s">
        <v>22</v>
      </c>
      <c r="F1067" t="s">
        <v>21</v>
      </c>
      <c r="G1067">
        <v>87</v>
      </c>
      <c r="H1067">
        <v>248.17</v>
      </c>
      <c r="I1067">
        <v>0</v>
      </c>
      <c r="J1067" t="s">
        <v>15</v>
      </c>
      <c r="K1067">
        <v>21590.79</v>
      </c>
      <c r="L1067" t="str">
        <f t="shared" si="64"/>
        <v>Nov</v>
      </c>
      <c r="M1067">
        <f t="shared" si="65"/>
        <v>2025</v>
      </c>
      <c r="N1067">
        <f t="shared" si="66"/>
        <v>21590.789999999997</v>
      </c>
      <c r="O1067" t="str">
        <f t="shared" si="67"/>
        <v>On Time</v>
      </c>
    </row>
    <row r="1068" spans="1:15" x14ac:dyDescent="0.25">
      <c r="A1068">
        <v>1067</v>
      </c>
      <c r="B1068" s="2">
        <v>45717</v>
      </c>
      <c r="C1068" t="s">
        <v>16</v>
      </c>
      <c r="D1068" t="s">
        <v>29</v>
      </c>
      <c r="E1068" t="s">
        <v>13</v>
      </c>
      <c r="F1068" t="s">
        <v>21</v>
      </c>
      <c r="G1068">
        <v>232</v>
      </c>
      <c r="H1068">
        <v>738.49</v>
      </c>
      <c r="I1068">
        <v>0</v>
      </c>
      <c r="J1068" t="s">
        <v>30</v>
      </c>
      <c r="K1068">
        <v>171329.68</v>
      </c>
      <c r="L1068" t="str">
        <f t="shared" si="64"/>
        <v>Mar</v>
      </c>
      <c r="M1068">
        <f t="shared" si="65"/>
        <v>2025</v>
      </c>
      <c r="N1068">
        <f t="shared" si="66"/>
        <v>171329.68</v>
      </c>
      <c r="O1068" t="str">
        <f t="shared" si="67"/>
        <v>On Time</v>
      </c>
    </row>
    <row r="1069" spans="1:15" x14ac:dyDescent="0.25">
      <c r="A1069">
        <v>1068</v>
      </c>
      <c r="B1069" s="2">
        <v>45874</v>
      </c>
      <c r="C1069" t="s">
        <v>11</v>
      </c>
      <c r="D1069" t="s">
        <v>27</v>
      </c>
      <c r="E1069" t="s">
        <v>19</v>
      </c>
      <c r="F1069" t="s">
        <v>24</v>
      </c>
      <c r="G1069">
        <v>114</v>
      </c>
      <c r="H1069">
        <v>571.96</v>
      </c>
      <c r="I1069">
        <v>39</v>
      </c>
      <c r="J1069" t="s">
        <v>15</v>
      </c>
      <c r="K1069">
        <v>65203.44</v>
      </c>
      <c r="L1069" t="str">
        <f t="shared" si="64"/>
        <v>Aug</v>
      </c>
      <c r="M1069">
        <f t="shared" si="65"/>
        <v>2025</v>
      </c>
      <c r="N1069">
        <f t="shared" si="66"/>
        <v>65203.44</v>
      </c>
      <c r="O1069" t="str">
        <f t="shared" si="67"/>
        <v>Moderate Delay</v>
      </c>
    </row>
    <row r="1070" spans="1:15" x14ac:dyDescent="0.25">
      <c r="A1070">
        <v>1069</v>
      </c>
      <c r="B1070" s="2">
        <v>45958</v>
      </c>
      <c r="C1070" t="s">
        <v>26</v>
      </c>
      <c r="D1070" t="s">
        <v>27</v>
      </c>
      <c r="E1070" t="s">
        <v>17</v>
      </c>
      <c r="F1070" t="s">
        <v>21</v>
      </c>
      <c r="G1070">
        <v>155</v>
      </c>
      <c r="H1070">
        <v>616.82000000000005</v>
      </c>
      <c r="I1070">
        <v>64</v>
      </c>
      <c r="J1070" t="s">
        <v>15</v>
      </c>
      <c r="K1070">
        <v>95607.1</v>
      </c>
      <c r="L1070" t="str">
        <f t="shared" si="64"/>
        <v>Oct</v>
      </c>
      <c r="M1070">
        <f t="shared" si="65"/>
        <v>2025</v>
      </c>
      <c r="N1070">
        <f t="shared" si="66"/>
        <v>95607.1</v>
      </c>
      <c r="O1070" t="str">
        <f t="shared" si="67"/>
        <v>Major Delay</v>
      </c>
    </row>
    <row r="1071" spans="1:15" x14ac:dyDescent="0.25">
      <c r="A1071">
        <v>1070</v>
      </c>
      <c r="B1071" s="2">
        <v>45795</v>
      </c>
      <c r="C1071" t="s">
        <v>25</v>
      </c>
      <c r="D1071" t="s">
        <v>22</v>
      </c>
      <c r="E1071" t="s">
        <v>29</v>
      </c>
      <c r="F1071" t="s">
        <v>14</v>
      </c>
      <c r="G1071">
        <v>288</v>
      </c>
      <c r="H1071">
        <v>613.73</v>
      </c>
      <c r="I1071">
        <v>0</v>
      </c>
      <c r="J1071" t="s">
        <v>15</v>
      </c>
      <c r="K1071">
        <v>176754.24</v>
      </c>
      <c r="L1071" t="str">
        <f t="shared" si="64"/>
        <v>May</v>
      </c>
      <c r="M1071">
        <f t="shared" si="65"/>
        <v>2025</v>
      </c>
      <c r="N1071">
        <f t="shared" si="66"/>
        <v>176754.24</v>
      </c>
      <c r="O1071" t="str">
        <f t="shared" si="67"/>
        <v>On Time</v>
      </c>
    </row>
    <row r="1072" spans="1:15" x14ac:dyDescent="0.25">
      <c r="A1072">
        <v>1071</v>
      </c>
      <c r="B1072" s="2">
        <v>45909</v>
      </c>
      <c r="C1072" t="s">
        <v>16</v>
      </c>
      <c r="D1072" t="s">
        <v>13</v>
      </c>
      <c r="E1072" t="s">
        <v>19</v>
      </c>
      <c r="F1072" t="s">
        <v>14</v>
      </c>
      <c r="G1072">
        <v>67</v>
      </c>
      <c r="H1072">
        <v>632.57000000000005</v>
      </c>
      <c r="I1072">
        <v>0</v>
      </c>
      <c r="J1072" t="s">
        <v>15</v>
      </c>
      <c r="K1072">
        <v>42382.19</v>
      </c>
      <c r="L1072" t="str">
        <f t="shared" si="64"/>
        <v>Sep</v>
      </c>
      <c r="M1072">
        <f t="shared" si="65"/>
        <v>2025</v>
      </c>
      <c r="N1072">
        <f t="shared" si="66"/>
        <v>42382.19</v>
      </c>
      <c r="O1072" t="str">
        <f t="shared" si="67"/>
        <v>On Time</v>
      </c>
    </row>
    <row r="1073" spans="1:15" x14ac:dyDescent="0.25">
      <c r="A1073">
        <v>1072</v>
      </c>
      <c r="B1073" s="2">
        <v>45748</v>
      </c>
      <c r="C1073" t="s">
        <v>26</v>
      </c>
      <c r="D1073" t="s">
        <v>17</v>
      </c>
      <c r="E1073" t="s">
        <v>29</v>
      </c>
      <c r="F1073" t="s">
        <v>14</v>
      </c>
      <c r="G1073">
        <v>230</v>
      </c>
      <c r="H1073">
        <v>159.41</v>
      </c>
      <c r="I1073">
        <v>32</v>
      </c>
      <c r="J1073" t="s">
        <v>15</v>
      </c>
      <c r="K1073">
        <v>36664.300000000003</v>
      </c>
      <c r="L1073" t="str">
        <f t="shared" si="64"/>
        <v>Apr</v>
      </c>
      <c r="M1073">
        <f t="shared" si="65"/>
        <v>2025</v>
      </c>
      <c r="N1073">
        <f t="shared" si="66"/>
        <v>36664.299999999996</v>
      </c>
      <c r="O1073" t="str">
        <f t="shared" si="67"/>
        <v>Moderate Delay</v>
      </c>
    </row>
    <row r="1074" spans="1:15" x14ac:dyDescent="0.25">
      <c r="A1074">
        <v>1073</v>
      </c>
      <c r="B1074" s="2">
        <v>45888</v>
      </c>
      <c r="C1074" t="s">
        <v>31</v>
      </c>
      <c r="D1074" t="s">
        <v>27</v>
      </c>
      <c r="E1074" t="s">
        <v>12</v>
      </c>
      <c r="F1074" t="s">
        <v>14</v>
      </c>
      <c r="G1074">
        <v>97</v>
      </c>
      <c r="H1074">
        <v>208.7</v>
      </c>
      <c r="I1074">
        <v>19</v>
      </c>
      <c r="J1074" t="s">
        <v>15</v>
      </c>
      <c r="K1074">
        <v>20243.900000000001</v>
      </c>
      <c r="L1074" t="str">
        <f t="shared" si="64"/>
        <v>Aug</v>
      </c>
      <c r="M1074">
        <f t="shared" si="65"/>
        <v>2025</v>
      </c>
      <c r="N1074">
        <f t="shared" si="66"/>
        <v>20243.899999999998</v>
      </c>
      <c r="O1074" t="str">
        <f t="shared" si="67"/>
        <v>Minor Delay</v>
      </c>
    </row>
    <row r="1075" spans="1:15" x14ac:dyDescent="0.25">
      <c r="A1075">
        <v>1074</v>
      </c>
      <c r="B1075" s="2">
        <v>45978</v>
      </c>
      <c r="C1075" t="s">
        <v>31</v>
      </c>
      <c r="D1075" t="s">
        <v>17</v>
      </c>
      <c r="E1075" t="s">
        <v>27</v>
      </c>
      <c r="F1075" t="s">
        <v>14</v>
      </c>
      <c r="G1075">
        <v>272</v>
      </c>
      <c r="H1075">
        <v>530.96</v>
      </c>
      <c r="I1075">
        <v>0</v>
      </c>
      <c r="J1075" t="s">
        <v>15</v>
      </c>
      <c r="K1075">
        <v>144421.12</v>
      </c>
      <c r="L1075" t="str">
        <f t="shared" si="64"/>
        <v>Nov</v>
      </c>
      <c r="M1075">
        <f t="shared" si="65"/>
        <v>2025</v>
      </c>
      <c r="N1075">
        <f t="shared" si="66"/>
        <v>144421.12</v>
      </c>
      <c r="O1075" t="str">
        <f t="shared" si="67"/>
        <v>On Time</v>
      </c>
    </row>
    <row r="1076" spans="1:15" x14ac:dyDescent="0.25">
      <c r="A1076">
        <v>1075</v>
      </c>
      <c r="B1076" s="2">
        <v>45721</v>
      </c>
      <c r="C1076" t="s">
        <v>26</v>
      </c>
      <c r="D1076" t="s">
        <v>12</v>
      </c>
      <c r="E1076" t="s">
        <v>20</v>
      </c>
      <c r="F1076" t="s">
        <v>14</v>
      </c>
      <c r="G1076">
        <v>137</v>
      </c>
      <c r="H1076">
        <v>81.95</v>
      </c>
      <c r="I1076">
        <v>22</v>
      </c>
      <c r="J1076" t="s">
        <v>15</v>
      </c>
      <c r="K1076">
        <v>11227.15</v>
      </c>
      <c r="L1076" t="str">
        <f t="shared" si="64"/>
        <v>Mar</v>
      </c>
      <c r="M1076">
        <f t="shared" si="65"/>
        <v>2025</v>
      </c>
      <c r="N1076">
        <f t="shared" si="66"/>
        <v>11227.15</v>
      </c>
      <c r="O1076" t="str">
        <f t="shared" si="67"/>
        <v>Minor Delay</v>
      </c>
    </row>
    <row r="1077" spans="1:15" x14ac:dyDescent="0.25">
      <c r="A1077">
        <v>1076</v>
      </c>
      <c r="B1077" s="2">
        <v>45794</v>
      </c>
      <c r="C1077" t="s">
        <v>16</v>
      </c>
      <c r="D1077" t="s">
        <v>13</v>
      </c>
      <c r="E1077" t="s">
        <v>12</v>
      </c>
      <c r="F1077" t="s">
        <v>21</v>
      </c>
      <c r="G1077">
        <v>199</v>
      </c>
      <c r="H1077">
        <v>644.01</v>
      </c>
      <c r="I1077">
        <v>48</v>
      </c>
      <c r="J1077" t="s">
        <v>15</v>
      </c>
      <c r="K1077">
        <v>128157.99</v>
      </c>
      <c r="L1077" t="str">
        <f t="shared" si="64"/>
        <v>May</v>
      </c>
      <c r="M1077">
        <f t="shared" si="65"/>
        <v>2025</v>
      </c>
      <c r="N1077">
        <f t="shared" si="66"/>
        <v>128157.99</v>
      </c>
      <c r="O1077" t="str">
        <f t="shared" si="67"/>
        <v>Moderate Delay</v>
      </c>
    </row>
    <row r="1078" spans="1:15" x14ac:dyDescent="0.25">
      <c r="A1078">
        <v>1077</v>
      </c>
      <c r="B1078" s="2">
        <v>45850</v>
      </c>
      <c r="C1078" t="s">
        <v>31</v>
      </c>
      <c r="D1078" t="s">
        <v>19</v>
      </c>
      <c r="E1078" t="s">
        <v>13</v>
      </c>
      <c r="F1078" t="s">
        <v>21</v>
      </c>
      <c r="G1078">
        <v>296</v>
      </c>
      <c r="H1078">
        <v>623.41</v>
      </c>
      <c r="I1078">
        <v>45</v>
      </c>
      <c r="J1078" t="s">
        <v>15</v>
      </c>
      <c r="K1078">
        <v>184529.36</v>
      </c>
      <c r="L1078" t="str">
        <f t="shared" si="64"/>
        <v>Jul</v>
      </c>
      <c r="M1078">
        <f t="shared" si="65"/>
        <v>2025</v>
      </c>
      <c r="N1078">
        <f t="shared" si="66"/>
        <v>184529.36</v>
      </c>
      <c r="O1078" t="str">
        <f t="shared" si="67"/>
        <v>Moderate Delay</v>
      </c>
    </row>
    <row r="1079" spans="1:15" x14ac:dyDescent="0.25">
      <c r="A1079">
        <v>1078</v>
      </c>
      <c r="B1079" s="2">
        <v>45847</v>
      </c>
      <c r="C1079" t="s">
        <v>25</v>
      </c>
      <c r="D1079" t="s">
        <v>17</v>
      </c>
      <c r="E1079" t="s">
        <v>22</v>
      </c>
      <c r="F1079" t="s">
        <v>24</v>
      </c>
      <c r="G1079">
        <v>130</v>
      </c>
      <c r="H1079">
        <v>664.47</v>
      </c>
      <c r="I1079">
        <v>8</v>
      </c>
      <c r="J1079" t="s">
        <v>30</v>
      </c>
      <c r="K1079">
        <v>86381.1</v>
      </c>
      <c r="L1079" t="str">
        <f t="shared" si="64"/>
        <v>Jul</v>
      </c>
      <c r="M1079">
        <f t="shared" si="65"/>
        <v>2025</v>
      </c>
      <c r="N1079">
        <f t="shared" si="66"/>
        <v>86381.1</v>
      </c>
      <c r="O1079" t="str">
        <f t="shared" si="67"/>
        <v>Minor Delay</v>
      </c>
    </row>
    <row r="1080" spans="1:15" x14ac:dyDescent="0.25">
      <c r="A1080">
        <v>1079</v>
      </c>
      <c r="B1080" s="2">
        <v>45970</v>
      </c>
      <c r="C1080" t="s">
        <v>16</v>
      </c>
      <c r="D1080" t="s">
        <v>17</v>
      </c>
      <c r="E1080" t="s">
        <v>20</v>
      </c>
      <c r="F1080" t="s">
        <v>24</v>
      </c>
      <c r="G1080">
        <v>273</v>
      </c>
      <c r="H1080">
        <v>304.39</v>
      </c>
      <c r="I1080">
        <v>42</v>
      </c>
      <c r="J1080" t="s">
        <v>15</v>
      </c>
      <c r="K1080">
        <v>83098.47</v>
      </c>
      <c r="L1080" t="str">
        <f t="shared" si="64"/>
        <v>Nov</v>
      </c>
      <c r="M1080">
        <f t="shared" si="65"/>
        <v>2025</v>
      </c>
      <c r="N1080">
        <f t="shared" si="66"/>
        <v>83098.47</v>
      </c>
      <c r="O1080" t="str">
        <f t="shared" si="67"/>
        <v>Moderate Delay</v>
      </c>
    </row>
    <row r="1081" spans="1:15" x14ac:dyDescent="0.25">
      <c r="A1081">
        <v>1080</v>
      </c>
      <c r="B1081" s="2">
        <v>45966</v>
      </c>
      <c r="C1081" t="s">
        <v>16</v>
      </c>
      <c r="D1081" t="s">
        <v>29</v>
      </c>
      <c r="E1081" t="s">
        <v>13</v>
      </c>
      <c r="F1081" t="s">
        <v>21</v>
      </c>
      <c r="G1081">
        <v>121</v>
      </c>
      <c r="H1081">
        <v>763.79</v>
      </c>
      <c r="I1081">
        <v>36</v>
      </c>
      <c r="J1081" t="s">
        <v>15</v>
      </c>
      <c r="K1081">
        <v>92418.59</v>
      </c>
      <c r="L1081" t="str">
        <f t="shared" si="64"/>
        <v>Nov</v>
      </c>
      <c r="M1081">
        <f t="shared" si="65"/>
        <v>2025</v>
      </c>
      <c r="N1081">
        <f t="shared" si="66"/>
        <v>92418.59</v>
      </c>
      <c r="O1081" t="str">
        <f t="shared" si="67"/>
        <v>Moderate Delay</v>
      </c>
    </row>
    <row r="1082" spans="1:15" x14ac:dyDescent="0.25">
      <c r="A1082">
        <v>1081</v>
      </c>
      <c r="B1082" s="2">
        <v>45889</v>
      </c>
      <c r="C1082" t="s">
        <v>31</v>
      </c>
      <c r="D1082" t="s">
        <v>19</v>
      </c>
      <c r="E1082" t="s">
        <v>17</v>
      </c>
      <c r="F1082" t="s">
        <v>21</v>
      </c>
      <c r="G1082">
        <v>218</v>
      </c>
      <c r="H1082">
        <v>703.69</v>
      </c>
      <c r="I1082">
        <v>0</v>
      </c>
      <c r="J1082" t="s">
        <v>15</v>
      </c>
      <c r="K1082">
        <v>153404.42000000001</v>
      </c>
      <c r="L1082" t="str">
        <f t="shared" si="64"/>
        <v>Aug</v>
      </c>
      <c r="M1082">
        <f t="shared" si="65"/>
        <v>2025</v>
      </c>
      <c r="N1082">
        <f t="shared" si="66"/>
        <v>153404.42000000001</v>
      </c>
      <c r="O1082" t="str">
        <f t="shared" si="67"/>
        <v>On Time</v>
      </c>
    </row>
    <row r="1083" spans="1:15" x14ac:dyDescent="0.25">
      <c r="A1083">
        <v>1082</v>
      </c>
      <c r="B1083" s="2">
        <v>45982</v>
      </c>
      <c r="C1083" t="s">
        <v>26</v>
      </c>
      <c r="D1083" t="s">
        <v>22</v>
      </c>
      <c r="E1083" t="s">
        <v>13</v>
      </c>
      <c r="F1083" t="s">
        <v>14</v>
      </c>
      <c r="G1083">
        <v>298</v>
      </c>
      <c r="H1083">
        <v>657.59</v>
      </c>
      <c r="I1083">
        <v>16</v>
      </c>
      <c r="J1083" t="s">
        <v>15</v>
      </c>
      <c r="K1083">
        <v>195961.82</v>
      </c>
      <c r="L1083" t="str">
        <f t="shared" si="64"/>
        <v>Nov</v>
      </c>
      <c r="M1083">
        <f t="shared" si="65"/>
        <v>2025</v>
      </c>
      <c r="N1083">
        <f t="shared" si="66"/>
        <v>195961.82</v>
      </c>
      <c r="O1083" t="str">
        <f t="shared" si="67"/>
        <v>Minor Delay</v>
      </c>
    </row>
    <row r="1084" spans="1:15" x14ac:dyDescent="0.25">
      <c r="A1084">
        <v>1083</v>
      </c>
      <c r="B1084" s="2">
        <v>45968</v>
      </c>
      <c r="C1084" t="s">
        <v>18</v>
      </c>
      <c r="D1084" t="s">
        <v>20</v>
      </c>
      <c r="E1084" t="s">
        <v>19</v>
      </c>
      <c r="F1084" t="s">
        <v>24</v>
      </c>
      <c r="G1084">
        <v>239</v>
      </c>
      <c r="H1084">
        <v>513.32000000000005</v>
      </c>
      <c r="I1084">
        <v>43</v>
      </c>
      <c r="J1084" t="s">
        <v>30</v>
      </c>
      <c r="K1084">
        <v>122683.48</v>
      </c>
      <c r="L1084" t="str">
        <f t="shared" si="64"/>
        <v>Nov</v>
      </c>
      <c r="M1084">
        <f t="shared" si="65"/>
        <v>2025</v>
      </c>
      <c r="N1084">
        <f t="shared" si="66"/>
        <v>122683.48000000001</v>
      </c>
      <c r="O1084" t="str">
        <f t="shared" si="67"/>
        <v>Moderate Delay</v>
      </c>
    </row>
    <row r="1085" spans="1:15" x14ac:dyDescent="0.25">
      <c r="A1085">
        <v>1084</v>
      </c>
      <c r="B1085" s="2">
        <v>45855</v>
      </c>
      <c r="C1085" t="s">
        <v>26</v>
      </c>
      <c r="D1085" t="s">
        <v>20</v>
      </c>
      <c r="E1085" t="s">
        <v>12</v>
      </c>
      <c r="F1085" t="s">
        <v>21</v>
      </c>
      <c r="G1085">
        <v>99</v>
      </c>
      <c r="H1085">
        <v>586.84</v>
      </c>
      <c r="I1085">
        <v>32</v>
      </c>
      <c r="J1085" t="s">
        <v>30</v>
      </c>
      <c r="K1085">
        <v>58097.16</v>
      </c>
      <c r="L1085" t="str">
        <f t="shared" si="64"/>
        <v>Jul</v>
      </c>
      <c r="M1085">
        <f t="shared" si="65"/>
        <v>2025</v>
      </c>
      <c r="N1085">
        <f t="shared" si="66"/>
        <v>58097.16</v>
      </c>
      <c r="O1085" t="str">
        <f t="shared" si="67"/>
        <v>Moderate Delay</v>
      </c>
    </row>
    <row r="1086" spans="1:15" x14ac:dyDescent="0.25">
      <c r="A1086">
        <v>1085</v>
      </c>
      <c r="B1086" s="2">
        <v>45723</v>
      </c>
      <c r="C1086" t="s">
        <v>18</v>
      </c>
      <c r="D1086" t="s">
        <v>27</v>
      </c>
      <c r="E1086" t="s">
        <v>13</v>
      </c>
      <c r="F1086" t="s">
        <v>14</v>
      </c>
      <c r="G1086">
        <v>127</v>
      </c>
      <c r="H1086">
        <v>675.94</v>
      </c>
      <c r="I1086">
        <v>93</v>
      </c>
      <c r="J1086" t="s">
        <v>15</v>
      </c>
      <c r="K1086">
        <v>85844.38</v>
      </c>
      <c r="L1086" t="str">
        <f t="shared" si="64"/>
        <v>Mar</v>
      </c>
      <c r="M1086">
        <f t="shared" si="65"/>
        <v>2025</v>
      </c>
      <c r="N1086">
        <f t="shared" si="66"/>
        <v>85844.38</v>
      </c>
      <c r="O1086" t="str">
        <f t="shared" si="67"/>
        <v>Major Delay</v>
      </c>
    </row>
    <row r="1087" spans="1:15" x14ac:dyDescent="0.25">
      <c r="A1087">
        <v>1086</v>
      </c>
      <c r="B1087" s="2">
        <v>45904</v>
      </c>
      <c r="C1087" t="s">
        <v>25</v>
      </c>
      <c r="D1087" t="s">
        <v>20</v>
      </c>
      <c r="E1087" t="s">
        <v>12</v>
      </c>
      <c r="F1087" t="s">
        <v>21</v>
      </c>
      <c r="G1087">
        <v>111</v>
      </c>
      <c r="H1087">
        <v>240.08</v>
      </c>
      <c r="I1087">
        <v>18</v>
      </c>
      <c r="J1087" t="s">
        <v>15</v>
      </c>
      <c r="K1087">
        <v>26648.880000000001</v>
      </c>
      <c r="L1087" t="str">
        <f t="shared" si="64"/>
        <v>Sep</v>
      </c>
      <c r="M1087">
        <f t="shared" si="65"/>
        <v>2025</v>
      </c>
      <c r="N1087">
        <f t="shared" si="66"/>
        <v>26648.880000000001</v>
      </c>
      <c r="O1087" t="str">
        <f t="shared" si="67"/>
        <v>Minor Delay</v>
      </c>
    </row>
    <row r="1088" spans="1:15" x14ac:dyDescent="0.25">
      <c r="A1088">
        <v>1087</v>
      </c>
      <c r="B1088" s="2">
        <v>45880</v>
      </c>
      <c r="C1088" t="s">
        <v>25</v>
      </c>
      <c r="D1088" t="s">
        <v>12</v>
      </c>
      <c r="E1088" t="s">
        <v>29</v>
      </c>
      <c r="F1088" t="s">
        <v>14</v>
      </c>
      <c r="G1088">
        <v>91</v>
      </c>
      <c r="H1088">
        <v>747.46</v>
      </c>
      <c r="I1088">
        <v>8</v>
      </c>
      <c r="J1088" t="s">
        <v>15</v>
      </c>
      <c r="K1088">
        <v>68018.86</v>
      </c>
      <c r="L1088" t="str">
        <f t="shared" si="64"/>
        <v>Aug</v>
      </c>
      <c r="M1088">
        <f t="shared" si="65"/>
        <v>2025</v>
      </c>
      <c r="N1088">
        <f t="shared" si="66"/>
        <v>68018.86</v>
      </c>
      <c r="O1088" t="str">
        <f t="shared" si="67"/>
        <v>Minor Delay</v>
      </c>
    </row>
    <row r="1089" spans="1:15" x14ac:dyDescent="0.25">
      <c r="A1089">
        <v>1088</v>
      </c>
      <c r="B1089" s="2">
        <v>46001</v>
      </c>
      <c r="C1089" t="s">
        <v>16</v>
      </c>
      <c r="D1089" t="s">
        <v>23</v>
      </c>
      <c r="E1089" t="s">
        <v>27</v>
      </c>
      <c r="F1089" t="s">
        <v>21</v>
      </c>
      <c r="G1089">
        <v>84</v>
      </c>
      <c r="H1089">
        <v>742.82</v>
      </c>
      <c r="I1089">
        <v>41</v>
      </c>
      <c r="J1089" t="s">
        <v>15</v>
      </c>
      <c r="K1089">
        <v>62396.88</v>
      </c>
      <c r="L1089" t="str">
        <f t="shared" si="64"/>
        <v>Dec</v>
      </c>
      <c r="M1089">
        <f t="shared" si="65"/>
        <v>2025</v>
      </c>
      <c r="N1089">
        <f t="shared" si="66"/>
        <v>62396.880000000005</v>
      </c>
      <c r="O1089" t="str">
        <f t="shared" si="67"/>
        <v>Moderate Delay</v>
      </c>
    </row>
    <row r="1090" spans="1:15" x14ac:dyDescent="0.25">
      <c r="A1090">
        <v>1089</v>
      </c>
      <c r="B1090" s="2">
        <v>46012</v>
      </c>
      <c r="C1090" t="s">
        <v>26</v>
      </c>
      <c r="D1090" t="s">
        <v>20</v>
      </c>
      <c r="E1090" t="s">
        <v>12</v>
      </c>
      <c r="F1090" t="s">
        <v>14</v>
      </c>
      <c r="G1090">
        <v>288</v>
      </c>
      <c r="H1090">
        <v>486.22</v>
      </c>
      <c r="I1090">
        <v>28</v>
      </c>
      <c r="J1090" t="s">
        <v>15</v>
      </c>
      <c r="K1090">
        <v>140031.35999999999</v>
      </c>
      <c r="L1090" t="str">
        <f t="shared" si="64"/>
        <v>Dec</v>
      </c>
      <c r="M1090">
        <f t="shared" si="65"/>
        <v>2025</v>
      </c>
      <c r="N1090">
        <f t="shared" si="66"/>
        <v>140031.36000000002</v>
      </c>
      <c r="O1090" t="str">
        <f t="shared" si="67"/>
        <v>Minor Delay</v>
      </c>
    </row>
    <row r="1091" spans="1:15" x14ac:dyDescent="0.25">
      <c r="A1091">
        <v>1090</v>
      </c>
      <c r="B1091" s="2">
        <v>45777</v>
      </c>
      <c r="C1091" t="s">
        <v>11</v>
      </c>
      <c r="D1091" t="s">
        <v>17</v>
      </c>
      <c r="E1091" t="s">
        <v>20</v>
      </c>
      <c r="F1091" t="s">
        <v>24</v>
      </c>
      <c r="G1091">
        <v>79</v>
      </c>
      <c r="H1091">
        <v>275.32</v>
      </c>
      <c r="I1091">
        <v>15</v>
      </c>
      <c r="J1091" t="s">
        <v>15</v>
      </c>
      <c r="K1091">
        <v>21750.28</v>
      </c>
      <c r="L1091" t="str">
        <f t="shared" ref="L1091:L1154" si="68">TEXT(B1091,"MMM")</f>
        <v>Apr</v>
      </c>
      <c r="M1091">
        <f t="shared" ref="M1091:M1154" si="69">YEAR(B1091)</f>
        <v>2025</v>
      </c>
      <c r="N1091">
        <f t="shared" ref="N1091:N1154" si="70">G1091*H1091</f>
        <v>21750.28</v>
      </c>
      <c r="O1091" t="str">
        <f t="shared" ref="O1091:O1154" si="71">IF(I1091=0,"On Time",IF(I1091&lt;=30,"Minor Delay",IF(I1091&lt;=60,"Moderate Delay","Major Delay")))</f>
        <v>Minor Delay</v>
      </c>
    </row>
    <row r="1092" spans="1:15" x14ac:dyDescent="0.25">
      <c r="A1092">
        <v>1091</v>
      </c>
      <c r="B1092" s="2">
        <v>45717</v>
      </c>
      <c r="C1092" t="s">
        <v>31</v>
      </c>
      <c r="D1092" t="s">
        <v>22</v>
      </c>
      <c r="E1092" t="s">
        <v>19</v>
      </c>
      <c r="F1092" t="s">
        <v>24</v>
      </c>
      <c r="G1092">
        <v>82</v>
      </c>
      <c r="H1092">
        <v>691.46</v>
      </c>
      <c r="I1092">
        <v>51</v>
      </c>
      <c r="J1092" t="s">
        <v>15</v>
      </c>
      <c r="K1092">
        <v>56699.72</v>
      </c>
      <c r="L1092" t="str">
        <f t="shared" si="68"/>
        <v>Mar</v>
      </c>
      <c r="M1092">
        <f t="shared" si="69"/>
        <v>2025</v>
      </c>
      <c r="N1092">
        <f t="shared" si="70"/>
        <v>56699.72</v>
      </c>
      <c r="O1092" t="str">
        <f t="shared" si="71"/>
        <v>Moderate Delay</v>
      </c>
    </row>
    <row r="1093" spans="1:15" x14ac:dyDescent="0.25">
      <c r="A1093">
        <v>1092</v>
      </c>
      <c r="B1093" s="2">
        <v>45856</v>
      </c>
      <c r="C1093" t="s">
        <v>18</v>
      </c>
      <c r="D1093" t="s">
        <v>13</v>
      </c>
      <c r="E1093" t="s">
        <v>23</v>
      </c>
      <c r="F1093" t="s">
        <v>24</v>
      </c>
      <c r="G1093">
        <v>247</v>
      </c>
      <c r="H1093">
        <v>330.12</v>
      </c>
      <c r="I1093">
        <v>10</v>
      </c>
      <c r="J1093" t="s">
        <v>15</v>
      </c>
      <c r="K1093">
        <v>81539.64</v>
      </c>
      <c r="L1093" t="str">
        <f t="shared" si="68"/>
        <v>Jul</v>
      </c>
      <c r="M1093">
        <f t="shared" si="69"/>
        <v>2025</v>
      </c>
      <c r="N1093">
        <f t="shared" si="70"/>
        <v>81539.64</v>
      </c>
      <c r="O1093" t="str">
        <f t="shared" si="71"/>
        <v>Minor Delay</v>
      </c>
    </row>
    <row r="1094" spans="1:15" x14ac:dyDescent="0.25">
      <c r="A1094">
        <v>1093</v>
      </c>
      <c r="B1094" s="2">
        <v>45712</v>
      </c>
      <c r="C1094" t="s">
        <v>18</v>
      </c>
      <c r="D1094" t="s">
        <v>29</v>
      </c>
      <c r="E1094" t="s">
        <v>23</v>
      </c>
      <c r="F1094" t="s">
        <v>14</v>
      </c>
      <c r="G1094">
        <v>187</v>
      </c>
      <c r="H1094">
        <v>690.75</v>
      </c>
      <c r="I1094">
        <v>1</v>
      </c>
      <c r="J1094" t="s">
        <v>15</v>
      </c>
      <c r="K1094">
        <v>129170.25</v>
      </c>
      <c r="L1094" t="str">
        <f t="shared" si="68"/>
        <v>Feb</v>
      </c>
      <c r="M1094">
        <f t="shared" si="69"/>
        <v>2025</v>
      </c>
      <c r="N1094">
        <f t="shared" si="70"/>
        <v>129170.25</v>
      </c>
      <c r="O1094" t="str">
        <f t="shared" si="71"/>
        <v>Minor Delay</v>
      </c>
    </row>
    <row r="1095" spans="1:15" x14ac:dyDescent="0.25">
      <c r="A1095">
        <v>1094</v>
      </c>
      <c r="B1095" s="2">
        <v>46006</v>
      </c>
      <c r="C1095" t="s">
        <v>18</v>
      </c>
      <c r="D1095" t="s">
        <v>19</v>
      </c>
      <c r="E1095" t="s">
        <v>27</v>
      </c>
      <c r="F1095" t="s">
        <v>14</v>
      </c>
      <c r="G1095">
        <v>203</v>
      </c>
      <c r="H1095">
        <v>269.70999999999998</v>
      </c>
      <c r="I1095">
        <v>62</v>
      </c>
      <c r="J1095" t="s">
        <v>15</v>
      </c>
      <c r="K1095">
        <v>54751.13</v>
      </c>
      <c r="L1095" t="str">
        <f t="shared" si="68"/>
        <v>Dec</v>
      </c>
      <c r="M1095">
        <f t="shared" si="69"/>
        <v>2025</v>
      </c>
      <c r="N1095">
        <f t="shared" si="70"/>
        <v>54751.13</v>
      </c>
      <c r="O1095" t="str">
        <f t="shared" si="71"/>
        <v>Major Delay</v>
      </c>
    </row>
    <row r="1096" spans="1:15" x14ac:dyDescent="0.25">
      <c r="A1096">
        <v>1095</v>
      </c>
      <c r="B1096" s="2">
        <v>45816</v>
      </c>
      <c r="C1096" t="s">
        <v>31</v>
      </c>
      <c r="D1096" t="s">
        <v>13</v>
      </c>
      <c r="E1096" t="s">
        <v>17</v>
      </c>
      <c r="F1096" t="s">
        <v>21</v>
      </c>
      <c r="G1096">
        <v>81</v>
      </c>
      <c r="H1096">
        <v>262.35000000000002</v>
      </c>
      <c r="I1096">
        <v>38</v>
      </c>
      <c r="J1096" t="s">
        <v>15</v>
      </c>
      <c r="K1096">
        <v>21250.35</v>
      </c>
      <c r="L1096" t="str">
        <f t="shared" si="68"/>
        <v>Jun</v>
      </c>
      <c r="M1096">
        <f t="shared" si="69"/>
        <v>2025</v>
      </c>
      <c r="N1096">
        <f t="shared" si="70"/>
        <v>21250.350000000002</v>
      </c>
      <c r="O1096" t="str">
        <f t="shared" si="71"/>
        <v>Moderate Delay</v>
      </c>
    </row>
    <row r="1097" spans="1:15" x14ac:dyDescent="0.25">
      <c r="A1097">
        <v>1096</v>
      </c>
      <c r="B1097" s="2">
        <v>45807</v>
      </c>
      <c r="C1097" t="s">
        <v>25</v>
      </c>
      <c r="D1097" t="s">
        <v>19</v>
      </c>
      <c r="E1097" t="s">
        <v>27</v>
      </c>
      <c r="F1097" t="s">
        <v>24</v>
      </c>
      <c r="G1097">
        <v>65</v>
      </c>
      <c r="H1097">
        <v>786.05</v>
      </c>
      <c r="I1097">
        <v>0</v>
      </c>
      <c r="J1097" t="s">
        <v>15</v>
      </c>
      <c r="K1097">
        <v>51093.25</v>
      </c>
      <c r="L1097" t="str">
        <f t="shared" si="68"/>
        <v>May</v>
      </c>
      <c r="M1097">
        <f t="shared" si="69"/>
        <v>2025</v>
      </c>
      <c r="N1097">
        <f t="shared" si="70"/>
        <v>51093.25</v>
      </c>
      <c r="O1097" t="str">
        <f t="shared" si="71"/>
        <v>On Time</v>
      </c>
    </row>
    <row r="1098" spans="1:15" x14ac:dyDescent="0.25">
      <c r="A1098">
        <v>1097</v>
      </c>
      <c r="B1098" s="2">
        <v>46016</v>
      </c>
      <c r="C1098" t="s">
        <v>25</v>
      </c>
      <c r="D1098" t="s">
        <v>19</v>
      </c>
      <c r="E1098" t="s">
        <v>23</v>
      </c>
      <c r="F1098" t="s">
        <v>14</v>
      </c>
      <c r="G1098">
        <v>286</v>
      </c>
      <c r="H1098">
        <v>700.42</v>
      </c>
      <c r="I1098">
        <v>32</v>
      </c>
      <c r="J1098" t="s">
        <v>15</v>
      </c>
      <c r="K1098">
        <v>200320.12</v>
      </c>
      <c r="L1098" t="str">
        <f t="shared" si="68"/>
        <v>Dec</v>
      </c>
      <c r="M1098">
        <f t="shared" si="69"/>
        <v>2025</v>
      </c>
      <c r="N1098">
        <f t="shared" si="70"/>
        <v>200320.12</v>
      </c>
      <c r="O1098" t="str">
        <f t="shared" si="71"/>
        <v>Moderate Delay</v>
      </c>
    </row>
    <row r="1099" spans="1:15" x14ac:dyDescent="0.25">
      <c r="A1099">
        <v>1098</v>
      </c>
      <c r="B1099" s="2">
        <v>45938</v>
      </c>
      <c r="C1099" t="s">
        <v>18</v>
      </c>
      <c r="D1099" t="s">
        <v>29</v>
      </c>
      <c r="E1099" t="s">
        <v>13</v>
      </c>
      <c r="F1099" t="s">
        <v>24</v>
      </c>
      <c r="G1099">
        <v>158</v>
      </c>
      <c r="H1099">
        <v>561.65</v>
      </c>
      <c r="I1099">
        <v>46</v>
      </c>
      <c r="J1099" t="s">
        <v>28</v>
      </c>
      <c r="K1099">
        <v>88740.7</v>
      </c>
      <c r="L1099" t="str">
        <f t="shared" si="68"/>
        <v>Oct</v>
      </c>
      <c r="M1099">
        <f t="shared" si="69"/>
        <v>2025</v>
      </c>
      <c r="N1099">
        <f t="shared" si="70"/>
        <v>88740.7</v>
      </c>
      <c r="O1099" t="str">
        <f t="shared" si="71"/>
        <v>Moderate Delay</v>
      </c>
    </row>
    <row r="1100" spans="1:15" x14ac:dyDescent="0.25">
      <c r="A1100">
        <v>1099</v>
      </c>
      <c r="B1100" s="2">
        <v>45694</v>
      </c>
      <c r="C1100" t="s">
        <v>31</v>
      </c>
      <c r="D1100" t="s">
        <v>17</v>
      </c>
      <c r="E1100" t="s">
        <v>20</v>
      </c>
      <c r="F1100" t="s">
        <v>21</v>
      </c>
      <c r="G1100">
        <v>122</v>
      </c>
      <c r="H1100">
        <v>268.95</v>
      </c>
      <c r="I1100">
        <v>54</v>
      </c>
      <c r="J1100" t="s">
        <v>15</v>
      </c>
      <c r="K1100">
        <v>32811.9</v>
      </c>
      <c r="L1100" t="str">
        <f t="shared" si="68"/>
        <v>Feb</v>
      </c>
      <c r="M1100">
        <f t="shared" si="69"/>
        <v>2025</v>
      </c>
      <c r="N1100">
        <f t="shared" si="70"/>
        <v>32811.9</v>
      </c>
      <c r="O1100" t="str">
        <f t="shared" si="71"/>
        <v>Moderate Delay</v>
      </c>
    </row>
    <row r="1101" spans="1:15" x14ac:dyDescent="0.25">
      <c r="A1101">
        <v>1100</v>
      </c>
      <c r="B1101" s="2">
        <v>45823</v>
      </c>
      <c r="C1101" t="s">
        <v>31</v>
      </c>
      <c r="D1101" t="s">
        <v>12</v>
      </c>
      <c r="E1101" t="s">
        <v>19</v>
      </c>
      <c r="F1101" t="s">
        <v>14</v>
      </c>
      <c r="G1101">
        <v>267</v>
      </c>
      <c r="H1101">
        <v>751.59</v>
      </c>
      <c r="I1101">
        <v>1</v>
      </c>
      <c r="J1101" t="s">
        <v>15</v>
      </c>
      <c r="K1101">
        <v>200674.53</v>
      </c>
      <c r="L1101" t="str">
        <f t="shared" si="68"/>
        <v>Jun</v>
      </c>
      <c r="M1101">
        <f t="shared" si="69"/>
        <v>2025</v>
      </c>
      <c r="N1101">
        <f t="shared" si="70"/>
        <v>200674.53</v>
      </c>
      <c r="O1101" t="str">
        <f t="shared" si="71"/>
        <v>Minor Delay</v>
      </c>
    </row>
    <row r="1102" spans="1:15" x14ac:dyDescent="0.25">
      <c r="A1102">
        <v>1101</v>
      </c>
      <c r="B1102" s="2">
        <v>45884</v>
      </c>
      <c r="C1102" t="s">
        <v>25</v>
      </c>
      <c r="D1102" t="s">
        <v>29</v>
      </c>
      <c r="E1102" t="s">
        <v>19</v>
      </c>
      <c r="F1102" t="s">
        <v>24</v>
      </c>
      <c r="G1102">
        <v>124</v>
      </c>
      <c r="H1102">
        <v>723.94</v>
      </c>
      <c r="I1102">
        <v>31</v>
      </c>
      <c r="J1102" t="s">
        <v>15</v>
      </c>
      <c r="K1102">
        <v>89768.56</v>
      </c>
      <c r="L1102" t="str">
        <f t="shared" si="68"/>
        <v>Aug</v>
      </c>
      <c r="M1102">
        <f t="shared" si="69"/>
        <v>2025</v>
      </c>
      <c r="N1102">
        <f t="shared" si="70"/>
        <v>89768.560000000012</v>
      </c>
      <c r="O1102" t="str">
        <f t="shared" si="71"/>
        <v>Moderate Delay</v>
      </c>
    </row>
    <row r="1103" spans="1:15" x14ac:dyDescent="0.25">
      <c r="A1103">
        <v>1102</v>
      </c>
      <c r="B1103" s="2">
        <v>45952</v>
      </c>
      <c r="C1103" t="s">
        <v>16</v>
      </c>
      <c r="D1103" t="s">
        <v>13</v>
      </c>
      <c r="E1103" t="s">
        <v>17</v>
      </c>
      <c r="F1103" t="s">
        <v>21</v>
      </c>
      <c r="G1103">
        <v>251</v>
      </c>
      <c r="H1103">
        <v>791.48</v>
      </c>
      <c r="I1103">
        <v>63</v>
      </c>
      <c r="J1103" t="s">
        <v>15</v>
      </c>
      <c r="K1103">
        <v>198661.48</v>
      </c>
      <c r="L1103" t="str">
        <f t="shared" si="68"/>
        <v>Oct</v>
      </c>
      <c r="M1103">
        <f t="shared" si="69"/>
        <v>2025</v>
      </c>
      <c r="N1103">
        <f t="shared" si="70"/>
        <v>198661.48</v>
      </c>
      <c r="O1103" t="str">
        <f t="shared" si="71"/>
        <v>Major Delay</v>
      </c>
    </row>
    <row r="1104" spans="1:15" x14ac:dyDescent="0.25">
      <c r="A1104">
        <v>1103</v>
      </c>
      <c r="B1104" s="2">
        <v>45686</v>
      </c>
      <c r="C1104" t="s">
        <v>16</v>
      </c>
      <c r="D1104" t="s">
        <v>17</v>
      </c>
      <c r="E1104" t="s">
        <v>29</v>
      </c>
      <c r="F1104" t="s">
        <v>24</v>
      </c>
      <c r="G1104">
        <v>299</v>
      </c>
      <c r="H1104">
        <v>410.67</v>
      </c>
      <c r="I1104">
        <v>31</v>
      </c>
      <c r="J1104" t="s">
        <v>15</v>
      </c>
      <c r="K1104">
        <v>122790.33</v>
      </c>
      <c r="L1104" t="str">
        <f t="shared" si="68"/>
        <v>Jan</v>
      </c>
      <c r="M1104">
        <f t="shared" si="69"/>
        <v>2025</v>
      </c>
      <c r="N1104">
        <f t="shared" si="70"/>
        <v>122790.33</v>
      </c>
      <c r="O1104" t="str">
        <f t="shared" si="71"/>
        <v>Moderate Delay</v>
      </c>
    </row>
    <row r="1105" spans="1:15" x14ac:dyDescent="0.25">
      <c r="A1105">
        <v>1104</v>
      </c>
      <c r="B1105" s="2">
        <v>45734</v>
      </c>
      <c r="C1105" t="s">
        <v>25</v>
      </c>
      <c r="D1105" t="s">
        <v>22</v>
      </c>
      <c r="E1105" t="s">
        <v>20</v>
      </c>
      <c r="F1105" t="s">
        <v>21</v>
      </c>
      <c r="G1105">
        <v>153</v>
      </c>
      <c r="H1105">
        <v>241.3</v>
      </c>
      <c r="I1105">
        <v>15</v>
      </c>
      <c r="J1105" t="s">
        <v>15</v>
      </c>
      <c r="K1105">
        <v>36918.9</v>
      </c>
      <c r="L1105" t="str">
        <f t="shared" si="68"/>
        <v>Mar</v>
      </c>
      <c r="M1105">
        <f t="shared" si="69"/>
        <v>2025</v>
      </c>
      <c r="N1105">
        <f t="shared" si="70"/>
        <v>36918.9</v>
      </c>
      <c r="O1105" t="str">
        <f t="shared" si="71"/>
        <v>Minor Delay</v>
      </c>
    </row>
    <row r="1106" spans="1:15" x14ac:dyDescent="0.25">
      <c r="A1106">
        <v>1105</v>
      </c>
      <c r="B1106" s="2">
        <v>45812</v>
      </c>
      <c r="C1106" t="s">
        <v>25</v>
      </c>
      <c r="D1106" t="s">
        <v>17</v>
      </c>
      <c r="E1106" t="s">
        <v>27</v>
      </c>
      <c r="F1106" t="s">
        <v>21</v>
      </c>
      <c r="G1106">
        <v>294</v>
      </c>
      <c r="H1106">
        <v>187.64</v>
      </c>
      <c r="I1106">
        <v>18</v>
      </c>
      <c r="J1106" t="s">
        <v>28</v>
      </c>
      <c r="K1106">
        <v>55166.16</v>
      </c>
      <c r="L1106" t="str">
        <f t="shared" si="68"/>
        <v>Jun</v>
      </c>
      <c r="M1106">
        <f t="shared" si="69"/>
        <v>2025</v>
      </c>
      <c r="N1106">
        <f t="shared" si="70"/>
        <v>55166.159999999996</v>
      </c>
      <c r="O1106" t="str">
        <f t="shared" si="71"/>
        <v>Minor Delay</v>
      </c>
    </row>
    <row r="1107" spans="1:15" x14ac:dyDescent="0.25">
      <c r="A1107">
        <v>1106</v>
      </c>
      <c r="B1107" s="2">
        <v>45990</v>
      </c>
      <c r="C1107" t="s">
        <v>18</v>
      </c>
      <c r="D1107" t="s">
        <v>12</v>
      </c>
      <c r="E1107" t="s">
        <v>27</v>
      </c>
      <c r="F1107" t="s">
        <v>24</v>
      </c>
      <c r="G1107">
        <v>211</v>
      </c>
      <c r="H1107">
        <v>543.36</v>
      </c>
      <c r="I1107">
        <v>0</v>
      </c>
      <c r="J1107" t="s">
        <v>15</v>
      </c>
      <c r="K1107">
        <v>114648.96000000001</v>
      </c>
      <c r="L1107" t="str">
        <f t="shared" si="68"/>
        <v>Nov</v>
      </c>
      <c r="M1107">
        <f t="shared" si="69"/>
        <v>2025</v>
      </c>
      <c r="N1107">
        <f t="shared" si="70"/>
        <v>114648.96000000001</v>
      </c>
      <c r="O1107" t="str">
        <f t="shared" si="71"/>
        <v>On Time</v>
      </c>
    </row>
    <row r="1108" spans="1:15" x14ac:dyDescent="0.25">
      <c r="A1108">
        <v>1107</v>
      </c>
      <c r="B1108" s="2">
        <v>45700</v>
      </c>
      <c r="C1108" t="s">
        <v>16</v>
      </c>
      <c r="D1108" t="s">
        <v>12</v>
      </c>
      <c r="E1108" t="s">
        <v>29</v>
      </c>
      <c r="F1108" t="s">
        <v>24</v>
      </c>
      <c r="G1108">
        <v>214</v>
      </c>
      <c r="H1108">
        <v>554.91</v>
      </c>
      <c r="I1108">
        <v>14</v>
      </c>
      <c r="J1108" t="s">
        <v>15</v>
      </c>
      <c r="K1108">
        <v>118750.74</v>
      </c>
      <c r="L1108" t="str">
        <f t="shared" si="68"/>
        <v>Feb</v>
      </c>
      <c r="M1108">
        <f t="shared" si="69"/>
        <v>2025</v>
      </c>
      <c r="N1108">
        <f t="shared" si="70"/>
        <v>118750.73999999999</v>
      </c>
      <c r="O1108" t="str">
        <f t="shared" si="71"/>
        <v>Minor Delay</v>
      </c>
    </row>
    <row r="1109" spans="1:15" x14ac:dyDescent="0.25">
      <c r="A1109">
        <v>1108</v>
      </c>
      <c r="B1109" s="2">
        <v>46013</v>
      </c>
      <c r="C1109" t="s">
        <v>25</v>
      </c>
      <c r="D1109" t="s">
        <v>20</v>
      </c>
      <c r="E1109" t="s">
        <v>23</v>
      </c>
      <c r="F1109" t="s">
        <v>14</v>
      </c>
      <c r="G1109">
        <v>253</v>
      </c>
      <c r="H1109">
        <v>498.73</v>
      </c>
      <c r="I1109">
        <v>19</v>
      </c>
      <c r="J1109" t="s">
        <v>15</v>
      </c>
      <c r="K1109">
        <v>126178.69</v>
      </c>
      <c r="L1109" t="str">
        <f t="shared" si="68"/>
        <v>Dec</v>
      </c>
      <c r="M1109">
        <f t="shared" si="69"/>
        <v>2025</v>
      </c>
      <c r="N1109">
        <f t="shared" si="70"/>
        <v>126178.69</v>
      </c>
      <c r="O1109" t="str">
        <f t="shared" si="71"/>
        <v>Minor Delay</v>
      </c>
    </row>
    <row r="1110" spans="1:15" x14ac:dyDescent="0.25">
      <c r="A1110">
        <v>1109</v>
      </c>
      <c r="B1110" s="2">
        <v>45950</v>
      </c>
      <c r="C1110" t="s">
        <v>11</v>
      </c>
      <c r="D1110" t="s">
        <v>17</v>
      </c>
      <c r="E1110" t="s">
        <v>23</v>
      </c>
      <c r="F1110" t="s">
        <v>14</v>
      </c>
      <c r="G1110">
        <v>133</v>
      </c>
      <c r="H1110">
        <v>106.99</v>
      </c>
      <c r="I1110">
        <v>57</v>
      </c>
      <c r="J1110" t="s">
        <v>15</v>
      </c>
      <c r="K1110">
        <v>14229.67</v>
      </c>
      <c r="L1110" t="str">
        <f t="shared" si="68"/>
        <v>Oct</v>
      </c>
      <c r="M1110">
        <f t="shared" si="69"/>
        <v>2025</v>
      </c>
      <c r="N1110">
        <f t="shared" si="70"/>
        <v>14229.67</v>
      </c>
      <c r="O1110" t="str">
        <f t="shared" si="71"/>
        <v>Moderate Delay</v>
      </c>
    </row>
    <row r="1111" spans="1:15" x14ac:dyDescent="0.25">
      <c r="A1111">
        <v>1110</v>
      </c>
      <c r="B1111" s="2">
        <v>45942</v>
      </c>
      <c r="C1111" t="s">
        <v>31</v>
      </c>
      <c r="D1111" t="s">
        <v>13</v>
      </c>
      <c r="E1111" t="s">
        <v>20</v>
      </c>
      <c r="F1111" t="s">
        <v>21</v>
      </c>
      <c r="G1111">
        <v>175</v>
      </c>
      <c r="H1111">
        <v>107.31</v>
      </c>
      <c r="I1111">
        <v>0</v>
      </c>
      <c r="J1111" t="s">
        <v>30</v>
      </c>
      <c r="K1111">
        <v>18779.25</v>
      </c>
      <c r="L1111" t="str">
        <f t="shared" si="68"/>
        <v>Oct</v>
      </c>
      <c r="M1111">
        <f t="shared" si="69"/>
        <v>2025</v>
      </c>
      <c r="N1111">
        <f t="shared" si="70"/>
        <v>18779.25</v>
      </c>
      <c r="O1111" t="str">
        <f t="shared" si="71"/>
        <v>On Time</v>
      </c>
    </row>
    <row r="1112" spans="1:15" x14ac:dyDescent="0.25">
      <c r="A1112">
        <v>1111</v>
      </c>
      <c r="B1112" s="2">
        <v>45764</v>
      </c>
      <c r="C1112" t="s">
        <v>25</v>
      </c>
      <c r="D1112" t="s">
        <v>27</v>
      </c>
      <c r="E1112" t="s">
        <v>12</v>
      </c>
      <c r="F1112" t="s">
        <v>14</v>
      </c>
      <c r="G1112">
        <v>96</v>
      </c>
      <c r="H1112">
        <v>697.88</v>
      </c>
      <c r="I1112">
        <v>19</v>
      </c>
      <c r="J1112" t="s">
        <v>15</v>
      </c>
      <c r="K1112">
        <v>66996.479999999996</v>
      </c>
      <c r="L1112" t="str">
        <f t="shared" si="68"/>
        <v>Apr</v>
      </c>
      <c r="M1112">
        <f t="shared" si="69"/>
        <v>2025</v>
      </c>
      <c r="N1112">
        <f t="shared" si="70"/>
        <v>66996.479999999996</v>
      </c>
      <c r="O1112" t="str">
        <f t="shared" si="71"/>
        <v>Minor Delay</v>
      </c>
    </row>
    <row r="1113" spans="1:15" x14ac:dyDescent="0.25">
      <c r="A1113">
        <v>1112</v>
      </c>
      <c r="B1113" s="2">
        <v>45678</v>
      </c>
      <c r="C1113" t="s">
        <v>11</v>
      </c>
      <c r="D1113" t="s">
        <v>22</v>
      </c>
      <c r="E1113" t="s">
        <v>12</v>
      </c>
      <c r="F1113" t="s">
        <v>21</v>
      </c>
      <c r="G1113">
        <v>102</v>
      </c>
      <c r="H1113">
        <v>542.95000000000005</v>
      </c>
      <c r="I1113">
        <v>17</v>
      </c>
      <c r="J1113" t="s">
        <v>15</v>
      </c>
      <c r="K1113">
        <v>55380.9</v>
      </c>
      <c r="L1113" t="str">
        <f t="shared" si="68"/>
        <v>Jan</v>
      </c>
      <c r="M1113">
        <f t="shared" si="69"/>
        <v>2025</v>
      </c>
      <c r="N1113">
        <f t="shared" si="70"/>
        <v>55380.9</v>
      </c>
      <c r="O1113" t="str">
        <f t="shared" si="71"/>
        <v>Minor Delay</v>
      </c>
    </row>
    <row r="1114" spans="1:15" x14ac:dyDescent="0.25">
      <c r="A1114">
        <v>1113</v>
      </c>
      <c r="B1114" s="2">
        <v>45701</v>
      </c>
      <c r="C1114" t="s">
        <v>16</v>
      </c>
      <c r="D1114" t="s">
        <v>23</v>
      </c>
      <c r="E1114" t="s">
        <v>13</v>
      </c>
      <c r="F1114" t="s">
        <v>21</v>
      </c>
      <c r="G1114">
        <v>126</v>
      </c>
      <c r="H1114">
        <v>329.03</v>
      </c>
      <c r="I1114">
        <v>0</v>
      </c>
      <c r="J1114" t="s">
        <v>30</v>
      </c>
      <c r="K1114">
        <v>41457.78</v>
      </c>
      <c r="L1114" t="str">
        <f t="shared" si="68"/>
        <v>Feb</v>
      </c>
      <c r="M1114">
        <f t="shared" si="69"/>
        <v>2025</v>
      </c>
      <c r="N1114">
        <f t="shared" si="70"/>
        <v>41457.78</v>
      </c>
      <c r="O1114" t="str">
        <f t="shared" si="71"/>
        <v>On Time</v>
      </c>
    </row>
    <row r="1115" spans="1:15" x14ac:dyDescent="0.25">
      <c r="A1115">
        <v>1114</v>
      </c>
      <c r="B1115" s="2">
        <v>45811</v>
      </c>
      <c r="C1115" t="s">
        <v>16</v>
      </c>
      <c r="D1115" t="s">
        <v>13</v>
      </c>
      <c r="E1115" t="s">
        <v>23</v>
      </c>
      <c r="F1115" t="s">
        <v>21</v>
      </c>
      <c r="G1115">
        <v>281</v>
      </c>
      <c r="H1115">
        <v>639.27</v>
      </c>
      <c r="I1115">
        <v>12</v>
      </c>
      <c r="J1115" t="s">
        <v>15</v>
      </c>
      <c r="K1115">
        <v>179634.87</v>
      </c>
      <c r="L1115" t="str">
        <f t="shared" si="68"/>
        <v>Jun</v>
      </c>
      <c r="M1115">
        <f t="shared" si="69"/>
        <v>2025</v>
      </c>
      <c r="N1115">
        <f t="shared" si="70"/>
        <v>179634.87</v>
      </c>
      <c r="O1115" t="str">
        <f t="shared" si="71"/>
        <v>Minor Delay</v>
      </c>
    </row>
    <row r="1116" spans="1:15" x14ac:dyDescent="0.25">
      <c r="A1116">
        <v>1115</v>
      </c>
      <c r="B1116" s="2">
        <v>45953</v>
      </c>
      <c r="C1116" t="s">
        <v>18</v>
      </c>
      <c r="D1116" t="s">
        <v>20</v>
      </c>
      <c r="E1116" t="s">
        <v>29</v>
      </c>
      <c r="F1116" t="s">
        <v>21</v>
      </c>
      <c r="G1116">
        <v>130</v>
      </c>
      <c r="H1116">
        <v>446.77</v>
      </c>
      <c r="I1116">
        <v>43</v>
      </c>
      <c r="J1116" t="s">
        <v>15</v>
      </c>
      <c r="K1116">
        <v>58080.1</v>
      </c>
      <c r="L1116" t="str">
        <f t="shared" si="68"/>
        <v>Oct</v>
      </c>
      <c r="M1116">
        <f t="shared" si="69"/>
        <v>2025</v>
      </c>
      <c r="N1116">
        <f t="shared" si="70"/>
        <v>58080.1</v>
      </c>
      <c r="O1116" t="str">
        <f t="shared" si="71"/>
        <v>Moderate Delay</v>
      </c>
    </row>
    <row r="1117" spans="1:15" x14ac:dyDescent="0.25">
      <c r="A1117">
        <v>1116</v>
      </c>
      <c r="B1117" s="2">
        <v>45997</v>
      </c>
      <c r="C1117" t="s">
        <v>16</v>
      </c>
      <c r="D1117" t="s">
        <v>19</v>
      </c>
      <c r="E1117" t="s">
        <v>12</v>
      </c>
      <c r="F1117" t="s">
        <v>14</v>
      </c>
      <c r="G1117">
        <v>59</v>
      </c>
      <c r="H1117">
        <v>199.17</v>
      </c>
      <c r="I1117">
        <v>17</v>
      </c>
      <c r="J1117" t="s">
        <v>15</v>
      </c>
      <c r="K1117">
        <v>11751.03</v>
      </c>
      <c r="L1117" t="str">
        <f t="shared" si="68"/>
        <v>Dec</v>
      </c>
      <c r="M1117">
        <f t="shared" si="69"/>
        <v>2025</v>
      </c>
      <c r="N1117">
        <f t="shared" si="70"/>
        <v>11751.029999999999</v>
      </c>
      <c r="O1117" t="str">
        <f t="shared" si="71"/>
        <v>Minor Delay</v>
      </c>
    </row>
    <row r="1118" spans="1:15" x14ac:dyDescent="0.25">
      <c r="A1118">
        <v>1117</v>
      </c>
      <c r="B1118" s="2">
        <v>45966</v>
      </c>
      <c r="C1118" t="s">
        <v>31</v>
      </c>
      <c r="D1118" t="s">
        <v>19</v>
      </c>
      <c r="E1118" t="s">
        <v>29</v>
      </c>
      <c r="F1118" t="s">
        <v>14</v>
      </c>
      <c r="G1118">
        <v>201</v>
      </c>
      <c r="H1118">
        <v>325.70999999999998</v>
      </c>
      <c r="I1118">
        <v>44</v>
      </c>
      <c r="J1118" t="s">
        <v>15</v>
      </c>
      <c r="K1118">
        <v>65467.71</v>
      </c>
      <c r="L1118" t="str">
        <f t="shared" si="68"/>
        <v>Nov</v>
      </c>
      <c r="M1118">
        <f t="shared" si="69"/>
        <v>2025</v>
      </c>
      <c r="N1118">
        <f t="shared" si="70"/>
        <v>65467.71</v>
      </c>
      <c r="O1118" t="str">
        <f t="shared" si="71"/>
        <v>Moderate Delay</v>
      </c>
    </row>
    <row r="1119" spans="1:15" x14ac:dyDescent="0.25">
      <c r="A1119">
        <v>1118</v>
      </c>
      <c r="B1119" s="2">
        <v>45853</v>
      </c>
      <c r="C1119" t="s">
        <v>25</v>
      </c>
      <c r="D1119" t="s">
        <v>23</v>
      </c>
      <c r="E1119" t="s">
        <v>22</v>
      </c>
      <c r="F1119" t="s">
        <v>14</v>
      </c>
      <c r="G1119">
        <v>152</v>
      </c>
      <c r="H1119">
        <v>397.49</v>
      </c>
      <c r="I1119">
        <v>45</v>
      </c>
      <c r="J1119" t="s">
        <v>30</v>
      </c>
      <c r="K1119">
        <v>60418.48</v>
      </c>
      <c r="L1119" t="str">
        <f t="shared" si="68"/>
        <v>Jul</v>
      </c>
      <c r="M1119">
        <f t="shared" si="69"/>
        <v>2025</v>
      </c>
      <c r="N1119">
        <f t="shared" si="70"/>
        <v>60418.48</v>
      </c>
      <c r="O1119" t="str">
        <f t="shared" si="71"/>
        <v>Moderate Delay</v>
      </c>
    </row>
    <row r="1120" spans="1:15" x14ac:dyDescent="0.25">
      <c r="A1120">
        <v>1119</v>
      </c>
      <c r="B1120" s="2">
        <v>45932</v>
      </c>
      <c r="C1120" t="s">
        <v>11</v>
      </c>
      <c r="D1120" t="s">
        <v>17</v>
      </c>
      <c r="E1120" t="s">
        <v>29</v>
      </c>
      <c r="F1120" t="s">
        <v>14</v>
      </c>
      <c r="G1120">
        <v>211</v>
      </c>
      <c r="H1120">
        <v>602.17999999999995</v>
      </c>
      <c r="I1120">
        <v>58</v>
      </c>
      <c r="J1120" t="s">
        <v>15</v>
      </c>
      <c r="K1120">
        <v>127059.98</v>
      </c>
      <c r="L1120" t="str">
        <f t="shared" si="68"/>
        <v>Oct</v>
      </c>
      <c r="M1120">
        <f t="shared" si="69"/>
        <v>2025</v>
      </c>
      <c r="N1120">
        <f t="shared" si="70"/>
        <v>127059.98</v>
      </c>
      <c r="O1120" t="str">
        <f t="shared" si="71"/>
        <v>Moderate Delay</v>
      </c>
    </row>
    <row r="1121" spans="1:15" x14ac:dyDescent="0.25">
      <c r="A1121">
        <v>1120</v>
      </c>
      <c r="B1121" s="2">
        <v>45872</v>
      </c>
      <c r="C1121" t="s">
        <v>11</v>
      </c>
      <c r="D1121" t="s">
        <v>22</v>
      </c>
      <c r="E1121" t="s">
        <v>29</v>
      </c>
      <c r="F1121" t="s">
        <v>24</v>
      </c>
      <c r="G1121">
        <v>251</v>
      </c>
      <c r="H1121">
        <v>380.88</v>
      </c>
      <c r="I1121">
        <v>18</v>
      </c>
      <c r="J1121" t="s">
        <v>15</v>
      </c>
      <c r="K1121">
        <v>95600.88</v>
      </c>
      <c r="L1121" t="str">
        <f t="shared" si="68"/>
        <v>Aug</v>
      </c>
      <c r="M1121">
        <f t="shared" si="69"/>
        <v>2025</v>
      </c>
      <c r="N1121">
        <f t="shared" si="70"/>
        <v>95600.88</v>
      </c>
      <c r="O1121" t="str">
        <f t="shared" si="71"/>
        <v>Minor Delay</v>
      </c>
    </row>
    <row r="1122" spans="1:15" x14ac:dyDescent="0.25">
      <c r="A1122">
        <v>1121</v>
      </c>
      <c r="B1122" s="2">
        <v>45796</v>
      </c>
      <c r="C1122" t="s">
        <v>16</v>
      </c>
      <c r="D1122" t="s">
        <v>19</v>
      </c>
      <c r="E1122" t="s">
        <v>12</v>
      </c>
      <c r="F1122" t="s">
        <v>21</v>
      </c>
      <c r="G1122">
        <v>78</v>
      </c>
      <c r="H1122">
        <v>566.14</v>
      </c>
      <c r="I1122">
        <v>1</v>
      </c>
      <c r="J1122" t="s">
        <v>15</v>
      </c>
      <c r="K1122">
        <v>44158.92</v>
      </c>
      <c r="L1122" t="str">
        <f t="shared" si="68"/>
        <v>May</v>
      </c>
      <c r="M1122">
        <f t="shared" si="69"/>
        <v>2025</v>
      </c>
      <c r="N1122">
        <f t="shared" si="70"/>
        <v>44158.92</v>
      </c>
      <c r="O1122" t="str">
        <f t="shared" si="71"/>
        <v>Minor Delay</v>
      </c>
    </row>
    <row r="1123" spans="1:15" x14ac:dyDescent="0.25">
      <c r="A1123">
        <v>1122</v>
      </c>
      <c r="B1123" s="2">
        <v>45732</v>
      </c>
      <c r="C1123" t="s">
        <v>11</v>
      </c>
      <c r="D1123" t="s">
        <v>22</v>
      </c>
      <c r="E1123" t="s">
        <v>23</v>
      </c>
      <c r="F1123" t="s">
        <v>24</v>
      </c>
      <c r="G1123">
        <v>52</v>
      </c>
      <c r="H1123">
        <v>132.47999999999999</v>
      </c>
      <c r="I1123">
        <v>32</v>
      </c>
      <c r="J1123" t="s">
        <v>30</v>
      </c>
      <c r="K1123">
        <v>6888.96</v>
      </c>
      <c r="L1123" t="str">
        <f t="shared" si="68"/>
        <v>Mar</v>
      </c>
      <c r="M1123">
        <f t="shared" si="69"/>
        <v>2025</v>
      </c>
      <c r="N1123">
        <f t="shared" si="70"/>
        <v>6888.9599999999991</v>
      </c>
      <c r="O1123" t="str">
        <f t="shared" si="71"/>
        <v>Moderate Delay</v>
      </c>
    </row>
    <row r="1124" spans="1:15" x14ac:dyDescent="0.25">
      <c r="A1124">
        <v>1123</v>
      </c>
      <c r="B1124" s="2">
        <v>45711</v>
      </c>
      <c r="C1124" t="s">
        <v>16</v>
      </c>
      <c r="D1124" t="s">
        <v>19</v>
      </c>
      <c r="E1124" t="s">
        <v>20</v>
      </c>
      <c r="F1124" t="s">
        <v>14</v>
      </c>
      <c r="G1124">
        <v>184</v>
      </c>
      <c r="H1124">
        <v>598.96</v>
      </c>
      <c r="I1124">
        <v>3</v>
      </c>
      <c r="J1124" t="s">
        <v>15</v>
      </c>
      <c r="K1124">
        <v>110208.64</v>
      </c>
      <c r="L1124" t="str">
        <f t="shared" si="68"/>
        <v>Feb</v>
      </c>
      <c r="M1124">
        <f t="shared" si="69"/>
        <v>2025</v>
      </c>
      <c r="N1124">
        <f t="shared" si="70"/>
        <v>110208.64000000001</v>
      </c>
      <c r="O1124" t="str">
        <f t="shared" si="71"/>
        <v>Minor Delay</v>
      </c>
    </row>
    <row r="1125" spans="1:15" x14ac:dyDescent="0.25">
      <c r="A1125">
        <v>1124</v>
      </c>
      <c r="B1125" s="2">
        <v>46016</v>
      </c>
      <c r="C1125" t="s">
        <v>31</v>
      </c>
      <c r="D1125" t="s">
        <v>27</v>
      </c>
      <c r="E1125" t="s">
        <v>22</v>
      </c>
      <c r="F1125" t="s">
        <v>24</v>
      </c>
      <c r="G1125">
        <v>191</v>
      </c>
      <c r="H1125">
        <v>260.58</v>
      </c>
      <c r="I1125">
        <v>63</v>
      </c>
      <c r="J1125" t="s">
        <v>15</v>
      </c>
      <c r="K1125">
        <v>49770.78</v>
      </c>
      <c r="L1125" t="str">
        <f t="shared" si="68"/>
        <v>Dec</v>
      </c>
      <c r="M1125">
        <f t="shared" si="69"/>
        <v>2025</v>
      </c>
      <c r="N1125">
        <f t="shared" si="70"/>
        <v>49770.78</v>
      </c>
      <c r="O1125" t="str">
        <f t="shared" si="71"/>
        <v>Major Delay</v>
      </c>
    </row>
    <row r="1126" spans="1:15" x14ac:dyDescent="0.25">
      <c r="A1126">
        <v>1125</v>
      </c>
      <c r="B1126" s="2">
        <v>45820</v>
      </c>
      <c r="C1126" t="s">
        <v>18</v>
      </c>
      <c r="D1126" t="s">
        <v>13</v>
      </c>
      <c r="E1126" t="s">
        <v>19</v>
      </c>
      <c r="F1126" t="s">
        <v>14</v>
      </c>
      <c r="G1126">
        <v>138</v>
      </c>
      <c r="H1126">
        <v>656.5</v>
      </c>
      <c r="I1126">
        <v>0</v>
      </c>
      <c r="J1126" t="s">
        <v>15</v>
      </c>
      <c r="K1126">
        <v>90597</v>
      </c>
      <c r="L1126" t="str">
        <f t="shared" si="68"/>
        <v>Jun</v>
      </c>
      <c r="M1126">
        <f t="shared" si="69"/>
        <v>2025</v>
      </c>
      <c r="N1126">
        <f t="shared" si="70"/>
        <v>90597</v>
      </c>
      <c r="O1126" t="str">
        <f t="shared" si="71"/>
        <v>On Time</v>
      </c>
    </row>
    <row r="1127" spans="1:15" x14ac:dyDescent="0.25">
      <c r="A1127">
        <v>1126</v>
      </c>
      <c r="B1127" s="2">
        <v>45961</v>
      </c>
      <c r="C1127" t="s">
        <v>11</v>
      </c>
      <c r="D1127" t="s">
        <v>17</v>
      </c>
      <c r="E1127" t="s">
        <v>27</v>
      </c>
      <c r="F1127" t="s">
        <v>24</v>
      </c>
      <c r="G1127">
        <v>52</v>
      </c>
      <c r="H1127">
        <v>568.13</v>
      </c>
      <c r="I1127">
        <v>0</v>
      </c>
      <c r="J1127" t="s">
        <v>15</v>
      </c>
      <c r="K1127">
        <v>29542.76</v>
      </c>
      <c r="L1127" t="str">
        <f t="shared" si="68"/>
        <v>Oct</v>
      </c>
      <c r="M1127">
        <f t="shared" si="69"/>
        <v>2025</v>
      </c>
      <c r="N1127">
        <f t="shared" si="70"/>
        <v>29542.76</v>
      </c>
      <c r="O1127" t="str">
        <f t="shared" si="71"/>
        <v>On Time</v>
      </c>
    </row>
    <row r="1128" spans="1:15" x14ac:dyDescent="0.25">
      <c r="A1128">
        <v>1127</v>
      </c>
      <c r="B1128" s="2">
        <v>45851</v>
      </c>
      <c r="C1128" t="s">
        <v>31</v>
      </c>
      <c r="D1128" t="s">
        <v>29</v>
      </c>
      <c r="E1128" t="s">
        <v>19</v>
      </c>
      <c r="F1128" t="s">
        <v>21</v>
      </c>
      <c r="G1128">
        <v>118</v>
      </c>
      <c r="H1128">
        <v>99.12</v>
      </c>
      <c r="I1128">
        <v>9</v>
      </c>
      <c r="J1128" t="s">
        <v>15</v>
      </c>
      <c r="K1128">
        <v>11696.16</v>
      </c>
      <c r="L1128" t="str">
        <f t="shared" si="68"/>
        <v>Jul</v>
      </c>
      <c r="M1128">
        <f t="shared" si="69"/>
        <v>2025</v>
      </c>
      <c r="N1128">
        <f t="shared" si="70"/>
        <v>11696.16</v>
      </c>
      <c r="O1128" t="str">
        <f t="shared" si="71"/>
        <v>Minor Delay</v>
      </c>
    </row>
    <row r="1129" spans="1:15" x14ac:dyDescent="0.25">
      <c r="A1129">
        <v>1128</v>
      </c>
      <c r="B1129" s="2">
        <v>46019</v>
      </c>
      <c r="C1129" t="s">
        <v>18</v>
      </c>
      <c r="D1129" t="s">
        <v>19</v>
      </c>
      <c r="E1129" t="s">
        <v>20</v>
      </c>
      <c r="F1129" t="s">
        <v>14</v>
      </c>
      <c r="G1129">
        <v>162</v>
      </c>
      <c r="H1129">
        <v>789.82</v>
      </c>
      <c r="I1129">
        <v>0</v>
      </c>
      <c r="J1129" t="s">
        <v>15</v>
      </c>
      <c r="K1129">
        <v>127950.84</v>
      </c>
      <c r="L1129" t="str">
        <f t="shared" si="68"/>
        <v>Dec</v>
      </c>
      <c r="M1129">
        <f t="shared" si="69"/>
        <v>2025</v>
      </c>
      <c r="N1129">
        <f t="shared" si="70"/>
        <v>127950.84000000001</v>
      </c>
      <c r="O1129" t="str">
        <f t="shared" si="71"/>
        <v>On Time</v>
      </c>
    </row>
    <row r="1130" spans="1:15" x14ac:dyDescent="0.25">
      <c r="A1130">
        <v>1129</v>
      </c>
      <c r="B1130" s="2">
        <v>45799</v>
      </c>
      <c r="C1130" t="s">
        <v>18</v>
      </c>
      <c r="D1130" t="s">
        <v>27</v>
      </c>
      <c r="E1130" t="s">
        <v>23</v>
      </c>
      <c r="F1130" t="s">
        <v>21</v>
      </c>
      <c r="G1130">
        <v>291</v>
      </c>
      <c r="H1130">
        <v>591.66999999999996</v>
      </c>
      <c r="I1130">
        <v>35</v>
      </c>
      <c r="J1130" t="s">
        <v>15</v>
      </c>
      <c r="K1130">
        <v>172175.97</v>
      </c>
      <c r="L1130" t="str">
        <f t="shared" si="68"/>
        <v>May</v>
      </c>
      <c r="M1130">
        <f t="shared" si="69"/>
        <v>2025</v>
      </c>
      <c r="N1130">
        <f t="shared" si="70"/>
        <v>172175.97</v>
      </c>
      <c r="O1130" t="str">
        <f t="shared" si="71"/>
        <v>Moderate Delay</v>
      </c>
    </row>
    <row r="1131" spans="1:15" x14ac:dyDescent="0.25">
      <c r="A1131">
        <v>1130</v>
      </c>
      <c r="B1131" s="2">
        <v>45866</v>
      </c>
      <c r="C1131" t="s">
        <v>26</v>
      </c>
      <c r="D1131" t="s">
        <v>12</v>
      </c>
      <c r="E1131" t="s">
        <v>22</v>
      </c>
      <c r="F1131" t="s">
        <v>14</v>
      </c>
      <c r="G1131">
        <v>212</v>
      </c>
      <c r="H1131">
        <v>118.81</v>
      </c>
      <c r="I1131">
        <v>11</v>
      </c>
      <c r="J1131" t="s">
        <v>15</v>
      </c>
      <c r="K1131">
        <v>25187.72</v>
      </c>
      <c r="L1131" t="str">
        <f t="shared" si="68"/>
        <v>Jul</v>
      </c>
      <c r="M1131">
        <f t="shared" si="69"/>
        <v>2025</v>
      </c>
      <c r="N1131">
        <f t="shared" si="70"/>
        <v>25187.72</v>
      </c>
      <c r="O1131" t="str">
        <f t="shared" si="71"/>
        <v>Minor Delay</v>
      </c>
    </row>
    <row r="1132" spans="1:15" x14ac:dyDescent="0.25">
      <c r="A1132">
        <v>1131</v>
      </c>
      <c r="B1132" s="2">
        <v>45952</v>
      </c>
      <c r="C1132" t="s">
        <v>16</v>
      </c>
      <c r="D1132" t="s">
        <v>12</v>
      </c>
      <c r="E1132" t="s">
        <v>19</v>
      </c>
      <c r="F1132" t="s">
        <v>14</v>
      </c>
      <c r="G1132">
        <v>240</v>
      </c>
      <c r="H1132">
        <v>271.52999999999997</v>
      </c>
      <c r="I1132">
        <v>61</v>
      </c>
      <c r="J1132" t="s">
        <v>15</v>
      </c>
      <c r="K1132">
        <v>65167.199999999997</v>
      </c>
      <c r="L1132" t="str">
        <f t="shared" si="68"/>
        <v>Oct</v>
      </c>
      <c r="M1132">
        <f t="shared" si="69"/>
        <v>2025</v>
      </c>
      <c r="N1132">
        <f t="shared" si="70"/>
        <v>65167.199999999997</v>
      </c>
      <c r="O1132" t="str">
        <f t="shared" si="71"/>
        <v>Major Delay</v>
      </c>
    </row>
    <row r="1133" spans="1:15" x14ac:dyDescent="0.25">
      <c r="A1133">
        <v>1132</v>
      </c>
      <c r="B1133" s="2">
        <v>45903</v>
      </c>
      <c r="C1133" t="s">
        <v>18</v>
      </c>
      <c r="D1133" t="s">
        <v>17</v>
      </c>
      <c r="E1133" t="s">
        <v>29</v>
      </c>
      <c r="F1133" t="s">
        <v>21</v>
      </c>
      <c r="G1133">
        <v>225</v>
      </c>
      <c r="H1133">
        <v>798.49</v>
      </c>
      <c r="I1133">
        <v>0</v>
      </c>
      <c r="J1133" t="s">
        <v>30</v>
      </c>
      <c r="K1133">
        <v>179660.25</v>
      </c>
      <c r="L1133" t="str">
        <f t="shared" si="68"/>
        <v>Sep</v>
      </c>
      <c r="M1133">
        <f t="shared" si="69"/>
        <v>2025</v>
      </c>
      <c r="N1133">
        <f t="shared" si="70"/>
        <v>179660.25</v>
      </c>
      <c r="O1133" t="str">
        <f t="shared" si="71"/>
        <v>On Time</v>
      </c>
    </row>
    <row r="1134" spans="1:15" x14ac:dyDescent="0.25">
      <c r="A1134">
        <v>1133</v>
      </c>
      <c r="B1134" s="2">
        <v>45665</v>
      </c>
      <c r="C1134" t="s">
        <v>31</v>
      </c>
      <c r="D1134" t="s">
        <v>12</v>
      </c>
      <c r="E1134" t="s">
        <v>20</v>
      </c>
      <c r="F1134" t="s">
        <v>14</v>
      </c>
      <c r="G1134">
        <v>283</v>
      </c>
      <c r="H1134">
        <v>675.23</v>
      </c>
      <c r="I1134">
        <v>46</v>
      </c>
      <c r="J1134" t="s">
        <v>15</v>
      </c>
      <c r="K1134">
        <v>191090.09</v>
      </c>
      <c r="L1134" t="str">
        <f t="shared" si="68"/>
        <v>Jan</v>
      </c>
      <c r="M1134">
        <f t="shared" si="69"/>
        <v>2025</v>
      </c>
      <c r="N1134">
        <f t="shared" si="70"/>
        <v>191090.09</v>
      </c>
      <c r="O1134" t="str">
        <f t="shared" si="71"/>
        <v>Moderate Delay</v>
      </c>
    </row>
    <row r="1135" spans="1:15" x14ac:dyDescent="0.25">
      <c r="A1135">
        <v>1134</v>
      </c>
      <c r="B1135" s="2">
        <v>45996</v>
      </c>
      <c r="C1135" t="s">
        <v>31</v>
      </c>
      <c r="D1135" t="s">
        <v>22</v>
      </c>
      <c r="E1135" t="s">
        <v>19</v>
      </c>
      <c r="F1135" t="s">
        <v>21</v>
      </c>
      <c r="G1135">
        <v>205</v>
      </c>
      <c r="H1135">
        <v>91.34</v>
      </c>
      <c r="I1135">
        <v>21</v>
      </c>
      <c r="J1135" t="s">
        <v>15</v>
      </c>
      <c r="K1135">
        <v>18724.7</v>
      </c>
      <c r="L1135" t="str">
        <f t="shared" si="68"/>
        <v>Dec</v>
      </c>
      <c r="M1135">
        <f t="shared" si="69"/>
        <v>2025</v>
      </c>
      <c r="N1135">
        <f t="shared" si="70"/>
        <v>18724.7</v>
      </c>
      <c r="O1135" t="str">
        <f t="shared" si="71"/>
        <v>Minor Delay</v>
      </c>
    </row>
    <row r="1136" spans="1:15" x14ac:dyDescent="0.25">
      <c r="A1136">
        <v>1135</v>
      </c>
      <c r="B1136" s="2">
        <v>45747</v>
      </c>
      <c r="C1136" t="s">
        <v>16</v>
      </c>
      <c r="D1136" t="s">
        <v>29</v>
      </c>
      <c r="E1136" t="s">
        <v>23</v>
      </c>
      <c r="F1136" t="s">
        <v>24</v>
      </c>
      <c r="G1136">
        <v>264</v>
      </c>
      <c r="H1136">
        <v>158.66</v>
      </c>
      <c r="I1136">
        <v>15</v>
      </c>
      <c r="J1136" t="s">
        <v>15</v>
      </c>
      <c r="K1136">
        <v>41886.239999999998</v>
      </c>
      <c r="L1136" t="str">
        <f t="shared" si="68"/>
        <v>Mar</v>
      </c>
      <c r="M1136">
        <f t="shared" si="69"/>
        <v>2025</v>
      </c>
      <c r="N1136">
        <f t="shared" si="70"/>
        <v>41886.239999999998</v>
      </c>
      <c r="O1136" t="str">
        <f t="shared" si="71"/>
        <v>Minor Delay</v>
      </c>
    </row>
    <row r="1137" spans="1:15" x14ac:dyDescent="0.25">
      <c r="A1137">
        <v>1136</v>
      </c>
      <c r="B1137" s="2">
        <v>45715</v>
      </c>
      <c r="C1137" t="s">
        <v>26</v>
      </c>
      <c r="D1137" t="s">
        <v>29</v>
      </c>
      <c r="E1137" t="s">
        <v>17</v>
      </c>
      <c r="F1137" t="s">
        <v>21</v>
      </c>
      <c r="G1137">
        <v>113</v>
      </c>
      <c r="H1137">
        <v>675.48</v>
      </c>
      <c r="I1137">
        <v>26</v>
      </c>
      <c r="J1137" t="s">
        <v>30</v>
      </c>
      <c r="K1137">
        <v>76329.240000000005</v>
      </c>
      <c r="L1137" t="str">
        <f t="shared" si="68"/>
        <v>Feb</v>
      </c>
      <c r="M1137">
        <f t="shared" si="69"/>
        <v>2025</v>
      </c>
      <c r="N1137">
        <f t="shared" si="70"/>
        <v>76329.240000000005</v>
      </c>
      <c r="O1137" t="str">
        <f t="shared" si="71"/>
        <v>Minor Delay</v>
      </c>
    </row>
    <row r="1138" spans="1:15" x14ac:dyDescent="0.25">
      <c r="A1138">
        <v>1137</v>
      </c>
      <c r="B1138" s="2">
        <v>45811</v>
      </c>
      <c r="C1138" t="s">
        <v>18</v>
      </c>
      <c r="D1138" t="s">
        <v>12</v>
      </c>
      <c r="E1138" t="s">
        <v>22</v>
      </c>
      <c r="F1138" t="s">
        <v>24</v>
      </c>
      <c r="G1138">
        <v>117</v>
      </c>
      <c r="H1138">
        <v>217.67</v>
      </c>
      <c r="I1138">
        <v>17</v>
      </c>
      <c r="J1138" t="s">
        <v>15</v>
      </c>
      <c r="K1138">
        <v>25467.39</v>
      </c>
      <c r="L1138" t="str">
        <f t="shared" si="68"/>
        <v>Jun</v>
      </c>
      <c r="M1138">
        <f t="shared" si="69"/>
        <v>2025</v>
      </c>
      <c r="N1138">
        <f t="shared" si="70"/>
        <v>25467.39</v>
      </c>
      <c r="O1138" t="str">
        <f t="shared" si="71"/>
        <v>Minor Delay</v>
      </c>
    </row>
    <row r="1139" spans="1:15" x14ac:dyDescent="0.25">
      <c r="A1139">
        <v>1138</v>
      </c>
      <c r="B1139" s="2">
        <v>45895</v>
      </c>
      <c r="C1139" t="s">
        <v>31</v>
      </c>
      <c r="D1139" t="s">
        <v>23</v>
      </c>
      <c r="E1139" t="s">
        <v>13</v>
      </c>
      <c r="F1139" t="s">
        <v>24</v>
      </c>
      <c r="G1139">
        <v>64</v>
      </c>
      <c r="H1139">
        <v>323.25</v>
      </c>
      <c r="I1139">
        <v>0</v>
      </c>
      <c r="J1139" t="s">
        <v>15</v>
      </c>
      <c r="K1139">
        <v>20688</v>
      </c>
      <c r="L1139" t="str">
        <f t="shared" si="68"/>
        <v>Aug</v>
      </c>
      <c r="M1139">
        <f t="shared" si="69"/>
        <v>2025</v>
      </c>
      <c r="N1139">
        <f t="shared" si="70"/>
        <v>20688</v>
      </c>
      <c r="O1139" t="str">
        <f t="shared" si="71"/>
        <v>On Time</v>
      </c>
    </row>
    <row r="1140" spans="1:15" x14ac:dyDescent="0.25">
      <c r="A1140">
        <v>1139</v>
      </c>
      <c r="B1140" s="2">
        <v>45839</v>
      </c>
      <c r="C1140" t="s">
        <v>16</v>
      </c>
      <c r="D1140" t="s">
        <v>22</v>
      </c>
      <c r="E1140" t="s">
        <v>23</v>
      </c>
      <c r="F1140" t="s">
        <v>14</v>
      </c>
      <c r="G1140">
        <v>139</v>
      </c>
      <c r="H1140">
        <v>718.75</v>
      </c>
      <c r="I1140">
        <v>29</v>
      </c>
      <c r="J1140" t="s">
        <v>15</v>
      </c>
      <c r="K1140">
        <v>99906.25</v>
      </c>
      <c r="L1140" t="str">
        <f t="shared" si="68"/>
        <v>Jul</v>
      </c>
      <c r="M1140">
        <f t="shared" si="69"/>
        <v>2025</v>
      </c>
      <c r="N1140">
        <f t="shared" si="70"/>
        <v>99906.25</v>
      </c>
      <c r="O1140" t="str">
        <f t="shared" si="71"/>
        <v>Minor Delay</v>
      </c>
    </row>
    <row r="1141" spans="1:15" x14ac:dyDescent="0.25">
      <c r="A1141">
        <v>1140</v>
      </c>
      <c r="B1141" s="2">
        <v>45701</v>
      </c>
      <c r="C1141" t="s">
        <v>31</v>
      </c>
      <c r="D1141" t="s">
        <v>20</v>
      </c>
      <c r="E1141" t="s">
        <v>19</v>
      </c>
      <c r="F1141" t="s">
        <v>21</v>
      </c>
      <c r="G1141">
        <v>280</v>
      </c>
      <c r="H1141">
        <v>173.75</v>
      </c>
      <c r="I1141">
        <v>41</v>
      </c>
      <c r="J1141" t="s">
        <v>15</v>
      </c>
      <c r="K1141">
        <v>48650</v>
      </c>
      <c r="L1141" t="str">
        <f t="shared" si="68"/>
        <v>Feb</v>
      </c>
      <c r="M1141">
        <f t="shared" si="69"/>
        <v>2025</v>
      </c>
      <c r="N1141">
        <f t="shared" si="70"/>
        <v>48650</v>
      </c>
      <c r="O1141" t="str">
        <f t="shared" si="71"/>
        <v>Moderate Delay</v>
      </c>
    </row>
    <row r="1142" spans="1:15" x14ac:dyDescent="0.25">
      <c r="A1142">
        <v>1141</v>
      </c>
      <c r="B1142" s="2">
        <v>45737</v>
      </c>
      <c r="C1142" t="s">
        <v>25</v>
      </c>
      <c r="D1142" t="s">
        <v>20</v>
      </c>
      <c r="E1142" t="s">
        <v>13</v>
      </c>
      <c r="F1142" t="s">
        <v>24</v>
      </c>
      <c r="G1142">
        <v>107</v>
      </c>
      <c r="H1142">
        <v>408.32</v>
      </c>
      <c r="I1142">
        <v>3</v>
      </c>
      <c r="J1142" t="s">
        <v>30</v>
      </c>
      <c r="K1142">
        <v>43690.239999999998</v>
      </c>
      <c r="L1142" t="str">
        <f t="shared" si="68"/>
        <v>Mar</v>
      </c>
      <c r="M1142">
        <f t="shared" si="69"/>
        <v>2025</v>
      </c>
      <c r="N1142">
        <f t="shared" si="70"/>
        <v>43690.239999999998</v>
      </c>
      <c r="O1142" t="str">
        <f t="shared" si="71"/>
        <v>Minor Delay</v>
      </c>
    </row>
    <row r="1143" spans="1:15" x14ac:dyDescent="0.25">
      <c r="A1143">
        <v>1142</v>
      </c>
      <c r="B1143" s="2">
        <v>45713</v>
      </c>
      <c r="C1143" t="s">
        <v>18</v>
      </c>
      <c r="D1143" t="s">
        <v>27</v>
      </c>
      <c r="E1143" t="s">
        <v>23</v>
      </c>
      <c r="F1143" t="s">
        <v>21</v>
      </c>
      <c r="G1143">
        <v>264</v>
      </c>
      <c r="H1143">
        <v>385.12</v>
      </c>
      <c r="I1143">
        <v>36</v>
      </c>
      <c r="J1143" t="s">
        <v>15</v>
      </c>
      <c r="K1143">
        <v>101671.67999999999</v>
      </c>
      <c r="L1143" t="str">
        <f t="shared" si="68"/>
        <v>Feb</v>
      </c>
      <c r="M1143">
        <f t="shared" si="69"/>
        <v>2025</v>
      </c>
      <c r="N1143">
        <f t="shared" si="70"/>
        <v>101671.68000000001</v>
      </c>
      <c r="O1143" t="str">
        <f t="shared" si="71"/>
        <v>Moderate Delay</v>
      </c>
    </row>
    <row r="1144" spans="1:15" x14ac:dyDescent="0.25">
      <c r="A1144">
        <v>1143</v>
      </c>
      <c r="B1144" s="2">
        <v>45841</v>
      </c>
      <c r="C1144" t="s">
        <v>25</v>
      </c>
      <c r="D1144" t="s">
        <v>17</v>
      </c>
      <c r="E1144" t="s">
        <v>13</v>
      </c>
      <c r="F1144" t="s">
        <v>14</v>
      </c>
      <c r="G1144">
        <v>78</v>
      </c>
      <c r="H1144">
        <v>200.28</v>
      </c>
      <c r="I1144">
        <v>44</v>
      </c>
      <c r="J1144" t="s">
        <v>15</v>
      </c>
      <c r="K1144">
        <v>15621.84</v>
      </c>
      <c r="L1144" t="str">
        <f t="shared" si="68"/>
        <v>Jul</v>
      </c>
      <c r="M1144">
        <f t="shared" si="69"/>
        <v>2025</v>
      </c>
      <c r="N1144">
        <f t="shared" si="70"/>
        <v>15621.84</v>
      </c>
      <c r="O1144" t="str">
        <f t="shared" si="71"/>
        <v>Moderate Delay</v>
      </c>
    </row>
    <row r="1145" spans="1:15" x14ac:dyDescent="0.25">
      <c r="A1145">
        <v>1144</v>
      </c>
      <c r="B1145" s="2">
        <v>45999</v>
      </c>
      <c r="C1145" t="s">
        <v>11</v>
      </c>
      <c r="D1145" t="s">
        <v>13</v>
      </c>
      <c r="E1145" t="s">
        <v>19</v>
      </c>
      <c r="F1145" t="s">
        <v>24</v>
      </c>
      <c r="G1145">
        <v>295</v>
      </c>
      <c r="H1145">
        <v>552.28</v>
      </c>
      <c r="I1145">
        <v>26</v>
      </c>
      <c r="J1145" t="s">
        <v>15</v>
      </c>
      <c r="K1145">
        <v>162922.6</v>
      </c>
      <c r="L1145" t="str">
        <f t="shared" si="68"/>
        <v>Dec</v>
      </c>
      <c r="M1145">
        <f t="shared" si="69"/>
        <v>2025</v>
      </c>
      <c r="N1145">
        <f t="shared" si="70"/>
        <v>162922.6</v>
      </c>
      <c r="O1145" t="str">
        <f t="shared" si="71"/>
        <v>Minor Delay</v>
      </c>
    </row>
    <row r="1146" spans="1:15" x14ac:dyDescent="0.25">
      <c r="A1146">
        <v>1145</v>
      </c>
      <c r="B1146" s="2">
        <v>45939</v>
      </c>
      <c r="C1146" t="s">
        <v>18</v>
      </c>
      <c r="D1146" t="s">
        <v>17</v>
      </c>
      <c r="E1146" t="s">
        <v>27</v>
      </c>
      <c r="F1146" t="s">
        <v>21</v>
      </c>
      <c r="G1146">
        <v>232</v>
      </c>
      <c r="H1146">
        <v>154.30000000000001</v>
      </c>
      <c r="I1146">
        <v>20</v>
      </c>
      <c r="J1146" t="s">
        <v>15</v>
      </c>
      <c r="K1146">
        <v>35797.599999999999</v>
      </c>
      <c r="L1146" t="str">
        <f t="shared" si="68"/>
        <v>Oct</v>
      </c>
      <c r="M1146">
        <f t="shared" si="69"/>
        <v>2025</v>
      </c>
      <c r="N1146">
        <f t="shared" si="70"/>
        <v>35797.600000000006</v>
      </c>
      <c r="O1146" t="str">
        <f t="shared" si="71"/>
        <v>Minor Delay</v>
      </c>
    </row>
    <row r="1147" spans="1:15" x14ac:dyDescent="0.25">
      <c r="A1147">
        <v>1146</v>
      </c>
      <c r="B1147" s="2">
        <v>45714</v>
      </c>
      <c r="C1147" t="s">
        <v>16</v>
      </c>
      <c r="D1147" t="s">
        <v>17</v>
      </c>
      <c r="E1147" t="s">
        <v>29</v>
      </c>
      <c r="F1147" t="s">
        <v>14</v>
      </c>
      <c r="G1147">
        <v>82</v>
      </c>
      <c r="H1147">
        <v>175.1</v>
      </c>
      <c r="I1147">
        <v>0</v>
      </c>
      <c r="J1147" t="s">
        <v>15</v>
      </c>
      <c r="K1147">
        <v>14358.2</v>
      </c>
      <c r="L1147" t="str">
        <f t="shared" si="68"/>
        <v>Feb</v>
      </c>
      <c r="M1147">
        <f t="shared" si="69"/>
        <v>2025</v>
      </c>
      <c r="N1147">
        <f t="shared" si="70"/>
        <v>14358.199999999999</v>
      </c>
      <c r="O1147" t="str">
        <f t="shared" si="71"/>
        <v>On Time</v>
      </c>
    </row>
    <row r="1148" spans="1:15" x14ac:dyDescent="0.25">
      <c r="A1148">
        <v>1147</v>
      </c>
      <c r="B1148" s="2">
        <v>46005</v>
      </c>
      <c r="C1148" t="s">
        <v>26</v>
      </c>
      <c r="D1148" t="s">
        <v>19</v>
      </c>
      <c r="E1148" t="s">
        <v>13</v>
      </c>
      <c r="F1148" t="s">
        <v>24</v>
      </c>
      <c r="G1148">
        <v>299</v>
      </c>
      <c r="H1148">
        <v>501.84</v>
      </c>
      <c r="I1148">
        <v>48</v>
      </c>
      <c r="J1148" t="s">
        <v>15</v>
      </c>
      <c r="K1148">
        <v>150050.16</v>
      </c>
      <c r="L1148" t="str">
        <f t="shared" si="68"/>
        <v>Dec</v>
      </c>
      <c r="M1148">
        <f t="shared" si="69"/>
        <v>2025</v>
      </c>
      <c r="N1148">
        <f t="shared" si="70"/>
        <v>150050.16</v>
      </c>
      <c r="O1148" t="str">
        <f t="shared" si="71"/>
        <v>Moderate Delay</v>
      </c>
    </row>
    <row r="1149" spans="1:15" x14ac:dyDescent="0.25">
      <c r="A1149">
        <v>1148</v>
      </c>
      <c r="B1149" s="2">
        <v>45784</v>
      </c>
      <c r="C1149" t="s">
        <v>31</v>
      </c>
      <c r="D1149" t="s">
        <v>12</v>
      </c>
      <c r="E1149" t="s">
        <v>20</v>
      </c>
      <c r="F1149" t="s">
        <v>14</v>
      </c>
      <c r="G1149">
        <v>236</v>
      </c>
      <c r="H1149">
        <v>438.32</v>
      </c>
      <c r="I1149">
        <v>21</v>
      </c>
      <c r="J1149" t="s">
        <v>15</v>
      </c>
      <c r="K1149">
        <v>103443.52</v>
      </c>
      <c r="L1149" t="str">
        <f t="shared" si="68"/>
        <v>May</v>
      </c>
      <c r="M1149">
        <f t="shared" si="69"/>
        <v>2025</v>
      </c>
      <c r="N1149">
        <f t="shared" si="70"/>
        <v>103443.52</v>
      </c>
      <c r="O1149" t="str">
        <f t="shared" si="71"/>
        <v>Minor Delay</v>
      </c>
    </row>
    <row r="1150" spans="1:15" x14ac:dyDescent="0.25">
      <c r="A1150">
        <v>1149</v>
      </c>
      <c r="B1150" s="2">
        <v>46016</v>
      </c>
      <c r="C1150" t="s">
        <v>11</v>
      </c>
      <c r="D1150" t="s">
        <v>12</v>
      </c>
      <c r="E1150" t="s">
        <v>22</v>
      </c>
      <c r="F1150" t="s">
        <v>21</v>
      </c>
      <c r="G1150">
        <v>260</v>
      </c>
      <c r="H1150">
        <v>377.58</v>
      </c>
      <c r="I1150">
        <v>0</v>
      </c>
      <c r="J1150" t="s">
        <v>15</v>
      </c>
      <c r="K1150">
        <v>98170.8</v>
      </c>
      <c r="L1150" t="str">
        <f t="shared" si="68"/>
        <v>Dec</v>
      </c>
      <c r="M1150">
        <f t="shared" si="69"/>
        <v>2025</v>
      </c>
      <c r="N1150">
        <f t="shared" si="70"/>
        <v>98170.8</v>
      </c>
      <c r="O1150" t="str">
        <f t="shared" si="71"/>
        <v>On Time</v>
      </c>
    </row>
    <row r="1151" spans="1:15" x14ac:dyDescent="0.25">
      <c r="A1151">
        <v>1150</v>
      </c>
      <c r="B1151" s="2">
        <v>45754</v>
      </c>
      <c r="C1151" t="s">
        <v>31</v>
      </c>
      <c r="D1151" t="s">
        <v>27</v>
      </c>
      <c r="E1151" t="s">
        <v>29</v>
      </c>
      <c r="F1151" t="s">
        <v>21</v>
      </c>
      <c r="G1151">
        <v>212</v>
      </c>
      <c r="H1151">
        <v>170.06</v>
      </c>
      <c r="I1151">
        <v>27</v>
      </c>
      <c r="J1151" t="s">
        <v>15</v>
      </c>
      <c r="K1151">
        <v>36052.720000000001</v>
      </c>
      <c r="L1151" t="str">
        <f t="shared" si="68"/>
        <v>Apr</v>
      </c>
      <c r="M1151">
        <f t="shared" si="69"/>
        <v>2025</v>
      </c>
      <c r="N1151">
        <f t="shared" si="70"/>
        <v>36052.720000000001</v>
      </c>
      <c r="O1151" t="str">
        <f t="shared" si="71"/>
        <v>Minor Delay</v>
      </c>
    </row>
    <row r="1152" spans="1:15" x14ac:dyDescent="0.25">
      <c r="A1152">
        <v>1151</v>
      </c>
      <c r="B1152" s="2">
        <v>45798</v>
      </c>
      <c r="C1152" t="s">
        <v>11</v>
      </c>
      <c r="D1152" t="s">
        <v>17</v>
      </c>
      <c r="E1152" t="s">
        <v>13</v>
      </c>
      <c r="F1152" t="s">
        <v>14</v>
      </c>
      <c r="G1152">
        <v>159</v>
      </c>
      <c r="H1152">
        <v>73.069999999999993</v>
      </c>
      <c r="I1152">
        <v>35</v>
      </c>
      <c r="J1152" t="s">
        <v>15</v>
      </c>
      <c r="K1152">
        <v>11618.13</v>
      </c>
      <c r="L1152" t="str">
        <f t="shared" si="68"/>
        <v>May</v>
      </c>
      <c r="M1152">
        <f t="shared" si="69"/>
        <v>2025</v>
      </c>
      <c r="N1152">
        <f t="shared" si="70"/>
        <v>11618.13</v>
      </c>
      <c r="O1152" t="str">
        <f t="shared" si="71"/>
        <v>Moderate Delay</v>
      </c>
    </row>
    <row r="1153" spans="1:15" x14ac:dyDescent="0.25">
      <c r="A1153">
        <v>1152</v>
      </c>
      <c r="B1153" s="2">
        <v>46016</v>
      </c>
      <c r="C1153" t="s">
        <v>25</v>
      </c>
      <c r="D1153" t="s">
        <v>27</v>
      </c>
      <c r="E1153" t="s">
        <v>23</v>
      </c>
      <c r="F1153" t="s">
        <v>14</v>
      </c>
      <c r="G1153">
        <v>106</v>
      </c>
      <c r="H1153">
        <v>308.77</v>
      </c>
      <c r="I1153">
        <v>67</v>
      </c>
      <c r="J1153" t="s">
        <v>15</v>
      </c>
      <c r="K1153">
        <v>32729.62</v>
      </c>
      <c r="L1153" t="str">
        <f t="shared" si="68"/>
        <v>Dec</v>
      </c>
      <c r="M1153">
        <f t="shared" si="69"/>
        <v>2025</v>
      </c>
      <c r="N1153">
        <f t="shared" si="70"/>
        <v>32729.62</v>
      </c>
      <c r="O1153" t="str">
        <f t="shared" si="71"/>
        <v>Major Delay</v>
      </c>
    </row>
    <row r="1154" spans="1:15" x14ac:dyDescent="0.25">
      <c r="A1154">
        <v>1153</v>
      </c>
      <c r="B1154" s="2">
        <v>45987</v>
      </c>
      <c r="C1154" t="s">
        <v>16</v>
      </c>
      <c r="D1154" t="s">
        <v>27</v>
      </c>
      <c r="E1154" t="s">
        <v>17</v>
      </c>
      <c r="F1154" t="s">
        <v>24</v>
      </c>
      <c r="G1154">
        <v>78</v>
      </c>
      <c r="H1154">
        <v>259.24</v>
      </c>
      <c r="I1154">
        <v>15</v>
      </c>
      <c r="J1154" t="s">
        <v>15</v>
      </c>
      <c r="K1154">
        <v>20220.72</v>
      </c>
      <c r="L1154" t="str">
        <f t="shared" si="68"/>
        <v>Nov</v>
      </c>
      <c r="M1154">
        <f t="shared" si="69"/>
        <v>2025</v>
      </c>
      <c r="N1154">
        <f t="shared" si="70"/>
        <v>20220.72</v>
      </c>
      <c r="O1154" t="str">
        <f t="shared" si="71"/>
        <v>Minor Delay</v>
      </c>
    </row>
    <row r="1155" spans="1:15" x14ac:dyDescent="0.25">
      <c r="A1155">
        <v>1154</v>
      </c>
      <c r="B1155" s="2">
        <v>45751</v>
      </c>
      <c r="C1155" t="s">
        <v>16</v>
      </c>
      <c r="D1155" t="s">
        <v>22</v>
      </c>
      <c r="E1155" t="s">
        <v>13</v>
      </c>
      <c r="F1155" t="s">
        <v>14</v>
      </c>
      <c r="G1155">
        <v>63</v>
      </c>
      <c r="H1155">
        <v>548.72</v>
      </c>
      <c r="I1155">
        <v>42</v>
      </c>
      <c r="J1155" t="s">
        <v>15</v>
      </c>
      <c r="K1155">
        <v>34569.360000000001</v>
      </c>
      <c r="L1155" t="str">
        <f t="shared" ref="L1155:L1218" si="72">TEXT(B1155,"MMM")</f>
        <v>Apr</v>
      </c>
      <c r="M1155">
        <f t="shared" ref="M1155:M1218" si="73">YEAR(B1155)</f>
        <v>2025</v>
      </c>
      <c r="N1155">
        <f t="shared" ref="N1155:N1218" si="74">G1155*H1155</f>
        <v>34569.360000000001</v>
      </c>
      <c r="O1155" t="str">
        <f t="shared" ref="O1155:O1218" si="75">IF(I1155=0,"On Time",IF(I1155&lt;=30,"Minor Delay",IF(I1155&lt;=60,"Moderate Delay","Major Delay")))</f>
        <v>Moderate Delay</v>
      </c>
    </row>
    <row r="1156" spans="1:15" x14ac:dyDescent="0.25">
      <c r="A1156">
        <v>1155</v>
      </c>
      <c r="B1156" s="2">
        <v>45801</v>
      </c>
      <c r="C1156" t="s">
        <v>31</v>
      </c>
      <c r="D1156" t="s">
        <v>23</v>
      </c>
      <c r="E1156" t="s">
        <v>27</v>
      </c>
      <c r="F1156" t="s">
        <v>14</v>
      </c>
      <c r="G1156">
        <v>160</v>
      </c>
      <c r="H1156">
        <v>196.78</v>
      </c>
      <c r="I1156">
        <v>42</v>
      </c>
      <c r="J1156" t="s">
        <v>15</v>
      </c>
      <c r="K1156">
        <v>31484.799999999999</v>
      </c>
      <c r="L1156" t="str">
        <f t="shared" si="72"/>
        <v>May</v>
      </c>
      <c r="M1156">
        <f t="shared" si="73"/>
        <v>2025</v>
      </c>
      <c r="N1156">
        <f t="shared" si="74"/>
        <v>31484.799999999999</v>
      </c>
      <c r="O1156" t="str">
        <f t="shared" si="75"/>
        <v>Moderate Delay</v>
      </c>
    </row>
    <row r="1157" spans="1:15" x14ac:dyDescent="0.25">
      <c r="A1157">
        <v>1156</v>
      </c>
      <c r="B1157" s="2">
        <v>46007</v>
      </c>
      <c r="C1157" t="s">
        <v>31</v>
      </c>
      <c r="D1157" t="s">
        <v>12</v>
      </c>
      <c r="E1157" t="s">
        <v>13</v>
      </c>
      <c r="F1157" t="s">
        <v>14</v>
      </c>
      <c r="G1157">
        <v>134</v>
      </c>
      <c r="H1157">
        <v>326.82</v>
      </c>
      <c r="I1157">
        <v>12</v>
      </c>
      <c r="J1157" t="s">
        <v>30</v>
      </c>
      <c r="K1157">
        <v>43793.88</v>
      </c>
      <c r="L1157" t="str">
        <f t="shared" si="72"/>
        <v>Dec</v>
      </c>
      <c r="M1157">
        <f t="shared" si="73"/>
        <v>2025</v>
      </c>
      <c r="N1157">
        <f t="shared" si="74"/>
        <v>43793.88</v>
      </c>
      <c r="O1157" t="str">
        <f t="shared" si="75"/>
        <v>Minor Delay</v>
      </c>
    </row>
    <row r="1158" spans="1:15" x14ac:dyDescent="0.25">
      <c r="A1158">
        <v>1157</v>
      </c>
      <c r="B1158" s="2">
        <v>45779</v>
      </c>
      <c r="C1158" t="s">
        <v>25</v>
      </c>
      <c r="D1158" t="s">
        <v>27</v>
      </c>
      <c r="E1158" t="s">
        <v>22</v>
      </c>
      <c r="F1158" t="s">
        <v>24</v>
      </c>
      <c r="G1158">
        <v>103</v>
      </c>
      <c r="H1158">
        <v>492.4</v>
      </c>
      <c r="I1158">
        <v>30</v>
      </c>
      <c r="J1158" t="s">
        <v>15</v>
      </c>
      <c r="K1158">
        <v>50717.2</v>
      </c>
      <c r="L1158" t="str">
        <f t="shared" si="72"/>
        <v>May</v>
      </c>
      <c r="M1158">
        <f t="shared" si="73"/>
        <v>2025</v>
      </c>
      <c r="N1158">
        <f t="shared" si="74"/>
        <v>50717.2</v>
      </c>
      <c r="O1158" t="str">
        <f t="shared" si="75"/>
        <v>Minor Delay</v>
      </c>
    </row>
    <row r="1159" spans="1:15" x14ac:dyDescent="0.25">
      <c r="A1159">
        <v>1158</v>
      </c>
      <c r="B1159" s="2">
        <v>45958</v>
      </c>
      <c r="C1159" t="s">
        <v>25</v>
      </c>
      <c r="D1159" t="s">
        <v>12</v>
      </c>
      <c r="E1159" t="s">
        <v>13</v>
      </c>
      <c r="F1159" t="s">
        <v>14</v>
      </c>
      <c r="G1159">
        <v>99</v>
      </c>
      <c r="H1159">
        <v>581.45000000000005</v>
      </c>
      <c r="I1159">
        <v>26</v>
      </c>
      <c r="J1159" t="s">
        <v>30</v>
      </c>
      <c r="K1159">
        <v>57563.55</v>
      </c>
      <c r="L1159" t="str">
        <f t="shared" si="72"/>
        <v>Oct</v>
      </c>
      <c r="M1159">
        <f t="shared" si="73"/>
        <v>2025</v>
      </c>
      <c r="N1159">
        <f t="shared" si="74"/>
        <v>57563.55</v>
      </c>
      <c r="O1159" t="str">
        <f t="shared" si="75"/>
        <v>Minor Delay</v>
      </c>
    </row>
    <row r="1160" spans="1:15" x14ac:dyDescent="0.25">
      <c r="A1160">
        <v>1159</v>
      </c>
      <c r="B1160" s="2">
        <v>45812</v>
      </c>
      <c r="C1160" t="s">
        <v>25</v>
      </c>
      <c r="D1160" t="s">
        <v>12</v>
      </c>
      <c r="E1160" t="s">
        <v>17</v>
      </c>
      <c r="F1160" t="s">
        <v>24</v>
      </c>
      <c r="G1160">
        <v>244</v>
      </c>
      <c r="H1160">
        <v>209.48</v>
      </c>
      <c r="I1160">
        <v>18</v>
      </c>
      <c r="J1160" t="s">
        <v>15</v>
      </c>
      <c r="K1160">
        <v>51113.120000000003</v>
      </c>
      <c r="L1160" t="str">
        <f t="shared" si="72"/>
        <v>Jun</v>
      </c>
      <c r="M1160">
        <f t="shared" si="73"/>
        <v>2025</v>
      </c>
      <c r="N1160">
        <f t="shared" si="74"/>
        <v>51113.119999999995</v>
      </c>
      <c r="O1160" t="str">
        <f t="shared" si="75"/>
        <v>Minor Delay</v>
      </c>
    </row>
    <row r="1161" spans="1:15" x14ac:dyDescent="0.25">
      <c r="A1161">
        <v>1160</v>
      </c>
      <c r="B1161" s="2">
        <v>45944</v>
      </c>
      <c r="C1161" t="s">
        <v>26</v>
      </c>
      <c r="D1161" t="s">
        <v>27</v>
      </c>
      <c r="E1161" t="s">
        <v>23</v>
      </c>
      <c r="F1161" t="s">
        <v>24</v>
      </c>
      <c r="G1161">
        <v>164</v>
      </c>
      <c r="H1161">
        <v>526.1</v>
      </c>
      <c r="I1161">
        <v>12</v>
      </c>
      <c r="J1161" t="s">
        <v>15</v>
      </c>
      <c r="K1161">
        <v>86280.4</v>
      </c>
      <c r="L1161" t="str">
        <f t="shared" si="72"/>
        <v>Oct</v>
      </c>
      <c r="M1161">
        <f t="shared" si="73"/>
        <v>2025</v>
      </c>
      <c r="N1161">
        <f t="shared" si="74"/>
        <v>86280.400000000009</v>
      </c>
      <c r="O1161" t="str">
        <f t="shared" si="75"/>
        <v>Minor Delay</v>
      </c>
    </row>
    <row r="1162" spans="1:15" x14ac:dyDescent="0.25">
      <c r="A1162">
        <v>1161</v>
      </c>
      <c r="B1162" s="2">
        <v>45905</v>
      </c>
      <c r="C1162" t="s">
        <v>18</v>
      </c>
      <c r="D1162" t="s">
        <v>17</v>
      </c>
      <c r="E1162" t="s">
        <v>12</v>
      </c>
      <c r="F1162" t="s">
        <v>21</v>
      </c>
      <c r="G1162">
        <v>288</v>
      </c>
      <c r="H1162">
        <v>764.81</v>
      </c>
      <c r="I1162">
        <v>23</v>
      </c>
      <c r="J1162" t="s">
        <v>15</v>
      </c>
      <c r="K1162">
        <v>220265.28</v>
      </c>
      <c r="L1162" t="str">
        <f t="shared" si="72"/>
        <v>Sep</v>
      </c>
      <c r="M1162">
        <f t="shared" si="73"/>
        <v>2025</v>
      </c>
      <c r="N1162">
        <f t="shared" si="74"/>
        <v>220265.27999999997</v>
      </c>
      <c r="O1162" t="str">
        <f t="shared" si="75"/>
        <v>Minor Delay</v>
      </c>
    </row>
    <row r="1163" spans="1:15" x14ac:dyDescent="0.25">
      <c r="A1163">
        <v>1162</v>
      </c>
      <c r="B1163" s="2">
        <v>45681</v>
      </c>
      <c r="C1163" t="s">
        <v>31</v>
      </c>
      <c r="D1163" t="s">
        <v>29</v>
      </c>
      <c r="E1163" t="s">
        <v>22</v>
      </c>
      <c r="F1163" t="s">
        <v>14</v>
      </c>
      <c r="G1163">
        <v>253</v>
      </c>
      <c r="H1163">
        <v>779.63</v>
      </c>
      <c r="I1163">
        <v>5</v>
      </c>
      <c r="J1163" t="s">
        <v>15</v>
      </c>
      <c r="K1163">
        <v>197246.39</v>
      </c>
      <c r="L1163" t="str">
        <f t="shared" si="72"/>
        <v>Jan</v>
      </c>
      <c r="M1163">
        <f t="shared" si="73"/>
        <v>2025</v>
      </c>
      <c r="N1163">
        <f t="shared" si="74"/>
        <v>197246.38999999998</v>
      </c>
      <c r="O1163" t="str">
        <f t="shared" si="75"/>
        <v>Minor Delay</v>
      </c>
    </row>
    <row r="1164" spans="1:15" x14ac:dyDescent="0.25">
      <c r="A1164">
        <v>1163</v>
      </c>
      <c r="B1164" s="2">
        <v>46008</v>
      </c>
      <c r="C1164" t="s">
        <v>31</v>
      </c>
      <c r="D1164" t="s">
        <v>17</v>
      </c>
      <c r="E1164" t="s">
        <v>27</v>
      </c>
      <c r="F1164" t="s">
        <v>21</v>
      </c>
      <c r="G1164">
        <v>298</v>
      </c>
      <c r="H1164">
        <v>115.49</v>
      </c>
      <c r="I1164">
        <v>0</v>
      </c>
      <c r="J1164" t="s">
        <v>15</v>
      </c>
      <c r="K1164">
        <v>34416.019999999997</v>
      </c>
      <c r="L1164" t="str">
        <f t="shared" si="72"/>
        <v>Dec</v>
      </c>
      <c r="M1164">
        <f t="shared" si="73"/>
        <v>2025</v>
      </c>
      <c r="N1164">
        <f t="shared" si="74"/>
        <v>34416.019999999997</v>
      </c>
      <c r="O1164" t="str">
        <f t="shared" si="75"/>
        <v>On Time</v>
      </c>
    </row>
    <row r="1165" spans="1:15" x14ac:dyDescent="0.25">
      <c r="A1165">
        <v>1164</v>
      </c>
      <c r="B1165" s="2">
        <v>45968</v>
      </c>
      <c r="C1165" t="s">
        <v>26</v>
      </c>
      <c r="D1165" t="s">
        <v>17</v>
      </c>
      <c r="E1165" t="s">
        <v>20</v>
      </c>
      <c r="F1165" t="s">
        <v>14</v>
      </c>
      <c r="G1165">
        <v>97</v>
      </c>
      <c r="H1165">
        <v>62.66</v>
      </c>
      <c r="I1165">
        <v>31</v>
      </c>
      <c r="J1165" t="s">
        <v>15</v>
      </c>
      <c r="K1165">
        <v>6078.02</v>
      </c>
      <c r="L1165" t="str">
        <f t="shared" si="72"/>
        <v>Nov</v>
      </c>
      <c r="M1165">
        <f t="shared" si="73"/>
        <v>2025</v>
      </c>
      <c r="N1165">
        <f t="shared" si="74"/>
        <v>6078.0199999999995</v>
      </c>
      <c r="O1165" t="str">
        <f t="shared" si="75"/>
        <v>Moderate Delay</v>
      </c>
    </row>
    <row r="1166" spans="1:15" x14ac:dyDescent="0.25">
      <c r="A1166">
        <v>1165</v>
      </c>
      <c r="B1166" s="2">
        <v>45915</v>
      </c>
      <c r="C1166" t="s">
        <v>25</v>
      </c>
      <c r="D1166" t="s">
        <v>13</v>
      </c>
      <c r="E1166" t="s">
        <v>27</v>
      </c>
      <c r="F1166" t="s">
        <v>21</v>
      </c>
      <c r="G1166">
        <v>184</v>
      </c>
      <c r="H1166">
        <v>251.54</v>
      </c>
      <c r="I1166">
        <v>32</v>
      </c>
      <c r="J1166" t="s">
        <v>15</v>
      </c>
      <c r="K1166">
        <v>46283.360000000001</v>
      </c>
      <c r="L1166" t="str">
        <f t="shared" si="72"/>
        <v>Sep</v>
      </c>
      <c r="M1166">
        <f t="shared" si="73"/>
        <v>2025</v>
      </c>
      <c r="N1166">
        <f t="shared" si="74"/>
        <v>46283.360000000001</v>
      </c>
      <c r="O1166" t="str">
        <f t="shared" si="75"/>
        <v>Moderate Delay</v>
      </c>
    </row>
    <row r="1167" spans="1:15" x14ac:dyDescent="0.25">
      <c r="A1167">
        <v>1166</v>
      </c>
      <c r="B1167" s="2">
        <v>45772</v>
      </c>
      <c r="C1167" t="s">
        <v>16</v>
      </c>
      <c r="D1167" t="s">
        <v>12</v>
      </c>
      <c r="E1167" t="s">
        <v>19</v>
      </c>
      <c r="F1167" t="s">
        <v>21</v>
      </c>
      <c r="G1167">
        <v>110</v>
      </c>
      <c r="H1167">
        <v>275.95999999999998</v>
      </c>
      <c r="I1167">
        <v>3</v>
      </c>
      <c r="J1167" t="s">
        <v>15</v>
      </c>
      <c r="K1167">
        <v>30355.599999999999</v>
      </c>
      <c r="L1167" t="str">
        <f t="shared" si="72"/>
        <v>Apr</v>
      </c>
      <c r="M1167">
        <f t="shared" si="73"/>
        <v>2025</v>
      </c>
      <c r="N1167">
        <f t="shared" si="74"/>
        <v>30355.599999999999</v>
      </c>
      <c r="O1167" t="str">
        <f t="shared" si="75"/>
        <v>Minor Delay</v>
      </c>
    </row>
    <row r="1168" spans="1:15" x14ac:dyDescent="0.25">
      <c r="A1168">
        <v>1167</v>
      </c>
      <c r="B1168" s="2">
        <v>45796</v>
      </c>
      <c r="C1168" t="s">
        <v>16</v>
      </c>
      <c r="D1168" t="s">
        <v>23</v>
      </c>
      <c r="E1168" t="s">
        <v>29</v>
      </c>
      <c r="F1168" t="s">
        <v>21</v>
      </c>
      <c r="G1168">
        <v>300</v>
      </c>
      <c r="H1168">
        <v>244.27</v>
      </c>
      <c r="I1168">
        <v>33</v>
      </c>
      <c r="J1168" t="s">
        <v>15</v>
      </c>
      <c r="K1168">
        <v>73281</v>
      </c>
      <c r="L1168" t="str">
        <f t="shared" si="72"/>
        <v>May</v>
      </c>
      <c r="M1168">
        <f t="shared" si="73"/>
        <v>2025</v>
      </c>
      <c r="N1168">
        <f t="shared" si="74"/>
        <v>73281</v>
      </c>
      <c r="O1168" t="str">
        <f t="shared" si="75"/>
        <v>Moderate Delay</v>
      </c>
    </row>
    <row r="1169" spans="1:15" x14ac:dyDescent="0.25">
      <c r="A1169">
        <v>1168</v>
      </c>
      <c r="B1169" s="2">
        <v>45824</v>
      </c>
      <c r="C1169" t="s">
        <v>16</v>
      </c>
      <c r="D1169" t="s">
        <v>22</v>
      </c>
      <c r="E1169" t="s">
        <v>17</v>
      </c>
      <c r="F1169" t="s">
        <v>21</v>
      </c>
      <c r="G1169">
        <v>276</v>
      </c>
      <c r="H1169">
        <v>466.46</v>
      </c>
      <c r="I1169">
        <v>0</v>
      </c>
      <c r="J1169" t="s">
        <v>15</v>
      </c>
      <c r="K1169">
        <v>128742.96</v>
      </c>
      <c r="L1169" t="str">
        <f t="shared" si="72"/>
        <v>Jun</v>
      </c>
      <c r="M1169">
        <f t="shared" si="73"/>
        <v>2025</v>
      </c>
      <c r="N1169">
        <f t="shared" si="74"/>
        <v>128742.95999999999</v>
      </c>
      <c r="O1169" t="str">
        <f t="shared" si="75"/>
        <v>On Time</v>
      </c>
    </row>
    <row r="1170" spans="1:15" x14ac:dyDescent="0.25">
      <c r="A1170">
        <v>1169</v>
      </c>
      <c r="B1170" s="2">
        <v>45824</v>
      </c>
      <c r="C1170" t="s">
        <v>16</v>
      </c>
      <c r="D1170" t="s">
        <v>17</v>
      </c>
      <c r="E1170" t="s">
        <v>23</v>
      </c>
      <c r="F1170" t="s">
        <v>21</v>
      </c>
      <c r="G1170">
        <v>258</v>
      </c>
      <c r="H1170">
        <v>67.7</v>
      </c>
      <c r="I1170">
        <v>0</v>
      </c>
      <c r="J1170" t="s">
        <v>15</v>
      </c>
      <c r="K1170">
        <v>17466.599999999999</v>
      </c>
      <c r="L1170" t="str">
        <f t="shared" si="72"/>
        <v>Jun</v>
      </c>
      <c r="M1170">
        <f t="shared" si="73"/>
        <v>2025</v>
      </c>
      <c r="N1170">
        <f t="shared" si="74"/>
        <v>17466.600000000002</v>
      </c>
      <c r="O1170" t="str">
        <f t="shared" si="75"/>
        <v>On Time</v>
      </c>
    </row>
    <row r="1171" spans="1:15" x14ac:dyDescent="0.25">
      <c r="A1171">
        <v>1170</v>
      </c>
      <c r="B1171" s="2">
        <v>45933</v>
      </c>
      <c r="C1171" t="s">
        <v>25</v>
      </c>
      <c r="D1171" t="s">
        <v>23</v>
      </c>
      <c r="E1171" t="s">
        <v>13</v>
      </c>
      <c r="F1171" t="s">
        <v>21</v>
      </c>
      <c r="G1171">
        <v>77</v>
      </c>
      <c r="H1171">
        <v>594.73</v>
      </c>
      <c r="I1171">
        <v>51</v>
      </c>
      <c r="J1171" t="s">
        <v>15</v>
      </c>
      <c r="K1171">
        <v>45794.21</v>
      </c>
      <c r="L1171" t="str">
        <f t="shared" si="72"/>
        <v>Oct</v>
      </c>
      <c r="M1171">
        <f t="shared" si="73"/>
        <v>2025</v>
      </c>
      <c r="N1171">
        <f t="shared" si="74"/>
        <v>45794.21</v>
      </c>
      <c r="O1171" t="str">
        <f t="shared" si="75"/>
        <v>Moderate Delay</v>
      </c>
    </row>
    <row r="1172" spans="1:15" x14ac:dyDescent="0.25">
      <c r="A1172">
        <v>1171</v>
      </c>
      <c r="B1172" s="2">
        <v>45884</v>
      </c>
      <c r="C1172" t="s">
        <v>11</v>
      </c>
      <c r="D1172" t="s">
        <v>23</v>
      </c>
      <c r="E1172" t="s">
        <v>19</v>
      </c>
      <c r="F1172" t="s">
        <v>24</v>
      </c>
      <c r="G1172">
        <v>118</v>
      </c>
      <c r="H1172">
        <v>210.9</v>
      </c>
      <c r="I1172">
        <v>0</v>
      </c>
      <c r="J1172" t="s">
        <v>15</v>
      </c>
      <c r="K1172">
        <v>24886.2</v>
      </c>
      <c r="L1172" t="str">
        <f t="shared" si="72"/>
        <v>Aug</v>
      </c>
      <c r="M1172">
        <f t="shared" si="73"/>
        <v>2025</v>
      </c>
      <c r="N1172">
        <f t="shared" si="74"/>
        <v>24886.2</v>
      </c>
      <c r="O1172" t="str">
        <f t="shared" si="75"/>
        <v>On Time</v>
      </c>
    </row>
    <row r="1173" spans="1:15" x14ac:dyDescent="0.25">
      <c r="A1173">
        <v>1172</v>
      </c>
      <c r="B1173" s="2">
        <v>45880</v>
      </c>
      <c r="C1173" t="s">
        <v>26</v>
      </c>
      <c r="D1173" t="s">
        <v>20</v>
      </c>
      <c r="E1173" t="s">
        <v>19</v>
      </c>
      <c r="F1173" t="s">
        <v>14</v>
      </c>
      <c r="G1173">
        <v>280</v>
      </c>
      <c r="H1173">
        <v>414.47</v>
      </c>
      <c r="I1173">
        <v>0</v>
      </c>
      <c r="J1173" t="s">
        <v>15</v>
      </c>
      <c r="K1173">
        <v>116051.6</v>
      </c>
      <c r="L1173" t="str">
        <f t="shared" si="72"/>
        <v>Aug</v>
      </c>
      <c r="M1173">
        <f t="shared" si="73"/>
        <v>2025</v>
      </c>
      <c r="N1173">
        <f t="shared" si="74"/>
        <v>116051.6</v>
      </c>
      <c r="O1173" t="str">
        <f t="shared" si="75"/>
        <v>On Time</v>
      </c>
    </row>
    <row r="1174" spans="1:15" x14ac:dyDescent="0.25">
      <c r="A1174">
        <v>1173</v>
      </c>
      <c r="B1174" s="2">
        <v>45748</v>
      </c>
      <c r="C1174" t="s">
        <v>11</v>
      </c>
      <c r="D1174" t="s">
        <v>20</v>
      </c>
      <c r="E1174" t="s">
        <v>29</v>
      </c>
      <c r="F1174" t="s">
        <v>21</v>
      </c>
      <c r="G1174">
        <v>175</v>
      </c>
      <c r="H1174">
        <v>758.08</v>
      </c>
      <c r="I1174">
        <v>28</v>
      </c>
      <c r="J1174" t="s">
        <v>15</v>
      </c>
      <c r="K1174">
        <v>132664</v>
      </c>
      <c r="L1174" t="str">
        <f t="shared" si="72"/>
        <v>Apr</v>
      </c>
      <c r="M1174">
        <f t="shared" si="73"/>
        <v>2025</v>
      </c>
      <c r="N1174">
        <f t="shared" si="74"/>
        <v>132664</v>
      </c>
      <c r="O1174" t="str">
        <f t="shared" si="75"/>
        <v>Minor Delay</v>
      </c>
    </row>
    <row r="1175" spans="1:15" x14ac:dyDescent="0.25">
      <c r="A1175">
        <v>1174</v>
      </c>
      <c r="B1175" s="2">
        <v>46009</v>
      </c>
      <c r="C1175" t="s">
        <v>31</v>
      </c>
      <c r="D1175" t="s">
        <v>29</v>
      </c>
      <c r="E1175" t="s">
        <v>20</v>
      </c>
      <c r="F1175" t="s">
        <v>14</v>
      </c>
      <c r="G1175">
        <v>67</v>
      </c>
      <c r="H1175">
        <v>166.21</v>
      </c>
      <c r="I1175">
        <v>38</v>
      </c>
      <c r="J1175" t="s">
        <v>15</v>
      </c>
      <c r="K1175">
        <v>11136.07</v>
      </c>
      <c r="L1175" t="str">
        <f t="shared" si="72"/>
        <v>Dec</v>
      </c>
      <c r="M1175">
        <f t="shared" si="73"/>
        <v>2025</v>
      </c>
      <c r="N1175">
        <f t="shared" si="74"/>
        <v>11136.07</v>
      </c>
      <c r="O1175" t="str">
        <f t="shared" si="75"/>
        <v>Moderate Delay</v>
      </c>
    </row>
    <row r="1176" spans="1:15" x14ac:dyDescent="0.25">
      <c r="A1176">
        <v>1175</v>
      </c>
      <c r="B1176" s="2">
        <v>45709</v>
      </c>
      <c r="C1176" t="s">
        <v>25</v>
      </c>
      <c r="D1176" t="s">
        <v>20</v>
      </c>
      <c r="E1176" t="s">
        <v>17</v>
      </c>
      <c r="F1176" t="s">
        <v>21</v>
      </c>
      <c r="G1176">
        <v>85</v>
      </c>
      <c r="H1176">
        <v>597.80999999999995</v>
      </c>
      <c r="I1176">
        <v>32</v>
      </c>
      <c r="J1176" t="s">
        <v>15</v>
      </c>
      <c r="K1176">
        <v>50813.85</v>
      </c>
      <c r="L1176" t="str">
        <f t="shared" si="72"/>
        <v>Feb</v>
      </c>
      <c r="M1176">
        <f t="shared" si="73"/>
        <v>2025</v>
      </c>
      <c r="N1176">
        <f t="shared" si="74"/>
        <v>50813.85</v>
      </c>
      <c r="O1176" t="str">
        <f t="shared" si="75"/>
        <v>Moderate Delay</v>
      </c>
    </row>
    <row r="1177" spans="1:15" x14ac:dyDescent="0.25">
      <c r="A1177">
        <v>1176</v>
      </c>
      <c r="B1177" s="2">
        <v>45664</v>
      </c>
      <c r="C1177" t="s">
        <v>25</v>
      </c>
      <c r="D1177" t="s">
        <v>13</v>
      </c>
      <c r="E1177" t="s">
        <v>29</v>
      </c>
      <c r="F1177" t="s">
        <v>14</v>
      </c>
      <c r="G1177">
        <v>83</v>
      </c>
      <c r="H1177">
        <v>243.77</v>
      </c>
      <c r="I1177">
        <v>0</v>
      </c>
      <c r="J1177" t="s">
        <v>15</v>
      </c>
      <c r="K1177">
        <v>20232.91</v>
      </c>
      <c r="L1177" t="str">
        <f t="shared" si="72"/>
        <v>Jan</v>
      </c>
      <c r="M1177">
        <f t="shared" si="73"/>
        <v>2025</v>
      </c>
      <c r="N1177">
        <f t="shared" si="74"/>
        <v>20232.91</v>
      </c>
      <c r="O1177" t="str">
        <f t="shared" si="75"/>
        <v>On Time</v>
      </c>
    </row>
    <row r="1178" spans="1:15" x14ac:dyDescent="0.25">
      <c r="A1178">
        <v>1177</v>
      </c>
      <c r="B1178" s="2">
        <v>45662</v>
      </c>
      <c r="C1178" t="s">
        <v>16</v>
      </c>
      <c r="D1178" t="s">
        <v>29</v>
      </c>
      <c r="E1178" t="s">
        <v>13</v>
      </c>
      <c r="F1178" t="s">
        <v>21</v>
      </c>
      <c r="G1178">
        <v>238</v>
      </c>
      <c r="H1178">
        <v>665.51</v>
      </c>
      <c r="I1178">
        <v>26</v>
      </c>
      <c r="J1178" t="s">
        <v>15</v>
      </c>
      <c r="K1178">
        <v>158391.38</v>
      </c>
      <c r="L1178" t="str">
        <f t="shared" si="72"/>
        <v>Jan</v>
      </c>
      <c r="M1178">
        <f t="shared" si="73"/>
        <v>2025</v>
      </c>
      <c r="N1178">
        <f t="shared" si="74"/>
        <v>158391.38</v>
      </c>
      <c r="O1178" t="str">
        <f t="shared" si="75"/>
        <v>Minor Delay</v>
      </c>
    </row>
    <row r="1179" spans="1:15" x14ac:dyDescent="0.25">
      <c r="A1179">
        <v>1178</v>
      </c>
      <c r="B1179" s="2">
        <v>45815</v>
      </c>
      <c r="C1179" t="s">
        <v>26</v>
      </c>
      <c r="D1179" t="s">
        <v>20</v>
      </c>
      <c r="E1179" t="s">
        <v>29</v>
      </c>
      <c r="F1179" t="s">
        <v>24</v>
      </c>
      <c r="G1179">
        <v>89</v>
      </c>
      <c r="H1179">
        <v>240.42</v>
      </c>
      <c r="I1179">
        <v>11</v>
      </c>
      <c r="J1179" t="s">
        <v>15</v>
      </c>
      <c r="K1179">
        <v>21397.38</v>
      </c>
      <c r="L1179" t="str">
        <f t="shared" si="72"/>
        <v>Jun</v>
      </c>
      <c r="M1179">
        <f t="shared" si="73"/>
        <v>2025</v>
      </c>
      <c r="N1179">
        <f t="shared" si="74"/>
        <v>21397.379999999997</v>
      </c>
      <c r="O1179" t="str">
        <f t="shared" si="75"/>
        <v>Minor Delay</v>
      </c>
    </row>
    <row r="1180" spans="1:15" x14ac:dyDescent="0.25">
      <c r="A1180">
        <v>1179</v>
      </c>
      <c r="B1180" s="2">
        <v>45668</v>
      </c>
      <c r="C1180" t="s">
        <v>16</v>
      </c>
      <c r="D1180" t="s">
        <v>23</v>
      </c>
      <c r="E1180" t="s">
        <v>12</v>
      </c>
      <c r="F1180" t="s">
        <v>14</v>
      </c>
      <c r="G1180">
        <v>189</v>
      </c>
      <c r="H1180">
        <v>279.58999999999997</v>
      </c>
      <c r="I1180">
        <v>0</v>
      </c>
      <c r="J1180" t="s">
        <v>15</v>
      </c>
      <c r="K1180">
        <v>52842.51</v>
      </c>
      <c r="L1180" t="str">
        <f t="shared" si="72"/>
        <v>Jan</v>
      </c>
      <c r="M1180">
        <f t="shared" si="73"/>
        <v>2025</v>
      </c>
      <c r="N1180">
        <f t="shared" si="74"/>
        <v>52842.509999999995</v>
      </c>
      <c r="O1180" t="str">
        <f t="shared" si="75"/>
        <v>On Time</v>
      </c>
    </row>
    <row r="1181" spans="1:15" x14ac:dyDescent="0.25">
      <c r="A1181">
        <v>1180</v>
      </c>
      <c r="B1181" s="2">
        <v>45774</v>
      </c>
      <c r="C1181" t="s">
        <v>18</v>
      </c>
      <c r="D1181" t="s">
        <v>19</v>
      </c>
      <c r="E1181" t="s">
        <v>13</v>
      </c>
      <c r="F1181" t="s">
        <v>24</v>
      </c>
      <c r="G1181">
        <v>87</v>
      </c>
      <c r="H1181">
        <v>321.45</v>
      </c>
      <c r="I1181">
        <v>16</v>
      </c>
      <c r="J1181" t="s">
        <v>15</v>
      </c>
      <c r="K1181">
        <v>27966.15</v>
      </c>
      <c r="L1181" t="str">
        <f t="shared" si="72"/>
        <v>Apr</v>
      </c>
      <c r="M1181">
        <f t="shared" si="73"/>
        <v>2025</v>
      </c>
      <c r="N1181">
        <f t="shared" si="74"/>
        <v>27966.149999999998</v>
      </c>
      <c r="O1181" t="str">
        <f t="shared" si="75"/>
        <v>Minor Delay</v>
      </c>
    </row>
    <row r="1182" spans="1:15" x14ac:dyDescent="0.25">
      <c r="A1182">
        <v>1181</v>
      </c>
      <c r="B1182" s="2">
        <v>45909</v>
      </c>
      <c r="C1182" t="s">
        <v>11</v>
      </c>
      <c r="D1182" t="s">
        <v>17</v>
      </c>
      <c r="E1182" t="s">
        <v>12</v>
      </c>
      <c r="F1182" t="s">
        <v>14</v>
      </c>
      <c r="G1182">
        <v>107</v>
      </c>
      <c r="H1182">
        <v>135.28</v>
      </c>
      <c r="I1182">
        <v>42</v>
      </c>
      <c r="J1182" t="s">
        <v>15</v>
      </c>
      <c r="K1182">
        <v>14474.96</v>
      </c>
      <c r="L1182" t="str">
        <f t="shared" si="72"/>
        <v>Sep</v>
      </c>
      <c r="M1182">
        <f t="shared" si="73"/>
        <v>2025</v>
      </c>
      <c r="N1182">
        <f t="shared" si="74"/>
        <v>14474.960000000001</v>
      </c>
      <c r="O1182" t="str">
        <f t="shared" si="75"/>
        <v>Moderate Delay</v>
      </c>
    </row>
    <row r="1183" spans="1:15" x14ac:dyDescent="0.25">
      <c r="A1183">
        <v>1182</v>
      </c>
      <c r="B1183" s="2">
        <v>45701</v>
      </c>
      <c r="C1183" t="s">
        <v>16</v>
      </c>
      <c r="D1183" t="s">
        <v>12</v>
      </c>
      <c r="E1183" t="s">
        <v>17</v>
      </c>
      <c r="F1183" t="s">
        <v>21</v>
      </c>
      <c r="G1183">
        <v>88</v>
      </c>
      <c r="H1183">
        <v>191.77</v>
      </c>
      <c r="I1183">
        <v>13</v>
      </c>
      <c r="J1183" t="s">
        <v>15</v>
      </c>
      <c r="K1183">
        <v>16875.759999999998</v>
      </c>
      <c r="L1183" t="str">
        <f t="shared" si="72"/>
        <v>Feb</v>
      </c>
      <c r="M1183">
        <f t="shared" si="73"/>
        <v>2025</v>
      </c>
      <c r="N1183">
        <f t="shared" si="74"/>
        <v>16875.760000000002</v>
      </c>
      <c r="O1183" t="str">
        <f t="shared" si="75"/>
        <v>Minor Delay</v>
      </c>
    </row>
    <row r="1184" spans="1:15" x14ac:dyDescent="0.25">
      <c r="A1184">
        <v>1183</v>
      </c>
      <c r="B1184" s="2">
        <v>45734</v>
      </c>
      <c r="C1184" t="s">
        <v>25</v>
      </c>
      <c r="D1184" t="s">
        <v>29</v>
      </c>
      <c r="E1184" t="s">
        <v>20</v>
      </c>
      <c r="F1184" t="s">
        <v>21</v>
      </c>
      <c r="G1184">
        <v>127</v>
      </c>
      <c r="H1184">
        <v>522.32000000000005</v>
      </c>
      <c r="I1184">
        <v>8</v>
      </c>
      <c r="J1184" t="s">
        <v>15</v>
      </c>
      <c r="K1184">
        <v>66334.64</v>
      </c>
      <c r="L1184" t="str">
        <f t="shared" si="72"/>
        <v>Mar</v>
      </c>
      <c r="M1184">
        <f t="shared" si="73"/>
        <v>2025</v>
      </c>
      <c r="N1184">
        <f t="shared" si="74"/>
        <v>66334.64</v>
      </c>
      <c r="O1184" t="str">
        <f t="shared" si="75"/>
        <v>Minor Delay</v>
      </c>
    </row>
    <row r="1185" spans="1:15" x14ac:dyDescent="0.25">
      <c r="A1185">
        <v>1184</v>
      </c>
      <c r="B1185" s="2">
        <v>45793</v>
      </c>
      <c r="C1185" t="s">
        <v>25</v>
      </c>
      <c r="D1185" t="s">
        <v>20</v>
      </c>
      <c r="E1185" t="s">
        <v>22</v>
      </c>
      <c r="F1185" t="s">
        <v>14</v>
      </c>
      <c r="G1185">
        <v>251</v>
      </c>
      <c r="H1185">
        <v>61.61</v>
      </c>
      <c r="I1185">
        <v>69</v>
      </c>
      <c r="J1185" t="s">
        <v>30</v>
      </c>
      <c r="K1185">
        <v>15464.11</v>
      </c>
      <c r="L1185" t="str">
        <f t="shared" si="72"/>
        <v>May</v>
      </c>
      <c r="M1185">
        <f t="shared" si="73"/>
        <v>2025</v>
      </c>
      <c r="N1185">
        <f t="shared" si="74"/>
        <v>15464.11</v>
      </c>
      <c r="O1185" t="str">
        <f t="shared" si="75"/>
        <v>Major Delay</v>
      </c>
    </row>
    <row r="1186" spans="1:15" x14ac:dyDescent="0.25">
      <c r="A1186">
        <v>1185</v>
      </c>
      <c r="B1186" s="2">
        <v>45821</v>
      </c>
      <c r="C1186" t="s">
        <v>11</v>
      </c>
      <c r="D1186" t="s">
        <v>29</v>
      </c>
      <c r="E1186" t="s">
        <v>19</v>
      </c>
      <c r="F1186" t="s">
        <v>24</v>
      </c>
      <c r="G1186">
        <v>164</v>
      </c>
      <c r="H1186">
        <v>593.79</v>
      </c>
      <c r="I1186">
        <v>26</v>
      </c>
      <c r="J1186" t="s">
        <v>15</v>
      </c>
      <c r="K1186">
        <v>97381.56</v>
      </c>
      <c r="L1186" t="str">
        <f t="shared" si="72"/>
        <v>Jun</v>
      </c>
      <c r="M1186">
        <f t="shared" si="73"/>
        <v>2025</v>
      </c>
      <c r="N1186">
        <f t="shared" si="74"/>
        <v>97381.56</v>
      </c>
      <c r="O1186" t="str">
        <f t="shared" si="75"/>
        <v>Minor Delay</v>
      </c>
    </row>
    <row r="1187" spans="1:15" x14ac:dyDescent="0.25">
      <c r="A1187">
        <v>1186</v>
      </c>
      <c r="B1187" s="2">
        <v>45732</v>
      </c>
      <c r="C1187" t="s">
        <v>16</v>
      </c>
      <c r="D1187" t="s">
        <v>17</v>
      </c>
      <c r="E1187" t="s">
        <v>23</v>
      </c>
      <c r="F1187" t="s">
        <v>24</v>
      </c>
      <c r="G1187">
        <v>82</v>
      </c>
      <c r="H1187">
        <v>194.59</v>
      </c>
      <c r="I1187">
        <v>0</v>
      </c>
      <c r="J1187" t="s">
        <v>15</v>
      </c>
      <c r="K1187">
        <v>15956.38</v>
      </c>
      <c r="L1187" t="str">
        <f t="shared" si="72"/>
        <v>Mar</v>
      </c>
      <c r="M1187">
        <f t="shared" si="73"/>
        <v>2025</v>
      </c>
      <c r="N1187">
        <f t="shared" si="74"/>
        <v>15956.380000000001</v>
      </c>
      <c r="O1187" t="str">
        <f t="shared" si="75"/>
        <v>On Time</v>
      </c>
    </row>
    <row r="1188" spans="1:15" x14ac:dyDescent="0.25">
      <c r="A1188">
        <v>1187</v>
      </c>
      <c r="B1188" s="2">
        <v>45875</v>
      </c>
      <c r="C1188" t="s">
        <v>18</v>
      </c>
      <c r="D1188" t="s">
        <v>22</v>
      </c>
      <c r="E1188" t="s">
        <v>27</v>
      </c>
      <c r="F1188" t="s">
        <v>21</v>
      </c>
      <c r="G1188">
        <v>299</v>
      </c>
      <c r="H1188">
        <v>366.32</v>
      </c>
      <c r="I1188">
        <v>26</v>
      </c>
      <c r="J1188" t="s">
        <v>30</v>
      </c>
      <c r="K1188">
        <v>109529.68</v>
      </c>
      <c r="L1188" t="str">
        <f t="shared" si="72"/>
        <v>Aug</v>
      </c>
      <c r="M1188">
        <f t="shared" si="73"/>
        <v>2025</v>
      </c>
      <c r="N1188">
        <f t="shared" si="74"/>
        <v>109529.68</v>
      </c>
      <c r="O1188" t="str">
        <f t="shared" si="75"/>
        <v>Minor Delay</v>
      </c>
    </row>
    <row r="1189" spans="1:15" x14ac:dyDescent="0.25">
      <c r="A1189">
        <v>1188</v>
      </c>
      <c r="B1189" s="2">
        <v>45872</v>
      </c>
      <c r="C1189" t="s">
        <v>31</v>
      </c>
      <c r="D1189" t="s">
        <v>19</v>
      </c>
      <c r="E1189" t="s">
        <v>20</v>
      </c>
      <c r="F1189" t="s">
        <v>24</v>
      </c>
      <c r="G1189">
        <v>187</v>
      </c>
      <c r="H1189">
        <v>454.99</v>
      </c>
      <c r="I1189">
        <v>0</v>
      </c>
      <c r="J1189" t="s">
        <v>15</v>
      </c>
      <c r="K1189">
        <v>85083.13</v>
      </c>
      <c r="L1189" t="str">
        <f t="shared" si="72"/>
        <v>Aug</v>
      </c>
      <c r="M1189">
        <f t="shared" si="73"/>
        <v>2025</v>
      </c>
      <c r="N1189">
        <f t="shared" si="74"/>
        <v>85083.13</v>
      </c>
      <c r="O1189" t="str">
        <f t="shared" si="75"/>
        <v>On Time</v>
      </c>
    </row>
    <row r="1190" spans="1:15" x14ac:dyDescent="0.25">
      <c r="A1190">
        <v>1189</v>
      </c>
      <c r="B1190" s="2">
        <v>45700</v>
      </c>
      <c r="C1190" t="s">
        <v>31</v>
      </c>
      <c r="D1190" t="s">
        <v>19</v>
      </c>
      <c r="E1190" t="s">
        <v>20</v>
      </c>
      <c r="F1190" t="s">
        <v>21</v>
      </c>
      <c r="G1190">
        <v>157</v>
      </c>
      <c r="H1190">
        <v>449.94</v>
      </c>
      <c r="I1190">
        <v>27</v>
      </c>
      <c r="J1190" t="s">
        <v>15</v>
      </c>
      <c r="K1190">
        <v>70640.58</v>
      </c>
      <c r="L1190" t="str">
        <f t="shared" si="72"/>
        <v>Feb</v>
      </c>
      <c r="M1190">
        <f t="shared" si="73"/>
        <v>2025</v>
      </c>
      <c r="N1190">
        <f t="shared" si="74"/>
        <v>70640.58</v>
      </c>
      <c r="O1190" t="str">
        <f t="shared" si="75"/>
        <v>Minor Delay</v>
      </c>
    </row>
    <row r="1191" spans="1:15" x14ac:dyDescent="0.25">
      <c r="A1191">
        <v>1190</v>
      </c>
      <c r="B1191" s="2">
        <v>45843</v>
      </c>
      <c r="C1191" t="s">
        <v>16</v>
      </c>
      <c r="D1191" t="s">
        <v>12</v>
      </c>
      <c r="E1191" t="s">
        <v>23</v>
      </c>
      <c r="F1191" t="s">
        <v>14</v>
      </c>
      <c r="G1191">
        <v>267</v>
      </c>
      <c r="H1191">
        <v>72.69</v>
      </c>
      <c r="I1191">
        <v>0</v>
      </c>
      <c r="J1191" t="s">
        <v>15</v>
      </c>
      <c r="K1191">
        <v>19408.23</v>
      </c>
      <c r="L1191" t="str">
        <f t="shared" si="72"/>
        <v>Jul</v>
      </c>
      <c r="M1191">
        <f t="shared" si="73"/>
        <v>2025</v>
      </c>
      <c r="N1191">
        <f t="shared" si="74"/>
        <v>19408.23</v>
      </c>
      <c r="O1191" t="str">
        <f t="shared" si="75"/>
        <v>On Time</v>
      </c>
    </row>
    <row r="1192" spans="1:15" x14ac:dyDescent="0.25">
      <c r="A1192">
        <v>1191</v>
      </c>
      <c r="B1192" s="2">
        <v>45688</v>
      </c>
      <c r="C1192" t="s">
        <v>26</v>
      </c>
      <c r="D1192" t="s">
        <v>29</v>
      </c>
      <c r="E1192" t="s">
        <v>12</v>
      </c>
      <c r="F1192" t="s">
        <v>24</v>
      </c>
      <c r="G1192">
        <v>267</v>
      </c>
      <c r="H1192">
        <v>688.5</v>
      </c>
      <c r="I1192">
        <v>22</v>
      </c>
      <c r="J1192" t="s">
        <v>15</v>
      </c>
      <c r="K1192">
        <v>183829.5</v>
      </c>
      <c r="L1192" t="str">
        <f t="shared" si="72"/>
        <v>Jan</v>
      </c>
      <c r="M1192">
        <f t="shared" si="73"/>
        <v>2025</v>
      </c>
      <c r="N1192">
        <f t="shared" si="74"/>
        <v>183829.5</v>
      </c>
      <c r="O1192" t="str">
        <f t="shared" si="75"/>
        <v>Minor Delay</v>
      </c>
    </row>
    <row r="1193" spans="1:15" x14ac:dyDescent="0.25">
      <c r="A1193">
        <v>1192</v>
      </c>
      <c r="B1193" s="2">
        <v>45782</v>
      </c>
      <c r="C1193" t="s">
        <v>11</v>
      </c>
      <c r="D1193" t="s">
        <v>27</v>
      </c>
      <c r="E1193" t="s">
        <v>17</v>
      </c>
      <c r="F1193" t="s">
        <v>14</v>
      </c>
      <c r="G1193">
        <v>64</v>
      </c>
      <c r="H1193">
        <v>612.78</v>
      </c>
      <c r="I1193">
        <v>6</v>
      </c>
      <c r="J1193" t="s">
        <v>15</v>
      </c>
      <c r="K1193">
        <v>39217.919999999998</v>
      </c>
      <c r="L1193" t="str">
        <f t="shared" si="72"/>
        <v>May</v>
      </c>
      <c r="M1193">
        <f t="shared" si="73"/>
        <v>2025</v>
      </c>
      <c r="N1193">
        <f t="shared" si="74"/>
        <v>39217.919999999998</v>
      </c>
      <c r="O1193" t="str">
        <f t="shared" si="75"/>
        <v>Minor Delay</v>
      </c>
    </row>
    <row r="1194" spans="1:15" x14ac:dyDescent="0.25">
      <c r="A1194">
        <v>1193</v>
      </c>
      <c r="B1194" s="2">
        <v>45671</v>
      </c>
      <c r="C1194" t="s">
        <v>25</v>
      </c>
      <c r="D1194" t="s">
        <v>29</v>
      </c>
      <c r="E1194" t="s">
        <v>20</v>
      </c>
      <c r="F1194" t="s">
        <v>24</v>
      </c>
      <c r="G1194">
        <v>145</v>
      </c>
      <c r="H1194">
        <v>100.02</v>
      </c>
      <c r="I1194">
        <v>45</v>
      </c>
      <c r="J1194" t="s">
        <v>15</v>
      </c>
      <c r="K1194">
        <v>14502.9</v>
      </c>
      <c r="L1194" t="str">
        <f t="shared" si="72"/>
        <v>Jan</v>
      </c>
      <c r="M1194">
        <f t="shared" si="73"/>
        <v>2025</v>
      </c>
      <c r="N1194">
        <f t="shared" si="74"/>
        <v>14502.9</v>
      </c>
      <c r="O1194" t="str">
        <f t="shared" si="75"/>
        <v>Moderate Delay</v>
      </c>
    </row>
    <row r="1195" spans="1:15" x14ac:dyDescent="0.25">
      <c r="A1195">
        <v>1194</v>
      </c>
      <c r="B1195" s="2">
        <v>45733</v>
      </c>
      <c r="C1195" t="s">
        <v>26</v>
      </c>
      <c r="D1195" t="s">
        <v>29</v>
      </c>
      <c r="E1195" t="s">
        <v>13</v>
      </c>
      <c r="F1195" t="s">
        <v>14</v>
      </c>
      <c r="G1195">
        <v>70</v>
      </c>
      <c r="H1195">
        <v>241.33</v>
      </c>
      <c r="I1195">
        <v>40</v>
      </c>
      <c r="J1195" t="s">
        <v>15</v>
      </c>
      <c r="K1195">
        <v>16893.099999999999</v>
      </c>
      <c r="L1195" t="str">
        <f t="shared" si="72"/>
        <v>Mar</v>
      </c>
      <c r="M1195">
        <f t="shared" si="73"/>
        <v>2025</v>
      </c>
      <c r="N1195">
        <f t="shared" si="74"/>
        <v>16893.100000000002</v>
      </c>
      <c r="O1195" t="str">
        <f t="shared" si="75"/>
        <v>Moderate Delay</v>
      </c>
    </row>
    <row r="1196" spans="1:15" x14ac:dyDescent="0.25">
      <c r="A1196">
        <v>1195</v>
      </c>
      <c r="B1196" s="2">
        <v>45751</v>
      </c>
      <c r="C1196" t="s">
        <v>18</v>
      </c>
      <c r="D1196" t="s">
        <v>17</v>
      </c>
      <c r="E1196" t="s">
        <v>29</v>
      </c>
      <c r="F1196" t="s">
        <v>21</v>
      </c>
      <c r="G1196">
        <v>85</v>
      </c>
      <c r="H1196">
        <v>613.6</v>
      </c>
      <c r="I1196">
        <v>13</v>
      </c>
      <c r="J1196" t="s">
        <v>15</v>
      </c>
      <c r="K1196">
        <v>52156</v>
      </c>
      <c r="L1196" t="str">
        <f t="shared" si="72"/>
        <v>Apr</v>
      </c>
      <c r="M1196">
        <f t="shared" si="73"/>
        <v>2025</v>
      </c>
      <c r="N1196">
        <f t="shared" si="74"/>
        <v>52156</v>
      </c>
      <c r="O1196" t="str">
        <f t="shared" si="75"/>
        <v>Minor Delay</v>
      </c>
    </row>
    <row r="1197" spans="1:15" x14ac:dyDescent="0.25">
      <c r="A1197">
        <v>1196</v>
      </c>
      <c r="B1197" s="2">
        <v>45988</v>
      </c>
      <c r="C1197" t="s">
        <v>25</v>
      </c>
      <c r="D1197" t="s">
        <v>22</v>
      </c>
      <c r="E1197" t="s">
        <v>27</v>
      </c>
      <c r="F1197" t="s">
        <v>14</v>
      </c>
      <c r="G1197">
        <v>123</v>
      </c>
      <c r="H1197">
        <v>142.34</v>
      </c>
      <c r="I1197">
        <v>0</v>
      </c>
      <c r="J1197" t="s">
        <v>15</v>
      </c>
      <c r="K1197">
        <v>17507.82</v>
      </c>
      <c r="L1197" t="str">
        <f t="shared" si="72"/>
        <v>Nov</v>
      </c>
      <c r="M1197">
        <f t="shared" si="73"/>
        <v>2025</v>
      </c>
      <c r="N1197">
        <f t="shared" si="74"/>
        <v>17507.82</v>
      </c>
      <c r="O1197" t="str">
        <f t="shared" si="75"/>
        <v>On Time</v>
      </c>
    </row>
    <row r="1198" spans="1:15" x14ac:dyDescent="0.25">
      <c r="A1198">
        <v>1197</v>
      </c>
      <c r="B1198" s="2">
        <v>45915</v>
      </c>
      <c r="C1198" t="s">
        <v>11</v>
      </c>
      <c r="D1198" t="s">
        <v>13</v>
      </c>
      <c r="E1198" t="s">
        <v>19</v>
      </c>
      <c r="F1198" t="s">
        <v>14</v>
      </c>
      <c r="G1198">
        <v>151</v>
      </c>
      <c r="H1198">
        <v>676.18</v>
      </c>
      <c r="I1198">
        <v>0</v>
      </c>
      <c r="J1198" t="s">
        <v>15</v>
      </c>
      <c r="K1198">
        <v>102103.18</v>
      </c>
      <c r="L1198" t="str">
        <f t="shared" si="72"/>
        <v>Sep</v>
      </c>
      <c r="M1198">
        <f t="shared" si="73"/>
        <v>2025</v>
      </c>
      <c r="N1198">
        <f t="shared" si="74"/>
        <v>102103.18</v>
      </c>
      <c r="O1198" t="str">
        <f t="shared" si="75"/>
        <v>On Time</v>
      </c>
    </row>
    <row r="1199" spans="1:15" x14ac:dyDescent="0.25">
      <c r="A1199">
        <v>1198</v>
      </c>
      <c r="B1199" s="2">
        <v>46021</v>
      </c>
      <c r="C1199" t="s">
        <v>11</v>
      </c>
      <c r="D1199" t="s">
        <v>23</v>
      </c>
      <c r="E1199" t="s">
        <v>22</v>
      </c>
      <c r="F1199" t="s">
        <v>24</v>
      </c>
      <c r="G1199">
        <v>288</v>
      </c>
      <c r="H1199">
        <v>176.03</v>
      </c>
      <c r="I1199">
        <v>0</v>
      </c>
      <c r="J1199" t="s">
        <v>30</v>
      </c>
      <c r="K1199">
        <v>50696.639999999999</v>
      </c>
      <c r="L1199" t="str">
        <f t="shared" si="72"/>
        <v>Dec</v>
      </c>
      <c r="M1199">
        <f t="shared" si="73"/>
        <v>2025</v>
      </c>
      <c r="N1199">
        <f t="shared" si="74"/>
        <v>50696.639999999999</v>
      </c>
      <c r="O1199" t="str">
        <f t="shared" si="75"/>
        <v>On Time</v>
      </c>
    </row>
    <row r="1200" spans="1:15" x14ac:dyDescent="0.25">
      <c r="A1200">
        <v>1199</v>
      </c>
      <c r="B1200" s="2">
        <v>45722</v>
      </c>
      <c r="C1200" t="s">
        <v>25</v>
      </c>
      <c r="D1200" t="s">
        <v>27</v>
      </c>
      <c r="E1200" t="s">
        <v>17</v>
      </c>
      <c r="F1200" t="s">
        <v>14</v>
      </c>
      <c r="G1200">
        <v>152</v>
      </c>
      <c r="H1200">
        <v>518.09</v>
      </c>
      <c r="I1200">
        <v>23</v>
      </c>
      <c r="J1200" t="s">
        <v>15</v>
      </c>
      <c r="K1200">
        <v>78749.679999999993</v>
      </c>
      <c r="L1200" t="str">
        <f t="shared" si="72"/>
        <v>Mar</v>
      </c>
      <c r="M1200">
        <f t="shared" si="73"/>
        <v>2025</v>
      </c>
      <c r="N1200">
        <f t="shared" si="74"/>
        <v>78749.680000000008</v>
      </c>
      <c r="O1200" t="str">
        <f t="shared" si="75"/>
        <v>Minor Delay</v>
      </c>
    </row>
    <row r="1201" spans="1:15" x14ac:dyDescent="0.25">
      <c r="A1201">
        <v>1200</v>
      </c>
      <c r="B1201" s="2">
        <v>46012</v>
      </c>
      <c r="C1201" t="s">
        <v>18</v>
      </c>
      <c r="D1201" t="s">
        <v>27</v>
      </c>
      <c r="E1201" t="s">
        <v>12</v>
      </c>
      <c r="F1201" t="s">
        <v>24</v>
      </c>
      <c r="G1201">
        <v>130</v>
      </c>
      <c r="H1201">
        <v>543</v>
      </c>
      <c r="I1201">
        <v>35</v>
      </c>
      <c r="J1201" t="s">
        <v>15</v>
      </c>
      <c r="K1201">
        <v>70590</v>
      </c>
      <c r="L1201" t="str">
        <f t="shared" si="72"/>
        <v>Dec</v>
      </c>
      <c r="M1201">
        <f t="shared" si="73"/>
        <v>2025</v>
      </c>
      <c r="N1201">
        <f t="shared" si="74"/>
        <v>70590</v>
      </c>
      <c r="O1201" t="str">
        <f t="shared" si="75"/>
        <v>Moderate Delay</v>
      </c>
    </row>
    <row r="1202" spans="1:15" x14ac:dyDescent="0.25">
      <c r="A1202">
        <v>1201</v>
      </c>
      <c r="B1202" s="2">
        <v>45685</v>
      </c>
      <c r="C1202" t="s">
        <v>26</v>
      </c>
      <c r="D1202" t="s">
        <v>17</v>
      </c>
      <c r="E1202" t="s">
        <v>29</v>
      </c>
      <c r="F1202" t="s">
        <v>21</v>
      </c>
      <c r="G1202">
        <v>158</v>
      </c>
      <c r="H1202">
        <v>204.1</v>
      </c>
      <c r="I1202">
        <v>27</v>
      </c>
      <c r="J1202" t="s">
        <v>15</v>
      </c>
      <c r="K1202">
        <v>32247.8</v>
      </c>
      <c r="L1202" t="str">
        <f t="shared" si="72"/>
        <v>Jan</v>
      </c>
      <c r="M1202">
        <f t="shared" si="73"/>
        <v>2025</v>
      </c>
      <c r="N1202">
        <f t="shared" si="74"/>
        <v>32247.8</v>
      </c>
      <c r="O1202" t="str">
        <f t="shared" si="75"/>
        <v>Minor Delay</v>
      </c>
    </row>
    <row r="1203" spans="1:15" x14ac:dyDescent="0.25">
      <c r="A1203">
        <v>1202</v>
      </c>
      <c r="B1203" s="2">
        <v>45780</v>
      </c>
      <c r="C1203" t="s">
        <v>26</v>
      </c>
      <c r="D1203" t="s">
        <v>22</v>
      </c>
      <c r="E1203" t="s">
        <v>13</v>
      </c>
      <c r="F1203" t="s">
        <v>14</v>
      </c>
      <c r="G1203">
        <v>188</v>
      </c>
      <c r="H1203">
        <v>138.78</v>
      </c>
      <c r="I1203">
        <v>26</v>
      </c>
      <c r="J1203" t="s">
        <v>15</v>
      </c>
      <c r="K1203">
        <v>26090.639999999999</v>
      </c>
      <c r="L1203" t="str">
        <f t="shared" si="72"/>
        <v>May</v>
      </c>
      <c r="M1203">
        <f t="shared" si="73"/>
        <v>2025</v>
      </c>
      <c r="N1203">
        <f t="shared" si="74"/>
        <v>26090.639999999999</v>
      </c>
      <c r="O1203" t="str">
        <f t="shared" si="75"/>
        <v>Minor Delay</v>
      </c>
    </row>
    <row r="1204" spans="1:15" x14ac:dyDescent="0.25">
      <c r="A1204">
        <v>1203</v>
      </c>
      <c r="B1204" s="2">
        <v>45754</v>
      </c>
      <c r="C1204" t="s">
        <v>31</v>
      </c>
      <c r="D1204" t="s">
        <v>13</v>
      </c>
      <c r="E1204" t="s">
        <v>22</v>
      </c>
      <c r="F1204" t="s">
        <v>14</v>
      </c>
      <c r="G1204">
        <v>213</v>
      </c>
      <c r="H1204">
        <v>747.61</v>
      </c>
      <c r="I1204">
        <v>20</v>
      </c>
      <c r="J1204" t="s">
        <v>15</v>
      </c>
      <c r="K1204">
        <v>159240.93</v>
      </c>
      <c r="L1204" t="str">
        <f t="shared" si="72"/>
        <v>Apr</v>
      </c>
      <c r="M1204">
        <f t="shared" si="73"/>
        <v>2025</v>
      </c>
      <c r="N1204">
        <f t="shared" si="74"/>
        <v>159240.93</v>
      </c>
      <c r="O1204" t="str">
        <f t="shared" si="75"/>
        <v>Minor Delay</v>
      </c>
    </row>
    <row r="1205" spans="1:15" x14ac:dyDescent="0.25">
      <c r="A1205">
        <v>1204</v>
      </c>
      <c r="B1205" s="2">
        <v>45681</v>
      </c>
      <c r="C1205" t="s">
        <v>16</v>
      </c>
      <c r="D1205" t="s">
        <v>13</v>
      </c>
      <c r="E1205" t="s">
        <v>27</v>
      </c>
      <c r="F1205" t="s">
        <v>24</v>
      </c>
      <c r="G1205">
        <v>73</v>
      </c>
      <c r="H1205">
        <v>758.2</v>
      </c>
      <c r="I1205">
        <v>30</v>
      </c>
      <c r="J1205" t="s">
        <v>15</v>
      </c>
      <c r="K1205">
        <v>55348.6</v>
      </c>
      <c r="L1205" t="str">
        <f t="shared" si="72"/>
        <v>Jan</v>
      </c>
      <c r="M1205">
        <f t="shared" si="73"/>
        <v>2025</v>
      </c>
      <c r="N1205">
        <f t="shared" si="74"/>
        <v>55348.600000000006</v>
      </c>
      <c r="O1205" t="str">
        <f t="shared" si="75"/>
        <v>Minor Delay</v>
      </c>
    </row>
    <row r="1206" spans="1:15" x14ac:dyDescent="0.25">
      <c r="A1206">
        <v>1205</v>
      </c>
      <c r="B1206" s="2">
        <v>45861</v>
      </c>
      <c r="C1206" t="s">
        <v>31</v>
      </c>
      <c r="D1206" t="s">
        <v>22</v>
      </c>
      <c r="E1206" t="s">
        <v>23</v>
      </c>
      <c r="F1206" t="s">
        <v>14</v>
      </c>
      <c r="G1206">
        <v>130</v>
      </c>
      <c r="H1206">
        <v>616.36</v>
      </c>
      <c r="I1206">
        <v>9</v>
      </c>
      <c r="J1206" t="s">
        <v>15</v>
      </c>
      <c r="K1206">
        <v>80126.8</v>
      </c>
      <c r="L1206" t="str">
        <f t="shared" si="72"/>
        <v>Jul</v>
      </c>
      <c r="M1206">
        <f t="shared" si="73"/>
        <v>2025</v>
      </c>
      <c r="N1206">
        <f t="shared" si="74"/>
        <v>80126.8</v>
      </c>
      <c r="O1206" t="str">
        <f t="shared" si="75"/>
        <v>Minor Delay</v>
      </c>
    </row>
    <row r="1207" spans="1:15" x14ac:dyDescent="0.25">
      <c r="A1207">
        <v>1206</v>
      </c>
      <c r="B1207" s="2">
        <v>45866</v>
      </c>
      <c r="C1207" t="s">
        <v>25</v>
      </c>
      <c r="D1207" t="s">
        <v>12</v>
      </c>
      <c r="E1207" t="s">
        <v>17</v>
      </c>
      <c r="F1207" t="s">
        <v>21</v>
      </c>
      <c r="G1207">
        <v>75</v>
      </c>
      <c r="H1207">
        <v>431.61</v>
      </c>
      <c r="I1207">
        <v>0</v>
      </c>
      <c r="J1207" t="s">
        <v>15</v>
      </c>
      <c r="K1207">
        <v>32370.75</v>
      </c>
      <c r="L1207" t="str">
        <f t="shared" si="72"/>
        <v>Jul</v>
      </c>
      <c r="M1207">
        <f t="shared" si="73"/>
        <v>2025</v>
      </c>
      <c r="N1207">
        <f t="shared" si="74"/>
        <v>32370.75</v>
      </c>
      <c r="O1207" t="str">
        <f t="shared" si="75"/>
        <v>On Time</v>
      </c>
    </row>
    <row r="1208" spans="1:15" x14ac:dyDescent="0.25">
      <c r="A1208">
        <v>1207</v>
      </c>
      <c r="B1208" s="2">
        <v>45902</v>
      </c>
      <c r="C1208" t="s">
        <v>31</v>
      </c>
      <c r="D1208" t="s">
        <v>13</v>
      </c>
      <c r="E1208" t="s">
        <v>20</v>
      </c>
      <c r="F1208" t="s">
        <v>14</v>
      </c>
      <c r="G1208">
        <v>124</v>
      </c>
      <c r="H1208">
        <v>179.31</v>
      </c>
      <c r="I1208">
        <v>15</v>
      </c>
      <c r="J1208" t="s">
        <v>15</v>
      </c>
      <c r="K1208">
        <v>22234.44</v>
      </c>
      <c r="L1208" t="str">
        <f t="shared" si="72"/>
        <v>Sep</v>
      </c>
      <c r="M1208">
        <f t="shared" si="73"/>
        <v>2025</v>
      </c>
      <c r="N1208">
        <f t="shared" si="74"/>
        <v>22234.44</v>
      </c>
      <c r="O1208" t="str">
        <f t="shared" si="75"/>
        <v>Minor Delay</v>
      </c>
    </row>
    <row r="1209" spans="1:15" x14ac:dyDescent="0.25">
      <c r="A1209">
        <v>1208</v>
      </c>
      <c r="B1209" s="2">
        <v>46006</v>
      </c>
      <c r="C1209" t="s">
        <v>25</v>
      </c>
      <c r="D1209" t="s">
        <v>19</v>
      </c>
      <c r="E1209" t="s">
        <v>23</v>
      </c>
      <c r="F1209" t="s">
        <v>14</v>
      </c>
      <c r="G1209">
        <v>246</v>
      </c>
      <c r="H1209">
        <v>591.73</v>
      </c>
      <c r="I1209">
        <v>10</v>
      </c>
      <c r="J1209" t="s">
        <v>28</v>
      </c>
      <c r="K1209">
        <v>145565.57999999999</v>
      </c>
      <c r="L1209" t="str">
        <f t="shared" si="72"/>
        <v>Dec</v>
      </c>
      <c r="M1209">
        <f t="shared" si="73"/>
        <v>2025</v>
      </c>
      <c r="N1209">
        <f t="shared" si="74"/>
        <v>145565.58000000002</v>
      </c>
      <c r="O1209" t="str">
        <f t="shared" si="75"/>
        <v>Minor Delay</v>
      </c>
    </row>
    <row r="1210" spans="1:15" x14ac:dyDescent="0.25">
      <c r="A1210">
        <v>1209</v>
      </c>
      <c r="B1210" s="2">
        <v>45887</v>
      </c>
      <c r="C1210" t="s">
        <v>11</v>
      </c>
      <c r="D1210" t="s">
        <v>27</v>
      </c>
      <c r="E1210" t="s">
        <v>22</v>
      </c>
      <c r="F1210" t="s">
        <v>24</v>
      </c>
      <c r="G1210">
        <v>124</v>
      </c>
      <c r="H1210">
        <v>326.63</v>
      </c>
      <c r="I1210">
        <v>36</v>
      </c>
      <c r="J1210" t="s">
        <v>30</v>
      </c>
      <c r="K1210">
        <v>40502.120000000003</v>
      </c>
      <c r="L1210" t="str">
        <f t="shared" si="72"/>
        <v>Aug</v>
      </c>
      <c r="M1210">
        <f t="shared" si="73"/>
        <v>2025</v>
      </c>
      <c r="N1210">
        <f t="shared" si="74"/>
        <v>40502.120000000003</v>
      </c>
      <c r="O1210" t="str">
        <f t="shared" si="75"/>
        <v>Moderate Delay</v>
      </c>
    </row>
    <row r="1211" spans="1:15" x14ac:dyDescent="0.25">
      <c r="A1211">
        <v>1210</v>
      </c>
      <c r="B1211" s="2">
        <v>45764</v>
      </c>
      <c r="C1211" t="s">
        <v>31</v>
      </c>
      <c r="D1211" t="s">
        <v>17</v>
      </c>
      <c r="E1211" t="s">
        <v>19</v>
      </c>
      <c r="F1211" t="s">
        <v>21</v>
      </c>
      <c r="G1211">
        <v>69</v>
      </c>
      <c r="H1211">
        <v>768.93</v>
      </c>
      <c r="I1211">
        <v>0</v>
      </c>
      <c r="J1211" t="s">
        <v>15</v>
      </c>
      <c r="K1211">
        <v>53056.17</v>
      </c>
      <c r="L1211" t="str">
        <f t="shared" si="72"/>
        <v>Apr</v>
      </c>
      <c r="M1211">
        <f t="shared" si="73"/>
        <v>2025</v>
      </c>
      <c r="N1211">
        <f t="shared" si="74"/>
        <v>53056.17</v>
      </c>
      <c r="O1211" t="str">
        <f t="shared" si="75"/>
        <v>On Time</v>
      </c>
    </row>
    <row r="1212" spans="1:15" x14ac:dyDescent="0.25">
      <c r="A1212">
        <v>1211</v>
      </c>
      <c r="B1212" s="2">
        <v>45665</v>
      </c>
      <c r="C1212" t="s">
        <v>11</v>
      </c>
      <c r="D1212" t="s">
        <v>20</v>
      </c>
      <c r="E1212" t="s">
        <v>12</v>
      </c>
      <c r="F1212" t="s">
        <v>24</v>
      </c>
      <c r="G1212">
        <v>190</v>
      </c>
      <c r="H1212">
        <v>701.97</v>
      </c>
      <c r="I1212">
        <v>35</v>
      </c>
      <c r="J1212" t="s">
        <v>15</v>
      </c>
      <c r="K1212">
        <v>133374.29999999999</v>
      </c>
      <c r="L1212" t="str">
        <f t="shared" si="72"/>
        <v>Jan</v>
      </c>
      <c r="M1212">
        <f t="shared" si="73"/>
        <v>2025</v>
      </c>
      <c r="N1212">
        <f t="shared" si="74"/>
        <v>133374.30000000002</v>
      </c>
      <c r="O1212" t="str">
        <f t="shared" si="75"/>
        <v>Moderate Delay</v>
      </c>
    </row>
    <row r="1213" spans="1:15" x14ac:dyDescent="0.25">
      <c r="A1213">
        <v>1212</v>
      </c>
      <c r="B1213" s="2">
        <v>45744</v>
      </c>
      <c r="C1213" t="s">
        <v>26</v>
      </c>
      <c r="D1213" t="s">
        <v>20</v>
      </c>
      <c r="E1213" t="s">
        <v>22</v>
      </c>
      <c r="F1213" t="s">
        <v>14</v>
      </c>
      <c r="G1213">
        <v>67</v>
      </c>
      <c r="H1213">
        <v>267.29000000000002</v>
      </c>
      <c r="I1213">
        <v>0</v>
      </c>
      <c r="J1213" t="s">
        <v>15</v>
      </c>
      <c r="K1213">
        <v>17908.43</v>
      </c>
      <c r="L1213" t="str">
        <f t="shared" si="72"/>
        <v>Mar</v>
      </c>
      <c r="M1213">
        <f t="shared" si="73"/>
        <v>2025</v>
      </c>
      <c r="N1213">
        <f t="shared" si="74"/>
        <v>17908.43</v>
      </c>
      <c r="O1213" t="str">
        <f t="shared" si="75"/>
        <v>On Time</v>
      </c>
    </row>
    <row r="1214" spans="1:15" x14ac:dyDescent="0.25">
      <c r="A1214">
        <v>1213</v>
      </c>
      <c r="B1214" s="2">
        <v>45749</v>
      </c>
      <c r="C1214" t="s">
        <v>25</v>
      </c>
      <c r="D1214" t="s">
        <v>12</v>
      </c>
      <c r="E1214" t="s">
        <v>29</v>
      </c>
      <c r="F1214" t="s">
        <v>24</v>
      </c>
      <c r="G1214">
        <v>116</v>
      </c>
      <c r="H1214">
        <v>789.75</v>
      </c>
      <c r="I1214">
        <v>62</v>
      </c>
      <c r="J1214" t="s">
        <v>15</v>
      </c>
      <c r="K1214">
        <v>91611</v>
      </c>
      <c r="L1214" t="str">
        <f t="shared" si="72"/>
        <v>Apr</v>
      </c>
      <c r="M1214">
        <f t="shared" si="73"/>
        <v>2025</v>
      </c>
      <c r="N1214">
        <f t="shared" si="74"/>
        <v>91611</v>
      </c>
      <c r="O1214" t="str">
        <f t="shared" si="75"/>
        <v>Major Delay</v>
      </c>
    </row>
    <row r="1215" spans="1:15" x14ac:dyDescent="0.25">
      <c r="A1215">
        <v>1214</v>
      </c>
      <c r="B1215" s="2">
        <v>45949</v>
      </c>
      <c r="C1215" t="s">
        <v>18</v>
      </c>
      <c r="D1215" t="s">
        <v>29</v>
      </c>
      <c r="E1215" t="s">
        <v>12</v>
      </c>
      <c r="F1215" t="s">
        <v>14</v>
      </c>
      <c r="G1215">
        <v>143</v>
      </c>
      <c r="H1215">
        <v>695.66</v>
      </c>
      <c r="I1215">
        <v>14</v>
      </c>
      <c r="J1215" t="s">
        <v>15</v>
      </c>
      <c r="K1215">
        <v>99479.38</v>
      </c>
      <c r="L1215" t="str">
        <f t="shared" si="72"/>
        <v>Oct</v>
      </c>
      <c r="M1215">
        <f t="shared" si="73"/>
        <v>2025</v>
      </c>
      <c r="N1215">
        <f t="shared" si="74"/>
        <v>99479.37999999999</v>
      </c>
      <c r="O1215" t="str">
        <f t="shared" si="75"/>
        <v>Minor Delay</v>
      </c>
    </row>
    <row r="1216" spans="1:15" x14ac:dyDescent="0.25">
      <c r="A1216">
        <v>1215</v>
      </c>
      <c r="B1216" s="2">
        <v>45845</v>
      </c>
      <c r="C1216" t="s">
        <v>31</v>
      </c>
      <c r="D1216" t="s">
        <v>29</v>
      </c>
      <c r="E1216" t="s">
        <v>27</v>
      </c>
      <c r="F1216" t="s">
        <v>21</v>
      </c>
      <c r="G1216">
        <v>293</v>
      </c>
      <c r="H1216">
        <v>292.10000000000002</v>
      </c>
      <c r="I1216">
        <v>42</v>
      </c>
      <c r="J1216" t="s">
        <v>15</v>
      </c>
      <c r="K1216">
        <v>85585.3</v>
      </c>
      <c r="L1216" t="str">
        <f t="shared" si="72"/>
        <v>Jul</v>
      </c>
      <c r="M1216">
        <f t="shared" si="73"/>
        <v>2025</v>
      </c>
      <c r="N1216">
        <f t="shared" si="74"/>
        <v>85585.3</v>
      </c>
      <c r="O1216" t="str">
        <f t="shared" si="75"/>
        <v>Moderate Delay</v>
      </c>
    </row>
    <row r="1217" spans="1:15" x14ac:dyDescent="0.25">
      <c r="A1217">
        <v>1216</v>
      </c>
      <c r="B1217" s="2">
        <v>45783</v>
      </c>
      <c r="C1217" t="s">
        <v>25</v>
      </c>
      <c r="D1217" t="s">
        <v>13</v>
      </c>
      <c r="E1217" t="s">
        <v>12</v>
      </c>
      <c r="F1217" t="s">
        <v>21</v>
      </c>
      <c r="G1217">
        <v>52</v>
      </c>
      <c r="H1217">
        <v>174.38</v>
      </c>
      <c r="I1217">
        <v>32</v>
      </c>
      <c r="J1217" t="s">
        <v>15</v>
      </c>
      <c r="K1217">
        <v>9067.76</v>
      </c>
      <c r="L1217" t="str">
        <f t="shared" si="72"/>
        <v>May</v>
      </c>
      <c r="M1217">
        <f t="shared" si="73"/>
        <v>2025</v>
      </c>
      <c r="N1217">
        <f t="shared" si="74"/>
        <v>9067.76</v>
      </c>
      <c r="O1217" t="str">
        <f t="shared" si="75"/>
        <v>Moderate Delay</v>
      </c>
    </row>
    <row r="1218" spans="1:15" x14ac:dyDescent="0.25">
      <c r="A1218">
        <v>1217</v>
      </c>
      <c r="B1218" s="2">
        <v>45949</v>
      </c>
      <c r="C1218" t="s">
        <v>18</v>
      </c>
      <c r="D1218" t="s">
        <v>17</v>
      </c>
      <c r="E1218" t="s">
        <v>29</v>
      </c>
      <c r="F1218" t="s">
        <v>14</v>
      </c>
      <c r="G1218">
        <v>107</v>
      </c>
      <c r="H1218">
        <v>347.29</v>
      </c>
      <c r="I1218">
        <v>9</v>
      </c>
      <c r="J1218" t="s">
        <v>15</v>
      </c>
      <c r="K1218">
        <v>37160.03</v>
      </c>
      <c r="L1218" t="str">
        <f t="shared" si="72"/>
        <v>Oct</v>
      </c>
      <c r="M1218">
        <f t="shared" si="73"/>
        <v>2025</v>
      </c>
      <c r="N1218">
        <f t="shared" si="74"/>
        <v>37160.03</v>
      </c>
      <c r="O1218" t="str">
        <f t="shared" si="75"/>
        <v>Minor Delay</v>
      </c>
    </row>
    <row r="1219" spans="1:15" x14ac:dyDescent="0.25">
      <c r="A1219">
        <v>1218</v>
      </c>
      <c r="B1219" s="2">
        <v>45713</v>
      </c>
      <c r="C1219" t="s">
        <v>16</v>
      </c>
      <c r="D1219" t="s">
        <v>27</v>
      </c>
      <c r="E1219" t="s">
        <v>20</v>
      </c>
      <c r="F1219" t="s">
        <v>14</v>
      </c>
      <c r="G1219">
        <v>237</v>
      </c>
      <c r="H1219">
        <v>140.18</v>
      </c>
      <c r="I1219">
        <v>22</v>
      </c>
      <c r="J1219" t="s">
        <v>30</v>
      </c>
      <c r="K1219">
        <v>33222.660000000003</v>
      </c>
      <c r="L1219" t="str">
        <f t="shared" ref="L1219:L1282" si="76">TEXT(B1219,"MMM")</f>
        <v>Feb</v>
      </c>
      <c r="M1219">
        <f t="shared" ref="M1219:M1282" si="77">YEAR(B1219)</f>
        <v>2025</v>
      </c>
      <c r="N1219">
        <f t="shared" ref="N1219:N1282" si="78">G1219*H1219</f>
        <v>33222.660000000003</v>
      </c>
      <c r="O1219" t="str">
        <f t="shared" ref="O1219:O1282" si="79">IF(I1219=0,"On Time",IF(I1219&lt;=30,"Minor Delay",IF(I1219&lt;=60,"Moderate Delay","Major Delay")))</f>
        <v>Minor Delay</v>
      </c>
    </row>
    <row r="1220" spans="1:15" x14ac:dyDescent="0.25">
      <c r="A1220">
        <v>1219</v>
      </c>
      <c r="B1220" s="2">
        <v>45760</v>
      </c>
      <c r="C1220" t="s">
        <v>18</v>
      </c>
      <c r="D1220" t="s">
        <v>17</v>
      </c>
      <c r="E1220" t="s">
        <v>20</v>
      </c>
      <c r="F1220" t="s">
        <v>24</v>
      </c>
      <c r="G1220">
        <v>66</v>
      </c>
      <c r="H1220">
        <v>294.79000000000002</v>
      </c>
      <c r="I1220">
        <v>48</v>
      </c>
      <c r="J1220" t="s">
        <v>15</v>
      </c>
      <c r="K1220">
        <v>19456.14</v>
      </c>
      <c r="L1220" t="str">
        <f t="shared" si="76"/>
        <v>Apr</v>
      </c>
      <c r="M1220">
        <f t="shared" si="77"/>
        <v>2025</v>
      </c>
      <c r="N1220">
        <f t="shared" si="78"/>
        <v>19456.140000000003</v>
      </c>
      <c r="O1220" t="str">
        <f t="shared" si="79"/>
        <v>Moderate Delay</v>
      </c>
    </row>
    <row r="1221" spans="1:15" x14ac:dyDescent="0.25">
      <c r="A1221">
        <v>1220</v>
      </c>
      <c r="B1221" s="2">
        <v>45800</v>
      </c>
      <c r="C1221" t="s">
        <v>18</v>
      </c>
      <c r="D1221" t="s">
        <v>20</v>
      </c>
      <c r="E1221" t="s">
        <v>12</v>
      </c>
      <c r="F1221" t="s">
        <v>14</v>
      </c>
      <c r="G1221">
        <v>189</v>
      </c>
      <c r="H1221">
        <v>175.25</v>
      </c>
      <c r="I1221">
        <v>19</v>
      </c>
      <c r="J1221" t="s">
        <v>15</v>
      </c>
      <c r="K1221">
        <v>33122.25</v>
      </c>
      <c r="L1221" t="str">
        <f t="shared" si="76"/>
        <v>May</v>
      </c>
      <c r="M1221">
        <f t="shared" si="77"/>
        <v>2025</v>
      </c>
      <c r="N1221">
        <f t="shared" si="78"/>
        <v>33122.25</v>
      </c>
      <c r="O1221" t="str">
        <f t="shared" si="79"/>
        <v>Minor Delay</v>
      </c>
    </row>
    <row r="1222" spans="1:15" x14ac:dyDescent="0.25">
      <c r="A1222">
        <v>1221</v>
      </c>
      <c r="B1222" s="2">
        <v>45948</v>
      </c>
      <c r="C1222" t="s">
        <v>16</v>
      </c>
      <c r="D1222" t="s">
        <v>19</v>
      </c>
      <c r="E1222" t="s">
        <v>17</v>
      </c>
      <c r="F1222" t="s">
        <v>21</v>
      </c>
      <c r="G1222">
        <v>248</v>
      </c>
      <c r="H1222">
        <v>341.41</v>
      </c>
      <c r="I1222">
        <v>41</v>
      </c>
      <c r="J1222" t="s">
        <v>15</v>
      </c>
      <c r="K1222">
        <v>84669.68</v>
      </c>
      <c r="L1222" t="str">
        <f t="shared" si="76"/>
        <v>Oct</v>
      </c>
      <c r="M1222">
        <f t="shared" si="77"/>
        <v>2025</v>
      </c>
      <c r="N1222">
        <f t="shared" si="78"/>
        <v>84669.680000000008</v>
      </c>
      <c r="O1222" t="str">
        <f t="shared" si="79"/>
        <v>Moderate Delay</v>
      </c>
    </row>
    <row r="1223" spans="1:15" x14ac:dyDescent="0.25">
      <c r="A1223">
        <v>1222</v>
      </c>
      <c r="B1223" s="2">
        <v>45685</v>
      </c>
      <c r="C1223" t="s">
        <v>11</v>
      </c>
      <c r="D1223" t="s">
        <v>20</v>
      </c>
      <c r="E1223" t="s">
        <v>19</v>
      </c>
      <c r="F1223" t="s">
        <v>14</v>
      </c>
      <c r="G1223">
        <v>293</v>
      </c>
      <c r="H1223">
        <v>621.38</v>
      </c>
      <c r="I1223">
        <v>10</v>
      </c>
      <c r="J1223" t="s">
        <v>15</v>
      </c>
      <c r="K1223">
        <v>182064.34</v>
      </c>
      <c r="L1223" t="str">
        <f t="shared" si="76"/>
        <v>Jan</v>
      </c>
      <c r="M1223">
        <f t="shared" si="77"/>
        <v>2025</v>
      </c>
      <c r="N1223">
        <f t="shared" si="78"/>
        <v>182064.34</v>
      </c>
      <c r="O1223" t="str">
        <f t="shared" si="79"/>
        <v>Minor Delay</v>
      </c>
    </row>
    <row r="1224" spans="1:15" x14ac:dyDescent="0.25">
      <c r="A1224">
        <v>1223</v>
      </c>
      <c r="B1224" s="2">
        <v>45700</v>
      </c>
      <c r="C1224" t="s">
        <v>11</v>
      </c>
      <c r="D1224" t="s">
        <v>23</v>
      </c>
      <c r="E1224" t="s">
        <v>29</v>
      </c>
      <c r="F1224" t="s">
        <v>14</v>
      </c>
      <c r="G1224">
        <v>120</v>
      </c>
      <c r="H1224">
        <v>359.75</v>
      </c>
      <c r="I1224">
        <v>8</v>
      </c>
      <c r="J1224" t="s">
        <v>30</v>
      </c>
      <c r="K1224">
        <v>43170</v>
      </c>
      <c r="L1224" t="str">
        <f t="shared" si="76"/>
        <v>Feb</v>
      </c>
      <c r="M1224">
        <f t="shared" si="77"/>
        <v>2025</v>
      </c>
      <c r="N1224">
        <f t="shared" si="78"/>
        <v>43170</v>
      </c>
      <c r="O1224" t="str">
        <f t="shared" si="79"/>
        <v>Minor Delay</v>
      </c>
    </row>
    <row r="1225" spans="1:15" x14ac:dyDescent="0.25">
      <c r="A1225">
        <v>1224</v>
      </c>
      <c r="B1225" s="2">
        <v>46000</v>
      </c>
      <c r="C1225" t="s">
        <v>26</v>
      </c>
      <c r="D1225" t="s">
        <v>27</v>
      </c>
      <c r="E1225" t="s">
        <v>19</v>
      </c>
      <c r="F1225" t="s">
        <v>14</v>
      </c>
      <c r="G1225">
        <v>262</v>
      </c>
      <c r="H1225">
        <v>99.77</v>
      </c>
      <c r="I1225">
        <v>57</v>
      </c>
      <c r="J1225" t="s">
        <v>30</v>
      </c>
      <c r="K1225">
        <v>26139.74</v>
      </c>
      <c r="L1225" t="str">
        <f t="shared" si="76"/>
        <v>Dec</v>
      </c>
      <c r="M1225">
        <f t="shared" si="77"/>
        <v>2025</v>
      </c>
      <c r="N1225">
        <f t="shared" si="78"/>
        <v>26139.739999999998</v>
      </c>
      <c r="O1225" t="str">
        <f t="shared" si="79"/>
        <v>Moderate Delay</v>
      </c>
    </row>
    <row r="1226" spans="1:15" x14ac:dyDescent="0.25">
      <c r="A1226">
        <v>1225</v>
      </c>
      <c r="B1226" s="2">
        <v>45810</v>
      </c>
      <c r="C1226" t="s">
        <v>11</v>
      </c>
      <c r="D1226" t="s">
        <v>17</v>
      </c>
      <c r="E1226" t="s">
        <v>22</v>
      </c>
      <c r="F1226" t="s">
        <v>14</v>
      </c>
      <c r="G1226">
        <v>139</v>
      </c>
      <c r="H1226">
        <v>757.04</v>
      </c>
      <c r="I1226">
        <v>0</v>
      </c>
      <c r="J1226" t="s">
        <v>15</v>
      </c>
      <c r="K1226">
        <v>105228.56</v>
      </c>
      <c r="L1226" t="str">
        <f t="shared" si="76"/>
        <v>Jun</v>
      </c>
      <c r="M1226">
        <f t="shared" si="77"/>
        <v>2025</v>
      </c>
      <c r="N1226">
        <f t="shared" si="78"/>
        <v>105228.56</v>
      </c>
      <c r="O1226" t="str">
        <f t="shared" si="79"/>
        <v>On Time</v>
      </c>
    </row>
    <row r="1227" spans="1:15" x14ac:dyDescent="0.25">
      <c r="A1227">
        <v>1226</v>
      </c>
      <c r="B1227" s="2">
        <v>46012</v>
      </c>
      <c r="C1227" t="s">
        <v>31</v>
      </c>
      <c r="D1227" t="s">
        <v>17</v>
      </c>
      <c r="E1227" t="s">
        <v>22</v>
      </c>
      <c r="F1227" t="s">
        <v>24</v>
      </c>
      <c r="G1227">
        <v>260</v>
      </c>
      <c r="H1227">
        <v>67.349999999999994</v>
      </c>
      <c r="I1227">
        <v>23</v>
      </c>
      <c r="J1227" t="s">
        <v>15</v>
      </c>
      <c r="K1227">
        <v>17511</v>
      </c>
      <c r="L1227" t="str">
        <f t="shared" si="76"/>
        <v>Dec</v>
      </c>
      <c r="M1227">
        <f t="shared" si="77"/>
        <v>2025</v>
      </c>
      <c r="N1227">
        <f t="shared" si="78"/>
        <v>17511</v>
      </c>
      <c r="O1227" t="str">
        <f t="shared" si="79"/>
        <v>Minor Delay</v>
      </c>
    </row>
    <row r="1228" spans="1:15" x14ac:dyDescent="0.25">
      <c r="A1228">
        <v>1227</v>
      </c>
      <c r="B1228" s="2">
        <v>45999</v>
      </c>
      <c r="C1228" t="s">
        <v>31</v>
      </c>
      <c r="D1228" t="s">
        <v>19</v>
      </c>
      <c r="E1228" t="s">
        <v>12</v>
      </c>
      <c r="F1228" t="s">
        <v>21</v>
      </c>
      <c r="G1228">
        <v>87</v>
      </c>
      <c r="H1228">
        <v>299.56</v>
      </c>
      <c r="I1228">
        <v>78</v>
      </c>
      <c r="J1228" t="s">
        <v>15</v>
      </c>
      <c r="K1228">
        <v>26061.72</v>
      </c>
      <c r="L1228" t="str">
        <f t="shared" si="76"/>
        <v>Dec</v>
      </c>
      <c r="M1228">
        <f t="shared" si="77"/>
        <v>2025</v>
      </c>
      <c r="N1228">
        <f t="shared" si="78"/>
        <v>26061.72</v>
      </c>
      <c r="O1228" t="str">
        <f t="shared" si="79"/>
        <v>Major Delay</v>
      </c>
    </row>
    <row r="1229" spans="1:15" x14ac:dyDescent="0.25">
      <c r="A1229">
        <v>1228</v>
      </c>
      <c r="B1229" s="2">
        <v>45735</v>
      </c>
      <c r="C1229" t="s">
        <v>18</v>
      </c>
      <c r="D1229" t="s">
        <v>22</v>
      </c>
      <c r="E1229" t="s">
        <v>13</v>
      </c>
      <c r="F1229" t="s">
        <v>14</v>
      </c>
      <c r="G1229">
        <v>177</v>
      </c>
      <c r="H1229">
        <v>699.58</v>
      </c>
      <c r="I1229">
        <v>14</v>
      </c>
      <c r="J1229" t="s">
        <v>15</v>
      </c>
      <c r="K1229">
        <v>123825.66</v>
      </c>
      <c r="L1229" t="str">
        <f t="shared" si="76"/>
        <v>Mar</v>
      </c>
      <c r="M1229">
        <f t="shared" si="77"/>
        <v>2025</v>
      </c>
      <c r="N1229">
        <f t="shared" si="78"/>
        <v>123825.66</v>
      </c>
      <c r="O1229" t="str">
        <f t="shared" si="79"/>
        <v>Minor Delay</v>
      </c>
    </row>
    <row r="1230" spans="1:15" x14ac:dyDescent="0.25">
      <c r="A1230">
        <v>1229</v>
      </c>
      <c r="B1230" s="2">
        <v>45924</v>
      </c>
      <c r="C1230" t="s">
        <v>25</v>
      </c>
      <c r="D1230" t="s">
        <v>17</v>
      </c>
      <c r="E1230" t="s">
        <v>23</v>
      </c>
      <c r="F1230" t="s">
        <v>14</v>
      </c>
      <c r="G1230">
        <v>165</v>
      </c>
      <c r="H1230">
        <v>758.06</v>
      </c>
      <c r="I1230">
        <v>42</v>
      </c>
      <c r="J1230" t="s">
        <v>15</v>
      </c>
      <c r="K1230">
        <v>125079.9</v>
      </c>
      <c r="L1230" t="str">
        <f t="shared" si="76"/>
        <v>Sep</v>
      </c>
      <c r="M1230">
        <f t="shared" si="77"/>
        <v>2025</v>
      </c>
      <c r="N1230">
        <f t="shared" si="78"/>
        <v>125079.9</v>
      </c>
      <c r="O1230" t="str">
        <f t="shared" si="79"/>
        <v>Moderate Delay</v>
      </c>
    </row>
    <row r="1231" spans="1:15" x14ac:dyDescent="0.25">
      <c r="A1231">
        <v>1230</v>
      </c>
      <c r="B1231" s="2">
        <v>45769</v>
      </c>
      <c r="C1231" t="s">
        <v>25</v>
      </c>
      <c r="D1231" t="s">
        <v>12</v>
      </c>
      <c r="E1231" t="s">
        <v>13</v>
      </c>
      <c r="F1231" t="s">
        <v>14</v>
      </c>
      <c r="G1231">
        <v>157</v>
      </c>
      <c r="H1231">
        <v>575.37</v>
      </c>
      <c r="I1231">
        <v>0</v>
      </c>
      <c r="J1231" t="s">
        <v>15</v>
      </c>
      <c r="K1231">
        <v>90333.09</v>
      </c>
      <c r="L1231" t="str">
        <f t="shared" si="76"/>
        <v>Apr</v>
      </c>
      <c r="M1231">
        <f t="shared" si="77"/>
        <v>2025</v>
      </c>
      <c r="N1231">
        <f t="shared" si="78"/>
        <v>90333.09</v>
      </c>
      <c r="O1231" t="str">
        <f t="shared" si="79"/>
        <v>On Time</v>
      </c>
    </row>
    <row r="1232" spans="1:15" x14ac:dyDescent="0.25">
      <c r="A1232">
        <v>1231</v>
      </c>
      <c r="B1232" s="2">
        <v>45836</v>
      </c>
      <c r="C1232" t="s">
        <v>11</v>
      </c>
      <c r="D1232" t="s">
        <v>17</v>
      </c>
      <c r="E1232" t="s">
        <v>19</v>
      </c>
      <c r="F1232" t="s">
        <v>14</v>
      </c>
      <c r="G1232">
        <v>298</v>
      </c>
      <c r="H1232">
        <v>562.91999999999996</v>
      </c>
      <c r="I1232">
        <v>43</v>
      </c>
      <c r="J1232" t="s">
        <v>15</v>
      </c>
      <c r="K1232">
        <v>167750.16</v>
      </c>
      <c r="L1232" t="str">
        <f t="shared" si="76"/>
        <v>Jun</v>
      </c>
      <c r="M1232">
        <f t="shared" si="77"/>
        <v>2025</v>
      </c>
      <c r="N1232">
        <f t="shared" si="78"/>
        <v>167750.15999999997</v>
      </c>
      <c r="O1232" t="str">
        <f t="shared" si="79"/>
        <v>Moderate Delay</v>
      </c>
    </row>
    <row r="1233" spans="1:15" x14ac:dyDescent="0.25">
      <c r="A1233">
        <v>1232</v>
      </c>
      <c r="B1233" s="2">
        <v>45915</v>
      </c>
      <c r="C1233" t="s">
        <v>16</v>
      </c>
      <c r="D1233" t="s">
        <v>23</v>
      </c>
      <c r="E1233" t="s">
        <v>22</v>
      </c>
      <c r="F1233" t="s">
        <v>21</v>
      </c>
      <c r="G1233">
        <v>177</v>
      </c>
      <c r="H1233">
        <v>540.19000000000005</v>
      </c>
      <c r="I1233">
        <v>13</v>
      </c>
      <c r="J1233" t="s">
        <v>15</v>
      </c>
      <c r="K1233">
        <v>95613.63</v>
      </c>
      <c r="L1233" t="str">
        <f t="shared" si="76"/>
        <v>Sep</v>
      </c>
      <c r="M1233">
        <f t="shared" si="77"/>
        <v>2025</v>
      </c>
      <c r="N1233">
        <f t="shared" si="78"/>
        <v>95613.63</v>
      </c>
      <c r="O1233" t="str">
        <f t="shared" si="79"/>
        <v>Minor Delay</v>
      </c>
    </row>
    <row r="1234" spans="1:15" x14ac:dyDescent="0.25">
      <c r="A1234">
        <v>1233</v>
      </c>
      <c r="B1234" s="2">
        <v>45838</v>
      </c>
      <c r="C1234" t="s">
        <v>31</v>
      </c>
      <c r="D1234" t="s">
        <v>17</v>
      </c>
      <c r="E1234" t="s">
        <v>22</v>
      </c>
      <c r="F1234" t="s">
        <v>24</v>
      </c>
      <c r="G1234">
        <v>183</v>
      </c>
      <c r="H1234">
        <v>780.81</v>
      </c>
      <c r="I1234">
        <v>0</v>
      </c>
      <c r="J1234" t="s">
        <v>15</v>
      </c>
      <c r="K1234">
        <v>142888.23000000001</v>
      </c>
      <c r="L1234" t="str">
        <f t="shared" si="76"/>
        <v>Jun</v>
      </c>
      <c r="M1234">
        <f t="shared" si="77"/>
        <v>2025</v>
      </c>
      <c r="N1234">
        <f t="shared" si="78"/>
        <v>142888.22999999998</v>
      </c>
      <c r="O1234" t="str">
        <f t="shared" si="79"/>
        <v>On Time</v>
      </c>
    </row>
    <row r="1235" spans="1:15" x14ac:dyDescent="0.25">
      <c r="A1235">
        <v>1234</v>
      </c>
      <c r="B1235" s="2">
        <v>45941</v>
      </c>
      <c r="C1235" t="s">
        <v>31</v>
      </c>
      <c r="D1235" t="s">
        <v>22</v>
      </c>
      <c r="E1235" t="s">
        <v>29</v>
      </c>
      <c r="F1235" t="s">
        <v>14</v>
      </c>
      <c r="G1235">
        <v>188</v>
      </c>
      <c r="H1235">
        <v>382.55</v>
      </c>
      <c r="I1235">
        <v>68</v>
      </c>
      <c r="J1235" t="s">
        <v>15</v>
      </c>
      <c r="K1235">
        <v>71919.399999999994</v>
      </c>
      <c r="L1235" t="str">
        <f t="shared" si="76"/>
        <v>Oct</v>
      </c>
      <c r="M1235">
        <f t="shared" si="77"/>
        <v>2025</v>
      </c>
      <c r="N1235">
        <f t="shared" si="78"/>
        <v>71919.400000000009</v>
      </c>
      <c r="O1235" t="str">
        <f t="shared" si="79"/>
        <v>Major Delay</v>
      </c>
    </row>
    <row r="1236" spans="1:15" x14ac:dyDescent="0.25">
      <c r="A1236">
        <v>1235</v>
      </c>
      <c r="B1236" s="2">
        <v>46017</v>
      </c>
      <c r="C1236" t="s">
        <v>31</v>
      </c>
      <c r="D1236" t="s">
        <v>17</v>
      </c>
      <c r="E1236" t="s">
        <v>23</v>
      </c>
      <c r="F1236" t="s">
        <v>14</v>
      </c>
      <c r="G1236">
        <v>72</v>
      </c>
      <c r="H1236">
        <v>656.4</v>
      </c>
      <c r="I1236">
        <v>48</v>
      </c>
      <c r="J1236" t="s">
        <v>15</v>
      </c>
      <c r="K1236">
        <v>47260.800000000003</v>
      </c>
      <c r="L1236" t="str">
        <f t="shared" si="76"/>
        <v>Dec</v>
      </c>
      <c r="M1236">
        <f t="shared" si="77"/>
        <v>2025</v>
      </c>
      <c r="N1236">
        <f t="shared" si="78"/>
        <v>47260.799999999996</v>
      </c>
      <c r="O1236" t="str">
        <f t="shared" si="79"/>
        <v>Moderate Delay</v>
      </c>
    </row>
    <row r="1237" spans="1:15" x14ac:dyDescent="0.25">
      <c r="A1237">
        <v>1236</v>
      </c>
      <c r="B1237" s="2">
        <v>45912</v>
      </c>
      <c r="C1237" t="s">
        <v>25</v>
      </c>
      <c r="D1237" t="s">
        <v>17</v>
      </c>
      <c r="E1237" t="s">
        <v>12</v>
      </c>
      <c r="F1237" t="s">
        <v>21</v>
      </c>
      <c r="G1237">
        <v>287</v>
      </c>
      <c r="H1237">
        <v>463.1</v>
      </c>
      <c r="I1237">
        <v>41</v>
      </c>
      <c r="J1237" t="s">
        <v>15</v>
      </c>
      <c r="K1237">
        <v>132909.70000000001</v>
      </c>
      <c r="L1237" t="str">
        <f t="shared" si="76"/>
        <v>Sep</v>
      </c>
      <c r="M1237">
        <f t="shared" si="77"/>
        <v>2025</v>
      </c>
      <c r="N1237">
        <f t="shared" si="78"/>
        <v>132909.70000000001</v>
      </c>
      <c r="O1237" t="str">
        <f t="shared" si="79"/>
        <v>Moderate Delay</v>
      </c>
    </row>
    <row r="1238" spans="1:15" x14ac:dyDescent="0.25">
      <c r="A1238">
        <v>1237</v>
      </c>
      <c r="B1238" s="2">
        <v>45999</v>
      </c>
      <c r="C1238" t="s">
        <v>26</v>
      </c>
      <c r="D1238" t="s">
        <v>27</v>
      </c>
      <c r="E1238" t="s">
        <v>13</v>
      </c>
      <c r="F1238" t="s">
        <v>24</v>
      </c>
      <c r="G1238">
        <v>104</v>
      </c>
      <c r="H1238">
        <v>224.93</v>
      </c>
      <c r="I1238">
        <v>0</v>
      </c>
      <c r="J1238" t="s">
        <v>15</v>
      </c>
      <c r="K1238">
        <v>23392.720000000001</v>
      </c>
      <c r="L1238" t="str">
        <f t="shared" si="76"/>
        <v>Dec</v>
      </c>
      <c r="M1238">
        <f t="shared" si="77"/>
        <v>2025</v>
      </c>
      <c r="N1238">
        <f t="shared" si="78"/>
        <v>23392.720000000001</v>
      </c>
      <c r="O1238" t="str">
        <f t="shared" si="79"/>
        <v>On Time</v>
      </c>
    </row>
    <row r="1239" spans="1:15" x14ac:dyDescent="0.25">
      <c r="A1239">
        <v>1238</v>
      </c>
      <c r="B1239" s="2">
        <v>45837</v>
      </c>
      <c r="C1239" t="s">
        <v>18</v>
      </c>
      <c r="D1239" t="s">
        <v>20</v>
      </c>
      <c r="E1239" t="s">
        <v>12</v>
      </c>
      <c r="F1239" t="s">
        <v>24</v>
      </c>
      <c r="G1239">
        <v>282</v>
      </c>
      <c r="H1239">
        <v>667.11</v>
      </c>
      <c r="I1239">
        <v>26</v>
      </c>
      <c r="J1239" t="s">
        <v>15</v>
      </c>
      <c r="K1239">
        <v>188125.02</v>
      </c>
      <c r="L1239" t="str">
        <f t="shared" si="76"/>
        <v>Jun</v>
      </c>
      <c r="M1239">
        <f t="shared" si="77"/>
        <v>2025</v>
      </c>
      <c r="N1239">
        <f t="shared" si="78"/>
        <v>188125.02</v>
      </c>
      <c r="O1239" t="str">
        <f t="shared" si="79"/>
        <v>Minor Delay</v>
      </c>
    </row>
    <row r="1240" spans="1:15" x14ac:dyDescent="0.25">
      <c r="A1240">
        <v>1239</v>
      </c>
      <c r="B1240" s="2">
        <v>45849</v>
      </c>
      <c r="C1240" t="s">
        <v>11</v>
      </c>
      <c r="D1240" t="s">
        <v>17</v>
      </c>
      <c r="E1240" t="s">
        <v>13</v>
      </c>
      <c r="F1240" t="s">
        <v>21</v>
      </c>
      <c r="G1240">
        <v>122</v>
      </c>
      <c r="H1240">
        <v>258.02999999999997</v>
      </c>
      <c r="I1240">
        <v>8</v>
      </c>
      <c r="J1240" t="s">
        <v>30</v>
      </c>
      <c r="K1240">
        <v>31479.66</v>
      </c>
      <c r="L1240" t="str">
        <f t="shared" si="76"/>
        <v>Jul</v>
      </c>
      <c r="M1240">
        <f t="shared" si="77"/>
        <v>2025</v>
      </c>
      <c r="N1240">
        <f t="shared" si="78"/>
        <v>31479.659999999996</v>
      </c>
      <c r="O1240" t="str">
        <f t="shared" si="79"/>
        <v>Minor Delay</v>
      </c>
    </row>
    <row r="1241" spans="1:15" x14ac:dyDescent="0.25">
      <c r="A1241">
        <v>1240</v>
      </c>
      <c r="B1241" s="2">
        <v>45660</v>
      </c>
      <c r="C1241" t="s">
        <v>18</v>
      </c>
      <c r="D1241" t="s">
        <v>17</v>
      </c>
      <c r="E1241" t="s">
        <v>19</v>
      </c>
      <c r="F1241" t="s">
        <v>14</v>
      </c>
      <c r="G1241">
        <v>53</v>
      </c>
      <c r="H1241">
        <v>79.42</v>
      </c>
      <c r="I1241">
        <v>2</v>
      </c>
      <c r="J1241" t="s">
        <v>15</v>
      </c>
      <c r="K1241">
        <v>4209.26</v>
      </c>
      <c r="L1241" t="str">
        <f t="shared" si="76"/>
        <v>Jan</v>
      </c>
      <c r="M1241">
        <f t="shared" si="77"/>
        <v>2025</v>
      </c>
      <c r="N1241">
        <f t="shared" si="78"/>
        <v>4209.26</v>
      </c>
      <c r="O1241" t="str">
        <f t="shared" si="79"/>
        <v>Minor Delay</v>
      </c>
    </row>
    <row r="1242" spans="1:15" x14ac:dyDescent="0.25">
      <c r="A1242">
        <v>1241</v>
      </c>
      <c r="B1242" s="2">
        <v>45829</v>
      </c>
      <c r="C1242" t="s">
        <v>11</v>
      </c>
      <c r="D1242" t="s">
        <v>27</v>
      </c>
      <c r="E1242" t="s">
        <v>22</v>
      </c>
      <c r="F1242" t="s">
        <v>21</v>
      </c>
      <c r="G1242">
        <v>160</v>
      </c>
      <c r="H1242">
        <v>238.96</v>
      </c>
      <c r="I1242">
        <v>36</v>
      </c>
      <c r="J1242" t="s">
        <v>15</v>
      </c>
      <c r="K1242">
        <v>38233.599999999999</v>
      </c>
      <c r="L1242" t="str">
        <f t="shared" si="76"/>
        <v>Jun</v>
      </c>
      <c r="M1242">
        <f t="shared" si="77"/>
        <v>2025</v>
      </c>
      <c r="N1242">
        <f t="shared" si="78"/>
        <v>38233.599999999999</v>
      </c>
      <c r="O1242" t="str">
        <f t="shared" si="79"/>
        <v>Moderate Delay</v>
      </c>
    </row>
    <row r="1243" spans="1:15" x14ac:dyDescent="0.25">
      <c r="A1243">
        <v>1242</v>
      </c>
      <c r="B1243" s="2">
        <v>45723</v>
      </c>
      <c r="C1243" t="s">
        <v>25</v>
      </c>
      <c r="D1243" t="s">
        <v>13</v>
      </c>
      <c r="E1243" t="s">
        <v>20</v>
      </c>
      <c r="F1243" t="s">
        <v>24</v>
      </c>
      <c r="G1243">
        <v>300</v>
      </c>
      <c r="H1243">
        <v>598.79999999999995</v>
      </c>
      <c r="I1243">
        <v>17</v>
      </c>
      <c r="J1243" t="s">
        <v>15</v>
      </c>
      <c r="K1243">
        <v>179640</v>
      </c>
      <c r="L1243" t="str">
        <f t="shared" si="76"/>
        <v>Mar</v>
      </c>
      <c r="M1243">
        <f t="shared" si="77"/>
        <v>2025</v>
      </c>
      <c r="N1243">
        <f t="shared" si="78"/>
        <v>179640</v>
      </c>
      <c r="O1243" t="str">
        <f t="shared" si="79"/>
        <v>Minor Delay</v>
      </c>
    </row>
    <row r="1244" spans="1:15" x14ac:dyDescent="0.25">
      <c r="A1244">
        <v>1243</v>
      </c>
      <c r="B1244" s="2">
        <v>45881</v>
      </c>
      <c r="C1244" t="s">
        <v>11</v>
      </c>
      <c r="D1244" t="s">
        <v>22</v>
      </c>
      <c r="E1244" t="s">
        <v>29</v>
      </c>
      <c r="F1244" t="s">
        <v>14</v>
      </c>
      <c r="G1244">
        <v>231</v>
      </c>
      <c r="H1244">
        <v>652.87</v>
      </c>
      <c r="I1244">
        <v>0</v>
      </c>
      <c r="J1244" t="s">
        <v>15</v>
      </c>
      <c r="K1244">
        <v>150812.97</v>
      </c>
      <c r="L1244" t="str">
        <f t="shared" si="76"/>
        <v>Aug</v>
      </c>
      <c r="M1244">
        <f t="shared" si="77"/>
        <v>2025</v>
      </c>
      <c r="N1244">
        <f t="shared" si="78"/>
        <v>150812.97</v>
      </c>
      <c r="O1244" t="str">
        <f t="shared" si="79"/>
        <v>On Time</v>
      </c>
    </row>
    <row r="1245" spans="1:15" x14ac:dyDescent="0.25">
      <c r="A1245">
        <v>1244</v>
      </c>
      <c r="B1245" s="2">
        <v>45823</v>
      </c>
      <c r="C1245" t="s">
        <v>11</v>
      </c>
      <c r="D1245" t="s">
        <v>23</v>
      </c>
      <c r="E1245" t="s">
        <v>29</v>
      </c>
      <c r="F1245" t="s">
        <v>14</v>
      </c>
      <c r="G1245">
        <v>73</v>
      </c>
      <c r="H1245">
        <v>78.97</v>
      </c>
      <c r="I1245">
        <v>19</v>
      </c>
      <c r="J1245" t="s">
        <v>15</v>
      </c>
      <c r="K1245">
        <v>5764.81</v>
      </c>
      <c r="L1245" t="str">
        <f t="shared" si="76"/>
        <v>Jun</v>
      </c>
      <c r="M1245">
        <f t="shared" si="77"/>
        <v>2025</v>
      </c>
      <c r="N1245">
        <f t="shared" si="78"/>
        <v>5764.8099999999995</v>
      </c>
      <c r="O1245" t="str">
        <f t="shared" si="79"/>
        <v>Minor Delay</v>
      </c>
    </row>
    <row r="1246" spans="1:15" x14ac:dyDescent="0.25">
      <c r="A1246">
        <v>1245</v>
      </c>
      <c r="B1246" s="2">
        <v>45974</v>
      </c>
      <c r="C1246" t="s">
        <v>25</v>
      </c>
      <c r="D1246" t="s">
        <v>29</v>
      </c>
      <c r="E1246" t="s">
        <v>13</v>
      </c>
      <c r="F1246" t="s">
        <v>21</v>
      </c>
      <c r="G1246">
        <v>285</v>
      </c>
      <c r="H1246">
        <v>779.58</v>
      </c>
      <c r="I1246">
        <v>14</v>
      </c>
      <c r="J1246" t="s">
        <v>15</v>
      </c>
      <c r="K1246">
        <v>222180.3</v>
      </c>
      <c r="L1246" t="str">
        <f t="shared" si="76"/>
        <v>Nov</v>
      </c>
      <c r="M1246">
        <f t="shared" si="77"/>
        <v>2025</v>
      </c>
      <c r="N1246">
        <f t="shared" si="78"/>
        <v>222180.30000000002</v>
      </c>
      <c r="O1246" t="str">
        <f t="shared" si="79"/>
        <v>Minor Delay</v>
      </c>
    </row>
    <row r="1247" spans="1:15" x14ac:dyDescent="0.25">
      <c r="A1247">
        <v>1246</v>
      </c>
      <c r="B1247" s="2">
        <v>45753</v>
      </c>
      <c r="C1247" t="s">
        <v>11</v>
      </c>
      <c r="D1247" t="s">
        <v>20</v>
      </c>
      <c r="E1247" t="s">
        <v>22</v>
      </c>
      <c r="F1247" t="s">
        <v>21</v>
      </c>
      <c r="G1247">
        <v>279</v>
      </c>
      <c r="H1247">
        <v>224.1</v>
      </c>
      <c r="I1247">
        <v>17</v>
      </c>
      <c r="J1247" t="s">
        <v>15</v>
      </c>
      <c r="K1247">
        <v>62523.9</v>
      </c>
      <c r="L1247" t="str">
        <f t="shared" si="76"/>
        <v>Apr</v>
      </c>
      <c r="M1247">
        <f t="shared" si="77"/>
        <v>2025</v>
      </c>
      <c r="N1247">
        <f t="shared" si="78"/>
        <v>62523.9</v>
      </c>
      <c r="O1247" t="str">
        <f t="shared" si="79"/>
        <v>Minor Delay</v>
      </c>
    </row>
    <row r="1248" spans="1:15" x14ac:dyDescent="0.25">
      <c r="A1248">
        <v>1247</v>
      </c>
      <c r="B1248" s="2">
        <v>45791</v>
      </c>
      <c r="C1248" t="s">
        <v>25</v>
      </c>
      <c r="D1248" t="s">
        <v>19</v>
      </c>
      <c r="E1248" t="s">
        <v>20</v>
      </c>
      <c r="F1248" t="s">
        <v>14</v>
      </c>
      <c r="G1248">
        <v>120</v>
      </c>
      <c r="H1248">
        <v>121.39</v>
      </c>
      <c r="I1248">
        <v>23</v>
      </c>
      <c r="J1248" t="s">
        <v>28</v>
      </c>
      <c r="K1248">
        <v>14566.8</v>
      </c>
      <c r="L1248" t="str">
        <f t="shared" si="76"/>
        <v>May</v>
      </c>
      <c r="M1248">
        <f t="shared" si="77"/>
        <v>2025</v>
      </c>
      <c r="N1248">
        <f t="shared" si="78"/>
        <v>14566.8</v>
      </c>
      <c r="O1248" t="str">
        <f t="shared" si="79"/>
        <v>Minor Delay</v>
      </c>
    </row>
    <row r="1249" spans="1:15" x14ac:dyDescent="0.25">
      <c r="A1249">
        <v>1248</v>
      </c>
      <c r="B1249" s="2">
        <v>45893</v>
      </c>
      <c r="C1249" t="s">
        <v>31</v>
      </c>
      <c r="D1249" t="s">
        <v>12</v>
      </c>
      <c r="E1249" t="s">
        <v>29</v>
      </c>
      <c r="F1249" t="s">
        <v>14</v>
      </c>
      <c r="G1249">
        <v>77</v>
      </c>
      <c r="H1249">
        <v>164.96</v>
      </c>
      <c r="I1249">
        <v>24</v>
      </c>
      <c r="J1249" t="s">
        <v>15</v>
      </c>
      <c r="K1249">
        <v>12701.92</v>
      </c>
      <c r="L1249" t="str">
        <f t="shared" si="76"/>
        <v>Aug</v>
      </c>
      <c r="M1249">
        <f t="shared" si="77"/>
        <v>2025</v>
      </c>
      <c r="N1249">
        <f t="shared" si="78"/>
        <v>12701.92</v>
      </c>
      <c r="O1249" t="str">
        <f t="shared" si="79"/>
        <v>Minor Delay</v>
      </c>
    </row>
    <row r="1250" spans="1:15" x14ac:dyDescent="0.25">
      <c r="A1250">
        <v>1249</v>
      </c>
      <c r="B1250" s="2">
        <v>45697</v>
      </c>
      <c r="C1250" t="s">
        <v>18</v>
      </c>
      <c r="D1250" t="s">
        <v>29</v>
      </c>
      <c r="E1250" t="s">
        <v>12</v>
      </c>
      <c r="F1250" t="s">
        <v>24</v>
      </c>
      <c r="G1250">
        <v>283</v>
      </c>
      <c r="H1250">
        <v>680.35</v>
      </c>
      <c r="I1250">
        <v>0</v>
      </c>
      <c r="J1250" t="s">
        <v>15</v>
      </c>
      <c r="K1250">
        <v>192539.05</v>
      </c>
      <c r="L1250" t="str">
        <f t="shared" si="76"/>
        <v>Feb</v>
      </c>
      <c r="M1250">
        <f t="shared" si="77"/>
        <v>2025</v>
      </c>
      <c r="N1250">
        <f t="shared" si="78"/>
        <v>192539.05000000002</v>
      </c>
      <c r="O1250" t="str">
        <f t="shared" si="79"/>
        <v>On Time</v>
      </c>
    </row>
    <row r="1251" spans="1:15" x14ac:dyDescent="0.25">
      <c r="A1251">
        <v>1250</v>
      </c>
      <c r="B1251" s="2">
        <v>45978</v>
      </c>
      <c r="C1251" t="s">
        <v>16</v>
      </c>
      <c r="D1251" t="s">
        <v>12</v>
      </c>
      <c r="E1251" t="s">
        <v>27</v>
      </c>
      <c r="F1251" t="s">
        <v>14</v>
      </c>
      <c r="G1251">
        <v>225</v>
      </c>
      <c r="H1251">
        <v>370.73</v>
      </c>
      <c r="I1251">
        <v>38</v>
      </c>
      <c r="J1251" t="s">
        <v>30</v>
      </c>
      <c r="K1251">
        <v>83414.25</v>
      </c>
      <c r="L1251" t="str">
        <f t="shared" si="76"/>
        <v>Nov</v>
      </c>
      <c r="M1251">
        <f t="shared" si="77"/>
        <v>2025</v>
      </c>
      <c r="N1251">
        <f t="shared" si="78"/>
        <v>83414.25</v>
      </c>
      <c r="O1251" t="str">
        <f t="shared" si="79"/>
        <v>Moderate Delay</v>
      </c>
    </row>
    <row r="1252" spans="1:15" x14ac:dyDescent="0.25">
      <c r="A1252">
        <v>1251</v>
      </c>
      <c r="B1252" s="2">
        <v>45750</v>
      </c>
      <c r="C1252" t="s">
        <v>26</v>
      </c>
      <c r="D1252" t="s">
        <v>20</v>
      </c>
      <c r="E1252" t="s">
        <v>29</v>
      </c>
      <c r="F1252" t="s">
        <v>14</v>
      </c>
      <c r="G1252">
        <v>281</v>
      </c>
      <c r="H1252">
        <v>192.22</v>
      </c>
      <c r="I1252">
        <v>0</v>
      </c>
      <c r="J1252" t="s">
        <v>15</v>
      </c>
      <c r="K1252">
        <v>54013.82</v>
      </c>
      <c r="L1252" t="str">
        <f t="shared" si="76"/>
        <v>Apr</v>
      </c>
      <c r="M1252">
        <f t="shared" si="77"/>
        <v>2025</v>
      </c>
      <c r="N1252">
        <f t="shared" si="78"/>
        <v>54013.82</v>
      </c>
      <c r="O1252" t="str">
        <f t="shared" si="79"/>
        <v>On Time</v>
      </c>
    </row>
    <row r="1253" spans="1:15" x14ac:dyDescent="0.25">
      <c r="A1253">
        <v>1252</v>
      </c>
      <c r="B1253" s="2">
        <v>45905</v>
      </c>
      <c r="C1253" t="s">
        <v>31</v>
      </c>
      <c r="D1253" t="s">
        <v>22</v>
      </c>
      <c r="E1253" t="s">
        <v>17</v>
      </c>
      <c r="F1253" t="s">
        <v>21</v>
      </c>
      <c r="G1253">
        <v>189</v>
      </c>
      <c r="H1253">
        <v>63.71</v>
      </c>
      <c r="I1253">
        <v>5</v>
      </c>
      <c r="J1253" t="s">
        <v>15</v>
      </c>
      <c r="K1253">
        <v>12041.19</v>
      </c>
      <c r="L1253" t="str">
        <f t="shared" si="76"/>
        <v>Sep</v>
      </c>
      <c r="M1253">
        <f t="shared" si="77"/>
        <v>2025</v>
      </c>
      <c r="N1253">
        <f t="shared" si="78"/>
        <v>12041.19</v>
      </c>
      <c r="O1253" t="str">
        <f t="shared" si="79"/>
        <v>Minor Delay</v>
      </c>
    </row>
    <row r="1254" spans="1:15" x14ac:dyDescent="0.25">
      <c r="A1254">
        <v>1253</v>
      </c>
      <c r="B1254" s="2">
        <v>45756</v>
      </c>
      <c r="C1254" t="s">
        <v>31</v>
      </c>
      <c r="D1254" t="s">
        <v>23</v>
      </c>
      <c r="E1254" t="s">
        <v>12</v>
      </c>
      <c r="F1254" t="s">
        <v>14</v>
      </c>
      <c r="G1254">
        <v>187</v>
      </c>
      <c r="H1254">
        <v>77.05</v>
      </c>
      <c r="I1254">
        <v>5</v>
      </c>
      <c r="J1254" t="s">
        <v>30</v>
      </c>
      <c r="K1254">
        <v>14408.35</v>
      </c>
      <c r="L1254" t="str">
        <f t="shared" si="76"/>
        <v>Apr</v>
      </c>
      <c r="M1254">
        <f t="shared" si="77"/>
        <v>2025</v>
      </c>
      <c r="N1254">
        <f t="shared" si="78"/>
        <v>14408.35</v>
      </c>
      <c r="O1254" t="str">
        <f t="shared" si="79"/>
        <v>Minor Delay</v>
      </c>
    </row>
    <row r="1255" spans="1:15" x14ac:dyDescent="0.25">
      <c r="A1255">
        <v>1254</v>
      </c>
      <c r="B1255" s="2">
        <v>45673</v>
      </c>
      <c r="C1255" t="s">
        <v>26</v>
      </c>
      <c r="D1255" t="s">
        <v>12</v>
      </c>
      <c r="E1255" t="s">
        <v>23</v>
      </c>
      <c r="F1255" t="s">
        <v>14</v>
      </c>
      <c r="G1255">
        <v>106</v>
      </c>
      <c r="H1255">
        <v>121.75</v>
      </c>
      <c r="I1255">
        <v>18</v>
      </c>
      <c r="J1255" t="s">
        <v>15</v>
      </c>
      <c r="K1255">
        <v>12905.5</v>
      </c>
      <c r="L1255" t="str">
        <f t="shared" si="76"/>
        <v>Jan</v>
      </c>
      <c r="M1255">
        <f t="shared" si="77"/>
        <v>2025</v>
      </c>
      <c r="N1255">
        <f t="shared" si="78"/>
        <v>12905.5</v>
      </c>
      <c r="O1255" t="str">
        <f t="shared" si="79"/>
        <v>Minor Delay</v>
      </c>
    </row>
    <row r="1256" spans="1:15" x14ac:dyDescent="0.25">
      <c r="A1256">
        <v>1255</v>
      </c>
      <c r="B1256" s="2">
        <v>45798</v>
      </c>
      <c r="C1256" t="s">
        <v>18</v>
      </c>
      <c r="D1256" t="s">
        <v>29</v>
      </c>
      <c r="E1256" t="s">
        <v>22</v>
      </c>
      <c r="F1256" t="s">
        <v>14</v>
      </c>
      <c r="G1256">
        <v>294</v>
      </c>
      <c r="H1256">
        <v>128.06</v>
      </c>
      <c r="I1256">
        <v>10</v>
      </c>
      <c r="J1256" t="s">
        <v>15</v>
      </c>
      <c r="K1256">
        <v>37649.64</v>
      </c>
      <c r="L1256" t="str">
        <f t="shared" si="76"/>
        <v>May</v>
      </c>
      <c r="M1256">
        <f t="shared" si="77"/>
        <v>2025</v>
      </c>
      <c r="N1256">
        <f t="shared" si="78"/>
        <v>37649.64</v>
      </c>
      <c r="O1256" t="str">
        <f t="shared" si="79"/>
        <v>Minor Delay</v>
      </c>
    </row>
    <row r="1257" spans="1:15" x14ac:dyDescent="0.25">
      <c r="A1257">
        <v>1256</v>
      </c>
      <c r="B1257" s="2">
        <v>45920</v>
      </c>
      <c r="C1257" t="s">
        <v>18</v>
      </c>
      <c r="D1257" t="s">
        <v>20</v>
      </c>
      <c r="E1257" t="s">
        <v>17</v>
      </c>
      <c r="F1257" t="s">
        <v>14</v>
      </c>
      <c r="G1257">
        <v>114</v>
      </c>
      <c r="H1257">
        <v>187.99</v>
      </c>
      <c r="I1257">
        <v>0</v>
      </c>
      <c r="J1257" t="s">
        <v>15</v>
      </c>
      <c r="K1257">
        <v>21430.86</v>
      </c>
      <c r="L1257" t="str">
        <f t="shared" si="76"/>
        <v>Sep</v>
      </c>
      <c r="M1257">
        <f t="shared" si="77"/>
        <v>2025</v>
      </c>
      <c r="N1257">
        <f t="shared" si="78"/>
        <v>21430.86</v>
      </c>
      <c r="O1257" t="str">
        <f t="shared" si="79"/>
        <v>On Time</v>
      </c>
    </row>
    <row r="1258" spans="1:15" x14ac:dyDescent="0.25">
      <c r="A1258">
        <v>1257</v>
      </c>
      <c r="B1258" s="2">
        <v>45710</v>
      </c>
      <c r="C1258" t="s">
        <v>31</v>
      </c>
      <c r="D1258" t="s">
        <v>23</v>
      </c>
      <c r="E1258" t="s">
        <v>20</v>
      </c>
      <c r="F1258" t="s">
        <v>21</v>
      </c>
      <c r="G1258">
        <v>129</v>
      </c>
      <c r="H1258">
        <v>182.58</v>
      </c>
      <c r="I1258">
        <v>30</v>
      </c>
      <c r="J1258" t="s">
        <v>15</v>
      </c>
      <c r="K1258">
        <v>23552.82</v>
      </c>
      <c r="L1258" t="str">
        <f t="shared" si="76"/>
        <v>Feb</v>
      </c>
      <c r="M1258">
        <f t="shared" si="77"/>
        <v>2025</v>
      </c>
      <c r="N1258">
        <f t="shared" si="78"/>
        <v>23552.820000000003</v>
      </c>
      <c r="O1258" t="str">
        <f t="shared" si="79"/>
        <v>Minor Delay</v>
      </c>
    </row>
    <row r="1259" spans="1:15" x14ac:dyDescent="0.25">
      <c r="A1259">
        <v>1258</v>
      </c>
      <c r="B1259" s="2">
        <v>45963</v>
      </c>
      <c r="C1259" t="s">
        <v>25</v>
      </c>
      <c r="D1259" t="s">
        <v>20</v>
      </c>
      <c r="E1259" t="s">
        <v>17</v>
      </c>
      <c r="F1259" t="s">
        <v>24</v>
      </c>
      <c r="G1259">
        <v>258</v>
      </c>
      <c r="H1259">
        <v>295.87</v>
      </c>
      <c r="I1259">
        <v>58</v>
      </c>
      <c r="J1259" t="s">
        <v>15</v>
      </c>
      <c r="K1259">
        <v>76334.460000000006</v>
      </c>
      <c r="L1259" t="str">
        <f t="shared" si="76"/>
        <v>Nov</v>
      </c>
      <c r="M1259">
        <f t="shared" si="77"/>
        <v>2025</v>
      </c>
      <c r="N1259">
        <f t="shared" si="78"/>
        <v>76334.460000000006</v>
      </c>
      <c r="O1259" t="str">
        <f t="shared" si="79"/>
        <v>Moderate Delay</v>
      </c>
    </row>
    <row r="1260" spans="1:15" x14ac:dyDescent="0.25">
      <c r="A1260">
        <v>1259</v>
      </c>
      <c r="B1260" s="2">
        <v>45760</v>
      </c>
      <c r="C1260" t="s">
        <v>31</v>
      </c>
      <c r="D1260" t="s">
        <v>17</v>
      </c>
      <c r="E1260" t="s">
        <v>20</v>
      </c>
      <c r="F1260" t="s">
        <v>24</v>
      </c>
      <c r="G1260">
        <v>145</v>
      </c>
      <c r="H1260">
        <v>724.44</v>
      </c>
      <c r="I1260">
        <v>31</v>
      </c>
      <c r="J1260" t="s">
        <v>30</v>
      </c>
      <c r="K1260">
        <v>105043.8</v>
      </c>
      <c r="L1260" t="str">
        <f t="shared" si="76"/>
        <v>Apr</v>
      </c>
      <c r="M1260">
        <f t="shared" si="77"/>
        <v>2025</v>
      </c>
      <c r="N1260">
        <f t="shared" si="78"/>
        <v>105043.8</v>
      </c>
      <c r="O1260" t="str">
        <f t="shared" si="79"/>
        <v>Moderate Delay</v>
      </c>
    </row>
    <row r="1261" spans="1:15" x14ac:dyDescent="0.25">
      <c r="A1261">
        <v>1260</v>
      </c>
      <c r="B1261" s="2">
        <v>45958</v>
      </c>
      <c r="C1261" t="s">
        <v>18</v>
      </c>
      <c r="D1261" t="s">
        <v>27</v>
      </c>
      <c r="E1261" t="s">
        <v>23</v>
      </c>
      <c r="F1261" t="s">
        <v>24</v>
      </c>
      <c r="G1261">
        <v>204</v>
      </c>
      <c r="H1261">
        <v>671.75</v>
      </c>
      <c r="I1261">
        <v>0</v>
      </c>
      <c r="J1261" t="s">
        <v>15</v>
      </c>
      <c r="K1261">
        <v>137037</v>
      </c>
      <c r="L1261" t="str">
        <f t="shared" si="76"/>
        <v>Oct</v>
      </c>
      <c r="M1261">
        <f t="shared" si="77"/>
        <v>2025</v>
      </c>
      <c r="N1261">
        <f t="shared" si="78"/>
        <v>137037</v>
      </c>
      <c r="O1261" t="str">
        <f t="shared" si="79"/>
        <v>On Time</v>
      </c>
    </row>
    <row r="1262" spans="1:15" x14ac:dyDescent="0.25">
      <c r="A1262">
        <v>1261</v>
      </c>
      <c r="B1262" s="2">
        <v>45861</v>
      </c>
      <c r="C1262" t="s">
        <v>16</v>
      </c>
      <c r="D1262" t="s">
        <v>27</v>
      </c>
      <c r="E1262" t="s">
        <v>22</v>
      </c>
      <c r="F1262" t="s">
        <v>14</v>
      </c>
      <c r="G1262">
        <v>96</v>
      </c>
      <c r="H1262">
        <v>658.69</v>
      </c>
      <c r="I1262">
        <v>5</v>
      </c>
      <c r="J1262" t="s">
        <v>15</v>
      </c>
      <c r="K1262">
        <v>63234.239999999998</v>
      </c>
      <c r="L1262" t="str">
        <f t="shared" si="76"/>
        <v>Jul</v>
      </c>
      <c r="M1262">
        <f t="shared" si="77"/>
        <v>2025</v>
      </c>
      <c r="N1262">
        <f t="shared" si="78"/>
        <v>63234.240000000005</v>
      </c>
      <c r="O1262" t="str">
        <f t="shared" si="79"/>
        <v>Minor Delay</v>
      </c>
    </row>
    <row r="1263" spans="1:15" x14ac:dyDescent="0.25">
      <c r="A1263">
        <v>1262</v>
      </c>
      <c r="B1263" s="2">
        <v>45848</v>
      </c>
      <c r="C1263" t="s">
        <v>11</v>
      </c>
      <c r="D1263" t="s">
        <v>19</v>
      </c>
      <c r="E1263" t="s">
        <v>17</v>
      </c>
      <c r="F1263" t="s">
        <v>24</v>
      </c>
      <c r="G1263">
        <v>81</v>
      </c>
      <c r="H1263">
        <v>67.13</v>
      </c>
      <c r="I1263">
        <v>26</v>
      </c>
      <c r="J1263" t="s">
        <v>15</v>
      </c>
      <c r="K1263">
        <v>5437.53</v>
      </c>
      <c r="L1263" t="str">
        <f t="shared" si="76"/>
        <v>Jul</v>
      </c>
      <c r="M1263">
        <f t="shared" si="77"/>
        <v>2025</v>
      </c>
      <c r="N1263">
        <f t="shared" si="78"/>
        <v>5437.53</v>
      </c>
      <c r="O1263" t="str">
        <f t="shared" si="79"/>
        <v>Minor Delay</v>
      </c>
    </row>
    <row r="1264" spans="1:15" x14ac:dyDescent="0.25">
      <c r="A1264">
        <v>1263</v>
      </c>
      <c r="B1264" s="2">
        <v>45896</v>
      </c>
      <c r="C1264" t="s">
        <v>31</v>
      </c>
      <c r="D1264" t="s">
        <v>22</v>
      </c>
      <c r="E1264" t="s">
        <v>19</v>
      </c>
      <c r="F1264" t="s">
        <v>24</v>
      </c>
      <c r="G1264">
        <v>280</v>
      </c>
      <c r="H1264">
        <v>232.16</v>
      </c>
      <c r="I1264">
        <v>38</v>
      </c>
      <c r="J1264" t="s">
        <v>15</v>
      </c>
      <c r="K1264">
        <v>65004.800000000003</v>
      </c>
      <c r="L1264" t="str">
        <f t="shared" si="76"/>
        <v>Aug</v>
      </c>
      <c r="M1264">
        <f t="shared" si="77"/>
        <v>2025</v>
      </c>
      <c r="N1264">
        <f t="shared" si="78"/>
        <v>65004.799999999996</v>
      </c>
      <c r="O1264" t="str">
        <f t="shared" si="79"/>
        <v>Moderate Delay</v>
      </c>
    </row>
    <row r="1265" spans="1:15" x14ac:dyDescent="0.25">
      <c r="A1265">
        <v>1264</v>
      </c>
      <c r="B1265" s="2">
        <v>45945</v>
      </c>
      <c r="C1265" t="s">
        <v>26</v>
      </c>
      <c r="D1265" t="s">
        <v>19</v>
      </c>
      <c r="E1265" t="s">
        <v>12</v>
      </c>
      <c r="F1265" t="s">
        <v>21</v>
      </c>
      <c r="G1265">
        <v>205</v>
      </c>
      <c r="H1265">
        <v>760.24</v>
      </c>
      <c r="I1265">
        <v>28</v>
      </c>
      <c r="J1265" t="s">
        <v>30</v>
      </c>
      <c r="K1265">
        <v>155849.20000000001</v>
      </c>
      <c r="L1265" t="str">
        <f t="shared" si="76"/>
        <v>Oct</v>
      </c>
      <c r="M1265">
        <f t="shared" si="77"/>
        <v>2025</v>
      </c>
      <c r="N1265">
        <f t="shared" si="78"/>
        <v>155849.20000000001</v>
      </c>
      <c r="O1265" t="str">
        <f t="shared" si="79"/>
        <v>Minor Delay</v>
      </c>
    </row>
    <row r="1266" spans="1:15" x14ac:dyDescent="0.25">
      <c r="A1266">
        <v>1265</v>
      </c>
      <c r="B1266" s="2">
        <v>46007</v>
      </c>
      <c r="C1266" t="s">
        <v>18</v>
      </c>
      <c r="D1266" t="s">
        <v>12</v>
      </c>
      <c r="E1266" t="s">
        <v>20</v>
      </c>
      <c r="F1266" t="s">
        <v>24</v>
      </c>
      <c r="G1266">
        <v>258</v>
      </c>
      <c r="H1266">
        <v>296.89</v>
      </c>
      <c r="I1266">
        <v>34</v>
      </c>
      <c r="J1266" t="s">
        <v>15</v>
      </c>
      <c r="K1266">
        <v>76597.62</v>
      </c>
      <c r="L1266" t="str">
        <f t="shared" si="76"/>
        <v>Dec</v>
      </c>
      <c r="M1266">
        <f t="shared" si="77"/>
        <v>2025</v>
      </c>
      <c r="N1266">
        <f t="shared" si="78"/>
        <v>76597.62</v>
      </c>
      <c r="O1266" t="str">
        <f t="shared" si="79"/>
        <v>Moderate Delay</v>
      </c>
    </row>
    <row r="1267" spans="1:15" x14ac:dyDescent="0.25">
      <c r="A1267">
        <v>1266</v>
      </c>
      <c r="B1267" s="2">
        <v>45719</v>
      </c>
      <c r="C1267" t="s">
        <v>16</v>
      </c>
      <c r="D1267" t="s">
        <v>23</v>
      </c>
      <c r="E1267" t="s">
        <v>20</v>
      </c>
      <c r="F1267" t="s">
        <v>24</v>
      </c>
      <c r="G1267">
        <v>93</v>
      </c>
      <c r="H1267">
        <v>505.06</v>
      </c>
      <c r="I1267">
        <v>62</v>
      </c>
      <c r="J1267" t="s">
        <v>15</v>
      </c>
      <c r="K1267">
        <v>46970.58</v>
      </c>
      <c r="L1267" t="str">
        <f t="shared" si="76"/>
        <v>Mar</v>
      </c>
      <c r="M1267">
        <f t="shared" si="77"/>
        <v>2025</v>
      </c>
      <c r="N1267">
        <f t="shared" si="78"/>
        <v>46970.58</v>
      </c>
      <c r="O1267" t="str">
        <f t="shared" si="79"/>
        <v>Major Delay</v>
      </c>
    </row>
    <row r="1268" spans="1:15" x14ac:dyDescent="0.25">
      <c r="A1268">
        <v>1267</v>
      </c>
      <c r="B1268" s="2">
        <v>45803</v>
      </c>
      <c r="C1268" t="s">
        <v>16</v>
      </c>
      <c r="D1268" t="s">
        <v>19</v>
      </c>
      <c r="E1268" t="s">
        <v>13</v>
      </c>
      <c r="F1268" t="s">
        <v>21</v>
      </c>
      <c r="G1268">
        <v>250</v>
      </c>
      <c r="H1268">
        <v>693.52</v>
      </c>
      <c r="I1268">
        <v>74</v>
      </c>
      <c r="J1268" t="s">
        <v>15</v>
      </c>
      <c r="K1268">
        <v>173380</v>
      </c>
      <c r="L1268" t="str">
        <f t="shared" si="76"/>
        <v>May</v>
      </c>
      <c r="M1268">
        <f t="shared" si="77"/>
        <v>2025</v>
      </c>
      <c r="N1268">
        <f t="shared" si="78"/>
        <v>173380</v>
      </c>
      <c r="O1268" t="str">
        <f t="shared" si="79"/>
        <v>Major Delay</v>
      </c>
    </row>
    <row r="1269" spans="1:15" x14ac:dyDescent="0.25">
      <c r="A1269">
        <v>1268</v>
      </c>
      <c r="B1269" s="2">
        <v>45931</v>
      </c>
      <c r="C1269" t="s">
        <v>31</v>
      </c>
      <c r="D1269" t="s">
        <v>17</v>
      </c>
      <c r="E1269" t="s">
        <v>13</v>
      </c>
      <c r="F1269" t="s">
        <v>14</v>
      </c>
      <c r="G1269">
        <v>136</v>
      </c>
      <c r="H1269">
        <v>537.13</v>
      </c>
      <c r="I1269">
        <v>15</v>
      </c>
      <c r="J1269" t="s">
        <v>15</v>
      </c>
      <c r="K1269">
        <v>73049.679999999993</v>
      </c>
      <c r="L1269" t="str">
        <f t="shared" si="76"/>
        <v>Oct</v>
      </c>
      <c r="M1269">
        <f t="shared" si="77"/>
        <v>2025</v>
      </c>
      <c r="N1269">
        <f t="shared" si="78"/>
        <v>73049.679999999993</v>
      </c>
      <c r="O1269" t="str">
        <f t="shared" si="79"/>
        <v>Minor Delay</v>
      </c>
    </row>
    <row r="1270" spans="1:15" x14ac:dyDescent="0.25">
      <c r="A1270">
        <v>1269</v>
      </c>
      <c r="B1270" s="2">
        <v>45812</v>
      </c>
      <c r="C1270" t="s">
        <v>26</v>
      </c>
      <c r="D1270" t="s">
        <v>12</v>
      </c>
      <c r="E1270" t="s">
        <v>20</v>
      </c>
      <c r="F1270" t="s">
        <v>24</v>
      </c>
      <c r="G1270">
        <v>242</v>
      </c>
      <c r="H1270">
        <v>315.91000000000003</v>
      </c>
      <c r="I1270">
        <v>57</v>
      </c>
      <c r="J1270" t="s">
        <v>15</v>
      </c>
      <c r="K1270">
        <v>76450.22</v>
      </c>
      <c r="L1270" t="str">
        <f t="shared" si="76"/>
        <v>Jun</v>
      </c>
      <c r="M1270">
        <f t="shared" si="77"/>
        <v>2025</v>
      </c>
      <c r="N1270">
        <f t="shared" si="78"/>
        <v>76450.22</v>
      </c>
      <c r="O1270" t="str">
        <f t="shared" si="79"/>
        <v>Moderate Delay</v>
      </c>
    </row>
    <row r="1271" spans="1:15" x14ac:dyDescent="0.25">
      <c r="A1271">
        <v>1270</v>
      </c>
      <c r="B1271" s="2">
        <v>45810</v>
      </c>
      <c r="C1271" t="s">
        <v>25</v>
      </c>
      <c r="D1271" t="s">
        <v>13</v>
      </c>
      <c r="E1271" t="s">
        <v>20</v>
      </c>
      <c r="F1271" t="s">
        <v>24</v>
      </c>
      <c r="G1271">
        <v>176</v>
      </c>
      <c r="H1271">
        <v>688.02</v>
      </c>
      <c r="I1271">
        <v>40</v>
      </c>
      <c r="J1271" t="s">
        <v>30</v>
      </c>
      <c r="K1271">
        <v>121091.52</v>
      </c>
      <c r="L1271" t="str">
        <f t="shared" si="76"/>
        <v>Jun</v>
      </c>
      <c r="M1271">
        <f t="shared" si="77"/>
        <v>2025</v>
      </c>
      <c r="N1271">
        <f t="shared" si="78"/>
        <v>121091.51999999999</v>
      </c>
      <c r="O1271" t="str">
        <f t="shared" si="79"/>
        <v>Moderate Delay</v>
      </c>
    </row>
    <row r="1272" spans="1:15" x14ac:dyDescent="0.25">
      <c r="A1272">
        <v>1271</v>
      </c>
      <c r="B1272" s="2">
        <v>45974</v>
      </c>
      <c r="C1272" t="s">
        <v>16</v>
      </c>
      <c r="D1272" t="s">
        <v>12</v>
      </c>
      <c r="E1272" t="s">
        <v>17</v>
      </c>
      <c r="F1272" t="s">
        <v>14</v>
      </c>
      <c r="G1272">
        <v>107</v>
      </c>
      <c r="H1272">
        <v>95.4</v>
      </c>
      <c r="I1272">
        <v>31</v>
      </c>
      <c r="J1272" t="s">
        <v>15</v>
      </c>
      <c r="K1272">
        <v>10207.799999999999</v>
      </c>
      <c r="L1272" t="str">
        <f t="shared" si="76"/>
        <v>Nov</v>
      </c>
      <c r="M1272">
        <f t="shared" si="77"/>
        <v>2025</v>
      </c>
      <c r="N1272">
        <f t="shared" si="78"/>
        <v>10207.800000000001</v>
      </c>
      <c r="O1272" t="str">
        <f t="shared" si="79"/>
        <v>Moderate Delay</v>
      </c>
    </row>
    <row r="1273" spans="1:15" x14ac:dyDescent="0.25">
      <c r="A1273">
        <v>1272</v>
      </c>
      <c r="B1273" s="2">
        <v>45745</v>
      </c>
      <c r="C1273" t="s">
        <v>16</v>
      </c>
      <c r="D1273" t="s">
        <v>17</v>
      </c>
      <c r="E1273" t="s">
        <v>19</v>
      </c>
      <c r="F1273" t="s">
        <v>14</v>
      </c>
      <c r="G1273">
        <v>235</v>
      </c>
      <c r="H1273">
        <v>727.68</v>
      </c>
      <c r="I1273">
        <v>20</v>
      </c>
      <c r="J1273" t="s">
        <v>15</v>
      </c>
      <c r="K1273">
        <v>171004.79999999999</v>
      </c>
      <c r="L1273" t="str">
        <f t="shared" si="76"/>
        <v>Mar</v>
      </c>
      <c r="M1273">
        <f t="shared" si="77"/>
        <v>2025</v>
      </c>
      <c r="N1273">
        <f t="shared" si="78"/>
        <v>171004.79999999999</v>
      </c>
      <c r="O1273" t="str">
        <f t="shared" si="79"/>
        <v>Minor Delay</v>
      </c>
    </row>
    <row r="1274" spans="1:15" x14ac:dyDescent="0.25">
      <c r="A1274">
        <v>1273</v>
      </c>
      <c r="B1274" s="2">
        <v>46010</v>
      </c>
      <c r="C1274" t="s">
        <v>16</v>
      </c>
      <c r="D1274" t="s">
        <v>27</v>
      </c>
      <c r="E1274" t="s">
        <v>13</v>
      </c>
      <c r="F1274" t="s">
        <v>24</v>
      </c>
      <c r="G1274">
        <v>276</v>
      </c>
      <c r="H1274">
        <v>640.86</v>
      </c>
      <c r="I1274">
        <v>66</v>
      </c>
      <c r="J1274" t="s">
        <v>15</v>
      </c>
      <c r="K1274">
        <v>176877.36</v>
      </c>
      <c r="L1274" t="str">
        <f t="shared" si="76"/>
        <v>Dec</v>
      </c>
      <c r="M1274">
        <f t="shared" si="77"/>
        <v>2025</v>
      </c>
      <c r="N1274">
        <f t="shared" si="78"/>
        <v>176877.36000000002</v>
      </c>
      <c r="O1274" t="str">
        <f t="shared" si="79"/>
        <v>Major Delay</v>
      </c>
    </row>
    <row r="1275" spans="1:15" x14ac:dyDescent="0.25">
      <c r="A1275">
        <v>1274</v>
      </c>
      <c r="B1275" s="2">
        <v>45796</v>
      </c>
      <c r="C1275" t="s">
        <v>25</v>
      </c>
      <c r="D1275" t="s">
        <v>22</v>
      </c>
      <c r="E1275" t="s">
        <v>20</v>
      </c>
      <c r="F1275" t="s">
        <v>14</v>
      </c>
      <c r="G1275">
        <v>286</v>
      </c>
      <c r="H1275">
        <v>161.94</v>
      </c>
      <c r="I1275">
        <v>58</v>
      </c>
      <c r="J1275" t="s">
        <v>15</v>
      </c>
      <c r="K1275">
        <v>46314.84</v>
      </c>
      <c r="L1275" t="str">
        <f t="shared" si="76"/>
        <v>May</v>
      </c>
      <c r="M1275">
        <f t="shared" si="77"/>
        <v>2025</v>
      </c>
      <c r="N1275">
        <f t="shared" si="78"/>
        <v>46314.84</v>
      </c>
      <c r="O1275" t="str">
        <f t="shared" si="79"/>
        <v>Moderate Delay</v>
      </c>
    </row>
    <row r="1276" spans="1:15" x14ac:dyDescent="0.25">
      <c r="A1276">
        <v>1275</v>
      </c>
      <c r="B1276" s="2">
        <v>45733</v>
      </c>
      <c r="C1276" t="s">
        <v>31</v>
      </c>
      <c r="D1276" t="s">
        <v>29</v>
      </c>
      <c r="E1276" t="s">
        <v>17</v>
      </c>
      <c r="F1276" t="s">
        <v>24</v>
      </c>
      <c r="G1276">
        <v>213</v>
      </c>
      <c r="H1276">
        <v>390.62</v>
      </c>
      <c r="I1276">
        <v>42</v>
      </c>
      <c r="J1276" t="s">
        <v>15</v>
      </c>
      <c r="K1276">
        <v>83202.06</v>
      </c>
      <c r="L1276" t="str">
        <f t="shared" si="76"/>
        <v>Mar</v>
      </c>
      <c r="M1276">
        <f t="shared" si="77"/>
        <v>2025</v>
      </c>
      <c r="N1276">
        <f t="shared" si="78"/>
        <v>83202.06</v>
      </c>
      <c r="O1276" t="str">
        <f t="shared" si="79"/>
        <v>Moderate Delay</v>
      </c>
    </row>
    <row r="1277" spans="1:15" x14ac:dyDescent="0.25">
      <c r="A1277">
        <v>1276</v>
      </c>
      <c r="B1277" s="2">
        <v>45822</v>
      </c>
      <c r="C1277" t="s">
        <v>25</v>
      </c>
      <c r="D1277" t="s">
        <v>20</v>
      </c>
      <c r="E1277" t="s">
        <v>23</v>
      </c>
      <c r="F1277" t="s">
        <v>24</v>
      </c>
      <c r="G1277">
        <v>107</v>
      </c>
      <c r="H1277">
        <v>127.93</v>
      </c>
      <c r="I1277">
        <v>41</v>
      </c>
      <c r="J1277" t="s">
        <v>15</v>
      </c>
      <c r="K1277">
        <v>13688.51</v>
      </c>
      <c r="L1277" t="str">
        <f t="shared" si="76"/>
        <v>Jun</v>
      </c>
      <c r="M1277">
        <f t="shared" si="77"/>
        <v>2025</v>
      </c>
      <c r="N1277">
        <f t="shared" si="78"/>
        <v>13688.51</v>
      </c>
      <c r="O1277" t="str">
        <f t="shared" si="79"/>
        <v>Moderate Delay</v>
      </c>
    </row>
    <row r="1278" spans="1:15" x14ac:dyDescent="0.25">
      <c r="A1278">
        <v>1277</v>
      </c>
      <c r="B1278" s="2">
        <v>45943</v>
      </c>
      <c r="C1278" t="s">
        <v>11</v>
      </c>
      <c r="D1278" t="s">
        <v>12</v>
      </c>
      <c r="E1278" t="s">
        <v>17</v>
      </c>
      <c r="F1278" t="s">
        <v>21</v>
      </c>
      <c r="G1278">
        <v>215</v>
      </c>
      <c r="H1278">
        <v>604.1</v>
      </c>
      <c r="I1278">
        <v>22</v>
      </c>
      <c r="J1278" t="s">
        <v>30</v>
      </c>
      <c r="K1278">
        <v>129881.5</v>
      </c>
      <c r="L1278" t="str">
        <f t="shared" si="76"/>
        <v>Oct</v>
      </c>
      <c r="M1278">
        <f t="shared" si="77"/>
        <v>2025</v>
      </c>
      <c r="N1278">
        <f t="shared" si="78"/>
        <v>129881.5</v>
      </c>
      <c r="O1278" t="str">
        <f t="shared" si="79"/>
        <v>Minor Delay</v>
      </c>
    </row>
    <row r="1279" spans="1:15" x14ac:dyDescent="0.25">
      <c r="A1279">
        <v>1278</v>
      </c>
      <c r="B1279" s="2">
        <v>45664</v>
      </c>
      <c r="C1279" t="s">
        <v>25</v>
      </c>
      <c r="D1279" t="s">
        <v>13</v>
      </c>
      <c r="E1279" t="s">
        <v>23</v>
      </c>
      <c r="F1279" t="s">
        <v>14</v>
      </c>
      <c r="G1279">
        <v>169</v>
      </c>
      <c r="H1279">
        <v>665.7</v>
      </c>
      <c r="I1279">
        <v>29</v>
      </c>
      <c r="J1279" t="s">
        <v>15</v>
      </c>
      <c r="K1279">
        <v>112503.3</v>
      </c>
      <c r="L1279" t="str">
        <f t="shared" si="76"/>
        <v>Jan</v>
      </c>
      <c r="M1279">
        <f t="shared" si="77"/>
        <v>2025</v>
      </c>
      <c r="N1279">
        <f t="shared" si="78"/>
        <v>112503.3</v>
      </c>
      <c r="O1279" t="str">
        <f t="shared" si="79"/>
        <v>Minor Delay</v>
      </c>
    </row>
    <row r="1280" spans="1:15" x14ac:dyDescent="0.25">
      <c r="A1280">
        <v>1279</v>
      </c>
      <c r="B1280" s="2">
        <v>45764</v>
      </c>
      <c r="C1280" t="s">
        <v>31</v>
      </c>
      <c r="D1280" t="s">
        <v>12</v>
      </c>
      <c r="E1280" t="s">
        <v>17</v>
      </c>
      <c r="F1280" t="s">
        <v>21</v>
      </c>
      <c r="G1280">
        <v>181</v>
      </c>
      <c r="H1280">
        <v>695.26</v>
      </c>
      <c r="I1280">
        <v>21</v>
      </c>
      <c r="J1280" t="s">
        <v>15</v>
      </c>
      <c r="K1280">
        <v>125842.06</v>
      </c>
      <c r="L1280" t="str">
        <f t="shared" si="76"/>
        <v>Apr</v>
      </c>
      <c r="M1280">
        <f t="shared" si="77"/>
        <v>2025</v>
      </c>
      <c r="N1280">
        <f t="shared" si="78"/>
        <v>125842.06</v>
      </c>
      <c r="O1280" t="str">
        <f t="shared" si="79"/>
        <v>Minor Delay</v>
      </c>
    </row>
    <row r="1281" spans="1:15" x14ac:dyDescent="0.25">
      <c r="A1281">
        <v>1280</v>
      </c>
      <c r="B1281" s="2">
        <v>45724</v>
      </c>
      <c r="C1281" t="s">
        <v>11</v>
      </c>
      <c r="D1281" t="s">
        <v>29</v>
      </c>
      <c r="E1281" t="s">
        <v>12</v>
      </c>
      <c r="F1281" t="s">
        <v>24</v>
      </c>
      <c r="G1281">
        <v>148</v>
      </c>
      <c r="H1281">
        <v>781.55</v>
      </c>
      <c r="I1281">
        <v>0</v>
      </c>
      <c r="J1281" t="s">
        <v>30</v>
      </c>
      <c r="K1281">
        <v>115669.4</v>
      </c>
      <c r="L1281" t="str">
        <f t="shared" si="76"/>
        <v>Mar</v>
      </c>
      <c r="M1281">
        <f t="shared" si="77"/>
        <v>2025</v>
      </c>
      <c r="N1281">
        <f t="shared" si="78"/>
        <v>115669.4</v>
      </c>
      <c r="O1281" t="str">
        <f t="shared" si="79"/>
        <v>On Time</v>
      </c>
    </row>
    <row r="1282" spans="1:15" x14ac:dyDescent="0.25">
      <c r="A1282">
        <v>1281</v>
      </c>
      <c r="B1282" s="2">
        <v>45862</v>
      </c>
      <c r="C1282" t="s">
        <v>11</v>
      </c>
      <c r="D1282" t="s">
        <v>27</v>
      </c>
      <c r="E1282" t="s">
        <v>19</v>
      </c>
      <c r="F1282" t="s">
        <v>14</v>
      </c>
      <c r="G1282">
        <v>121</v>
      </c>
      <c r="H1282">
        <v>373.09</v>
      </c>
      <c r="I1282">
        <v>0</v>
      </c>
      <c r="J1282" t="s">
        <v>15</v>
      </c>
      <c r="K1282">
        <v>45143.89</v>
      </c>
      <c r="L1282" t="str">
        <f t="shared" si="76"/>
        <v>Jul</v>
      </c>
      <c r="M1282">
        <f t="shared" si="77"/>
        <v>2025</v>
      </c>
      <c r="N1282">
        <f t="shared" si="78"/>
        <v>45143.89</v>
      </c>
      <c r="O1282" t="str">
        <f t="shared" si="79"/>
        <v>On Time</v>
      </c>
    </row>
    <row r="1283" spans="1:15" x14ac:dyDescent="0.25">
      <c r="A1283">
        <v>1282</v>
      </c>
      <c r="B1283" s="2">
        <v>45894</v>
      </c>
      <c r="C1283" t="s">
        <v>16</v>
      </c>
      <c r="D1283" t="s">
        <v>12</v>
      </c>
      <c r="E1283" t="s">
        <v>19</v>
      </c>
      <c r="F1283" t="s">
        <v>21</v>
      </c>
      <c r="G1283">
        <v>78</v>
      </c>
      <c r="H1283">
        <v>238.02</v>
      </c>
      <c r="I1283">
        <v>0</v>
      </c>
      <c r="J1283" t="s">
        <v>30</v>
      </c>
      <c r="K1283">
        <v>18565.560000000001</v>
      </c>
      <c r="L1283" t="str">
        <f t="shared" ref="L1283:L1346" si="80">TEXT(B1283,"MMM")</f>
        <v>Aug</v>
      </c>
      <c r="M1283">
        <f t="shared" ref="M1283:M1346" si="81">YEAR(B1283)</f>
        <v>2025</v>
      </c>
      <c r="N1283">
        <f t="shared" ref="N1283:N1346" si="82">G1283*H1283</f>
        <v>18565.560000000001</v>
      </c>
      <c r="O1283" t="str">
        <f t="shared" ref="O1283:O1346" si="83">IF(I1283=0,"On Time",IF(I1283&lt;=30,"Minor Delay",IF(I1283&lt;=60,"Moderate Delay","Major Delay")))</f>
        <v>On Time</v>
      </c>
    </row>
    <row r="1284" spans="1:15" x14ac:dyDescent="0.25">
      <c r="A1284">
        <v>1283</v>
      </c>
      <c r="B1284" s="2">
        <v>45672</v>
      </c>
      <c r="C1284" t="s">
        <v>18</v>
      </c>
      <c r="D1284" t="s">
        <v>29</v>
      </c>
      <c r="E1284" t="s">
        <v>22</v>
      </c>
      <c r="F1284" t="s">
        <v>21</v>
      </c>
      <c r="G1284">
        <v>185</v>
      </c>
      <c r="H1284">
        <v>394.95</v>
      </c>
      <c r="I1284">
        <v>14</v>
      </c>
      <c r="J1284" t="s">
        <v>15</v>
      </c>
      <c r="K1284">
        <v>73065.75</v>
      </c>
      <c r="L1284" t="str">
        <f t="shared" si="80"/>
        <v>Jan</v>
      </c>
      <c r="M1284">
        <f t="shared" si="81"/>
        <v>2025</v>
      </c>
      <c r="N1284">
        <f t="shared" si="82"/>
        <v>73065.75</v>
      </c>
      <c r="O1284" t="str">
        <f t="shared" si="83"/>
        <v>Minor Delay</v>
      </c>
    </row>
    <row r="1285" spans="1:15" x14ac:dyDescent="0.25">
      <c r="A1285">
        <v>1284</v>
      </c>
      <c r="B1285" s="2">
        <v>45735</v>
      </c>
      <c r="C1285" t="s">
        <v>18</v>
      </c>
      <c r="D1285" t="s">
        <v>17</v>
      </c>
      <c r="E1285" t="s">
        <v>19</v>
      </c>
      <c r="F1285" t="s">
        <v>21</v>
      </c>
      <c r="G1285">
        <v>160</v>
      </c>
      <c r="H1285">
        <v>435.87</v>
      </c>
      <c r="I1285">
        <v>76</v>
      </c>
      <c r="J1285" t="s">
        <v>15</v>
      </c>
      <c r="K1285">
        <v>69739.199999999997</v>
      </c>
      <c r="L1285" t="str">
        <f t="shared" si="80"/>
        <v>Mar</v>
      </c>
      <c r="M1285">
        <f t="shared" si="81"/>
        <v>2025</v>
      </c>
      <c r="N1285">
        <f t="shared" si="82"/>
        <v>69739.199999999997</v>
      </c>
      <c r="O1285" t="str">
        <f t="shared" si="83"/>
        <v>Major Delay</v>
      </c>
    </row>
    <row r="1286" spans="1:15" x14ac:dyDescent="0.25">
      <c r="A1286">
        <v>1285</v>
      </c>
      <c r="B1286" s="2">
        <v>45708</v>
      </c>
      <c r="C1286" t="s">
        <v>16</v>
      </c>
      <c r="D1286" t="s">
        <v>23</v>
      </c>
      <c r="E1286" t="s">
        <v>17</v>
      </c>
      <c r="F1286" t="s">
        <v>21</v>
      </c>
      <c r="G1286">
        <v>147</v>
      </c>
      <c r="H1286">
        <v>601.67999999999995</v>
      </c>
      <c r="I1286">
        <v>1</v>
      </c>
      <c r="J1286" t="s">
        <v>15</v>
      </c>
      <c r="K1286">
        <v>88446.96</v>
      </c>
      <c r="L1286" t="str">
        <f t="shared" si="80"/>
        <v>Feb</v>
      </c>
      <c r="M1286">
        <f t="shared" si="81"/>
        <v>2025</v>
      </c>
      <c r="N1286">
        <f t="shared" si="82"/>
        <v>88446.959999999992</v>
      </c>
      <c r="O1286" t="str">
        <f t="shared" si="83"/>
        <v>Minor Delay</v>
      </c>
    </row>
    <row r="1287" spans="1:15" x14ac:dyDescent="0.25">
      <c r="A1287">
        <v>1286</v>
      </c>
      <c r="B1287" s="2">
        <v>45923</v>
      </c>
      <c r="C1287" t="s">
        <v>18</v>
      </c>
      <c r="D1287" t="s">
        <v>23</v>
      </c>
      <c r="E1287" t="s">
        <v>27</v>
      </c>
      <c r="F1287" t="s">
        <v>14</v>
      </c>
      <c r="G1287">
        <v>224</v>
      </c>
      <c r="H1287">
        <v>96.9</v>
      </c>
      <c r="I1287">
        <v>29</v>
      </c>
      <c r="J1287" t="s">
        <v>15</v>
      </c>
      <c r="K1287">
        <v>21705.599999999999</v>
      </c>
      <c r="L1287" t="str">
        <f t="shared" si="80"/>
        <v>Sep</v>
      </c>
      <c r="M1287">
        <f t="shared" si="81"/>
        <v>2025</v>
      </c>
      <c r="N1287">
        <f t="shared" si="82"/>
        <v>21705.600000000002</v>
      </c>
      <c r="O1287" t="str">
        <f t="shared" si="83"/>
        <v>Minor Delay</v>
      </c>
    </row>
    <row r="1288" spans="1:15" x14ac:dyDescent="0.25">
      <c r="A1288">
        <v>1287</v>
      </c>
      <c r="B1288" s="2">
        <v>45716</v>
      </c>
      <c r="C1288" t="s">
        <v>16</v>
      </c>
      <c r="D1288" t="s">
        <v>12</v>
      </c>
      <c r="E1288" t="s">
        <v>23</v>
      </c>
      <c r="F1288" t="s">
        <v>14</v>
      </c>
      <c r="G1288">
        <v>197</v>
      </c>
      <c r="H1288">
        <v>256.97000000000003</v>
      </c>
      <c r="I1288">
        <v>30</v>
      </c>
      <c r="J1288" t="s">
        <v>15</v>
      </c>
      <c r="K1288">
        <v>50623.09</v>
      </c>
      <c r="L1288" t="str">
        <f t="shared" si="80"/>
        <v>Feb</v>
      </c>
      <c r="M1288">
        <f t="shared" si="81"/>
        <v>2025</v>
      </c>
      <c r="N1288">
        <f t="shared" si="82"/>
        <v>50623.090000000004</v>
      </c>
      <c r="O1288" t="str">
        <f t="shared" si="83"/>
        <v>Minor Delay</v>
      </c>
    </row>
    <row r="1289" spans="1:15" x14ac:dyDescent="0.25">
      <c r="A1289">
        <v>1288</v>
      </c>
      <c r="B1289" s="2">
        <v>45859</v>
      </c>
      <c r="C1289" t="s">
        <v>16</v>
      </c>
      <c r="D1289" t="s">
        <v>17</v>
      </c>
      <c r="E1289" t="s">
        <v>20</v>
      </c>
      <c r="F1289" t="s">
        <v>14</v>
      </c>
      <c r="G1289">
        <v>237</v>
      </c>
      <c r="H1289">
        <v>669.81</v>
      </c>
      <c r="I1289">
        <v>24</v>
      </c>
      <c r="J1289" t="s">
        <v>15</v>
      </c>
      <c r="K1289">
        <v>158744.97</v>
      </c>
      <c r="L1289" t="str">
        <f t="shared" si="80"/>
        <v>Jul</v>
      </c>
      <c r="M1289">
        <f t="shared" si="81"/>
        <v>2025</v>
      </c>
      <c r="N1289">
        <f t="shared" si="82"/>
        <v>158744.97</v>
      </c>
      <c r="O1289" t="str">
        <f t="shared" si="83"/>
        <v>Minor Delay</v>
      </c>
    </row>
    <row r="1290" spans="1:15" x14ac:dyDescent="0.25">
      <c r="A1290">
        <v>1289</v>
      </c>
      <c r="B1290" s="2">
        <v>45745</v>
      </c>
      <c r="C1290" t="s">
        <v>11</v>
      </c>
      <c r="D1290" t="s">
        <v>20</v>
      </c>
      <c r="E1290" t="s">
        <v>19</v>
      </c>
      <c r="F1290" t="s">
        <v>24</v>
      </c>
      <c r="G1290">
        <v>213</v>
      </c>
      <c r="H1290">
        <v>273.11</v>
      </c>
      <c r="I1290">
        <v>0</v>
      </c>
      <c r="J1290" t="s">
        <v>15</v>
      </c>
      <c r="K1290">
        <v>58172.43</v>
      </c>
      <c r="L1290" t="str">
        <f t="shared" si="80"/>
        <v>Mar</v>
      </c>
      <c r="M1290">
        <f t="shared" si="81"/>
        <v>2025</v>
      </c>
      <c r="N1290">
        <f t="shared" si="82"/>
        <v>58172.43</v>
      </c>
      <c r="O1290" t="str">
        <f t="shared" si="83"/>
        <v>On Time</v>
      </c>
    </row>
    <row r="1291" spans="1:15" x14ac:dyDescent="0.25">
      <c r="A1291">
        <v>1290</v>
      </c>
      <c r="B1291" s="2">
        <v>45814</v>
      </c>
      <c r="C1291" t="s">
        <v>25</v>
      </c>
      <c r="D1291" t="s">
        <v>27</v>
      </c>
      <c r="E1291" t="s">
        <v>20</v>
      </c>
      <c r="F1291" t="s">
        <v>14</v>
      </c>
      <c r="G1291">
        <v>93</v>
      </c>
      <c r="H1291">
        <v>293.18</v>
      </c>
      <c r="I1291">
        <v>0</v>
      </c>
      <c r="J1291" t="s">
        <v>15</v>
      </c>
      <c r="K1291">
        <v>27265.74</v>
      </c>
      <c r="L1291" t="str">
        <f t="shared" si="80"/>
        <v>Jun</v>
      </c>
      <c r="M1291">
        <f t="shared" si="81"/>
        <v>2025</v>
      </c>
      <c r="N1291">
        <f t="shared" si="82"/>
        <v>27265.74</v>
      </c>
      <c r="O1291" t="str">
        <f t="shared" si="83"/>
        <v>On Time</v>
      </c>
    </row>
    <row r="1292" spans="1:15" x14ac:dyDescent="0.25">
      <c r="A1292">
        <v>1291</v>
      </c>
      <c r="B1292" s="2">
        <v>45891</v>
      </c>
      <c r="C1292" t="s">
        <v>11</v>
      </c>
      <c r="D1292" t="s">
        <v>29</v>
      </c>
      <c r="E1292" t="s">
        <v>17</v>
      </c>
      <c r="F1292" t="s">
        <v>14</v>
      </c>
      <c r="G1292">
        <v>220</v>
      </c>
      <c r="H1292">
        <v>411.2</v>
      </c>
      <c r="I1292">
        <v>12</v>
      </c>
      <c r="J1292" t="s">
        <v>15</v>
      </c>
      <c r="K1292">
        <v>90464</v>
      </c>
      <c r="L1292" t="str">
        <f t="shared" si="80"/>
        <v>Aug</v>
      </c>
      <c r="M1292">
        <f t="shared" si="81"/>
        <v>2025</v>
      </c>
      <c r="N1292">
        <f t="shared" si="82"/>
        <v>90464</v>
      </c>
      <c r="O1292" t="str">
        <f t="shared" si="83"/>
        <v>Minor Delay</v>
      </c>
    </row>
    <row r="1293" spans="1:15" x14ac:dyDescent="0.25">
      <c r="A1293">
        <v>1292</v>
      </c>
      <c r="B1293" s="2">
        <v>46005</v>
      </c>
      <c r="C1293" t="s">
        <v>16</v>
      </c>
      <c r="D1293" t="s">
        <v>12</v>
      </c>
      <c r="E1293" t="s">
        <v>19</v>
      </c>
      <c r="F1293" t="s">
        <v>21</v>
      </c>
      <c r="G1293">
        <v>140</v>
      </c>
      <c r="H1293">
        <v>777.46</v>
      </c>
      <c r="I1293">
        <v>33</v>
      </c>
      <c r="J1293" t="s">
        <v>15</v>
      </c>
      <c r="K1293">
        <v>108844.4</v>
      </c>
      <c r="L1293" t="str">
        <f t="shared" si="80"/>
        <v>Dec</v>
      </c>
      <c r="M1293">
        <f t="shared" si="81"/>
        <v>2025</v>
      </c>
      <c r="N1293">
        <f t="shared" si="82"/>
        <v>108844.40000000001</v>
      </c>
      <c r="O1293" t="str">
        <f t="shared" si="83"/>
        <v>Moderate Delay</v>
      </c>
    </row>
    <row r="1294" spans="1:15" x14ac:dyDescent="0.25">
      <c r="A1294">
        <v>1293</v>
      </c>
      <c r="B1294" s="2">
        <v>45899</v>
      </c>
      <c r="C1294" t="s">
        <v>16</v>
      </c>
      <c r="D1294" t="s">
        <v>20</v>
      </c>
      <c r="E1294" t="s">
        <v>19</v>
      </c>
      <c r="F1294" t="s">
        <v>14</v>
      </c>
      <c r="G1294">
        <v>259</v>
      </c>
      <c r="H1294">
        <v>72.87</v>
      </c>
      <c r="I1294">
        <v>11</v>
      </c>
      <c r="J1294" t="s">
        <v>15</v>
      </c>
      <c r="K1294">
        <v>18873.330000000002</v>
      </c>
      <c r="L1294" t="str">
        <f t="shared" si="80"/>
        <v>Aug</v>
      </c>
      <c r="M1294">
        <f t="shared" si="81"/>
        <v>2025</v>
      </c>
      <c r="N1294">
        <f t="shared" si="82"/>
        <v>18873.330000000002</v>
      </c>
      <c r="O1294" t="str">
        <f t="shared" si="83"/>
        <v>Minor Delay</v>
      </c>
    </row>
    <row r="1295" spans="1:15" x14ac:dyDescent="0.25">
      <c r="A1295">
        <v>1294</v>
      </c>
      <c r="B1295" s="2">
        <v>45733</v>
      </c>
      <c r="C1295" t="s">
        <v>16</v>
      </c>
      <c r="D1295" t="s">
        <v>27</v>
      </c>
      <c r="E1295" t="s">
        <v>29</v>
      </c>
      <c r="F1295" t="s">
        <v>14</v>
      </c>
      <c r="G1295">
        <v>127</v>
      </c>
      <c r="H1295">
        <v>654.88</v>
      </c>
      <c r="I1295">
        <v>1</v>
      </c>
      <c r="J1295" t="s">
        <v>15</v>
      </c>
      <c r="K1295">
        <v>83169.759999999995</v>
      </c>
      <c r="L1295" t="str">
        <f t="shared" si="80"/>
        <v>Mar</v>
      </c>
      <c r="M1295">
        <f t="shared" si="81"/>
        <v>2025</v>
      </c>
      <c r="N1295">
        <f t="shared" si="82"/>
        <v>83169.759999999995</v>
      </c>
      <c r="O1295" t="str">
        <f t="shared" si="83"/>
        <v>Minor Delay</v>
      </c>
    </row>
    <row r="1296" spans="1:15" x14ac:dyDescent="0.25">
      <c r="A1296">
        <v>1295</v>
      </c>
      <c r="B1296" s="2">
        <v>45937</v>
      </c>
      <c r="C1296" t="s">
        <v>26</v>
      </c>
      <c r="D1296" t="s">
        <v>20</v>
      </c>
      <c r="E1296" t="s">
        <v>22</v>
      </c>
      <c r="F1296" t="s">
        <v>21</v>
      </c>
      <c r="G1296">
        <v>174</v>
      </c>
      <c r="H1296">
        <v>247.62</v>
      </c>
      <c r="I1296">
        <v>0</v>
      </c>
      <c r="J1296" t="s">
        <v>15</v>
      </c>
      <c r="K1296">
        <v>43085.88</v>
      </c>
      <c r="L1296" t="str">
        <f t="shared" si="80"/>
        <v>Oct</v>
      </c>
      <c r="M1296">
        <f t="shared" si="81"/>
        <v>2025</v>
      </c>
      <c r="N1296">
        <f t="shared" si="82"/>
        <v>43085.88</v>
      </c>
      <c r="O1296" t="str">
        <f t="shared" si="83"/>
        <v>On Time</v>
      </c>
    </row>
    <row r="1297" spans="1:15" x14ac:dyDescent="0.25">
      <c r="A1297">
        <v>1296</v>
      </c>
      <c r="B1297" s="2">
        <v>45715</v>
      </c>
      <c r="C1297" t="s">
        <v>26</v>
      </c>
      <c r="D1297" t="s">
        <v>22</v>
      </c>
      <c r="E1297" t="s">
        <v>27</v>
      </c>
      <c r="F1297" t="s">
        <v>21</v>
      </c>
      <c r="G1297">
        <v>182</v>
      </c>
      <c r="H1297">
        <v>598.88</v>
      </c>
      <c r="I1297">
        <v>32</v>
      </c>
      <c r="J1297" t="s">
        <v>15</v>
      </c>
      <c r="K1297">
        <v>108996.16</v>
      </c>
      <c r="L1297" t="str">
        <f t="shared" si="80"/>
        <v>Feb</v>
      </c>
      <c r="M1297">
        <f t="shared" si="81"/>
        <v>2025</v>
      </c>
      <c r="N1297">
        <f t="shared" si="82"/>
        <v>108996.16</v>
      </c>
      <c r="O1297" t="str">
        <f t="shared" si="83"/>
        <v>Moderate Delay</v>
      </c>
    </row>
    <row r="1298" spans="1:15" x14ac:dyDescent="0.25">
      <c r="A1298">
        <v>1297</v>
      </c>
      <c r="B1298" s="2">
        <v>45995</v>
      </c>
      <c r="C1298" t="s">
        <v>11</v>
      </c>
      <c r="D1298" t="s">
        <v>17</v>
      </c>
      <c r="E1298" t="s">
        <v>19</v>
      </c>
      <c r="F1298" t="s">
        <v>24</v>
      </c>
      <c r="G1298">
        <v>177</v>
      </c>
      <c r="H1298">
        <v>82.87</v>
      </c>
      <c r="I1298">
        <v>0</v>
      </c>
      <c r="J1298" t="s">
        <v>15</v>
      </c>
      <c r="K1298">
        <v>14667.99</v>
      </c>
      <c r="L1298" t="str">
        <f t="shared" si="80"/>
        <v>Dec</v>
      </c>
      <c r="M1298">
        <f t="shared" si="81"/>
        <v>2025</v>
      </c>
      <c r="N1298">
        <f t="shared" si="82"/>
        <v>14667.990000000002</v>
      </c>
      <c r="O1298" t="str">
        <f t="shared" si="83"/>
        <v>On Time</v>
      </c>
    </row>
    <row r="1299" spans="1:15" x14ac:dyDescent="0.25">
      <c r="A1299">
        <v>1298</v>
      </c>
      <c r="B1299" s="2">
        <v>45757</v>
      </c>
      <c r="C1299" t="s">
        <v>18</v>
      </c>
      <c r="D1299" t="s">
        <v>19</v>
      </c>
      <c r="E1299" t="s">
        <v>12</v>
      </c>
      <c r="F1299" t="s">
        <v>21</v>
      </c>
      <c r="G1299">
        <v>77</v>
      </c>
      <c r="H1299">
        <v>774.44</v>
      </c>
      <c r="I1299">
        <v>1</v>
      </c>
      <c r="J1299" t="s">
        <v>30</v>
      </c>
      <c r="K1299">
        <v>59631.88</v>
      </c>
      <c r="L1299" t="str">
        <f t="shared" si="80"/>
        <v>Apr</v>
      </c>
      <c r="M1299">
        <f t="shared" si="81"/>
        <v>2025</v>
      </c>
      <c r="N1299">
        <f t="shared" si="82"/>
        <v>59631.880000000005</v>
      </c>
      <c r="O1299" t="str">
        <f t="shared" si="83"/>
        <v>Minor Delay</v>
      </c>
    </row>
    <row r="1300" spans="1:15" x14ac:dyDescent="0.25">
      <c r="A1300">
        <v>1299</v>
      </c>
      <c r="B1300" s="2">
        <v>45927</v>
      </c>
      <c r="C1300" t="s">
        <v>11</v>
      </c>
      <c r="D1300" t="s">
        <v>27</v>
      </c>
      <c r="E1300" t="s">
        <v>20</v>
      </c>
      <c r="F1300" t="s">
        <v>24</v>
      </c>
      <c r="G1300">
        <v>283</v>
      </c>
      <c r="H1300">
        <v>562.51</v>
      </c>
      <c r="I1300">
        <v>38</v>
      </c>
      <c r="J1300" t="s">
        <v>15</v>
      </c>
      <c r="K1300">
        <v>159190.32999999999</v>
      </c>
      <c r="L1300" t="str">
        <f t="shared" si="80"/>
        <v>Sep</v>
      </c>
      <c r="M1300">
        <f t="shared" si="81"/>
        <v>2025</v>
      </c>
      <c r="N1300">
        <f t="shared" si="82"/>
        <v>159190.32999999999</v>
      </c>
      <c r="O1300" t="str">
        <f t="shared" si="83"/>
        <v>Moderate Delay</v>
      </c>
    </row>
    <row r="1301" spans="1:15" x14ac:dyDescent="0.25">
      <c r="A1301">
        <v>1300</v>
      </c>
      <c r="B1301" s="2">
        <v>45755</v>
      </c>
      <c r="C1301" t="s">
        <v>16</v>
      </c>
      <c r="D1301" t="s">
        <v>23</v>
      </c>
      <c r="E1301" t="s">
        <v>22</v>
      </c>
      <c r="F1301" t="s">
        <v>21</v>
      </c>
      <c r="G1301">
        <v>183</v>
      </c>
      <c r="H1301">
        <v>579.36</v>
      </c>
      <c r="I1301">
        <v>3</v>
      </c>
      <c r="J1301" t="s">
        <v>30</v>
      </c>
      <c r="K1301">
        <v>106022.88</v>
      </c>
      <c r="L1301" t="str">
        <f t="shared" si="80"/>
        <v>Apr</v>
      </c>
      <c r="M1301">
        <f t="shared" si="81"/>
        <v>2025</v>
      </c>
      <c r="N1301">
        <f t="shared" si="82"/>
        <v>106022.88</v>
      </c>
      <c r="O1301" t="str">
        <f t="shared" si="83"/>
        <v>Minor Delay</v>
      </c>
    </row>
    <row r="1302" spans="1:15" x14ac:dyDescent="0.25">
      <c r="A1302">
        <v>1301</v>
      </c>
      <c r="B1302" s="2">
        <v>45890</v>
      </c>
      <c r="C1302" t="s">
        <v>31</v>
      </c>
      <c r="D1302" t="s">
        <v>12</v>
      </c>
      <c r="E1302" t="s">
        <v>20</v>
      </c>
      <c r="F1302" t="s">
        <v>24</v>
      </c>
      <c r="G1302">
        <v>123</v>
      </c>
      <c r="H1302">
        <v>141.54</v>
      </c>
      <c r="I1302">
        <v>77</v>
      </c>
      <c r="J1302" t="s">
        <v>15</v>
      </c>
      <c r="K1302">
        <v>17409.419999999998</v>
      </c>
      <c r="L1302" t="str">
        <f t="shared" si="80"/>
        <v>Aug</v>
      </c>
      <c r="M1302">
        <f t="shared" si="81"/>
        <v>2025</v>
      </c>
      <c r="N1302">
        <f t="shared" si="82"/>
        <v>17409.419999999998</v>
      </c>
      <c r="O1302" t="str">
        <f t="shared" si="83"/>
        <v>Major Delay</v>
      </c>
    </row>
    <row r="1303" spans="1:15" x14ac:dyDescent="0.25">
      <c r="A1303">
        <v>1302</v>
      </c>
      <c r="B1303" s="2">
        <v>45977</v>
      </c>
      <c r="C1303" t="s">
        <v>31</v>
      </c>
      <c r="D1303" t="s">
        <v>29</v>
      </c>
      <c r="E1303" t="s">
        <v>22</v>
      </c>
      <c r="F1303" t="s">
        <v>21</v>
      </c>
      <c r="G1303">
        <v>91</v>
      </c>
      <c r="H1303">
        <v>284.7</v>
      </c>
      <c r="I1303">
        <v>22</v>
      </c>
      <c r="J1303" t="s">
        <v>15</v>
      </c>
      <c r="K1303">
        <v>25907.7</v>
      </c>
      <c r="L1303" t="str">
        <f t="shared" si="80"/>
        <v>Nov</v>
      </c>
      <c r="M1303">
        <f t="shared" si="81"/>
        <v>2025</v>
      </c>
      <c r="N1303">
        <f t="shared" si="82"/>
        <v>25907.7</v>
      </c>
      <c r="O1303" t="str">
        <f t="shared" si="83"/>
        <v>Minor Delay</v>
      </c>
    </row>
    <row r="1304" spans="1:15" x14ac:dyDescent="0.25">
      <c r="A1304">
        <v>1303</v>
      </c>
      <c r="B1304" s="2">
        <v>45890</v>
      </c>
      <c r="C1304" t="s">
        <v>16</v>
      </c>
      <c r="D1304" t="s">
        <v>23</v>
      </c>
      <c r="E1304" t="s">
        <v>13</v>
      </c>
      <c r="F1304" t="s">
        <v>14</v>
      </c>
      <c r="G1304">
        <v>122</v>
      </c>
      <c r="H1304">
        <v>670.85</v>
      </c>
      <c r="I1304">
        <v>40</v>
      </c>
      <c r="J1304" t="s">
        <v>15</v>
      </c>
      <c r="K1304">
        <v>81843.7</v>
      </c>
      <c r="L1304" t="str">
        <f t="shared" si="80"/>
        <v>Aug</v>
      </c>
      <c r="M1304">
        <f t="shared" si="81"/>
        <v>2025</v>
      </c>
      <c r="N1304">
        <f t="shared" si="82"/>
        <v>81843.7</v>
      </c>
      <c r="O1304" t="str">
        <f t="shared" si="83"/>
        <v>Moderate Delay</v>
      </c>
    </row>
    <row r="1305" spans="1:15" x14ac:dyDescent="0.25">
      <c r="A1305">
        <v>1304</v>
      </c>
      <c r="B1305" s="2">
        <v>45683</v>
      </c>
      <c r="C1305" t="s">
        <v>26</v>
      </c>
      <c r="D1305" t="s">
        <v>22</v>
      </c>
      <c r="E1305" t="s">
        <v>13</v>
      </c>
      <c r="F1305" t="s">
        <v>14</v>
      </c>
      <c r="G1305">
        <v>139</v>
      </c>
      <c r="H1305">
        <v>710.25</v>
      </c>
      <c r="I1305">
        <v>40</v>
      </c>
      <c r="J1305" t="s">
        <v>15</v>
      </c>
      <c r="K1305">
        <v>98724.75</v>
      </c>
      <c r="L1305" t="str">
        <f t="shared" si="80"/>
        <v>Jan</v>
      </c>
      <c r="M1305">
        <f t="shared" si="81"/>
        <v>2025</v>
      </c>
      <c r="N1305">
        <f t="shared" si="82"/>
        <v>98724.75</v>
      </c>
      <c r="O1305" t="str">
        <f t="shared" si="83"/>
        <v>Moderate Delay</v>
      </c>
    </row>
    <row r="1306" spans="1:15" x14ac:dyDescent="0.25">
      <c r="A1306">
        <v>1305</v>
      </c>
      <c r="B1306" s="2">
        <v>45702</v>
      </c>
      <c r="C1306" t="s">
        <v>25</v>
      </c>
      <c r="D1306" t="s">
        <v>27</v>
      </c>
      <c r="E1306" t="s">
        <v>29</v>
      </c>
      <c r="F1306" t="s">
        <v>24</v>
      </c>
      <c r="G1306">
        <v>86</v>
      </c>
      <c r="H1306">
        <v>796.98</v>
      </c>
      <c r="I1306">
        <v>30</v>
      </c>
      <c r="J1306" t="s">
        <v>15</v>
      </c>
      <c r="K1306">
        <v>68540.28</v>
      </c>
      <c r="L1306" t="str">
        <f t="shared" si="80"/>
        <v>Feb</v>
      </c>
      <c r="M1306">
        <f t="shared" si="81"/>
        <v>2025</v>
      </c>
      <c r="N1306">
        <f t="shared" si="82"/>
        <v>68540.28</v>
      </c>
      <c r="O1306" t="str">
        <f t="shared" si="83"/>
        <v>Minor Delay</v>
      </c>
    </row>
    <row r="1307" spans="1:15" x14ac:dyDescent="0.25">
      <c r="A1307">
        <v>1306</v>
      </c>
      <c r="B1307" s="2">
        <v>45900</v>
      </c>
      <c r="C1307" t="s">
        <v>26</v>
      </c>
      <c r="D1307" t="s">
        <v>19</v>
      </c>
      <c r="E1307" t="s">
        <v>13</v>
      </c>
      <c r="F1307" t="s">
        <v>14</v>
      </c>
      <c r="G1307">
        <v>257</v>
      </c>
      <c r="H1307">
        <v>562.09</v>
      </c>
      <c r="I1307">
        <v>51</v>
      </c>
      <c r="J1307" t="s">
        <v>15</v>
      </c>
      <c r="K1307">
        <v>144457.13</v>
      </c>
      <c r="L1307" t="str">
        <f t="shared" si="80"/>
        <v>Aug</v>
      </c>
      <c r="M1307">
        <f t="shared" si="81"/>
        <v>2025</v>
      </c>
      <c r="N1307">
        <f t="shared" si="82"/>
        <v>144457.13</v>
      </c>
      <c r="O1307" t="str">
        <f t="shared" si="83"/>
        <v>Moderate Delay</v>
      </c>
    </row>
    <row r="1308" spans="1:15" x14ac:dyDescent="0.25">
      <c r="A1308">
        <v>1307</v>
      </c>
      <c r="B1308" s="2">
        <v>45791</v>
      </c>
      <c r="C1308" t="s">
        <v>26</v>
      </c>
      <c r="D1308" t="s">
        <v>17</v>
      </c>
      <c r="E1308" t="s">
        <v>12</v>
      </c>
      <c r="F1308" t="s">
        <v>21</v>
      </c>
      <c r="G1308">
        <v>129</v>
      </c>
      <c r="H1308">
        <v>188.24</v>
      </c>
      <c r="I1308">
        <v>0</v>
      </c>
      <c r="J1308" t="s">
        <v>30</v>
      </c>
      <c r="K1308">
        <v>24282.959999999999</v>
      </c>
      <c r="L1308" t="str">
        <f t="shared" si="80"/>
        <v>May</v>
      </c>
      <c r="M1308">
        <f t="shared" si="81"/>
        <v>2025</v>
      </c>
      <c r="N1308">
        <f t="shared" si="82"/>
        <v>24282.960000000003</v>
      </c>
      <c r="O1308" t="str">
        <f t="shared" si="83"/>
        <v>On Time</v>
      </c>
    </row>
    <row r="1309" spans="1:15" x14ac:dyDescent="0.25">
      <c r="A1309">
        <v>1308</v>
      </c>
      <c r="B1309" s="2">
        <v>45786</v>
      </c>
      <c r="C1309" t="s">
        <v>11</v>
      </c>
      <c r="D1309" t="s">
        <v>29</v>
      </c>
      <c r="E1309" t="s">
        <v>23</v>
      </c>
      <c r="F1309" t="s">
        <v>24</v>
      </c>
      <c r="G1309">
        <v>191</v>
      </c>
      <c r="H1309">
        <v>207.65</v>
      </c>
      <c r="I1309">
        <v>40</v>
      </c>
      <c r="J1309" t="s">
        <v>15</v>
      </c>
      <c r="K1309">
        <v>39661.15</v>
      </c>
      <c r="L1309" t="str">
        <f t="shared" si="80"/>
        <v>May</v>
      </c>
      <c r="M1309">
        <f t="shared" si="81"/>
        <v>2025</v>
      </c>
      <c r="N1309">
        <f t="shared" si="82"/>
        <v>39661.15</v>
      </c>
      <c r="O1309" t="str">
        <f t="shared" si="83"/>
        <v>Moderate Delay</v>
      </c>
    </row>
    <row r="1310" spans="1:15" x14ac:dyDescent="0.25">
      <c r="A1310">
        <v>1309</v>
      </c>
      <c r="B1310" s="2">
        <v>45937</v>
      </c>
      <c r="C1310" t="s">
        <v>11</v>
      </c>
      <c r="D1310" t="s">
        <v>23</v>
      </c>
      <c r="E1310" t="s">
        <v>27</v>
      </c>
      <c r="F1310" t="s">
        <v>24</v>
      </c>
      <c r="G1310">
        <v>250</v>
      </c>
      <c r="H1310">
        <v>708.18</v>
      </c>
      <c r="I1310">
        <v>7</v>
      </c>
      <c r="J1310" t="s">
        <v>15</v>
      </c>
      <c r="K1310">
        <v>177045</v>
      </c>
      <c r="L1310" t="str">
        <f t="shared" si="80"/>
        <v>Oct</v>
      </c>
      <c r="M1310">
        <f t="shared" si="81"/>
        <v>2025</v>
      </c>
      <c r="N1310">
        <f t="shared" si="82"/>
        <v>177045</v>
      </c>
      <c r="O1310" t="str">
        <f t="shared" si="83"/>
        <v>Minor Delay</v>
      </c>
    </row>
    <row r="1311" spans="1:15" x14ac:dyDescent="0.25">
      <c r="A1311">
        <v>1310</v>
      </c>
      <c r="B1311" s="2">
        <v>45897</v>
      </c>
      <c r="C1311" t="s">
        <v>26</v>
      </c>
      <c r="D1311" t="s">
        <v>22</v>
      </c>
      <c r="E1311" t="s">
        <v>17</v>
      </c>
      <c r="F1311" t="s">
        <v>24</v>
      </c>
      <c r="G1311">
        <v>169</v>
      </c>
      <c r="H1311">
        <v>371.17</v>
      </c>
      <c r="I1311">
        <v>25</v>
      </c>
      <c r="J1311" t="s">
        <v>15</v>
      </c>
      <c r="K1311">
        <v>62727.73</v>
      </c>
      <c r="L1311" t="str">
        <f t="shared" si="80"/>
        <v>Aug</v>
      </c>
      <c r="M1311">
        <f t="shared" si="81"/>
        <v>2025</v>
      </c>
      <c r="N1311">
        <f t="shared" si="82"/>
        <v>62727.73</v>
      </c>
      <c r="O1311" t="str">
        <f t="shared" si="83"/>
        <v>Minor Delay</v>
      </c>
    </row>
    <row r="1312" spans="1:15" x14ac:dyDescent="0.25">
      <c r="A1312">
        <v>1311</v>
      </c>
      <c r="B1312" s="2">
        <v>45873</v>
      </c>
      <c r="C1312" t="s">
        <v>16</v>
      </c>
      <c r="D1312" t="s">
        <v>13</v>
      </c>
      <c r="E1312" t="s">
        <v>12</v>
      </c>
      <c r="F1312" t="s">
        <v>14</v>
      </c>
      <c r="G1312">
        <v>207</v>
      </c>
      <c r="H1312">
        <v>731.07</v>
      </c>
      <c r="I1312">
        <v>27</v>
      </c>
      <c r="J1312" t="s">
        <v>15</v>
      </c>
      <c r="K1312">
        <v>151331.49</v>
      </c>
      <c r="L1312" t="str">
        <f t="shared" si="80"/>
        <v>Aug</v>
      </c>
      <c r="M1312">
        <f t="shared" si="81"/>
        <v>2025</v>
      </c>
      <c r="N1312">
        <f t="shared" si="82"/>
        <v>151331.49000000002</v>
      </c>
      <c r="O1312" t="str">
        <f t="shared" si="83"/>
        <v>Minor Delay</v>
      </c>
    </row>
    <row r="1313" spans="1:15" x14ac:dyDescent="0.25">
      <c r="A1313">
        <v>1312</v>
      </c>
      <c r="B1313" s="2">
        <v>45685</v>
      </c>
      <c r="C1313" t="s">
        <v>18</v>
      </c>
      <c r="D1313" t="s">
        <v>27</v>
      </c>
      <c r="E1313" t="s">
        <v>23</v>
      </c>
      <c r="F1313" t="s">
        <v>14</v>
      </c>
      <c r="G1313">
        <v>153</v>
      </c>
      <c r="H1313">
        <v>555.86</v>
      </c>
      <c r="I1313">
        <v>0</v>
      </c>
      <c r="J1313" t="s">
        <v>15</v>
      </c>
      <c r="K1313">
        <v>85046.58</v>
      </c>
      <c r="L1313" t="str">
        <f t="shared" si="80"/>
        <v>Jan</v>
      </c>
      <c r="M1313">
        <f t="shared" si="81"/>
        <v>2025</v>
      </c>
      <c r="N1313">
        <f t="shared" si="82"/>
        <v>85046.58</v>
      </c>
      <c r="O1313" t="str">
        <f t="shared" si="83"/>
        <v>On Time</v>
      </c>
    </row>
    <row r="1314" spans="1:15" x14ac:dyDescent="0.25">
      <c r="A1314">
        <v>1313</v>
      </c>
      <c r="B1314" s="2">
        <v>45685</v>
      </c>
      <c r="C1314" t="s">
        <v>16</v>
      </c>
      <c r="D1314" t="s">
        <v>27</v>
      </c>
      <c r="E1314" t="s">
        <v>20</v>
      </c>
      <c r="F1314" t="s">
        <v>14</v>
      </c>
      <c r="G1314">
        <v>119</v>
      </c>
      <c r="H1314">
        <v>674.12</v>
      </c>
      <c r="I1314">
        <v>6</v>
      </c>
      <c r="J1314" t="s">
        <v>15</v>
      </c>
      <c r="K1314">
        <v>80220.28</v>
      </c>
      <c r="L1314" t="str">
        <f t="shared" si="80"/>
        <v>Jan</v>
      </c>
      <c r="M1314">
        <f t="shared" si="81"/>
        <v>2025</v>
      </c>
      <c r="N1314">
        <f t="shared" si="82"/>
        <v>80220.28</v>
      </c>
      <c r="O1314" t="str">
        <f t="shared" si="83"/>
        <v>Minor Delay</v>
      </c>
    </row>
    <row r="1315" spans="1:15" x14ac:dyDescent="0.25">
      <c r="A1315">
        <v>1314</v>
      </c>
      <c r="B1315" s="2">
        <v>46011</v>
      </c>
      <c r="C1315" t="s">
        <v>26</v>
      </c>
      <c r="D1315" t="s">
        <v>23</v>
      </c>
      <c r="E1315" t="s">
        <v>27</v>
      </c>
      <c r="F1315" t="s">
        <v>14</v>
      </c>
      <c r="G1315">
        <v>81</v>
      </c>
      <c r="H1315">
        <v>607.95000000000005</v>
      </c>
      <c r="I1315">
        <v>1</v>
      </c>
      <c r="J1315" t="s">
        <v>15</v>
      </c>
      <c r="K1315">
        <v>49243.95</v>
      </c>
      <c r="L1315" t="str">
        <f t="shared" si="80"/>
        <v>Dec</v>
      </c>
      <c r="M1315">
        <f t="shared" si="81"/>
        <v>2025</v>
      </c>
      <c r="N1315">
        <f t="shared" si="82"/>
        <v>49243.950000000004</v>
      </c>
      <c r="O1315" t="str">
        <f t="shared" si="83"/>
        <v>Minor Delay</v>
      </c>
    </row>
    <row r="1316" spans="1:15" x14ac:dyDescent="0.25">
      <c r="A1316">
        <v>1315</v>
      </c>
      <c r="B1316" s="2">
        <v>45922</v>
      </c>
      <c r="C1316" t="s">
        <v>11</v>
      </c>
      <c r="D1316" t="s">
        <v>13</v>
      </c>
      <c r="E1316" t="s">
        <v>23</v>
      </c>
      <c r="F1316" t="s">
        <v>21</v>
      </c>
      <c r="G1316">
        <v>239</v>
      </c>
      <c r="H1316">
        <v>775.79</v>
      </c>
      <c r="I1316">
        <v>54</v>
      </c>
      <c r="J1316" t="s">
        <v>15</v>
      </c>
      <c r="K1316">
        <v>185413.81</v>
      </c>
      <c r="L1316" t="str">
        <f t="shared" si="80"/>
        <v>Sep</v>
      </c>
      <c r="M1316">
        <f t="shared" si="81"/>
        <v>2025</v>
      </c>
      <c r="N1316">
        <f t="shared" si="82"/>
        <v>185413.81</v>
      </c>
      <c r="O1316" t="str">
        <f t="shared" si="83"/>
        <v>Moderate Delay</v>
      </c>
    </row>
    <row r="1317" spans="1:15" x14ac:dyDescent="0.25">
      <c r="A1317">
        <v>1316</v>
      </c>
      <c r="B1317" s="2">
        <v>45979</v>
      </c>
      <c r="C1317" t="s">
        <v>26</v>
      </c>
      <c r="D1317" t="s">
        <v>29</v>
      </c>
      <c r="E1317" t="s">
        <v>22</v>
      </c>
      <c r="F1317" t="s">
        <v>21</v>
      </c>
      <c r="G1317">
        <v>289</v>
      </c>
      <c r="H1317">
        <v>64.77</v>
      </c>
      <c r="I1317">
        <v>60</v>
      </c>
      <c r="J1317" t="s">
        <v>15</v>
      </c>
      <c r="K1317">
        <v>18718.53</v>
      </c>
      <c r="L1317" t="str">
        <f t="shared" si="80"/>
        <v>Nov</v>
      </c>
      <c r="M1317">
        <f t="shared" si="81"/>
        <v>2025</v>
      </c>
      <c r="N1317">
        <f t="shared" si="82"/>
        <v>18718.53</v>
      </c>
      <c r="O1317" t="str">
        <f t="shared" si="83"/>
        <v>Moderate Delay</v>
      </c>
    </row>
    <row r="1318" spans="1:15" x14ac:dyDescent="0.25">
      <c r="A1318">
        <v>1317</v>
      </c>
      <c r="B1318" s="2">
        <v>45692</v>
      </c>
      <c r="C1318" t="s">
        <v>16</v>
      </c>
      <c r="D1318" t="s">
        <v>19</v>
      </c>
      <c r="E1318" t="s">
        <v>12</v>
      </c>
      <c r="F1318" t="s">
        <v>14</v>
      </c>
      <c r="G1318">
        <v>204</v>
      </c>
      <c r="H1318">
        <v>711.13</v>
      </c>
      <c r="I1318">
        <v>1</v>
      </c>
      <c r="J1318" t="s">
        <v>15</v>
      </c>
      <c r="K1318">
        <v>145070.51999999999</v>
      </c>
      <c r="L1318" t="str">
        <f t="shared" si="80"/>
        <v>Feb</v>
      </c>
      <c r="M1318">
        <f t="shared" si="81"/>
        <v>2025</v>
      </c>
      <c r="N1318">
        <f t="shared" si="82"/>
        <v>145070.51999999999</v>
      </c>
      <c r="O1318" t="str">
        <f t="shared" si="83"/>
        <v>Minor Delay</v>
      </c>
    </row>
    <row r="1319" spans="1:15" x14ac:dyDescent="0.25">
      <c r="A1319">
        <v>1318</v>
      </c>
      <c r="B1319" s="2">
        <v>45858</v>
      </c>
      <c r="C1319" t="s">
        <v>16</v>
      </c>
      <c r="D1319" t="s">
        <v>13</v>
      </c>
      <c r="E1319" t="s">
        <v>27</v>
      </c>
      <c r="F1319" t="s">
        <v>14</v>
      </c>
      <c r="G1319">
        <v>126</v>
      </c>
      <c r="H1319">
        <v>359.37</v>
      </c>
      <c r="I1319">
        <v>17</v>
      </c>
      <c r="J1319" t="s">
        <v>28</v>
      </c>
      <c r="K1319">
        <v>45280.62</v>
      </c>
      <c r="L1319" t="str">
        <f t="shared" si="80"/>
        <v>Jul</v>
      </c>
      <c r="M1319">
        <f t="shared" si="81"/>
        <v>2025</v>
      </c>
      <c r="N1319">
        <f t="shared" si="82"/>
        <v>45280.62</v>
      </c>
      <c r="O1319" t="str">
        <f t="shared" si="83"/>
        <v>Minor Delay</v>
      </c>
    </row>
    <row r="1320" spans="1:15" x14ac:dyDescent="0.25">
      <c r="A1320">
        <v>1319</v>
      </c>
      <c r="B1320" s="2">
        <v>45971</v>
      </c>
      <c r="C1320" t="s">
        <v>25</v>
      </c>
      <c r="D1320" t="s">
        <v>19</v>
      </c>
      <c r="E1320" t="s">
        <v>22</v>
      </c>
      <c r="F1320" t="s">
        <v>24</v>
      </c>
      <c r="G1320">
        <v>269</v>
      </c>
      <c r="H1320">
        <v>547.04</v>
      </c>
      <c r="I1320">
        <v>30</v>
      </c>
      <c r="J1320" t="s">
        <v>15</v>
      </c>
      <c r="K1320">
        <v>147153.76</v>
      </c>
      <c r="L1320" t="str">
        <f t="shared" si="80"/>
        <v>Nov</v>
      </c>
      <c r="M1320">
        <f t="shared" si="81"/>
        <v>2025</v>
      </c>
      <c r="N1320">
        <f t="shared" si="82"/>
        <v>147153.75999999998</v>
      </c>
      <c r="O1320" t="str">
        <f t="shared" si="83"/>
        <v>Minor Delay</v>
      </c>
    </row>
    <row r="1321" spans="1:15" x14ac:dyDescent="0.25">
      <c r="A1321">
        <v>1320</v>
      </c>
      <c r="B1321" s="2">
        <v>45745</v>
      </c>
      <c r="C1321" t="s">
        <v>31</v>
      </c>
      <c r="D1321" t="s">
        <v>29</v>
      </c>
      <c r="E1321" t="s">
        <v>23</v>
      </c>
      <c r="F1321" t="s">
        <v>21</v>
      </c>
      <c r="G1321">
        <v>229</v>
      </c>
      <c r="H1321">
        <v>464.54</v>
      </c>
      <c r="I1321">
        <v>29</v>
      </c>
      <c r="J1321" t="s">
        <v>15</v>
      </c>
      <c r="K1321">
        <v>106379.66</v>
      </c>
      <c r="L1321" t="str">
        <f t="shared" si="80"/>
        <v>Mar</v>
      </c>
      <c r="M1321">
        <f t="shared" si="81"/>
        <v>2025</v>
      </c>
      <c r="N1321">
        <f t="shared" si="82"/>
        <v>106379.66</v>
      </c>
      <c r="O1321" t="str">
        <f t="shared" si="83"/>
        <v>Minor Delay</v>
      </c>
    </row>
    <row r="1322" spans="1:15" x14ac:dyDescent="0.25">
      <c r="A1322">
        <v>1321</v>
      </c>
      <c r="B1322" s="2">
        <v>45999</v>
      </c>
      <c r="C1322" t="s">
        <v>16</v>
      </c>
      <c r="D1322" t="s">
        <v>23</v>
      </c>
      <c r="E1322" t="s">
        <v>22</v>
      </c>
      <c r="F1322" t="s">
        <v>21</v>
      </c>
      <c r="G1322">
        <v>176</v>
      </c>
      <c r="H1322">
        <v>331.83</v>
      </c>
      <c r="I1322">
        <v>16</v>
      </c>
      <c r="J1322" t="s">
        <v>15</v>
      </c>
      <c r="K1322">
        <v>58402.080000000002</v>
      </c>
      <c r="L1322" t="str">
        <f t="shared" si="80"/>
        <v>Dec</v>
      </c>
      <c r="M1322">
        <f t="shared" si="81"/>
        <v>2025</v>
      </c>
      <c r="N1322">
        <f t="shared" si="82"/>
        <v>58402.079999999994</v>
      </c>
      <c r="O1322" t="str">
        <f t="shared" si="83"/>
        <v>Minor Delay</v>
      </c>
    </row>
    <row r="1323" spans="1:15" x14ac:dyDescent="0.25">
      <c r="A1323">
        <v>1322</v>
      </c>
      <c r="B1323" s="2">
        <v>45875</v>
      </c>
      <c r="C1323" t="s">
        <v>11</v>
      </c>
      <c r="D1323" t="s">
        <v>20</v>
      </c>
      <c r="E1323" t="s">
        <v>17</v>
      </c>
      <c r="F1323" t="s">
        <v>14</v>
      </c>
      <c r="G1323">
        <v>122</v>
      </c>
      <c r="H1323">
        <v>398.24</v>
      </c>
      <c r="I1323">
        <v>44</v>
      </c>
      <c r="J1323" t="s">
        <v>15</v>
      </c>
      <c r="K1323">
        <v>48585.279999999999</v>
      </c>
      <c r="L1323" t="str">
        <f t="shared" si="80"/>
        <v>Aug</v>
      </c>
      <c r="M1323">
        <f t="shared" si="81"/>
        <v>2025</v>
      </c>
      <c r="N1323">
        <f t="shared" si="82"/>
        <v>48585.279999999999</v>
      </c>
      <c r="O1323" t="str">
        <f t="shared" si="83"/>
        <v>Moderate Delay</v>
      </c>
    </row>
    <row r="1324" spans="1:15" x14ac:dyDescent="0.25">
      <c r="A1324">
        <v>1323</v>
      </c>
      <c r="B1324" s="2">
        <v>45675</v>
      </c>
      <c r="C1324" t="s">
        <v>25</v>
      </c>
      <c r="D1324" t="s">
        <v>13</v>
      </c>
      <c r="E1324" t="s">
        <v>22</v>
      </c>
      <c r="F1324" t="s">
        <v>21</v>
      </c>
      <c r="G1324">
        <v>278</v>
      </c>
      <c r="H1324">
        <v>546.32000000000005</v>
      </c>
      <c r="I1324">
        <v>0</v>
      </c>
      <c r="J1324" t="s">
        <v>15</v>
      </c>
      <c r="K1324">
        <v>151876.96</v>
      </c>
      <c r="L1324" t="str">
        <f t="shared" si="80"/>
        <v>Jan</v>
      </c>
      <c r="M1324">
        <f t="shared" si="81"/>
        <v>2025</v>
      </c>
      <c r="N1324">
        <f t="shared" si="82"/>
        <v>151876.96000000002</v>
      </c>
      <c r="O1324" t="str">
        <f t="shared" si="83"/>
        <v>On Time</v>
      </c>
    </row>
    <row r="1325" spans="1:15" x14ac:dyDescent="0.25">
      <c r="A1325">
        <v>1324</v>
      </c>
      <c r="B1325" s="2">
        <v>45892</v>
      </c>
      <c r="C1325" t="s">
        <v>26</v>
      </c>
      <c r="D1325" t="s">
        <v>29</v>
      </c>
      <c r="E1325" t="s">
        <v>27</v>
      </c>
      <c r="F1325" t="s">
        <v>14</v>
      </c>
      <c r="G1325">
        <v>90</v>
      </c>
      <c r="H1325">
        <v>324.73</v>
      </c>
      <c r="I1325">
        <v>38</v>
      </c>
      <c r="J1325" t="s">
        <v>30</v>
      </c>
      <c r="K1325">
        <v>29225.7</v>
      </c>
      <c r="L1325" t="str">
        <f t="shared" si="80"/>
        <v>Aug</v>
      </c>
      <c r="M1325">
        <f t="shared" si="81"/>
        <v>2025</v>
      </c>
      <c r="N1325">
        <f t="shared" si="82"/>
        <v>29225.7</v>
      </c>
      <c r="O1325" t="str">
        <f t="shared" si="83"/>
        <v>Moderate Delay</v>
      </c>
    </row>
    <row r="1326" spans="1:15" x14ac:dyDescent="0.25">
      <c r="A1326">
        <v>1325</v>
      </c>
      <c r="B1326" s="2">
        <v>45836</v>
      </c>
      <c r="C1326" t="s">
        <v>25</v>
      </c>
      <c r="D1326" t="s">
        <v>27</v>
      </c>
      <c r="E1326" t="s">
        <v>19</v>
      </c>
      <c r="F1326" t="s">
        <v>21</v>
      </c>
      <c r="G1326">
        <v>149</v>
      </c>
      <c r="H1326">
        <v>439.65</v>
      </c>
      <c r="I1326">
        <v>26</v>
      </c>
      <c r="J1326" t="s">
        <v>15</v>
      </c>
      <c r="K1326">
        <v>65507.85</v>
      </c>
      <c r="L1326" t="str">
        <f t="shared" si="80"/>
        <v>Jun</v>
      </c>
      <c r="M1326">
        <f t="shared" si="81"/>
        <v>2025</v>
      </c>
      <c r="N1326">
        <f t="shared" si="82"/>
        <v>65507.85</v>
      </c>
      <c r="O1326" t="str">
        <f t="shared" si="83"/>
        <v>Minor Delay</v>
      </c>
    </row>
    <row r="1327" spans="1:15" x14ac:dyDescent="0.25">
      <c r="A1327">
        <v>1326</v>
      </c>
      <c r="B1327" s="2">
        <v>45729</v>
      </c>
      <c r="C1327" t="s">
        <v>26</v>
      </c>
      <c r="D1327" t="s">
        <v>22</v>
      </c>
      <c r="E1327" t="s">
        <v>27</v>
      </c>
      <c r="F1327" t="s">
        <v>21</v>
      </c>
      <c r="G1327">
        <v>127</v>
      </c>
      <c r="H1327">
        <v>743.37</v>
      </c>
      <c r="I1327">
        <v>32</v>
      </c>
      <c r="J1327" t="s">
        <v>15</v>
      </c>
      <c r="K1327">
        <v>94407.99</v>
      </c>
      <c r="L1327" t="str">
        <f t="shared" si="80"/>
        <v>Mar</v>
      </c>
      <c r="M1327">
        <f t="shared" si="81"/>
        <v>2025</v>
      </c>
      <c r="N1327">
        <f t="shared" si="82"/>
        <v>94407.99</v>
      </c>
      <c r="O1327" t="str">
        <f t="shared" si="83"/>
        <v>Moderate Delay</v>
      </c>
    </row>
    <row r="1328" spans="1:15" x14ac:dyDescent="0.25">
      <c r="A1328">
        <v>1327</v>
      </c>
      <c r="B1328" s="2">
        <v>45899</v>
      </c>
      <c r="C1328" t="s">
        <v>31</v>
      </c>
      <c r="D1328" t="s">
        <v>20</v>
      </c>
      <c r="E1328" t="s">
        <v>17</v>
      </c>
      <c r="F1328" t="s">
        <v>21</v>
      </c>
      <c r="G1328">
        <v>96</v>
      </c>
      <c r="H1328">
        <v>486.27</v>
      </c>
      <c r="I1328">
        <v>58</v>
      </c>
      <c r="J1328" t="s">
        <v>15</v>
      </c>
      <c r="K1328">
        <v>46681.919999999998</v>
      </c>
      <c r="L1328" t="str">
        <f t="shared" si="80"/>
        <v>Aug</v>
      </c>
      <c r="M1328">
        <f t="shared" si="81"/>
        <v>2025</v>
      </c>
      <c r="N1328">
        <f t="shared" si="82"/>
        <v>46681.919999999998</v>
      </c>
      <c r="O1328" t="str">
        <f t="shared" si="83"/>
        <v>Moderate Delay</v>
      </c>
    </row>
    <row r="1329" spans="1:15" x14ac:dyDescent="0.25">
      <c r="A1329">
        <v>1328</v>
      </c>
      <c r="B1329" s="2">
        <v>45959</v>
      </c>
      <c r="C1329" t="s">
        <v>31</v>
      </c>
      <c r="D1329" t="s">
        <v>29</v>
      </c>
      <c r="E1329" t="s">
        <v>17</v>
      </c>
      <c r="F1329" t="s">
        <v>24</v>
      </c>
      <c r="G1329">
        <v>199</v>
      </c>
      <c r="H1329">
        <v>516.92999999999995</v>
      </c>
      <c r="I1329">
        <v>0</v>
      </c>
      <c r="J1329" t="s">
        <v>15</v>
      </c>
      <c r="K1329">
        <v>102869.07</v>
      </c>
      <c r="L1329" t="str">
        <f t="shared" si="80"/>
        <v>Oct</v>
      </c>
      <c r="M1329">
        <f t="shared" si="81"/>
        <v>2025</v>
      </c>
      <c r="N1329">
        <f t="shared" si="82"/>
        <v>102869.06999999999</v>
      </c>
      <c r="O1329" t="str">
        <f t="shared" si="83"/>
        <v>On Time</v>
      </c>
    </row>
    <row r="1330" spans="1:15" x14ac:dyDescent="0.25">
      <c r="A1330">
        <v>1329</v>
      </c>
      <c r="B1330" s="2">
        <v>45739</v>
      </c>
      <c r="C1330" t="s">
        <v>11</v>
      </c>
      <c r="D1330" t="s">
        <v>13</v>
      </c>
      <c r="E1330" t="s">
        <v>12</v>
      </c>
      <c r="F1330" t="s">
        <v>14</v>
      </c>
      <c r="G1330">
        <v>220</v>
      </c>
      <c r="H1330">
        <v>138.6</v>
      </c>
      <c r="I1330">
        <v>46</v>
      </c>
      <c r="J1330" t="s">
        <v>15</v>
      </c>
      <c r="K1330">
        <v>30492</v>
      </c>
      <c r="L1330" t="str">
        <f t="shared" si="80"/>
        <v>Mar</v>
      </c>
      <c r="M1330">
        <f t="shared" si="81"/>
        <v>2025</v>
      </c>
      <c r="N1330">
        <f t="shared" si="82"/>
        <v>30492</v>
      </c>
      <c r="O1330" t="str">
        <f t="shared" si="83"/>
        <v>Moderate Delay</v>
      </c>
    </row>
    <row r="1331" spans="1:15" x14ac:dyDescent="0.25">
      <c r="A1331">
        <v>1330</v>
      </c>
      <c r="B1331" s="2">
        <v>45747</v>
      </c>
      <c r="C1331" t="s">
        <v>25</v>
      </c>
      <c r="D1331" t="s">
        <v>19</v>
      </c>
      <c r="E1331" t="s">
        <v>12</v>
      </c>
      <c r="F1331" t="s">
        <v>24</v>
      </c>
      <c r="G1331">
        <v>243</v>
      </c>
      <c r="H1331">
        <v>780.26</v>
      </c>
      <c r="I1331">
        <v>8</v>
      </c>
      <c r="J1331" t="s">
        <v>30</v>
      </c>
      <c r="K1331">
        <v>189603.18</v>
      </c>
      <c r="L1331" t="str">
        <f t="shared" si="80"/>
        <v>Mar</v>
      </c>
      <c r="M1331">
        <f t="shared" si="81"/>
        <v>2025</v>
      </c>
      <c r="N1331">
        <f t="shared" si="82"/>
        <v>189603.18</v>
      </c>
      <c r="O1331" t="str">
        <f t="shared" si="83"/>
        <v>Minor Delay</v>
      </c>
    </row>
    <row r="1332" spans="1:15" x14ac:dyDescent="0.25">
      <c r="A1332">
        <v>1331</v>
      </c>
      <c r="B1332" s="2">
        <v>45716</v>
      </c>
      <c r="C1332" t="s">
        <v>16</v>
      </c>
      <c r="D1332" t="s">
        <v>13</v>
      </c>
      <c r="E1332" t="s">
        <v>22</v>
      </c>
      <c r="F1332" t="s">
        <v>21</v>
      </c>
      <c r="G1332">
        <v>68</v>
      </c>
      <c r="H1332">
        <v>386.73</v>
      </c>
      <c r="I1332">
        <v>0</v>
      </c>
      <c r="J1332" t="s">
        <v>15</v>
      </c>
      <c r="K1332">
        <v>26297.64</v>
      </c>
      <c r="L1332" t="str">
        <f t="shared" si="80"/>
        <v>Feb</v>
      </c>
      <c r="M1332">
        <f t="shared" si="81"/>
        <v>2025</v>
      </c>
      <c r="N1332">
        <f t="shared" si="82"/>
        <v>26297.64</v>
      </c>
      <c r="O1332" t="str">
        <f t="shared" si="83"/>
        <v>On Time</v>
      </c>
    </row>
    <row r="1333" spans="1:15" x14ac:dyDescent="0.25">
      <c r="A1333">
        <v>1332</v>
      </c>
      <c r="B1333" s="2">
        <v>45713</v>
      </c>
      <c r="C1333" t="s">
        <v>25</v>
      </c>
      <c r="D1333" t="s">
        <v>29</v>
      </c>
      <c r="E1333" t="s">
        <v>17</v>
      </c>
      <c r="F1333" t="s">
        <v>24</v>
      </c>
      <c r="G1333">
        <v>146</v>
      </c>
      <c r="H1333">
        <v>158.58000000000001</v>
      </c>
      <c r="I1333">
        <v>45</v>
      </c>
      <c r="J1333" t="s">
        <v>15</v>
      </c>
      <c r="K1333">
        <v>23152.68</v>
      </c>
      <c r="L1333" t="str">
        <f t="shared" si="80"/>
        <v>Feb</v>
      </c>
      <c r="M1333">
        <f t="shared" si="81"/>
        <v>2025</v>
      </c>
      <c r="N1333">
        <f t="shared" si="82"/>
        <v>23152.68</v>
      </c>
      <c r="O1333" t="str">
        <f t="shared" si="83"/>
        <v>Moderate Delay</v>
      </c>
    </row>
    <row r="1334" spans="1:15" x14ac:dyDescent="0.25">
      <c r="A1334">
        <v>1333</v>
      </c>
      <c r="B1334" s="2">
        <v>45758</v>
      </c>
      <c r="C1334" t="s">
        <v>26</v>
      </c>
      <c r="D1334" t="s">
        <v>27</v>
      </c>
      <c r="E1334" t="s">
        <v>19</v>
      </c>
      <c r="F1334" t="s">
        <v>24</v>
      </c>
      <c r="G1334">
        <v>162</v>
      </c>
      <c r="H1334">
        <v>562.35</v>
      </c>
      <c r="I1334">
        <v>26</v>
      </c>
      <c r="J1334" t="s">
        <v>15</v>
      </c>
      <c r="K1334">
        <v>91100.7</v>
      </c>
      <c r="L1334" t="str">
        <f t="shared" si="80"/>
        <v>Apr</v>
      </c>
      <c r="M1334">
        <f t="shared" si="81"/>
        <v>2025</v>
      </c>
      <c r="N1334">
        <f t="shared" si="82"/>
        <v>91100.7</v>
      </c>
      <c r="O1334" t="str">
        <f t="shared" si="83"/>
        <v>Minor Delay</v>
      </c>
    </row>
    <row r="1335" spans="1:15" x14ac:dyDescent="0.25">
      <c r="A1335">
        <v>1334</v>
      </c>
      <c r="B1335" s="2">
        <v>45702</v>
      </c>
      <c r="C1335" t="s">
        <v>31</v>
      </c>
      <c r="D1335" t="s">
        <v>27</v>
      </c>
      <c r="E1335" t="s">
        <v>19</v>
      </c>
      <c r="F1335" t="s">
        <v>14</v>
      </c>
      <c r="G1335">
        <v>211</v>
      </c>
      <c r="H1335">
        <v>770.28</v>
      </c>
      <c r="I1335">
        <v>60</v>
      </c>
      <c r="J1335" t="s">
        <v>15</v>
      </c>
      <c r="K1335">
        <v>162529.07999999999</v>
      </c>
      <c r="L1335" t="str">
        <f t="shared" si="80"/>
        <v>Feb</v>
      </c>
      <c r="M1335">
        <f t="shared" si="81"/>
        <v>2025</v>
      </c>
      <c r="N1335">
        <f t="shared" si="82"/>
        <v>162529.07999999999</v>
      </c>
      <c r="O1335" t="str">
        <f t="shared" si="83"/>
        <v>Moderate Delay</v>
      </c>
    </row>
    <row r="1336" spans="1:15" x14ac:dyDescent="0.25">
      <c r="A1336">
        <v>1335</v>
      </c>
      <c r="B1336" s="2">
        <v>45660</v>
      </c>
      <c r="C1336" t="s">
        <v>26</v>
      </c>
      <c r="D1336" t="s">
        <v>13</v>
      </c>
      <c r="E1336" t="s">
        <v>19</v>
      </c>
      <c r="F1336" t="s">
        <v>24</v>
      </c>
      <c r="G1336">
        <v>195</v>
      </c>
      <c r="H1336">
        <v>464.47</v>
      </c>
      <c r="I1336">
        <v>34</v>
      </c>
      <c r="J1336" t="s">
        <v>15</v>
      </c>
      <c r="K1336">
        <v>90571.65</v>
      </c>
      <c r="L1336" t="str">
        <f t="shared" si="80"/>
        <v>Jan</v>
      </c>
      <c r="M1336">
        <f t="shared" si="81"/>
        <v>2025</v>
      </c>
      <c r="N1336">
        <f t="shared" si="82"/>
        <v>90571.650000000009</v>
      </c>
      <c r="O1336" t="str">
        <f t="shared" si="83"/>
        <v>Moderate Delay</v>
      </c>
    </row>
    <row r="1337" spans="1:15" x14ac:dyDescent="0.25">
      <c r="A1337">
        <v>1336</v>
      </c>
      <c r="B1337" s="2">
        <v>45755</v>
      </c>
      <c r="C1337" t="s">
        <v>11</v>
      </c>
      <c r="D1337" t="s">
        <v>27</v>
      </c>
      <c r="E1337" t="s">
        <v>20</v>
      </c>
      <c r="F1337" t="s">
        <v>21</v>
      </c>
      <c r="G1337">
        <v>261</v>
      </c>
      <c r="H1337">
        <v>410.56</v>
      </c>
      <c r="I1337">
        <v>26</v>
      </c>
      <c r="J1337" t="s">
        <v>15</v>
      </c>
      <c r="K1337">
        <v>107156.16</v>
      </c>
      <c r="L1337" t="str">
        <f t="shared" si="80"/>
        <v>Apr</v>
      </c>
      <c r="M1337">
        <f t="shared" si="81"/>
        <v>2025</v>
      </c>
      <c r="N1337">
        <f t="shared" si="82"/>
        <v>107156.16</v>
      </c>
      <c r="O1337" t="str">
        <f t="shared" si="83"/>
        <v>Minor Delay</v>
      </c>
    </row>
    <row r="1338" spans="1:15" x14ac:dyDescent="0.25">
      <c r="A1338">
        <v>1337</v>
      </c>
      <c r="B1338" s="2">
        <v>45692</v>
      </c>
      <c r="C1338" t="s">
        <v>18</v>
      </c>
      <c r="D1338" t="s">
        <v>27</v>
      </c>
      <c r="E1338" t="s">
        <v>29</v>
      </c>
      <c r="F1338" t="s">
        <v>24</v>
      </c>
      <c r="G1338">
        <v>210</v>
      </c>
      <c r="H1338">
        <v>338.33</v>
      </c>
      <c r="I1338">
        <v>29</v>
      </c>
      <c r="J1338" t="s">
        <v>15</v>
      </c>
      <c r="K1338">
        <v>71049.3</v>
      </c>
      <c r="L1338" t="str">
        <f t="shared" si="80"/>
        <v>Feb</v>
      </c>
      <c r="M1338">
        <f t="shared" si="81"/>
        <v>2025</v>
      </c>
      <c r="N1338">
        <f t="shared" si="82"/>
        <v>71049.3</v>
      </c>
      <c r="O1338" t="str">
        <f t="shared" si="83"/>
        <v>Minor Delay</v>
      </c>
    </row>
    <row r="1339" spans="1:15" x14ac:dyDescent="0.25">
      <c r="A1339">
        <v>1338</v>
      </c>
      <c r="B1339" s="2">
        <v>45718</v>
      </c>
      <c r="C1339" t="s">
        <v>18</v>
      </c>
      <c r="D1339" t="s">
        <v>23</v>
      </c>
      <c r="E1339" t="s">
        <v>12</v>
      </c>
      <c r="F1339" t="s">
        <v>14</v>
      </c>
      <c r="G1339">
        <v>63</v>
      </c>
      <c r="H1339">
        <v>505.1</v>
      </c>
      <c r="I1339">
        <v>24</v>
      </c>
      <c r="J1339" t="s">
        <v>15</v>
      </c>
      <c r="K1339">
        <v>31821.3</v>
      </c>
      <c r="L1339" t="str">
        <f t="shared" si="80"/>
        <v>Mar</v>
      </c>
      <c r="M1339">
        <f t="shared" si="81"/>
        <v>2025</v>
      </c>
      <c r="N1339">
        <f t="shared" si="82"/>
        <v>31821.300000000003</v>
      </c>
      <c r="O1339" t="str">
        <f t="shared" si="83"/>
        <v>Minor Delay</v>
      </c>
    </row>
    <row r="1340" spans="1:15" x14ac:dyDescent="0.25">
      <c r="A1340">
        <v>1339</v>
      </c>
      <c r="B1340" s="2">
        <v>45786</v>
      </c>
      <c r="C1340" t="s">
        <v>18</v>
      </c>
      <c r="D1340" t="s">
        <v>19</v>
      </c>
      <c r="E1340" t="s">
        <v>22</v>
      </c>
      <c r="F1340" t="s">
        <v>21</v>
      </c>
      <c r="G1340">
        <v>141</v>
      </c>
      <c r="H1340">
        <v>110.29</v>
      </c>
      <c r="I1340">
        <v>65</v>
      </c>
      <c r="J1340" t="s">
        <v>15</v>
      </c>
      <c r="K1340">
        <v>15550.89</v>
      </c>
      <c r="L1340" t="str">
        <f t="shared" si="80"/>
        <v>May</v>
      </c>
      <c r="M1340">
        <f t="shared" si="81"/>
        <v>2025</v>
      </c>
      <c r="N1340">
        <f t="shared" si="82"/>
        <v>15550.890000000001</v>
      </c>
      <c r="O1340" t="str">
        <f t="shared" si="83"/>
        <v>Major Delay</v>
      </c>
    </row>
    <row r="1341" spans="1:15" x14ac:dyDescent="0.25">
      <c r="A1341">
        <v>1340</v>
      </c>
      <c r="B1341" s="2">
        <v>45862</v>
      </c>
      <c r="C1341" t="s">
        <v>31</v>
      </c>
      <c r="D1341" t="s">
        <v>19</v>
      </c>
      <c r="E1341" t="s">
        <v>22</v>
      </c>
      <c r="F1341" t="s">
        <v>14</v>
      </c>
      <c r="G1341">
        <v>189</v>
      </c>
      <c r="H1341">
        <v>576.16</v>
      </c>
      <c r="I1341">
        <v>0</v>
      </c>
      <c r="J1341" t="s">
        <v>15</v>
      </c>
      <c r="K1341">
        <v>108894.24</v>
      </c>
      <c r="L1341" t="str">
        <f t="shared" si="80"/>
        <v>Jul</v>
      </c>
      <c r="M1341">
        <f t="shared" si="81"/>
        <v>2025</v>
      </c>
      <c r="N1341">
        <f t="shared" si="82"/>
        <v>108894.23999999999</v>
      </c>
      <c r="O1341" t="str">
        <f t="shared" si="83"/>
        <v>On Time</v>
      </c>
    </row>
    <row r="1342" spans="1:15" x14ac:dyDescent="0.25">
      <c r="A1342">
        <v>1341</v>
      </c>
      <c r="B1342" s="2">
        <v>45992</v>
      </c>
      <c r="C1342" t="s">
        <v>16</v>
      </c>
      <c r="D1342" t="s">
        <v>20</v>
      </c>
      <c r="E1342" t="s">
        <v>23</v>
      </c>
      <c r="F1342" t="s">
        <v>14</v>
      </c>
      <c r="G1342">
        <v>136</v>
      </c>
      <c r="H1342">
        <v>371.84</v>
      </c>
      <c r="I1342">
        <v>36</v>
      </c>
      <c r="J1342" t="s">
        <v>15</v>
      </c>
      <c r="K1342">
        <v>50570.239999999998</v>
      </c>
      <c r="L1342" t="str">
        <f t="shared" si="80"/>
        <v>Dec</v>
      </c>
      <c r="M1342">
        <f t="shared" si="81"/>
        <v>2025</v>
      </c>
      <c r="N1342">
        <f t="shared" si="82"/>
        <v>50570.239999999998</v>
      </c>
      <c r="O1342" t="str">
        <f t="shared" si="83"/>
        <v>Moderate Delay</v>
      </c>
    </row>
    <row r="1343" spans="1:15" x14ac:dyDescent="0.25">
      <c r="A1343">
        <v>1342</v>
      </c>
      <c r="B1343" s="2">
        <v>45997</v>
      </c>
      <c r="C1343" t="s">
        <v>16</v>
      </c>
      <c r="D1343" t="s">
        <v>19</v>
      </c>
      <c r="E1343" t="s">
        <v>17</v>
      </c>
      <c r="F1343" t="s">
        <v>14</v>
      </c>
      <c r="G1343">
        <v>176</v>
      </c>
      <c r="H1343">
        <v>113.95</v>
      </c>
      <c r="I1343">
        <v>69</v>
      </c>
      <c r="J1343" t="s">
        <v>30</v>
      </c>
      <c r="K1343">
        <v>20055.2</v>
      </c>
      <c r="L1343" t="str">
        <f t="shared" si="80"/>
        <v>Dec</v>
      </c>
      <c r="M1343">
        <f t="shared" si="81"/>
        <v>2025</v>
      </c>
      <c r="N1343">
        <f t="shared" si="82"/>
        <v>20055.2</v>
      </c>
      <c r="O1343" t="str">
        <f t="shared" si="83"/>
        <v>Major Delay</v>
      </c>
    </row>
    <row r="1344" spans="1:15" x14ac:dyDescent="0.25">
      <c r="A1344">
        <v>1343</v>
      </c>
      <c r="B1344" s="2">
        <v>45694</v>
      </c>
      <c r="C1344" t="s">
        <v>18</v>
      </c>
      <c r="D1344" t="s">
        <v>13</v>
      </c>
      <c r="E1344" t="s">
        <v>17</v>
      </c>
      <c r="F1344" t="s">
        <v>21</v>
      </c>
      <c r="G1344">
        <v>239</v>
      </c>
      <c r="H1344">
        <v>513.20000000000005</v>
      </c>
      <c r="I1344">
        <v>47</v>
      </c>
      <c r="J1344" t="s">
        <v>30</v>
      </c>
      <c r="K1344">
        <v>122654.8</v>
      </c>
      <c r="L1344" t="str">
        <f t="shared" si="80"/>
        <v>Feb</v>
      </c>
      <c r="M1344">
        <f t="shared" si="81"/>
        <v>2025</v>
      </c>
      <c r="N1344">
        <f t="shared" si="82"/>
        <v>122654.80000000002</v>
      </c>
      <c r="O1344" t="str">
        <f t="shared" si="83"/>
        <v>Moderate Delay</v>
      </c>
    </row>
    <row r="1345" spans="1:15" x14ac:dyDescent="0.25">
      <c r="A1345">
        <v>1344</v>
      </c>
      <c r="B1345" s="2">
        <v>45711</v>
      </c>
      <c r="C1345" t="s">
        <v>16</v>
      </c>
      <c r="D1345" t="s">
        <v>23</v>
      </c>
      <c r="E1345" t="s">
        <v>13</v>
      </c>
      <c r="F1345" t="s">
        <v>24</v>
      </c>
      <c r="G1345">
        <v>179</v>
      </c>
      <c r="H1345">
        <v>226.68</v>
      </c>
      <c r="I1345">
        <v>35</v>
      </c>
      <c r="J1345" t="s">
        <v>15</v>
      </c>
      <c r="K1345">
        <v>40575.72</v>
      </c>
      <c r="L1345" t="str">
        <f t="shared" si="80"/>
        <v>Feb</v>
      </c>
      <c r="M1345">
        <f t="shared" si="81"/>
        <v>2025</v>
      </c>
      <c r="N1345">
        <f t="shared" si="82"/>
        <v>40575.72</v>
      </c>
      <c r="O1345" t="str">
        <f t="shared" si="83"/>
        <v>Moderate Delay</v>
      </c>
    </row>
    <row r="1346" spans="1:15" x14ac:dyDescent="0.25">
      <c r="A1346">
        <v>1345</v>
      </c>
      <c r="B1346" s="2">
        <v>45774</v>
      </c>
      <c r="C1346" t="s">
        <v>16</v>
      </c>
      <c r="D1346" t="s">
        <v>20</v>
      </c>
      <c r="E1346" t="s">
        <v>23</v>
      </c>
      <c r="F1346" t="s">
        <v>14</v>
      </c>
      <c r="G1346">
        <v>56</v>
      </c>
      <c r="H1346">
        <v>632.47</v>
      </c>
      <c r="I1346">
        <v>31</v>
      </c>
      <c r="J1346" t="s">
        <v>30</v>
      </c>
      <c r="K1346">
        <v>35418.32</v>
      </c>
      <c r="L1346" t="str">
        <f t="shared" si="80"/>
        <v>Apr</v>
      </c>
      <c r="M1346">
        <f t="shared" si="81"/>
        <v>2025</v>
      </c>
      <c r="N1346">
        <f t="shared" si="82"/>
        <v>35418.32</v>
      </c>
      <c r="O1346" t="str">
        <f t="shared" si="83"/>
        <v>Moderate Delay</v>
      </c>
    </row>
    <row r="1347" spans="1:15" x14ac:dyDescent="0.25">
      <c r="A1347">
        <v>1346</v>
      </c>
      <c r="B1347" s="2">
        <v>45684</v>
      </c>
      <c r="C1347" t="s">
        <v>18</v>
      </c>
      <c r="D1347" t="s">
        <v>13</v>
      </c>
      <c r="E1347" t="s">
        <v>27</v>
      </c>
      <c r="F1347" t="s">
        <v>24</v>
      </c>
      <c r="G1347">
        <v>228</v>
      </c>
      <c r="H1347">
        <v>152.68</v>
      </c>
      <c r="I1347">
        <v>0</v>
      </c>
      <c r="J1347" t="s">
        <v>15</v>
      </c>
      <c r="K1347">
        <v>34811.040000000001</v>
      </c>
      <c r="L1347" t="str">
        <f t="shared" ref="L1347:L1410" si="84">TEXT(B1347,"MMM")</f>
        <v>Jan</v>
      </c>
      <c r="M1347">
        <f t="shared" ref="M1347:M1410" si="85">YEAR(B1347)</f>
        <v>2025</v>
      </c>
      <c r="N1347">
        <f t="shared" ref="N1347:N1410" si="86">G1347*H1347</f>
        <v>34811.040000000001</v>
      </c>
      <c r="O1347" t="str">
        <f t="shared" ref="O1347:O1410" si="87">IF(I1347=0,"On Time",IF(I1347&lt;=30,"Minor Delay",IF(I1347&lt;=60,"Moderate Delay","Major Delay")))</f>
        <v>On Time</v>
      </c>
    </row>
    <row r="1348" spans="1:15" x14ac:dyDescent="0.25">
      <c r="A1348">
        <v>1347</v>
      </c>
      <c r="B1348" s="2">
        <v>45717</v>
      </c>
      <c r="C1348" t="s">
        <v>18</v>
      </c>
      <c r="D1348" t="s">
        <v>27</v>
      </c>
      <c r="E1348" t="s">
        <v>29</v>
      </c>
      <c r="F1348" t="s">
        <v>14</v>
      </c>
      <c r="G1348">
        <v>279</v>
      </c>
      <c r="H1348">
        <v>515.58000000000004</v>
      </c>
      <c r="I1348">
        <v>39</v>
      </c>
      <c r="J1348" t="s">
        <v>15</v>
      </c>
      <c r="K1348">
        <v>143846.82</v>
      </c>
      <c r="L1348" t="str">
        <f t="shared" si="84"/>
        <v>Mar</v>
      </c>
      <c r="M1348">
        <f t="shared" si="85"/>
        <v>2025</v>
      </c>
      <c r="N1348">
        <f t="shared" si="86"/>
        <v>143846.82</v>
      </c>
      <c r="O1348" t="str">
        <f t="shared" si="87"/>
        <v>Moderate Delay</v>
      </c>
    </row>
    <row r="1349" spans="1:15" x14ac:dyDescent="0.25">
      <c r="A1349">
        <v>1348</v>
      </c>
      <c r="B1349" s="2">
        <v>45776</v>
      </c>
      <c r="C1349" t="s">
        <v>16</v>
      </c>
      <c r="D1349" t="s">
        <v>13</v>
      </c>
      <c r="E1349" t="s">
        <v>23</v>
      </c>
      <c r="F1349" t="s">
        <v>21</v>
      </c>
      <c r="G1349">
        <v>52</v>
      </c>
      <c r="H1349">
        <v>228.07</v>
      </c>
      <c r="I1349">
        <v>6</v>
      </c>
      <c r="J1349" t="s">
        <v>15</v>
      </c>
      <c r="K1349">
        <v>11859.64</v>
      </c>
      <c r="L1349" t="str">
        <f t="shared" si="84"/>
        <v>Apr</v>
      </c>
      <c r="M1349">
        <f t="shared" si="85"/>
        <v>2025</v>
      </c>
      <c r="N1349">
        <f t="shared" si="86"/>
        <v>11859.64</v>
      </c>
      <c r="O1349" t="str">
        <f t="shared" si="87"/>
        <v>Minor Delay</v>
      </c>
    </row>
    <row r="1350" spans="1:15" x14ac:dyDescent="0.25">
      <c r="A1350">
        <v>1349</v>
      </c>
      <c r="B1350" s="2">
        <v>45665</v>
      </c>
      <c r="C1350" t="s">
        <v>25</v>
      </c>
      <c r="D1350" t="s">
        <v>27</v>
      </c>
      <c r="E1350" t="s">
        <v>13</v>
      </c>
      <c r="F1350" t="s">
        <v>14</v>
      </c>
      <c r="G1350">
        <v>258</v>
      </c>
      <c r="H1350">
        <v>102.09</v>
      </c>
      <c r="I1350">
        <v>45</v>
      </c>
      <c r="J1350" t="s">
        <v>15</v>
      </c>
      <c r="K1350">
        <v>26339.22</v>
      </c>
      <c r="L1350" t="str">
        <f t="shared" si="84"/>
        <v>Jan</v>
      </c>
      <c r="M1350">
        <f t="shared" si="85"/>
        <v>2025</v>
      </c>
      <c r="N1350">
        <f t="shared" si="86"/>
        <v>26339.22</v>
      </c>
      <c r="O1350" t="str">
        <f t="shared" si="87"/>
        <v>Moderate Delay</v>
      </c>
    </row>
    <row r="1351" spans="1:15" x14ac:dyDescent="0.25">
      <c r="A1351">
        <v>1350</v>
      </c>
      <c r="B1351" s="2">
        <v>45966</v>
      </c>
      <c r="C1351" t="s">
        <v>25</v>
      </c>
      <c r="D1351" t="s">
        <v>22</v>
      </c>
      <c r="E1351" t="s">
        <v>17</v>
      </c>
      <c r="F1351" t="s">
        <v>14</v>
      </c>
      <c r="G1351">
        <v>124</v>
      </c>
      <c r="H1351">
        <v>155.99</v>
      </c>
      <c r="I1351">
        <v>29</v>
      </c>
      <c r="J1351" t="s">
        <v>15</v>
      </c>
      <c r="K1351">
        <v>19342.759999999998</v>
      </c>
      <c r="L1351" t="str">
        <f t="shared" si="84"/>
        <v>Nov</v>
      </c>
      <c r="M1351">
        <f t="shared" si="85"/>
        <v>2025</v>
      </c>
      <c r="N1351">
        <f t="shared" si="86"/>
        <v>19342.760000000002</v>
      </c>
      <c r="O1351" t="str">
        <f t="shared" si="87"/>
        <v>Minor Delay</v>
      </c>
    </row>
    <row r="1352" spans="1:15" x14ac:dyDescent="0.25">
      <c r="A1352">
        <v>1351</v>
      </c>
      <c r="B1352" s="2">
        <v>45697</v>
      </c>
      <c r="C1352" t="s">
        <v>26</v>
      </c>
      <c r="D1352" t="s">
        <v>12</v>
      </c>
      <c r="E1352" t="s">
        <v>29</v>
      </c>
      <c r="F1352" t="s">
        <v>21</v>
      </c>
      <c r="G1352">
        <v>102</v>
      </c>
      <c r="H1352">
        <v>426.25</v>
      </c>
      <c r="I1352">
        <v>17</v>
      </c>
      <c r="J1352" t="s">
        <v>30</v>
      </c>
      <c r="K1352">
        <v>43477.5</v>
      </c>
      <c r="L1352" t="str">
        <f t="shared" si="84"/>
        <v>Feb</v>
      </c>
      <c r="M1352">
        <f t="shared" si="85"/>
        <v>2025</v>
      </c>
      <c r="N1352">
        <f t="shared" si="86"/>
        <v>43477.5</v>
      </c>
      <c r="O1352" t="str">
        <f t="shared" si="87"/>
        <v>Minor Delay</v>
      </c>
    </row>
    <row r="1353" spans="1:15" x14ac:dyDescent="0.25">
      <c r="A1353">
        <v>1352</v>
      </c>
      <c r="B1353" s="2">
        <v>45812</v>
      </c>
      <c r="C1353" t="s">
        <v>26</v>
      </c>
      <c r="D1353" t="s">
        <v>19</v>
      </c>
      <c r="E1353" t="s">
        <v>27</v>
      </c>
      <c r="F1353" t="s">
        <v>21</v>
      </c>
      <c r="G1353">
        <v>124</v>
      </c>
      <c r="H1353">
        <v>703.04</v>
      </c>
      <c r="I1353">
        <v>0</v>
      </c>
      <c r="J1353" t="s">
        <v>15</v>
      </c>
      <c r="K1353">
        <v>87176.960000000006</v>
      </c>
      <c r="L1353" t="str">
        <f t="shared" si="84"/>
        <v>Jun</v>
      </c>
      <c r="M1353">
        <f t="shared" si="85"/>
        <v>2025</v>
      </c>
      <c r="N1353">
        <f t="shared" si="86"/>
        <v>87176.959999999992</v>
      </c>
      <c r="O1353" t="str">
        <f t="shared" si="87"/>
        <v>On Time</v>
      </c>
    </row>
    <row r="1354" spans="1:15" x14ac:dyDescent="0.25">
      <c r="A1354">
        <v>1353</v>
      </c>
      <c r="B1354" s="2">
        <v>46015</v>
      </c>
      <c r="C1354" t="s">
        <v>31</v>
      </c>
      <c r="D1354" t="s">
        <v>23</v>
      </c>
      <c r="E1354" t="s">
        <v>17</v>
      </c>
      <c r="F1354" t="s">
        <v>21</v>
      </c>
      <c r="G1354">
        <v>76</v>
      </c>
      <c r="H1354">
        <v>99.96</v>
      </c>
      <c r="I1354">
        <v>51</v>
      </c>
      <c r="J1354" t="s">
        <v>15</v>
      </c>
      <c r="K1354">
        <v>7596.96</v>
      </c>
      <c r="L1354" t="str">
        <f t="shared" si="84"/>
        <v>Dec</v>
      </c>
      <c r="M1354">
        <f t="shared" si="85"/>
        <v>2025</v>
      </c>
      <c r="N1354">
        <f t="shared" si="86"/>
        <v>7596.9599999999991</v>
      </c>
      <c r="O1354" t="str">
        <f t="shared" si="87"/>
        <v>Moderate Delay</v>
      </c>
    </row>
    <row r="1355" spans="1:15" x14ac:dyDescent="0.25">
      <c r="A1355">
        <v>1354</v>
      </c>
      <c r="B1355" s="2">
        <v>45762</v>
      </c>
      <c r="C1355" t="s">
        <v>11</v>
      </c>
      <c r="D1355" t="s">
        <v>23</v>
      </c>
      <c r="E1355" t="s">
        <v>12</v>
      </c>
      <c r="F1355" t="s">
        <v>21</v>
      </c>
      <c r="G1355">
        <v>109</v>
      </c>
      <c r="H1355">
        <v>285.66000000000003</v>
      </c>
      <c r="I1355">
        <v>0</v>
      </c>
      <c r="J1355" t="s">
        <v>15</v>
      </c>
      <c r="K1355">
        <v>31136.94</v>
      </c>
      <c r="L1355" t="str">
        <f t="shared" si="84"/>
        <v>Apr</v>
      </c>
      <c r="M1355">
        <f t="shared" si="85"/>
        <v>2025</v>
      </c>
      <c r="N1355">
        <f t="shared" si="86"/>
        <v>31136.940000000002</v>
      </c>
      <c r="O1355" t="str">
        <f t="shared" si="87"/>
        <v>On Time</v>
      </c>
    </row>
    <row r="1356" spans="1:15" x14ac:dyDescent="0.25">
      <c r="A1356">
        <v>1355</v>
      </c>
      <c r="B1356" s="2">
        <v>45730</v>
      </c>
      <c r="C1356" t="s">
        <v>16</v>
      </c>
      <c r="D1356" t="s">
        <v>12</v>
      </c>
      <c r="E1356" t="s">
        <v>17</v>
      </c>
      <c r="F1356" t="s">
        <v>14</v>
      </c>
      <c r="G1356">
        <v>228</v>
      </c>
      <c r="H1356">
        <v>385.81</v>
      </c>
      <c r="I1356">
        <v>25</v>
      </c>
      <c r="J1356" t="s">
        <v>15</v>
      </c>
      <c r="K1356">
        <v>87964.68</v>
      </c>
      <c r="L1356" t="str">
        <f t="shared" si="84"/>
        <v>Mar</v>
      </c>
      <c r="M1356">
        <f t="shared" si="85"/>
        <v>2025</v>
      </c>
      <c r="N1356">
        <f t="shared" si="86"/>
        <v>87964.680000000008</v>
      </c>
      <c r="O1356" t="str">
        <f t="shared" si="87"/>
        <v>Minor Delay</v>
      </c>
    </row>
    <row r="1357" spans="1:15" x14ac:dyDescent="0.25">
      <c r="A1357">
        <v>1356</v>
      </c>
      <c r="B1357" s="2">
        <v>45800</v>
      </c>
      <c r="C1357" t="s">
        <v>31</v>
      </c>
      <c r="D1357" t="s">
        <v>13</v>
      </c>
      <c r="E1357" t="s">
        <v>22</v>
      </c>
      <c r="F1357" t="s">
        <v>24</v>
      </c>
      <c r="G1357">
        <v>126</v>
      </c>
      <c r="H1357">
        <v>672.11</v>
      </c>
      <c r="I1357">
        <v>0</v>
      </c>
      <c r="J1357" t="s">
        <v>15</v>
      </c>
      <c r="K1357">
        <v>84685.86</v>
      </c>
      <c r="L1357" t="str">
        <f t="shared" si="84"/>
        <v>May</v>
      </c>
      <c r="M1357">
        <f t="shared" si="85"/>
        <v>2025</v>
      </c>
      <c r="N1357">
        <f t="shared" si="86"/>
        <v>84685.86</v>
      </c>
      <c r="O1357" t="str">
        <f t="shared" si="87"/>
        <v>On Time</v>
      </c>
    </row>
    <row r="1358" spans="1:15" x14ac:dyDescent="0.25">
      <c r="A1358">
        <v>1357</v>
      </c>
      <c r="B1358" s="2">
        <v>45911</v>
      </c>
      <c r="C1358" t="s">
        <v>16</v>
      </c>
      <c r="D1358" t="s">
        <v>23</v>
      </c>
      <c r="E1358" t="s">
        <v>20</v>
      </c>
      <c r="F1358" t="s">
        <v>24</v>
      </c>
      <c r="G1358">
        <v>148</v>
      </c>
      <c r="H1358">
        <v>388.57</v>
      </c>
      <c r="I1358">
        <v>23</v>
      </c>
      <c r="J1358" t="s">
        <v>15</v>
      </c>
      <c r="K1358">
        <v>57508.36</v>
      </c>
      <c r="L1358" t="str">
        <f t="shared" si="84"/>
        <v>Sep</v>
      </c>
      <c r="M1358">
        <f t="shared" si="85"/>
        <v>2025</v>
      </c>
      <c r="N1358">
        <f t="shared" si="86"/>
        <v>57508.36</v>
      </c>
      <c r="O1358" t="str">
        <f t="shared" si="87"/>
        <v>Minor Delay</v>
      </c>
    </row>
    <row r="1359" spans="1:15" x14ac:dyDescent="0.25">
      <c r="A1359">
        <v>1358</v>
      </c>
      <c r="B1359" s="2">
        <v>45996</v>
      </c>
      <c r="C1359" t="s">
        <v>26</v>
      </c>
      <c r="D1359" t="s">
        <v>27</v>
      </c>
      <c r="E1359" t="s">
        <v>13</v>
      </c>
      <c r="F1359" t="s">
        <v>14</v>
      </c>
      <c r="G1359">
        <v>188</v>
      </c>
      <c r="H1359">
        <v>624.62</v>
      </c>
      <c r="I1359">
        <v>44</v>
      </c>
      <c r="J1359" t="s">
        <v>30</v>
      </c>
      <c r="K1359">
        <v>117428.56</v>
      </c>
      <c r="L1359" t="str">
        <f t="shared" si="84"/>
        <v>Dec</v>
      </c>
      <c r="M1359">
        <f t="shared" si="85"/>
        <v>2025</v>
      </c>
      <c r="N1359">
        <f t="shared" si="86"/>
        <v>117428.56</v>
      </c>
      <c r="O1359" t="str">
        <f t="shared" si="87"/>
        <v>Moderate Delay</v>
      </c>
    </row>
    <row r="1360" spans="1:15" x14ac:dyDescent="0.25">
      <c r="A1360">
        <v>1359</v>
      </c>
      <c r="B1360" s="2">
        <v>45960</v>
      </c>
      <c r="C1360" t="s">
        <v>11</v>
      </c>
      <c r="D1360" t="s">
        <v>22</v>
      </c>
      <c r="E1360" t="s">
        <v>23</v>
      </c>
      <c r="F1360" t="s">
        <v>14</v>
      </c>
      <c r="G1360">
        <v>137</v>
      </c>
      <c r="H1360">
        <v>597.08000000000004</v>
      </c>
      <c r="I1360">
        <v>0</v>
      </c>
      <c r="J1360" t="s">
        <v>15</v>
      </c>
      <c r="K1360">
        <v>81799.960000000006</v>
      </c>
      <c r="L1360" t="str">
        <f t="shared" si="84"/>
        <v>Oct</v>
      </c>
      <c r="M1360">
        <f t="shared" si="85"/>
        <v>2025</v>
      </c>
      <c r="N1360">
        <f t="shared" si="86"/>
        <v>81799.960000000006</v>
      </c>
      <c r="O1360" t="str">
        <f t="shared" si="87"/>
        <v>On Time</v>
      </c>
    </row>
    <row r="1361" spans="1:15" x14ac:dyDescent="0.25">
      <c r="A1361">
        <v>1360</v>
      </c>
      <c r="B1361" s="2">
        <v>45941</v>
      </c>
      <c r="C1361" t="s">
        <v>18</v>
      </c>
      <c r="D1361" t="s">
        <v>13</v>
      </c>
      <c r="E1361" t="s">
        <v>29</v>
      </c>
      <c r="F1361" t="s">
        <v>21</v>
      </c>
      <c r="G1361">
        <v>288</v>
      </c>
      <c r="H1361">
        <v>561.70000000000005</v>
      </c>
      <c r="I1361">
        <v>0</v>
      </c>
      <c r="J1361" t="s">
        <v>30</v>
      </c>
      <c r="K1361">
        <v>161769.60000000001</v>
      </c>
      <c r="L1361" t="str">
        <f t="shared" si="84"/>
        <v>Oct</v>
      </c>
      <c r="M1361">
        <f t="shared" si="85"/>
        <v>2025</v>
      </c>
      <c r="N1361">
        <f t="shared" si="86"/>
        <v>161769.60000000001</v>
      </c>
      <c r="O1361" t="str">
        <f t="shared" si="87"/>
        <v>On Time</v>
      </c>
    </row>
    <row r="1362" spans="1:15" x14ac:dyDescent="0.25">
      <c r="A1362">
        <v>1361</v>
      </c>
      <c r="B1362" s="2">
        <v>45875</v>
      </c>
      <c r="C1362" t="s">
        <v>31</v>
      </c>
      <c r="D1362" t="s">
        <v>27</v>
      </c>
      <c r="E1362" t="s">
        <v>20</v>
      </c>
      <c r="F1362" t="s">
        <v>21</v>
      </c>
      <c r="G1362">
        <v>195</v>
      </c>
      <c r="H1362">
        <v>629.07000000000005</v>
      </c>
      <c r="I1362">
        <v>15</v>
      </c>
      <c r="J1362" t="s">
        <v>15</v>
      </c>
      <c r="K1362">
        <v>122668.65</v>
      </c>
      <c r="L1362" t="str">
        <f t="shared" si="84"/>
        <v>Aug</v>
      </c>
      <c r="M1362">
        <f t="shared" si="85"/>
        <v>2025</v>
      </c>
      <c r="N1362">
        <f t="shared" si="86"/>
        <v>122668.65000000001</v>
      </c>
      <c r="O1362" t="str">
        <f t="shared" si="87"/>
        <v>Minor Delay</v>
      </c>
    </row>
    <row r="1363" spans="1:15" x14ac:dyDescent="0.25">
      <c r="A1363">
        <v>1362</v>
      </c>
      <c r="B1363" s="2">
        <v>45665</v>
      </c>
      <c r="C1363" t="s">
        <v>26</v>
      </c>
      <c r="D1363" t="s">
        <v>19</v>
      </c>
      <c r="E1363" t="s">
        <v>29</v>
      </c>
      <c r="F1363" t="s">
        <v>21</v>
      </c>
      <c r="G1363">
        <v>293</v>
      </c>
      <c r="H1363">
        <v>263.05</v>
      </c>
      <c r="I1363">
        <v>83</v>
      </c>
      <c r="J1363" t="s">
        <v>28</v>
      </c>
      <c r="K1363">
        <v>77073.649999999994</v>
      </c>
      <c r="L1363" t="str">
        <f t="shared" si="84"/>
        <v>Jan</v>
      </c>
      <c r="M1363">
        <f t="shared" si="85"/>
        <v>2025</v>
      </c>
      <c r="N1363">
        <f t="shared" si="86"/>
        <v>77073.650000000009</v>
      </c>
      <c r="O1363" t="str">
        <f t="shared" si="87"/>
        <v>Major Delay</v>
      </c>
    </row>
    <row r="1364" spans="1:15" x14ac:dyDescent="0.25">
      <c r="A1364">
        <v>1363</v>
      </c>
      <c r="B1364" s="2">
        <v>45830</v>
      </c>
      <c r="C1364" t="s">
        <v>31</v>
      </c>
      <c r="D1364" t="s">
        <v>27</v>
      </c>
      <c r="E1364" t="s">
        <v>23</v>
      </c>
      <c r="F1364" t="s">
        <v>24</v>
      </c>
      <c r="G1364">
        <v>59</v>
      </c>
      <c r="H1364">
        <v>515.5</v>
      </c>
      <c r="I1364">
        <v>0</v>
      </c>
      <c r="J1364" t="s">
        <v>15</v>
      </c>
      <c r="K1364">
        <v>30414.5</v>
      </c>
      <c r="L1364" t="str">
        <f t="shared" si="84"/>
        <v>Jun</v>
      </c>
      <c r="M1364">
        <f t="shared" si="85"/>
        <v>2025</v>
      </c>
      <c r="N1364">
        <f t="shared" si="86"/>
        <v>30414.5</v>
      </c>
      <c r="O1364" t="str">
        <f t="shared" si="87"/>
        <v>On Time</v>
      </c>
    </row>
    <row r="1365" spans="1:15" x14ac:dyDescent="0.25">
      <c r="A1365">
        <v>1364</v>
      </c>
      <c r="B1365" s="2">
        <v>45815</v>
      </c>
      <c r="C1365" t="s">
        <v>31</v>
      </c>
      <c r="D1365" t="s">
        <v>13</v>
      </c>
      <c r="E1365" t="s">
        <v>29</v>
      </c>
      <c r="F1365" t="s">
        <v>21</v>
      </c>
      <c r="G1365">
        <v>132</v>
      </c>
      <c r="H1365">
        <v>678.64</v>
      </c>
      <c r="I1365">
        <v>48</v>
      </c>
      <c r="J1365" t="s">
        <v>30</v>
      </c>
      <c r="K1365">
        <v>89580.479999999996</v>
      </c>
      <c r="L1365" t="str">
        <f t="shared" si="84"/>
        <v>Jun</v>
      </c>
      <c r="M1365">
        <f t="shared" si="85"/>
        <v>2025</v>
      </c>
      <c r="N1365">
        <f t="shared" si="86"/>
        <v>89580.479999999996</v>
      </c>
      <c r="O1365" t="str">
        <f t="shared" si="87"/>
        <v>Moderate Delay</v>
      </c>
    </row>
    <row r="1366" spans="1:15" x14ac:dyDescent="0.25">
      <c r="A1366">
        <v>1365</v>
      </c>
      <c r="B1366" s="2">
        <v>45666</v>
      </c>
      <c r="C1366" t="s">
        <v>18</v>
      </c>
      <c r="D1366" t="s">
        <v>20</v>
      </c>
      <c r="E1366" t="s">
        <v>27</v>
      </c>
      <c r="F1366" t="s">
        <v>14</v>
      </c>
      <c r="G1366">
        <v>169</v>
      </c>
      <c r="H1366">
        <v>87.38</v>
      </c>
      <c r="I1366">
        <v>0</v>
      </c>
      <c r="J1366" t="s">
        <v>15</v>
      </c>
      <c r="K1366">
        <v>14767.22</v>
      </c>
      <c r="L1366" t="str">
        <f t="shared" si="84"/>
        <v>Jan</v>
      </c>
      <c r="M1366">
        <f t="shared" si="85"/>
        <v>2025</v>
      </c>
      <c r="N1366">
        <f t="shared" si="86"/>
        <v>14767.22</v>
      </c>
      <c r="O1366" t="str">
        <f t="shared" si="87"/>
        <v>On Time</v>
      </c>
    </row>
    <row r="1367" spans="1:15" x14ac:dyDescent="0.25">
      <c r="A1367">
        <v>1366</v>
      </c>
      <c r="B1367" s="2">
        <v>45954</v>
      </c>
      <c r="C1367" t="s">
        <v>16</v>
      </c>
      <c r="D1367" t="s">
        <v>17</v>
      </c>
      <c r="E1367" t="s">
        <v>13</v>
      </c>
      <c r="F1367" t="s">
        <v>24</v>
      </c>
      <c r="G1367">
        <v>279</v>
      </c>
      <c r="H1367">
        <v>511.64</v>
      </c>
      <c r="I1367">
        <v>47</v>
      </c>
      <c r="J1367" t="s">
        <v>15</v>
      </c>
      <c r="K1367">
        <v>142747.56</v>
      </c>
      <c r="L1367" t="str">
        <f t="shared" si="84"/>
        <v>Oct</v>
      </c>
      <c r="M1367">
        <f t="shared" si="85"/>
        <v>2025</v>
      </c>
      <c r="N1367">
        <f t="shared" si="86"/>
        <v>142747.56</v>
      </c>
      <c r="O1367" t="str">
        <f t="shared" si="87"/>
        <v>Moderate Delay</v>
      </c>
    </row>
    <row r="1368" spans="1:15" x14ac:dyDescent="0.25">
      <c r="A1368">
        <v>1367</v>
      </c>
      <c r="B1368" s="2">
        <v>45750</v>
      </c>
      <c r="C1368" t="s">
        <v>26</v>
      </c>
      <c r="D1368" t="s">
        <v>12</v>
      </c>
      <c r="E1368" t="s">
        <v>27</v>
      </c>
      <c r="F1368" t="s">
        <v>24</v>
      </c>
      <c r="G1368">
        <v>116</v>
      </c>
      <c r="H1368">
        <v>703.1</v>
      </c>
      <c r="I1368">
        <v>44</v>
      </c>
      <c r="J1368" t="s">
        <v>15</v>
      </c>
      <c r="K1368">
        <v>81559.600000000006</v>
      </c>
      <c r="L1368" t="str">
        <f t="shared" si="84"/>
        <v>Apr</v>
      </c>
      <c r="M1368">
        <f t="shared" si="85"/>
        <v>2025</v>
      </c>
      <c r="N1368">
        <f t="shared" si="86"/>
        <v>81559.600000000006</v>
      </c>
      <c r="O1368" t="str">
        <f t="shared" si="87"/>
        <v>Moderate Delay</v>
      </c>
    </row>
    <row r="1369" spans="1:15" x14ac:dyDescent="0.25">
      <c r="A1369">
        <v>1368</v>
      </c>
      <c r="B1369" s="2">
        <v>45716</v>
      </c>
      <c r="C1369" t="s">
        <v>25</v>
      </c>
      <c r="D1369" t="s">
        <v>13</v>
      </c>
      <c r="E1369" t="s">
        <v>23</v>
      </c>
      <c r="F1369" t="s">
        <v>14</v>
      </c>
      <c r="G1369">
        <v>97</v>
      </c>
      <c r="H1369">
        <v>566.49</v>
      </c>
      <c r="I1369">
        <v>45</v>
      </c>
      <c r="J1369" t="s">
        <v>30</v>
      </c>
      <c r="K1369">
        <v>54949.53</v>
      </c>
      <c r="L1369" t="str">
        <f t="shared" si="84"/>
        <v>Feb</v>
      </c>
      <c r="M1369">
        <f t="shared" si="85"/>
        <v>2025</v>
      </c>
      <c r="N1369">
        <f t="shared" si="86"/>
        <v>54949.53</v>
      </c>
      <c r="O1369" t="str">
        <f t="shared" si="87"/>
        <v>Moderate Delay</v>
      </c>
    </row>
    <row r="1370" spans="1:15" x14ac:dyDescent="0.25">
      <c r="A1370">
        <v>1369</v>
      </c>
      <c r="B1370" s="2">
        <v>45941</v>
      </c>
      <c r="C1370" t="s">
        <v>25</v>
      </c>
      <c r="D1370" t="s">
        <v>22</v>
      </c>
      <c r="E1370" t="s">
        <v>13</v>
      </c>
      <c r="F1370" t="s">
        <v>14</v>
      </c>
      <c r="G1370">
        <v>65</v>
      </c>
      <c r="H1370">
        <v>764.26</v>
      </c>
      <c r="I1370">
        <v>87</v>
      </c>
      <c r="J1370" t="s">
        <v>15</v>
      </c>
      <c r="K1370">
        <v>49676.9</v>
      </c>
      <c r="L1370" t="str">
        <f t="shared" si="84"/>
        <v>Oct</v>
      </c>
      <c r="M1370">
        <f t="shared" si="85"/>
        <v>2025</v>
      </c>
      <c r="N1370">
        <f t="shared" si="86"/>
        <v>49676.9</v>
      </c>
      <c r="O1370" t="str">
        <f t="shared" si="87"/>
        <v>Major Delay</v>
      </c>
    </row>
    <row r="1371" spans="1:15" x14ac:dyDescent="0.25">
      <c r="A1371">
        <v>1370</v>
      </c>
      <c r="B1371" s="2">
        <v>45965</v>
      </c>
      <c r="C1371" t="s">
        <v>11</v>
      </c>
      <c r="D1371" t="s">
        <v>22</v>
      </c>
      <c r="E1371" t="s">
        <v>13</v>
      </c>
      <c r="F1371" t="s">
        <v>24</v>
      </c>
      <c r="G1371">
        <v>77</v>
      </c>
      <c r="H1371">
        <v>117.33</v>
      </c>
      <c r="I1371">
        <v>16</v>
      </c>
      <c r="J1371" t="s">
        <v>15</v>
      </c>
      <c r="K1371">
        <v>9034.41</v>
      </c>
      <c r="L1371" t="str">
        <f t="shared" si="84"/>
        <v>Nov</v>
      </c>
      <c r="M1371">
        <f t="shared" si="85"/>
        <v>2025</v>
      </c>
      <c r="N1371">
        <f t="shared" si="86"/>
        <v>9034.41</v>
      </c>
      <c r="O1371" t="str">
        <f t="shared" si="87"/>
        <v>Minor Delay</v>
      </c>
    </row>
    <row r="1372" spans="1:15" x14ac:dyDescent="0.25">
      <c r="A1372">
        <v>1371</v>
      </c>
      <c r="B1372" s="2">
        <v>45779</v>
      </c>
      <c r="C1372" t="s">
        <v>11</v>
      </c>
      <c r="D1372" t="s">
        <v>27</v>
      </c>
      <c r="E1372" t="s">
        <v>12</v>
      </c>
      <c r="F1372" t="s">
        <v>24</v>
      </c>
      <c r="G1372">
        <v>196</v>
      </c>
      <c r="H1372">
        <v>334.81</v>
      </c>
      <c r="I1372">
        <v>31</v>
      </c>
      <c r="J1372" t="s">
        <v>15</v>
      </c>
      <c r="K1372">
        <v>65622.759999999995</v>
      </c>
      <c r="L1372" t="str">
        <f t="shared" si="84"/>
        <v>May</v>
      </c>
      <c r="M1372">
        <f t="shared" si="85"/>
        <v>2025</v>
      </c>
      <c r="N1372">
        <f t="shared" si="86"/>
        <v>65622.759999999995</v>
      </c>
      <c r="O1372" t="str">
        <f t="shared" si="87"/>
        <v>Moderate Delay</v>
      </c>
    </row>
    <row r="1373" spans="1:15" x14ac:dyDescent="0.25">
      <c r="A1373">
        <v>1372</v>
      </c>
      <c r="B1373" s="2">
        <v>45670</v>
      </c>
      <c r="C1373" t="s">
        <v>26</v>
      </c>
      <c r="D1373" t="s">
        <v>23</v>
      </c>
      <c r="E1373" t="s">
        <v>29</v>
      </c>
      <c r="F1373" t="s">
        <v>21</v>
      </c>
      <c r="G1373">
        <v>251</v>
      </c>
      <c r="H1373">
        <v>326.61</v>
      </c>
      <c r="I1373">
        <v>0</v>
      </c>
      <c r="J1373" t="s">
        <v>30</v>
      </c>
      <c r="K1373">
        <v>81979.11</v>
      </c>
      <c r="L1373" t="str">
        <f t="shared" si="84"/>
        <v>Jan</v>
      </c>
      <c r="M1373">
        <f t="shared" si="85"/>
        <v>2025</v>
      </c>
      <c r="N1373">
        <f t="shared" si="86"/>
        <v>81979.11</v>
      </c>
      <c r="O1373" t="str">
        <f t="shared" si="87"/>
        <v>On Time</v>
      </c>
    </row>
    <row r="1374" spans="1:15" x14ac:dyDescent="0.25">
      <c r="A1374">
        <v>1373</v>
      </c>
      <c r="B1374" s="2">
        <v>45808</v>
      </c>
      <c r="C1374" t="s">
        <v>31</v>
      </c>
      <c r="D1374" t="s">
        <v>22</v>
      </c>
      <c r="E1374" t="s">
        <v>27</v>
      </c>
      <c r="F1374" t="s">
        <v>14</v>
      </c>
      <c r="G1374">
        <v>91</v>
      </c>
      <c r="H1374">
        <v>332.54</v>
      </c>
      <c r="I1374">
        <v>16</v>
      </c>
      <c r="J1374" t="s">
        <v>15</v>
      </c>
      <c r="K1374">
        <v>30261.14</v>
      </c>
      <c r="L1374" t="str">
        <f t="shared" si="84"/>
        <v>May</v>
      </c>
      <c r="M1374">
        <f t="shared" si="85"/>
        <v>2025</v>
      </c>
      <c r="N1374">
        <f t="shared" si="86"/>
        <v>30261.140000000003</v>
      </c>
      <c r="O1374" t="str">
        <f t="shared" si="87"/>
        <v>Minor Delay</v>
      </c>
    </row>
    <row r="1375" spans="1:15" x14ac:dyDescent="0.25">
      <c r="A1375">
        <v>1374</v>
      </c>
      <c r="B1375" s="2">
        <v>45818</v>
      </c>
      <c r="C1375" t="s">
        <v>31</v>
      </c>
      <c r="D1375" t="s">
        <v>12</v>
      </c>
      <c r="E1375" t="s">
        <v>23</v>
      </c>
      <c r="F1375" t="s">
        <v>21</v>
      </c>
      <c r="G1375">
        <v>249</v>
      </c>
      <c r="H1375">
        <v>609.11</v>
      </c>
      <c r="I1375">
        <v>33</v>
      </c>
      <c r="J1375" t="s">
        <v>15</v>
      </c>
      <c r="K1375">
        <v>151668.39000000001</v>
      </c>
      <c r="L1375" t="str">
        <f t="shared" si="84"/>
        <v>Jun</v>
      </c>
      <c r="M1375">
        <f t="shared" si="85"/>
        <v>2025</v>
      </c>
      <c r="N1375">
        <f t="shared" si="86"/>
        <v>151668.39000000001</v>
      </c>
      <c r="O1375" t="str">
        <f t="shared" si="87"/>
        <v>Moderate Delay</v>
      </c>
    </row>
    <row r="1376" spans="1:15" x14ac:dyDescent="0.25">
      <c r="A1376">
        <v>1375</v>
      </c>
      <c r="B1376" s="2">
        <v>45851</v>
      </c>
      <c r="C1376" t="s">
        <v>31</v>
      </c>
      <c r="D1376" t="s">
        <v>22</v>
      </c>
      <c r="E1376" t="s">
        <v>19</v>
      </c>
      <c r="F1376" t="s">
        <v>14</v>
      </c>
      <c r="G1376">
        <v>218</v>
      </c>
      <c r="H1376">
        <v>597.42999999999995</v>
      </c>
      <c r="I1376">
        <v>0</v>
      </c>
      <c r="J1376" t="s">
        <v>15</v>
      </c>
      <c r="K1376">
        <v>130239.74</v>
      </c>
      <c r="L1376" t="str">
        <f t="shared" si="84"/>
        <v>Jul</v>
      </c>
      <c r="M1376">
        <f t="shared" si="85"/>
        <v>2025</v>
      </c>
      <c r="N1376">
        <f t="shared" si="86"/>
        <v>130239.73999999999</v>
      </c>
      <c r="O1376" t="str">
        <f t="shared" si="87"/>
        <v>On Time</v>
      </c>
    </row>
    <row r="1377" spans="1:15" x14ac:dyDescent="0.25">
      <c r="A1377">
        <v>1376</v>
      </c>
      <c r="B1377" s="2">
        <v>45947</v>
      </c>
      <c r="C1377" t="s">
        <v>31</v>
      </c>
      <c r="D1377" t="s">
        <v>12</v>
      </c>
      <c r="E1377" t="s">
        <v>23</v>
      </c>
      <c r="F1377" t="s">
        <v>21</v>
      </c>
      <c r="G1377">
        <v>211</v>
      </c>
      <c r="H1377">
        <v>465.69</v>
      </c>
      <c r="I1377">
        <v>79</v>
      </c>
      <c r="J1377" t="s">
        <v>15</v>
      </c>
      <c r="K1377">
        <v>98260.59</v>
      </c>
      <c r="L1377" t="str">
        <f t="shared" si="84"/>
        <v>Oct</v>
      </c>
      <c r="M1377">
        <f t="shared" si="85"/>
        <v>2025</v>
      </c>
      <c r="N1377">
        <f t="shared" si="86"/>
        <v>98260.59</v>
      </c>
      <c r="O1377" t="str">
        <f t="shared" si="87"/>
        <v>Major Delay</v>
      </c>
    </row>
    <row r="1378" spans="1:15" x14ac:dyDescent="0.25">
      <c r="A1378">
        <v>1377</v>
      </c>
      <c r="B1378" s="2">
        <v>45968</v>
      </c>
      <c r="C1378" t="s">
        <v>18</v>
      </c>
      <c r="D1378" t="s">
        <v>12</v>
      </c>
      <c r="E1378" t="s">
        <v>13</v>
      </c>
      <c r="F1378" t="s">
        <v>21</v>
      </c>
      <c r="G1378">
        <v>184</v>
      </c>
      <c r="H1378">
        <v>445.05</v>
      </c>
      <c r="I1378">
        <v>13</v>
      </c>
      <c r="J1378" t="s">
        <v>15</v>
      </c>
      <c r="K1378">
        <v>81889.2</v>
      </c>
      <c r="L1378" t="str">
        <f t="shared" si="84"/>
        <v>Nov</v>
      </c>
      <c r="M1378">
        <f t="shared" si="85"/>
        <v>2025</v>
      </c>
      <c r="N1378">
        <f t="shared" si="86"/>
        <v>81889.2</v>
      </c>
      <c r="O1378" t="str">
        <f t="shared" si="87"/>
        <v>Minor Delay</v>
      </c>
    </row>
    <row r="1379" spans="1:15" x14ac:dyDescent="0.25">
      <c r="A1379">
        <v>1378</v>
      </c>
      <c r="B1379" s="2">
        <v>45782</v>
      </c>
      <c r="C1379" t="s">
        <v>26</v>
      </c>
      <c r="D1379" t="s">
        <v>19</v>
      </c>
      <c r="E1379" t="s">
        <v>17</v>
      </c>
      <c r="F1379" t="s">
        <v>14</v>
      </c>
      <c r="G1379">
        <v>166</v>
      </c>
      <c r="H1379">
        <v>292.95999999999998</v>
      </c>
      <c r="I1379">
        <v>35</v>
      </c>
      <c r="J1379" t="s">
        <v>30</v>
      </c>
      <c r="K1379">
        <v>48631.360000000001</v>
      </c>
      <c r="L1379" t="str">
        <f t="shared" si="84"/>
        <v>May</v>
      </c>
      <c r="M1379">
        <f t="shared" si="85"/>
        <v>2025</v>
      </c>
      <c r="N1379">
        <f t="shared" si="86"/>
        <v>48631.359999999993</v>
      </c>
      <c r="O1379" t="str">
        <f t="shared" si="87"/>
        <v>Moderate Delay</v>
      </c>
    </row>
    <row r="1380" spans="1:15" x14ac:dyDescent="0.25">
      <c r="A1380">
        <v>1379</v>
      </c>
      <c r="B1380" s="2">
        <v>45867</v>
      </c>
      <c r="C1380" t="s">
        <v>26</v>
      </c>
      <c r="D1380" t="s">
        <v>19</v>
      </c>
      <c r="E1380" t="s">
        <v>27</v>
      </c>
      <c r="F1380" t="s">
        <v>14</v>
      </c>
      <c r="G1380">
        <v>140</v>
      </c>
      <c r="H1380">
        <v>474.74</v>
      </c>
      <c r="I1380">
        <v>41</v>
      </c>
      <c r="J1380" t="s">
        <v>15</v>
      </c>
      <c r="K1380">
        <v>66463.600000000006</v>
      </c>
      <c r="L1380" t="str">
        <f t="shared" si="84"/>
        <v>Jul</v>
      </c>
      <c r="M1380">
        <f t="shared" si="85"/>
        <v>2025</v>
      </c>
      <c r="N1380">
        <f t="shared" si="86"/>
        <v>66463.600000000006</v>
      </c>
      <c r="O1380" t="str">
        <f t="shared" si="87"/>
        <v>Moderate Delay</v>
      </c>
    </row>
    <row r="1381" spans="1:15" x14ac:dyDescent="0.25">
      <c r="A1381">
        <v>1380</v>
      </c>
      <c r="B1381" s="2">
        <v>45872</v>
      </c>
      <c r="C1381" t="s">
        <v>11</v>
      </c>
      <c r="D1381" t="s">
        <v>19</v>
      </c>
      <c r="E1381" t="s">
        <v>27</v>
      </c>
      <c r="F1381" t="s">
        <v>21</v>
      </c>
      <c r="G1381">
        <v>261</v>
      </c>
      <c r="H1381">
        <v>671.82</v>
      </c>
      <c r="I1381">
        <v>30</v>
      </c>
      <c r="J1381" t="s">
        <v>15</v>
      </c>
      <c r="K1381">
        <v>175345.02</v>
      </c>
      <c r="L1381" t="str">
        <f t="shared" si="84"/>
        <v>Aug</v>
      </c>
      <c r="M1381">
        <f t="shared" si="85"/>
        <v>2025</v>
      </c>
      <c r="N1381">
        <f t="shared" si="86"/>
        <v>175345.02000000002</v>
      </c>
      <c r="O1381" t="str">
        <f t="shared" si="87"/>
        <v>Minor Delay</v>
      </c>
    </row>
    <row r="1382" spans="1:15" x14ac:dyDescent="0.25">
      <c r="A1382">
        <v>1381</v>
      </c>
      <c r="B1382" s="2">
        <v>45866</v>
      </c>
      <c r="C1382" t="s">
        <v>25</v>
      </c>
      <c r="D1382" t="s">
        <v>27</v>
      </c>
      <c r="E1382" t="s">
        <v>19</v>
      </c>
      <c r="F1382" t="s">
        <v>21</v>
      </c>
      <c r="G1382">
        <v>220</v>
      </c>
      <c r="H1382">
        <v>162.22</v>
      </c>
      <c r="I1382">
        <v>18</v>
      </c>
      <c r="J1382" t="s">
        <v>15</v>
      </c>
      <c r="K1382">
        <v>35688.400000000001</v>
      </c>
      <c r="L1382" t="str">
        <f t="shared" si="84"/>
        <v>Jul</v>
      </c>
      <c r="M1382">
        <f t="shared" si="85"/>
        <v>2025</v>
      </c>
      <c r="N1382">
        <f t="shared" si="86"/>
        <v>35688.400000000001</v>
      </c>
      <c r="O1382" t="str">
        <f t="shared" si="87"/>
        <v>Minor Delay</v>
      </c>
    </row>
    <row r="1383" spans="1:15" x14ac:dyDescent="0.25">
      <c r="A1383">
        <v>1382</v>
      </c>
      <c r="B1383" s="2">
        <v>45873</v>
      </c>
      <c r="C1383" t="s">
        <v>31</v>
      </c>
      <c r="D1383" t="s">
        <v>12</v>
      </c>
      <c r="E1383" t="s">
        <v>20</v>
      </c>
      <c r="F1383" t="s">
        <v>14</v>
      </c>
      <c r="G1383">
        <v>197</v>
      </c>
      <c r="H1383">
        <v>425.71</v>
      </c>
      <c r="I1383">
        <v>40</v>
      </c>
      <c r="J1383" t="s">
        <v>30</v>
      </c>
      <c r="K1383">
        <v>83864.87</v>
      </c>
      <c r="L1383" t="str">
        <f t="shared" si="84"/>
        <v>Aug</v>
      </c>
      <c r="M1383">
        <f t="shared" si="85"/>
        <v>2025</v>
      </c>
      <c r="N1383">
        <f t="shared" si="86"/>
        <v>83864.87</v>
      </c>
      <c r="O1383" t="str">
        <f t="shared" si="87"/>
        <v>Moderate Delay</v>
      </c>
    </row>
    <row r="1384" spans="1:15" x14ac:dyDescent="0.25">
      <c r="A1384">
        <v>1383</v>
      </c>
      <c r="B1384" s="2">
        <v>45890</v>
      </c>
      <c r="C1384" t="s">
        <v>16</v>
      </c>
      <c r="D1384" t="s">
        <v>19</v>
      </c>
      <c r="E1384" t="s">
        <v>29</v>
      </c>
      <c r="F1384" t="s">
        <v>14</v>
      </c>
      <c r="G1384">
        <v>80</v>
      </c>
      <c r="H1384">
        <v>369.78</v>
      </c>
      <c r="I1384">
        <v>23</v>
      </c>
      <c r="J1384" t="s">
        <v>15</v>
      </c>
      <c r="K1384">
        <v>29582.400000000001</v>
      </c>
      <c r="L1384" t="str">
        <f t="shared" si="84"/>
        <v>Aug</v>
      </c>
      <c r="M1384">
        <f t="shared" si="85"/>
        <v>2025</v>
      </c>
      <c r="N1384">
        <f t="shared" si="86"/>
        <v>29582.399999999998</v>
      </c>
      <c r="O1384" t="str">
        <f t="shared" si="87"/>
        <v>Minor Delay</v>
      </c>
    </row>
    <row r="1385" spans="1:15" x14ac:dyDescent="0.25">
      <c r="A1385">
        <v>1384</v>
      </c>
      <c r="B1385" s="2">
        <v>45675</v>
      </c>
      <c r="C1385" t="s">
        <v>18</v>
      </c>
      <c r="D1385" t="s">
        <v>12</v>
      </c>
      <c r="E1385" t="s">
        <v>19</v>
      </c>
      <c r="F1385" t="s">
        <v>14</v>
      </c>
      <c r="G1385">
        <v>226</v>
      </c>
      <c r="H1385">
        <v>183.53</v>
      </c>
      <c r="I1385">
        <v>0</v>
      </c>
      <c r="J1385" t="s">
        <v>15</v>
      </c>
      <c r="K1385">
        <v>41477.78</v>
      </c>
      <c r="L1385" t="str">
        <f t="shared" si="84"/>
        <v>Jan</v>
      </c>
      <c r="M1385">
        <f t="shared" si="85"/>
        <v>2025</v>
      </c>
      <c r="N1385">
        <f t="shared" si="86"/>
        <v>41477.78</v>
      </c>
      <c r="O1385" t="str">
        <f t="shared" si="87"/>
        <v>On Time</v>
      </c>
    </row>
    <row r="1386" spans="1:15" x14ac:dyDescent="0.25">
      <c r="A1386">
        <v>1385</v>
      </c>
      <c r="B1386" s="2">
        <v>45874</v>
      </c>
      <c r="C1386" t="s">
        <v>26</v>
      </c>
      <c r="D1386" t="s">
        <v>27</v>
      </c>
      <c r="E1386" t="s">
        <v>17</v>
      </c>
      <c r="F1386" t="s">
        <v>14</v>
      </c>
      <c r="G1386">
        <v>152</v>
      </c>
      <c r="H1386">
        <v>575.73</v>
      </c>
      <c r="I1386">
        <v>21</v>
      </c>
      <c r="J1386" t="s">
        <v>15</v>
      </c>
      <c r="K1386">
        <v>87510.96</v>
      </c>
      <c r="L1386" t="str">
        <f t="shared" si="84"/>
        <v>Aug</v>
      </c>
      <c r="M1386">
        <f t="shared" si="85"/>
        <v>2025</v>
      </c>
      <c r="N1386">
        <f t="shared" si="86"/>
        <v>87510.96</v>
      </c>
      <c r="O1386" t="str">
        <f t="shared" si="87"/>
        <v>Minor Delay</v>
      </c>
    </row>
    <row r="1387" spans="1:15" x14ac:dyDescent="0.25">
      <c r="A1387">
        <v>1386</v>
      </c>
      <c r="B1387" s="2">
        <v>45681</v>
      </c>
      <c r="C1387" t="s">
        <v>16</v>
      </c>
      <c r="D1387" t="s">
        <v>22</v>
      </c>
      <c r="E1387" t="s">
        <v>12</v>
      </c>
      <c r="F1387" t="s">
        <v>21</v>
      </c>
      <c r="G1387">
        <v>285</v>
      </c>
      <c r="H1387">
        <v>322.67</v>
      </c>
      <c r="I1387">
        <v>40</v>
      </c>
      <c r="J1387" t="s">
        <v>15</v>
      </c>
      <c r="K1387">
        <v>91960.95</v>
      </c>
      <c r="L1387" t="str">
        <f t="shared" si="84"/>
        <v>Jan</v>
      </c>
      <c r="M1387">
        <f t="shared" si="85"/>
        <v>2025</v>
      </c>
      <c r="N1387">
        <f t="shared" si="86"/>
        <v>91960.950000000012</v>
      </c>
      <c r="O1387" t="str">
        <f t="shared" si="87"/>
        <v>Moderate Delay</v>
      </c>
    </row>
    <row r="1388" spans="1:15" x14ac:dyDescent="0.25">
      <c r="A1388">
        <v>1387</v>
      </c>
      <c r="B1388" s="2">
        <v>45881</v>
      </c>
      <c r="C1388" t="s">
        <v>26</v>
      </c>
      <c r="D1388" t="s">
        <v>17</v>
      </c>
      <c r="E1388" t="s">
        <v>27</v>
      </c>
      <c r="F1388" t="s">
        <v>24</v>
      </c>
      <c r="G1388">
        <v>229</v>
      </c>
      <c r="H1388">
        <v>159.61000000000001</v>
      </c>
      <c r="I1388">
        <v>37</v>
      </c>
      <c r="J1388" t="s">
        <v>30</v>
      </c>
      <c r="K1388">
        <v>36550.69</v>
      </c>
      <c r="L1388" t="str">
        <f t="shared" si="84"/>
        <v>Aug</v>
      </c>
      <c r="M1388">
        <f t="shared" si="85"/>
        <v>2025</v>
      </c>
      <c r="N1388">
        <f t="shared" si="86"/>
        <v>36550.69</v>
      </c>
      <c r="O1388" t="str">
        <f t="shared" si="87"/>
        <v>Moderate Delay</v>
      </c>
    </row>
    <row r="1389" spans="1:15" x14ac:dyDescent="0.25">
      <c r="A1389">
        <v>1388</v>
      </c>
      <c r="B1389" s="2">
        <v>45735</v>
      </c>
      <c r="C1389" t="s">
        <v>16</v>
      </c>
      <c r="D1389" t="s">
        <v>27</v>
      </c>
      <c r="E1389" t="s">
        <v>12</v>
      </c>
      <c r="F1389" t="s">
        <v>21</v>
      </c>
      <c r="G1389">
        <v>201</v>
      </c>
      <c r="H1389">
        <v>333.71</v>
      </c>
      <c r="I1389">
        <v>58</v>
      </c>
      <c r="J1389" t="s">
        <v>15</v>
      </c>
      <c r="K1389">
        <v>67075.710000000006</v>
      </c>
      <c r="L1389" t="str">
        <f t="shared" si="84"/>
        <v>Mar</v>
      </c>
      <c r="M1389">
        <f t="shared" si="85"/>
        <v>2025</v>
      </c>
      <c r="N1389">
        <f t="shared" si="86"/>
        <v>67075.709999999992</v>
      </c>
      <c r="O1389" t="str">
        <f t="shared" si="87"/>
        <v>Moderate Delay</v>
      </c>
    </row>
    <row r="1390" spans="1:15" x14ac:dyDescent="0.25">
      <c r="A1390">
        <v>1389</v>
      </c>
      <c r="B1390" s="2">
        <v>45882</v>
      </c>
      <c r="C1390" t="s">
        <v>11</v>
      </c>
      <c r="D1390" t="s">
        <v>17</v>
      </c>
      <c r="E1390" t="s">
        <v>22</v>
      </c>
      <c r="F1390" t="s">
        <v>21</v>
      </c>
      <c r="G1390">
        <v>234</v>
      </c>
      <c r="H1390">
        <v>495.18</v>
      </c>
      <c r="I1390">
        <v>30</v>
      </c>
      <c r="J1390" t="s">
        <v>15</v>
      </c>
      <c r="K1390">
        <v>115872.12</v>
      </c>
      <c r="L1390" t="str">
        <f t="shared" si="84"/>
        <v>Aug</v>
      </c>
      <c r="M1390">
        <f t="shared" si="85"/>
        <v>2025</v>
      </c>
      <c r="N1390">
        <f t="shared" si="86"/>
        <v>115872.12</v>
      </c>
      <c r="O1390" t="str">
        <f t="shared" si="87"/>
        <v>Minor Delay</v>
      </c>
    </row>
    <row r="1391" spans="1:15" x14ac:dyDescent="0.25">
      <c r="A1391">
        <v>1390</v>
      </c>
      <c r="B1391" s="2">
        <v>45946</v>
      </c>
      <c r="C1391" t="s">
        <v>31</v>
      </c>
      <c r="D1391" t="s">
        <v>22</v>
      </c>
      <c r="E1391" t="s">
        <v>13</v>
      </c>
      <c r="F1391" t="s">
        <v>21</v>
      </c>
      <c r="G1391">
        <v>198</v>
      </c>
      <c r="H1391">
        <v>436.09</v>
      </c>
      <c r="I1391">
        <v>16</v>
      </c>
      <c r="J1391" t="s">
        <v>30</v>
      </c>
      <c r="K1391">
        <v>86345.82</v>
      </c>
      <c r="L1391" t="str">
        <f t="shared" si="84"/>
        <v>Oct</v>
      </c>
      <c r="M1391">
        <f t="shared" si="85"/>
        <v>2025</v>
      </c>
      <c r="N1391">
        <f t="shared" si="86"/>
        <v>86345.819999999992</v>
      </c>
      <c r="O1391" t="str">
        <f t="shared" si="87"/>
        <v>Minor Delay</v>
      </c>
    </row>
    <row r="1392" spans="1:15" x14ac:dyDescent="0.25">
      <c r="A1392">
        <v>1391</v>
      </c>
      <c r="B1392" s="2">
        <v>45854</v>
      </c>
      <c r="C1392" t="s">
        <v>26</v>
      </c>
      <c r="D1392" t="s">
        <v>23</v>
      </c>
      <c r="E1392" t="s">
        <v>17</v>
      </c>
      <c r="F1392" t="s">
        <v>14</v>
      </c>
      <c r="G1392">
        <v>294</v>
      </c>
      <c r="H1392">
        <v>165.97</v>
      </c>
      <c r="I1392">
        <v>35</v>
      </c>
      <c r="J1392" t="s">
        <v>28</v>
      </c>
      <c r="K1392">
        <v>48795.18</v>
      </c>
      <c r="L1392" t="str">
        <f t="shared" si="84"/>
        <v>Jul</v>
      </c>
      <c r="M1392">
        <f t="shared" si="85"/>
        <v>2025</v>
      </c>
      <c r="N1392">
        <f t="shared" si="86"/>
        <v>48795.18</v>
      </c>
      <c r="O1392" t="str">
        <f t="shared" si="87"/>
        <v>Moderate Delay</v>
      </c>
    </row>
    <row r="1393" spans="1:15" x14ac:dyDescent="0.25">
      <c r="A1393">
        <v>1392</v>
      </c>
      <c r="B1393" s="2">
        <v>45923</v>
      </c>
      <c r="C1393" t="s">
        <v>26</v>
      </c>
      <c r="D1393" t="s">
        <v>19</v>
      </c>
      <c r="E1393" t="s">
        <v>20</v>
      </c>
      <c r="F1393" t="s">
        <v>21</v>
      </c>
      <c r="G1393">
        <v>275</v>
      </c>
      <c r="H1393">
        <v>515.45000000000005</v>
      </c>
      <c r="I1393">
        <v>0</v>
      </c>
      <c r="J1393" t="s">
        <v>15</v>
      </c>
      <c r="K1393">
        <v>141748.75</v>
      </c>
      <c r="L1393" t="str">
        <f t="shared" si="84"/>
        <v>Sep</v>
      </c>
      <c r="M1393">
        <f t="shared" si="85"/>
        <v>2025</v>
      </c>
      <c r="N1393">
        <f t="shared" si="86"/>
        <v>141748.75</v>
      </c>
      <c r="O1393" t="str">
        <f t="shared" si="87"/>
        <v>On Time</v>
      </c>
    </row>
    <row r="1394" spans="1:15" x14ac:dyDescent="0.25">
      <c r="A1394">
        <v>1393</v>
      </c>
      <c r="B1394" s="2">
        <v>45718</v>
      </c>
      <c r="C1394" t="s">
        <v>26</v>
      </c>
      <c r="D1394" t="s">
        <v>23</v>
      </c>
      <c r="E1394" t="s">
        <v>29</v>
      </c>
      <c r="F1394" t="s">
        <v>24</v>
      </c>
      <c r="G1394">
        <v>174</v>
      </c>
      <c r="H1394">
        <v>384.8</v>
      </c>
      <c r="I1394">
        <v>35</v>
      </c>
      <c r="J1394" t="s">
        <v>30</v>
      </c>
      <c r="K1394">
        <v>66955.199999999997</v>
      </c>
      <c r="L1394" t="str">
        <f t="shared" si="84"/>
        <v>Mar</v>
      </c>
      <c r="M1394">
        <f t="shared" si="85"/>
        <v>2025</v>
      </c>
      <c r="N1394">
        <f t="shared" si="86"/>
        <v>66955.199999999997</v>
      </c>
      <c r="O1394" t="str">
        <f t="shared" si="87"/>
        <v>Moderate Delay</v>
      </c>
    </row>
    <row r="1395" spans="1:15" x14ac:dyDescent="0.25">
      <c r="A1395">
        <v>1394</v>
      </c>
      <c r="B1395" s="2">
        <v>45999</v>
      </c>
      <c r="C1395" t="s">
        <v>26</v>
      </c>
      <c r="D1395" t="s">
        <v>12</v>
      </c>
      <c r="E1395" t="s">
        <v>23</v>
      </c>
      <c r="F1395" t="s">
        <v>14</v>
      </c>
      <c r="G1395">
        <v>74</v>
      </c>
      <c r="H1395">
        <v>213.06</v>
      </c>
      <c r="I1395">
        <v>6</v>
      </c>
      <c r="J1395" t="s">
        <v>30</v>
      </c>
      <c r="K1395">
        <v>15766.44</v>
      </c>
      <c r="L1395" t="str">
        <f t="shared" si="84"/>
        <v>Dec</v>
      </c>
      <c r="M1395">
        <f t="shared" si="85"/>
        <v>2025</v>
      </c>
      <c r="N1395">
        <f t="shared" si="86"/>
        <v>15766.44</v>
      </c>
      <c r="O1395" t="str">
        <f t="shared" si="87"/>
        <v>Minor Delay</v>
      </c>
    </row>
    <row r="1396" spans="1:15" x14ac:dyDescent="0.25">
      <c r="A1396">
        <v>1395</v>
      </c>
      <c r="B1396" s="2">
        <v>45964</v>
      </c>
      <c r="C1396" t="s">
        <v>16</v>
      </c>
      <c r="D1396" t="s">
        <v>29</v>
      </c>
      <c r="E1396" t="s">
        <v>13</v>
      </c>
      <c r="F1396" t="s">
        <v>21</v>
      </c>
      <c r="G1396">
        <v>187</v>
      </c>
      <c r="H1396">
        <v>651.25</v>
      </c>
      <c r="I1396">
        <v>67</v>
      </c>
      <c r="J1396" t="s">
        <v>15</v>
      </c>
      <c r="K1396">
        <v>121783.75</v>
      </c>
      <c r="L1396" t="str">
        <f t="shared" si="84"/>
        <v>Nov</v>
      </c>
      <c r="M1396">
        <f t="shared" si="85"/>
        <v>2025</v>
      </c>
      <c r="N1396">
        <f t="shared" si="86"/>
        <v>121783.75</v>
      </c>
      <c r="O1396" t="str">
        <f t="shared" si="87"/>
        <v>Major Delay</v>
      </c>
    </row>
    <row r="1397" spans="1:15" x14ac:dyDescent="0.25">
      <c r="A1397">
        <v>1396</v>
      </c>
      <c r="B1397" s="2">
        <v>45950</v>
      </c>
      <c r="C1397" t="s">
        <v>18</v>
      </c>
      <c r="D1397" t="s">
        <v>19</v>
      </c>
      <c r="E1397" t="s">
        <v>22</v>
      </c>
      <c r="F1397" t="s">
        <v>21</v>
      </c>
      <c r="G1397">
        <v>163</v>
      </c>
      <c r="H1397">
        <v>445.46</v>
      </c>
      <c r="I1397">
        <v>21</v>
      </c>
      <c r="J1397" t="s">
        <v>30</v>
      </c>
      <c r="K1397">
        <v>72609.98</v>
      </c>
      <c r="L1397" t="str">
        <f t="shared" si="84"/>
        <v>Oct</v>
      </c>
      <c r="M1397">
        <f t="shared" si="85"/>
        <v>2025</v>
      </c>
      <c r="N1397">
        <f t="shared" si="86"/>
        <v>72609.98</v>
      </c>
      <c r="O1397" t="str">
        <f t="shared" si="87"/>
        <v>Minor Delay</v>
      </c>
    </row>
    <row r="1398" spans="1:15" x14ac:dyDescent="0.25">
      <c r="A1398">
        <v>1397</v>
      </c>
      <c r="B1398" s="2">
        <v>46019</v>
      </c>
      <c r="C1398" t="s">
        <v>16</v>
      </c>
      <c r="D1398" t="s">
        <v>23</v>
      </c>
      <c r="E1398" t="s">
        <v>12</v>
      </c>
      <c r="F1398" t="s">
        <v>24</v>
      </c>
      <c r="G1398">
        <v>277</v>
      </c>
      <c r="H1398">
        <v>379.88</v>
      </c>
      <c r="I1398">
        <v>15</v>
      </c>
      <c r="J1398" t="s">
        <v>28</v>
      </c>
      <c r="K1398">
        <v>105226.76</v>
      </c>
      <c r="L1398" t="str">
        <f t="shared" si="84"/>
        <v>Dec</v>
      </c>
      <c r="M1398">
        <f t="shared" si="85"/>
        <v>2025</v>
      </c>
      <c r="N1398">
        <f t="shared" si="86"/>
        <v>105226.76</v>
      </c>
      <c r="O1398" t="str">
        <f t="shared" si="87"/>
        <v>Minor Delay</v>
      </c>
    </row>
    <row r="1399" spans="1:15" x14ac:dyDescent="0.25">
      <c r="A1399">
        <v>1398</v>
      </c>
      <c r="B1399" s="2">
        <v>45698</v>
      </c>
      <c r="C1399" t="s">
        <v>25</v>
      </c>
      <c r="D1399" t="s">
        <v>12</v>
      </c>
      <c r="E1399" t="s">
        <v>17</v>
      </c>
      <c r="F1399" t="s">
        <v>14</v>
      </c>
      <c r="G1399">
        <v>236</v>
      </c>
      <c r="H1399">
        <v>115.02</v>
      </c>
      <c r="I1399">
        <v>69</v>
      </c>
      <c r="J1399" t="s">
        <v>15</v>
      </c>
      <c r="K1399">
        <v>27144.720000000001</v>
      </c>
      <c r="L1399" t="str">
        <f t="shared" si="84"/>
        <v>Feb</v>
      </c>
      <c r="M1399">
        <f t="shared" si="85"/>
        <v>2025</v>
      </c>
      <c r="N1399">
        <f t="shared" si="86"/>
        <v>27144.719999999998</v>
      </c>
      <c r="O1399" t="str">
        <f t="shared" si="87"/>
        <v>Major Delay</v>
      </c>
    </row>
    <row r="1400" spans="1:15" x14ac:dyDescent="0.25">
      <c r="A1400">
        <v>1399</v>
      </c>
      <c r="B1400" s="2">
        <v>45890</v>
      </c>
      <c r="C1400" t="s">
        <v>25</v>
      </c>
      <c r="D1400" t="s">
        <v>22</v>
      </c>
      <c r="E1400" t="s">
        <v>23</v>
      </c>
      <c r="F1400" t="s">
        <v>21</v>
      </c>
      <c r="G1400">
        <v>181</v>
      </c>
      <c r="H1400">
        <v>557.34</v>
      </c>
      <c r="I1400">
        <v>54</v>
      </c>
      <c r="J1400" t="s">
        <v>30</v>
      </c>
      <c r="K1400">
        <v>100878.54</v>
      </c>
      <c r="L1400" t="str">
        <f t="shared" si="84"/>
        <v>Aug</v>
      </c>
      <c r="M1400">
        <f t="shared" si="85"/>
        <v>2025</v>
      </c>
      <c r="N1400">
        <f t="shared" si="86"/>
        <v>100878.54000000001</v>
      </c>
      <c r="O1400" t="str">
        <f t="shared" si="87"/>
        <v>Moderate Delay</v>
      </c>
    </row>
    <row r="1401" spans="1:15" x14ac:dyDescent="0.25">
      <c r="A1401">
        <v>1400</v>
      </c>
      <c r="B1401" s="2">
        <v>45709</v>
      </c>
      <c r="C1401" t="s">
        <v>25</v>
      </c>
      <c r="D1401" t="s">
        <v>13</v>
      </c>
      <c r="E1401" t="s">
        <v>20</v>
      </c>
      <c r="F1401" t="s">
        <v>21</v>
      </c>
      <c r="G1401">
        <v>131</v>
      </c>
      <c r="H1401">
        <v>200.9</v>
      </c>
      <c r="I1401">
        <v>37</v>
      </c>
      <c r="J1401" t="s">
        <v>15</v>
      </c>
      <c r="K1401">
        <v>26317.9</v>
      </c>
      <c r="L1401" t="str">
        <f t="shared" si="84"/>
        <v>Feb</v>
      </c>
      <c r="M1401">
        <f t="shared" si="85"/>
        <v>2025</v>
      </c>
      <c r="N1401">
        <f t="shared" si="86"/>
        <v>26317.9</v>
      </c>
      <c r="O1401" t="str">
        <f t="shared" si="87"/>
        <v>Moderate Delay</v>
      </c>
    </row>
    <row r="1402" spans="1:15" x14ac:dyDescent="0.25">
      <c r="A1402">
        <v>1401</v>
      </c>
      <c r="B1402" s="2">
        <v>45783</v>
      </c>
      <c r="C1402" t="s">
        <v>11</v>
      </c>
      <c r="D1402" t="s">
        <v>13</v>
      </c>
      <c r="E1402" t="s">
        <v>12</v>
      </c>
      <c r="F1402" t="s">
        <v>21</v>
      </c>
      <c r="G1402">
        <v>146</v>
      </c>
      <c r="H1402">
        <v>705.36</v>
      </c>
      <c r="I1402">
        <v>23</v>
      </c>
      <c r="J1402" t="s">
        <v>15</v>
      </c>
      <c r="K1402">
        <v>102982.56</v>
      </c>
      <c r="L1402" t="str">
        <f t="shared" si="84"/>
        <v>May</v>
      </c>
      <c r="M1402">
        <f t="shared" si="85"/>
        <v>2025</v>
      </c>
      <c r="N1402">
        <f t="shared" si="86"/>
        <v>102982.56</v>
      </c>
      <c r="O1402" t="str">
        <f t="shared" si="87"/>
        <v>Minor Delay</v>
      </c>
    </row>
    <row r="1403" spans="1:15" x14ac:dyDescent="0.25">
      <c r="A1403">
        <v>1402</v>
      </c>
      <c r="B1403" s="2">
        <v>45912</v>
      </c>
      <c r="C1403" t="s">
        <v>26</v>
      </c>
      <c r="D1403" t="s">
        <v>20</v>
      </c>
      <c r="E1403" t="s">
        <v>29</v>
      </c>
      <c r="F1403" t="s">
        <v>14</v>
      </c>
      <c r="G1403">
        <v>100</v>
      </c>
      <c r="H1403">
        <v>529.73</v>
      </c>
      <c r="I1403">
        <v>36</v>
      </c>
      <c r="J1403" t="s">
        <v>15</v>
      </c>
      <c r="K1403">
        <v>52973</v>
      </c>
      <c r="L1403" t="str">
        <f t="shared" si="84"/>
        <v>Sep</v>
      </c>
      <c r="M1403">
        <f t="shared" si="85"/>
        <v>2025</v>
      </c>
      <c r="N1403">
        <f t="shared" si="86"/>
        <v>52973</v>
      </c>
      <c r="O1403" t="str">
        <f t="shared" si="87"/>
        <v>Moderate Delay</v>
      </c>
    </row>
    <row r="1404" spans="1:15" x14ac:dyDescent="0.25">
      <c r="A1404">
        <v>1403</v>
      </c>
      <c r="B1404" s="2">
        <v>45659</v>
      </c>
      <c r="C1404" t="s">
        <v>18</v>
      </c>
      <c r="D1404" t="s">
        <v>27</v>
      </c>
      <c r="E1404" t="s">
        <v>19</v>
      </c>
      <c r="F1404" t="s">
        <v>14</v>
      </c>
      <c r="G1404">
        <v>175</v>
      </c>
      <c r="H1404">
        <v>472.73</v>
      </c>
      <c r="I1404">
        <v>24</v>
      </c>
      <c r="J1404" t="s">
        <v>15</v>
      </c>
      <c r="K1404">
        <v>82727.75</v>
      </c>
      <c r="L1404" t="str">
        <f t="shared" si="84"/>
        <v>Jan</v>
      </c>
      <c r="M1404">
        <f t="shared" si="85"/>
        <v>2025</v>
      </c>
      <c r="N1404">
        <f t="shared" si="86"/>
        <v>82727.75</v>
      </c>
      <c r="O1404" t="str">
        <f t="shared" si="87"/>
        <v>Minor Delay</v>
      </c>
    </row>
    <row r="1405" spans="1:15" x14ac:dyDescent="0.25">
      <c r="A1405">
        <v>1404</v>
      </c>
      <c r="B1405" s="2">
        <v>45981</v>
      </c>
      <c r="C1405" t="s">
        <v>31</v>
      </c>
      <c r="D1405" t="s">
        <v>23</v>
      </c>
      <c r="E1405" t="s">
        <v>20</v>
      </c>
      <c r="F1405" t="s">
        <v>14</v>
      </c>
      <c r="G1405">
        <v>213</v>
      </c>
      <c r="H1405">
        <v>318.04000000000002</v>
      </c>
      <c r="I1405">
        <v>35</v>
      </c>
      <c r="J1405" t="s">
        <v>15</v>
      </c>
      <c r="K1405">
        <v>67742.52</v>
      </c>
      <c r="L1405" t="str">
        <f t="shared" si="84"/>
        <v>Nov</v>
      </c>
      <c r="M1405">
        <f t="shared" si="85"/>
        <v>2025</v>
      </c>
      <c r="N1405">
        <f t="shared" si="86"/>
        <v>67742.52</v>
      </c>
      <c r="O1405" t="str">
        <f t="shared" si="87"/>
        <v>Moderate Delay</v>
      </c>
    </row>
    <row r="1406" spans="1:15" x14ac:dyDescent="0.25">
      <c r="A1406">
        <v>1405</v>
      </c>
      <c r="B1406" s="2">
        <v>45776</v>
      </c>
      <c r="C1406" t="s">
        <v>26</v>
      </c>
      <c r="D1406" t="s">
        <v>29</v>
      </c>
      <c r="E1406" t="s">
        <v>22</v>
      </c>
      <c r="F1406" t="s">
        <v>21</v>
      </c>
      <c r="G1406">
        <v>174</v>
      </c>
      <c r="H1406">
        <v>422.76</v>
      </c>
      <c r="I1406">
        <v>0</v>
      </c>
      <c r="J1406" t="s">
        <v>15</v>
      </c>
      <c r="K1406">
        <v>73560.240000000005</v>
      </c>
      <c r="L1406" t="str">
        <f t="shared" si="84"/>
        <v>Apr</v>
      </c>
      <c r="M1406">
        <f t="shared" si="85"/>
        <v>2025</v>
      </c>
      <c r="N1406">
        <f t="shared" si="86"/>
        <v>73560.240000000005</v>
      </c>
      <c r="O1406" t="str">
        <f t="shared" si="87"/>
        <v>On Time</v>
      </c>
    </row>
    <row r="1407" spans="1:15" x14ac:dyDescent="0.25">
      <c r="A1407">
        <v>1406</v>
      </c>
      <c r="B1407" s="2">
        <v>45770</v>
      </c>
      <c r="C1407" t="s">
        <v>16</v>
      </c>
      <c r="D1407" t="s">
        <v>23</v>
      </c>
      <c r="E1407" t="s">
        <v>12</v>
      </c>
      <c r="F1407" t="s">
        <v>24</v>
      </c>
      <c r="G1407">
        <v>157</v>
      </c>
      <c r="H1407">
        <v>777.33</v>
      </c>
      <c r="I1407">
        <v>0</v>
      </c>
      <c r="J1407" t="s">
        <v>15</v>
      </c>
      <c r="K1407">
        <v>122040.81</v>
      </c>
      <c r="L1407" t="str">
        <f t="shared" si="84"/>
        <v>Apr</v>
      </c>
      <c r="M1407">
        <f t="shared" si="85"/>
        <v>2025</v>
      </c>
      <c r="N1407">
        <f t="shared" si="86"/>
        <v>122040.81000000001</v>
      </c>
      <c r="O1407" t="str">
        <f t="shared" si="87"/>
        <v>On Time</v>
      </c>
    </row>
    <row r="1408" spans="1:15" x14ac:dyDescent="0.25">
      <c r="A1408">
        <v>1407</v>
      </c>
      <c r="B1408" s="2">
        <v>45748</v>
      </c>
      <c r="C1408" t="s">
        <v>18</v>
      </c>
      <c r="D1408" t="s">
        <v>17</v>
      </c>
      <c r="E1408" t="s">
        <v>12</v>
      </c>
      <c r="F1408" t="s">
        <v>24</v>
      </c>
      <c r="G1408">
        <v>219</v>
      </c>
      <c r="H1408">
        <v>144.02000000000001</v>
      </c>
      <c r="I1408">
        <v>7</v>
      </c>
      <c r="J1408" t="s">
        <v>15</v>
      </c>
      <c r="K1408">
        <v>31540.38</v>
      </c>
      <c r="L1408" t="str">
        <f t="shared" si="84"/>
        <v>Apr</v>
      </c>
      <c r="M1408">
        <f t="shared" si="85"/>
        <v>2025</v>
      </c>
      <c r="N1408">
        <f t="shared" si="86"/>
        <v>31540.38</v>
      </c>
      <c r="O1408" t="str">
        <f t="shared" si="87"/>
        <v>Minor Delay</v>
      </c>
    </row>
    <row r="1409" spans="1:15" x14ac:dyDescent="0.25">
      <c r="A1409">
        <v>1408</v>
      </c>
      <c r="B1409" s="2">
        <v>45965</v>
      </c>
      <c r="C1409" t="s">
        <v>18</v>
      </c>
      <c r="D1409" t="s">
        <v>20</v>
      </c>
      <c r="E1409" t="s">
        <v>27</v>
      </c>
      <c r="F1409" t="s">
        <v>21</v>
      </c>
      <c r="G1409">
        <v>110</v>
      </c>
      <c r="H1409">
        <v>81.430000000000007</v>
      </c>
      <c r="I1409">
        <v>0</v>
      </c>
      <c r="J1409" t="s">
        <v>15</v>
      </c>
      <c r="K1409">
        <v>8957.2999999999993</v>
      </c>
      <c r="L1409" t="str">
        <f t="shared" si="84"/>
        <v>Nov</v>
      </c>
      <c r="M1409">
        <f t="shared" si="85"/>
        <v>2025</v>
      </c>
      <c r="N1409">
        <f t="shared" si="86"/>
        <v>8957.3000000000011</v>
      </c>
      <c r="O1409" t="str">
        <f t="shared" si="87"/>
        <v>On Time</v>
      </c>
    </row>
    <row r="1410" spans="1:15" x14ac:dyDescent="0.25">
      <c r="A1410">
        <v>1409</v>
      </c>
      <c r="B1410" s="2">
        <v>45689</v>
      </c>
      <c r="C1410" t="s">
        <v>31</v>
      </c>
      <c r="D1410" t="s">
        <v>19</v>
      </c>
      <c r="E1410" t="s">
        <v>20</v>
      </c>
      <c r="F1410" t="s">
        <v>24</v>
      </c>
      <c r="G1410">
        <v>116</v>
      </c>
      <c r="H1410">
        <v>559.49</v>
      </c>
      <c r="I1410">
        <v>0</v>
      </c>
      <c r="J1410" t="s">
        <v>15</v>
      </c>
      <c r="K1410">
        <v>64900.84</v>
      </c>
      <c r="L1410" t="str">
        <f t="shared" si="84"/>
        <v>Feb</v>
      </c>
      <c r="M1410">
        <f t="shared" si="85"/>
        <v>2025</v>
      </c>
      <c r="N1410">
        <f t="shared" si="86"/>
        <v>64900.840000000004</v>
      </c>
      <c r="O1410" t="str">
        <f t="shared" si="87"/>
        <v>On Time</v>
      </c>
    </row>
    <row r="1411" spans="1:15" x14ac:dyDescent="0.25">
      <c r="A1411">
        <v>1410</v>
      </c>
      <c r="B1411" s="2">
        <v>45795</v>
      </c>
      <c r="C1411" t="s">
        <v>18</v>
      </c>
      <c r="D1411" t="s">
        <v>23</v>
      </c>
      <c r="E1411" t="s">
        <v>13</v>
      </c>
      <c r="F1411" t="s">
        <v>21</v>
      </c>
      <c r="G1411">
        <v>106</v>
      </c>
      <c r="H1411">
        <v>311.48</v>
      </c>
      <c r="I1411">
        <v>44</v>
      </c>
      <c r="J1411" t="s">
        <v>30</v>
      </c>
      <c r="K1411">
        <v>33016.879999999997</v>
      </c>
      <c r="L1411" t="str">
        <f t="shared" ref="L1411:L1474" si="88">TEXT(B1411,"MMM")</f>
        <v>May</v>
      </c>
      <c r="M1411">
        <f t="shared" ref="M1411:M1474" si="89">YEAR(B1411)</f>
        <v>2025</v>
      </c>
      <c r="N1411">
        <f t="shared" ref="N1411:N1474" si="90">G1411*H1411</f>
        <v>33016.880000000005</v>
      </c>
      <c r="O1411" t="str">
        <f t="shared" ref="O1411:O1474" si="91">IF(I1411=0,"On Time",IF(I1411&lt;=30,"Minor Delay",IF(I1411&lt;=60,"Moderate Delay","Major Delay")))</f>
        <v>Moderate Delay</v>
      </c>
    </row>
    <row r="1412" spans="1:15" x14ac:dyDescent="0.25">
      <c r="A1412">
        <v>1411</v>
      </c>
      <c r="B1412" s="2">
        <v>45867</v>
      </c>
      <c r="C1412" t="s">
        <v>11</v>
      </c>
      <c r="D1412" t="s">
        <v>23</v>
      </c>
      <c r="E1412" t="s">
        <v>27</v>
      </c>
      <c r="F1412" t="s">
        <v>21</v>
      </c>
      <c r="G1412">
        <v>274</v>
      </c>
      <c r="H1412">
        <v>183.24</v>
      </c>
      <c r="I1412">
        <v>29</v>
      </c>
      <c r="J1412" t="s">
        <v>30</v>
      </c>
      <c r="K1412">
        <v>50207.76</v>
      </c>
      <c r="L1412" t="str">
        <f t="shared" si="88"/>
        <v>Jul</v>
      </c>
      <c r="M1412">
        <f t="shared" si="89"/>
        <v>2025</v>
      </c>
      <c r="N1412">
        <f t="shared" si="90"/>
        <v>50207.76</v>
      </c>
      <c r="O1412" t="str">
        <f t="shared" si="91"/>
        <v>Minor Delay</v>
      </c>
    </row>
    <row r="1413" spans="1:15" x14ac:dyDescent="0.25">
      <c r="A1413">
        <v>1412</v>
      </c>
      <c r="B1413" s="2">
        <v>45967</v>
      </c>
      <c r="C1413" t="s">
        <v>31</v>
      </c>
      <c r="D1413" t="s">
        <v>22</v>
      </c>
      <c r="E1413" t="s">
        <v>29</v>
      </c>
      <c r="F1413" t="s">
        <v>14</v>
      </c>
      <c r="G1413">
        <v>293</v>
      </c>
      <c r="H1413">
        <v>594.45000000000005</v>
      </c>
      <c r="I1413">
        <v>53</v>
      </c>
      <c r="J1413" t="s">
        <v>30</v>
      </c>
      <c r="K1413">
        <v>174173.85</v>
      </c>
      <c r="L1413" t="str">
        <f t="shared" si="88"/>
        <v>Nov</v>
      </c>
      <c r="M1413">
        <f t="shared" si="89"/>
        <v>2025</v>
      </c>
      <c r="N1413">
        <f t="shared" si="90"/>
        <v>174173.85</v>
      </c>
      <c r="O1413" t="str">
        <f t="shared" si="91"/>
        <v>Moderate Delay</v>
      </c>
    </row>
    <row r="1414" spans="1:15" x14ac:dyDescent="0.25">
      <c r="A1414">
        <v>1413</v>
      </c>
      <c r="B1414" s="2">
        <v>45838</v>
      </c>
      <c r="C1414" t="s">
        <v>31</v>
      </c>
      <c r="D1414" t="s">
        <v>12</v>
      </c>
      <c r="E1414" t="s">
        <v>17</v>
      </c>
      <c r="F1414" t="s">
        <v>14</v>
      </c>
      <c r="G1414">
        <v>217</v>
      </c>
      <c r="H1414">
        <v>96.42</v>
      </c>
      <c r="I1414">
        <v>27</v>
      </c>
      <c r="J1414" t="s">
        <v>28</v>
      </c>
      <c r="K1414">
        <v>20923.14</v>
      </c>
      <c r="L1414" t="str">
        <f t="shared" si="88"/>
        <v>Jun</v>
      </c>
      <c r="M1414">
        <f t="shared" si="89"/>
        <v>2025</v>
      </c>
      <c r="N1414">
        <f t="shared" si="90"/>
        <v>20923.14</v>
      </c>
      <c r="O1414" t="str">
        <f t="shared" si="91"/>
        <v>Minor Delay</v>
      </c>
    </row>
    <row r="1415" spans="1:15" x14ac:dyDescent="0.25">
      <c r="A1415">
        <v>1414</v>
      </c>
      <c r="B1415" s="2">
        <v>45775</v>
      </c>
      <c r="C1415" t="s">
        <v>26</v>
      </c>
      <c r="D1415" t="s">
        <v>27</v>
      </c>
      <c r="E1415" t="s">
        <v>17</v>
      </c>
      <c r="F1415" t="s">
        <v>14</v>
      </c>
      <c r="G1415">
        <v>283</v>
      </c>
      <c r="H1415">
        <v>336.67</v>
      </c>
      <c r="I1415">
        <v>50</v>
      </c>
      <c r="J1415" t="s">
        <v>15</v>
      </c>
      <c r="K1415">
        <v>95277.61</v>
      </c>
      <c r="L1415" t="str">
        <f t="shared" si="88"/>
        <v>Apr</v>
      </c>
      <c r="M1415">
        <f t="shared" si="89"/>
        <v>2025</v>
      </c>
      <c r="N1415">
        <f t="shared" si="90"/>
        <v>95277.61</v>
      </c>
      <c r="O1415" t="str">
        <f t="shared" si="91"/>
        <v>Moderate Delay</v>
      </c>
    </row>
    <row r="1416" spans="1:15" x14ac:dyDescent="0.25">
      <c r="A1416">
        <v>1415</v>
      </c>
      <c r="B1416" s="2">
        <v>45664</v>
      </c>
      <c r="C1416" t="s">
        <v>16</v>
      </c>
      <c r="D1416" t="s">
        <v>27</v>
      </c>
      <c r="E1416" t="s">
        <v>19</v>
      </c>
      <c r="F1416" t="s">
        <v>14</v>
      </c>
      <c r="G1416">
        <v>243</v>
      </c>
      <c r="H1416">
        <v>755.86</v>
      </c>
      <c r="I1416">
        <v>40</v>
      </c>
      <c r="J1416" t="s">
        <v>15</v>
      </c>
      <c r="K1416">
        <v>183673.98</v>
      </c>
      <c r="L1416" t="str">
        <f t="shared" si="88"/>
        <v>Jan</v>
      </c>
      <c r="M1416">
        <f t="shared" si="89"/>
        <v>2025</v>
      </c>
      <c r="N1416">
        <f t="shared" si="90"/>
        <v>183673.98</v>
      </c>
      <c r="O1416" t="str">
        <f t="shared" si="91"/>
        <v>Moderate Delay</v>
      </c>
    </row>
    <row r="1417" spans="1:15" x14ac:dyDescent="0.25">
      <c r="A1417">
        <v>1416</v>
      </c>
      <c r="B1417" s="2">
        <v>45812</v>
      </c>
      <c r="C1417" t="s">
        <v>16</v>
      </c>
      <c r="D1417" t="s">
        <v>29</v>
      </c>
      <c r="E1417" t="s">
        <v>22</v>
      </c>
      <c r="F1417" t="s">
        <v>14</v>
      </c>
      <c r="G1417">
        <v>211</v>
      </c>
      <c r="H1417">
        <v>631.58000000000004</v>
      </c>
      <c r="I1417">
        <v>35</v>
      </c>
      <c r="J1417" t="s">
        <v>15</v>
      </c>
      <c r="K1417">
        <v>133263.38</v>
      </c>
      <c r="L1417" t="str">
        <f t="shared" si="88"/>
        <v>Jun</v>
      </c>
      <c r="M1417">
        <f t="shared" si="89"/>
        <v>2025</v>
      </c>
      <c r="N1417">
        <f t="shared" si="90"/>
        <v>133263.38</v>
      </c>
      <c r="O1417" t="str">
        <f t="shared" si="91"/>
        <v>Moderate Delay</v>
      </c>
    </row>
    <row r="1418" spans="1:15" x14ac:dyDescent="0.25">
      <c r="A1418">
        <v>1417</v>
      </c>
      <c r="B1418" s="2">
        <v>45851</v>
      </c>
      <c r="C1418" t="s">
        <v>25</v>
      </c>
      <c r="D1418" t="s">
        <v>23</v>
      </c>
      <c r="E1418" t="s">
        <v>12</v>
      </c>
      <c r="F1418" t="s">
        <v>24</v>
      </c>
      <c r="G1418">
        <v>83</v>
      </c>
      <c r="H1418">
        <v>665.54</v>
      </c>
      <c r="I1418">
        <v>55</v>
      </c>
      <c r="J1418" t="s">
        <v>15</v>
      </c>
      <c r="K1418">
        <v>55239.82</v>
      </c>
      <c r="L1418" t="str">
        <f t="shared" si="88"/>
        <v>Jul</v>
      </c>
      <c r="M1418">
        <f t="shared" si="89"/>
        <v>2025</v>
      </c>
      <c r="N1418">
        <f t="shared" si="90"/>
        <v>55239.82</v>
      </c>
      <c r="O1418" t="str">
        <f t="shared" si="91"/>
        <v>Moderate Delay</v>
      </c>
    </row>
    <row r="1419" spans="1:15" x14ac:dyDescent="0.25">
      <c r="A1419">
        <v>1418</v>
      </c>
      <c r="B1419" s="2">
        <v>45668</v>
      </c>
      <c r="C1419" t="s">
        <v>16</v>
      </c>
      <c r="D1419" t="s">
        <v>27</v>
      </c>
      <c r="E1419" t="s">
        <v>17</v>
      </c>
      <c r="F1419" t="s">
        <v>21</v>
      </c>
      <c r="G1419">
        <v>262</v>
      </c>
      <c r="H1419">
        <v>460.86</v>
      </c>
      <c r="I1419">
        <v>0</v>
      </c>
      <c r="J1419" t="s">
        <v>30</v>
      </c>
      <c r="K1419">
        <v>120745.32</v>
      </c>
      <c r="L1419" t="str">
        <f t="shared" si="88"/>
        <v>Jan</v>
      </c>
      <c r="M1419">
        <f t="shared" si="89"/>
        <v>2025</v>
      </c>
      <c r="N1419">
        <f t="shared" si="90"/>
        <v>120745.32</v>
      </c>
      <c r="O1419" t="str">
        <f t="shared" si="91"/>
        <v>On Time</v>
      </c>
    </row>
    <row r="1420" spans="1:15" x14ac:dyDescent="0.25">
      <c r="A1420">
        <v>1419</v>
      </c>
      <c r="B1420" s="2">
        <v>45757</v>
      </c>
      <c r="C1420" t="s">
        <v>31</v>
      </c>
      <c r="D1420" t="s">
        <v>12</v>
      </c>
      <c r="E1420" t="s">
        <v>20</v>
      </c>
      <c r="F1420" t="s">
        <v>24</v>
      </c>
      <c r="G1420">
        <v>250</v>
      </c>
      <c r="H1420">
        <v>299.56</v>
      </c>
      <c r="I1420">
        <v>14</v>
      </c>
      <c r="J1420" t="s">
        <v>15</v>
      </c>
      <c r="K1420">
        <v>74890</v>
      </c>
      <c r="L1420" t="str">
        <f t="shared" si="88"/>
        <v>Apr</v>
      </c>
      <c r="M1420">
        <f t="shared" si="89"/>
        <v>2025</v>
      </c>
      <c r="N1420">
        <f t="shared" si="90"/>
        <v>74890</v>
      </c>
      <c r="O1420" t="str">
        <f t="shared" si="91"/>
        <v>Minor Delay</v>
      </c>
    </row>
    <row r="1421" spans="1:15" x14ac:dyDescent="0.25">
      <c r="A1421">
        <v>1420</v>
      </c>
      <c r="B1421" s="2">
        <v>45793</v>
      </c>
      <c r="C1421" t="s">
        <v>25</v>
      </c>
      <c r="D1421" t="s">
        <v>19</v>
      </c>
      <c r="E1421" t="s">
        <v>12</v>
      </c>
      <c r="F1421" t="s">
        <v>21</v>
      </c>
      <c r="G1421">
        <v>170</v>
      </c>
      <c r="H1421">
        <v>338.67</v>
      </c>
      <c r="I1421">
        <v>19</v>
      </c>
      <c r="J1421" t="s">
        <v>15</v>
      </c>
      <c r="K1421">
        <v>57573.9</v>
      </c>
      <c r="L1421" t="str">
        <f t="shared" si="88"/>
        <v>May</v>
      </c>
      <c r="M1421">
        <f t="shared" si="89"/>
        <v>2025</v>
      </c>
      <c r="N1421">
        <f t="shared" si="90"/>
        <v>57573.9</v>
      </c>
      <c r="O1421" t="str">
        <f t="shared" si="91"/>
        <v>Minor Delay</v>
      </c>
    </row>
    <row r="1422" spans="1:15" x14ac:dyDescent="0.25">
      <c r="A1422">
        <v>1421</v>
      </c>
      <c r="B1422" s="2">
        <v>45945</v>
      </c>
      <c r="C1422" t="s">
        <v>26</v>
      </c>
      <c r="D1422" t="s">
        <v>19</v>
      </c>
      <c r="E1422" t="s">
        <v>20</v>
      </c>
      <c r="F1422" t="s">
        <v>24</v>
      </c>
      <c r="G1422">
        <v>122</v>
      </c>
      <c r="H1422">
        <v>731.67</v>
      </c>
      <c r="I1422">
        <v>1</v>
      </c>
      <c r="J1422" t="s">
        <v>15</v>
      </c>
      <c r="K1422">
        <v>89263.74</v>
      </c>
      <c r="L1422" t="str">
        <f t="shared" si="88"/>
        <v>Oct</v>
      </c>
      <c r="M1422">
        <f t="shared" si="89"/>
        <v>2025</v>
      </c>
      <c r="N1422">
        <f t="shared" si="90"/>
        <v>89263.739999999991</v>
      </c>
      <c r="O1422" t="str">
        <f t="shared" si="91"/>
        <v>Minor Delay</v>
      </c>
    </row>
    <row r="1423" spans="1:15" x14ac:dyDescent="0.25">
      <c r="A1423">
        <v>1422</v>
      </c>
      <c r="B1423" s="2">
        <v>45848</v>
      </c>
      <c r="C1423" t="s">
        <v>31</v>
      </c>
      <c r="D1423" t="s">
        <v>20</v>
      </c>
      <c r="E1423" t="s">
        <v>17</v>
      </c>
      <c r="F1423" t="s">
        <v>21</v>
      </c>
      <c r="G1423">
        <v>77</v>
      </c>
      <c r="H1423">
        <v>394.68</v>
      </c>
      <c r="I1423">
        <v>16</v>
      </c>
      <c r="J1423" t="s">
        <v>15</v>
      </c>
      <c r="K1423">
        <v>30390.36</v>
      </c>
      <c r="L1423" t="str">
        <f t="shared" si="88"/>
        <v>Jul</v>
      </c>
      <c r="M1423">
        <f t="shared" si="89"/>
        <v>2025</v>
      </c>
      <c r="N1423">
        <f t="shared" si="90"/>
        <v>30390.36</v>
      </c>
      <c r="O1423" t="str">
        <f t="shared" si="91"/>
        <v>Minor Delay</v>
      </c>
    </row>
    <row r="1424" spans="1:15" x14ac:dyDescent="0.25">
      <c r="A1424">
        <v>1423</v>
      </c>
      <c r="B1424" s="2">
        <v>45776</v>
      </c>
      <c r="C1424" t="s">
        <v>18</v>
      </c>
      <c r="D1424" t="s">
        <v>13</v>
      </c>
      <c r="E1424" t="s">
        <v>20</v>
      </c>
      <c r="F1424" t="s">
        <v>24</v>
      </c>
      <c r="G1424">
        <v>172</v>
      </c>
      <c r="H1424">
        <v>476.73</v>
      </c>
      <c r="I1424">
        <v>5</v>
      </c>
      <c r="J1424" t="s">
        <v>30</v>
      </c>
      <c r="K1424">
        <v>81997.56</v>
      </c>
      <c r="L1424" t="str">
        <f t="shared" si="88"/>
        <v>Apr</v>
      </c>
      <c r="M1424">
        <f t="shared" si="89"/>
        <v>2025</v>
      </c>
      <c r="N1424">
        <f t="shared" si="90"/>
        <v>81997.56</v>
      </c>
      <c r="O1424" t="str">
        <f t="shared" si="91"/>
        <v>Minor Delay</v>
      </c>
    </row>
    <row r="1425" spans="1:15" x14ac:dyDescent="0.25">
      <c r="A1425">
        <v>1424</v>
      </c>
      <c r="B1425" s="2">
        <v>45945</v>
      </c>
      <c r="C1425" t="s">
        <v>11</v>
      </c>
      <c r="D1425" t="s">
        <v>12</v>
      </c>
      <c r="E1425" t="s">
        <v>29</v>
      </c>
      <c r="F1425" t="s">
        <v>14</v>
      </c>
      <c r="G1425">
        <v>271</v>
      </c>
      <c r="H1425">
        <v>757.15</v>
      </c>
      <c r="I1425">
        <v>2</v>
      </c>
      <c r="J1425" t="s">
        <v>15</v>
      </c>
      <c r="K1425">
        <v>205187.65</v>
      </c>
      <c r="L1425" t="str">
        <f t="shared" si="88"/>
        <v>Oct</v>
      </c>
      <c r="M1425">
        <f t="shared" si="89"/>
        <v>2025</v>
      </c>
      <c r="N1425">
        <f t="shared" si="90"/>
        <v>205187.65</v>
      </c>
      <c r="O1425" t="str">
        <f t="shared" si="91"/>
        <v>Minor Delay</v>
      </c>
    </row>
    <row r="1426" spans="1:15" x14ac:dyDescent="0.25">
      <c r="A1426">
        <v>1425</v>
      </c>
      <c r="B1426" s="2">
        <v>45864</v>
      </c>
      <c r="C1426" t="s">
        <v>31</v>
      </c>
      <c r="D1426" t="s">
        <v>12</v>
      </c>
      <c r="E1426" t="s">
        <v>19</v>
      </c>
      <c r="F1426" t="s">
        <v>24</v>
      </c>
      <c r="G1426">
        <v>183</v>
      </c>
      <c r="H1426">
        <v>595.04</v>
      </c>
      <c r="I1426">
        <v>3</v>
      </c>
      <c r="J1426" t="s">
        <v>15</v>
      </c>
      <c r="K1426">
        <v>108892.32</v>
      </c>
      <c r="L1426" t="str">
        <f t="shared" si="88"/>
        <v>Jul</v>
      </c>
      <c r="M1426">
        <f t="shared" si="89"/>
        <v>2025</v>
      </c>
      <c r="N1426">
        <f t="shared" si="90"/>
        <v>108892.31999999999</v>
      </c>
      <c r="O1426" t="str">
        <f t="shared" si="91"/>
        <v>Minor Delay</v>
      </c>
    </row>
    <row r="1427" spans="1:15" x14ac:dyDescent="0.25">
      <c r="A1427">
        <v>1426</v>
      </c>
      <c r="B1427" s="2">
        <v>45817</v>
      </c>
      <c r="C1427" t="s">
        <v>25</v>
      </c>
      <c r="D1427" t="s">
        <v>23</v>
      </c>
      <c r="E1427" t="s">
        <v>20</v>
      </c>
      <c r="F1427" t="s">
        <v>24</v>
      </c>
      <c r="G1427">
        <v>263</v>
      </c>
      <c r="H1427">
        <v>171.45</v>
      </c>
      <c r="I1427">
        <v>12</v>
      </c>
      <c r="J1427" t="s">
        <v>15</v>
      </c>
      <c r="K1427">
        <v>45091.35</v>
      </c>
      <c r="L1427" t="str">
        <f t="shared" si="88"/>
        <v>Jun</v>
      </c>
      <c r="M1427">
        <f t="shared" si="89"/>
        <v>2025</v>
      </c>
      <c r="N1427">
        <f t="shared" si="90"/>
        <v>45091.35</v>
      </c>
      <c r="O1427" t="str">
        <f t="shared" si="91"/>
        <v>Minor Delay</v>
      </c>
    </row>
    <row r="1428" spans="1:15" x14ac:dyDescent="0.25">
      <c r="A1428">
        <v>1427</v>
      </c>
      <c r="B1428" s="2">
        <v>45795</v>
      </c>
      <c r="C1428" t="s">
        <v>25</v>
      </c>
      <c r="D1428" t="s">
        <v>17</v>
      </c>
      <c r="E1428" t="s">
        <v>13</v>
      </c>
      <c r="F1428" t="s">
        <v>14</v>
      </c>
      <c r="G1428">
        <v>243</v>
      </c>
      <c r="H1428">
        <v>476.18</v>
      </c>
      <c r="I1428">
        <v>0</v>
      </c>
      <c r="J1428" t="s">
        <v>30</v>
      </c>
      <c r="K1428">
        <v>115711.74</v>
      </c>
      <c r="L1428" t="str">
        <f t="shared" si="88"/>
        <v>May</v>
      </c>
      <c r="M1428">
        <f t="shared" si="89"/>
        <v>2025</v>
      </c>
      <c r="N1428">
        <f t="shared" si="90"/>
        <v>115711.74</v>
      </c>
      <c r="O1428" t="str">
        <f t="shared" si="91"/>
        <v>On Time</v>
      </c>
    </row>
    <row r="1429" spans="1:15" x14ac:dyDescent="0.25">
      <c r="A1429">
        <v>1428</v>
      </c>
      <c r="B1429" s="2">
        <v>45894</v>
      </c>
      <c r="C1429" t="s">
        <v>25</v>
      </c>
      <c r="D1429" t="s">
        <v>19</v>
      </c>
      <c r="E1429" t="s">
        <v>17</v>
      </c>
      <c r="F1429" t="s">
        <v>24</v>
      </c>
      <c r="G1429">
        <v>181</v>
      </c>
      <c r="H1429">
        <v>470.56</v>
      </c>
      <c r="I1429">
        <v>22</v>
      </c>
      <c r="J1429" t="s">
        <v>15</v>
      </c>
      <c r="K1429">
        <v>85171.36</v>
      </c>
      <c r="L1429" t="str">
        <f t="shared" si="88"/>
        <v>Aug</v>
      </c>
      <c r="M1429">
        <f t="shared" si="89"/>
        <v>2025</v>
      </c>
      <c r="N1429">
        <f t="shared" si="90"/>
        <v>85171.36</v>
      </c>
      <c r="O1429" t="str">
        <f t="shared" si="91"/>
        <v>Minor Delay</v>
      </c>
    </row>
    <row r="1430" spans="1:15" x14ac:dyDescent="0.25">
      <c r="A1430">
        <v>1429</v>
      </c>
      <c r="B1430" s="2">
        <v>45875</v>
      </c>
      <c r="C1430" t="s">
        <v>25</v>
      </c>
      <c r="D1430" t="s">
        <v>12</v>
      </c>
      <c r="E1430" t="s">
        <v>29</v>
      </c>
      <c r="F1430" t="s">
        <v>14</v>
      </c>
      <c r="G1430">
        <v>146</v>
      </c>
      <c r="H1430">
        <v>154.19</v>
      </c>
      <c r="I1430">
        <v>50</v>
      </c>
      <c r="J1430" t="s">
        <v>15</v>
      </c>
      <c r="K1430">
        <v>22511.74</v>
      </c>
      <c r="L1430" t="str">
        <f t="shared" si="88"/>
        <v>Aug</v>
      </c>
      <c r="M1430">
        <f t="shared" si="89"/>
        <v>2025</v>
      </c>
      <c r="N1430">
        <f t="shared" si="90"/>
        <v>22511.739999999998</v>
      </c>
      <c r="O1430" t="str">
        <f t="shared" si="91"/>
        <v>Moderate Delay</v>
      </c>
    </row>
    <row r="1431" spans="1:15" x14ac:dyDescent="0.25">
      <c r="A1431">
        <v>1430</v>
      </c>
      <c r="B1431" s="2">
        <v>45716</v>
      </c>
      <c r="C1431" t="s">
        <v>16</v>
      </c>
      <c r="D1431" t="s">
        <v>19</v>
      </c>
      <c r="E1431" t="s">
        <v>27</v>
      </c>
      <c r="F1431" t="s">
        <v>24</v>
      </c>
      <c r="G1431">
        <v>176</v>
      </c>
      <c r="H1431">
        <v>186.33</v>
      </c>
      <c r="I1431">
        <v>22</v>
      </c>
      <c r="J1431" t="s">
        <v>30</v>
      </c>
      <c r="K1431">
        <v>32794.080000000002</v>
      </c>
      <c r="L1431" t="str">
        <f t="shared" si="88"/>
        <v>Feb</v>
      </c>
      <c r="M1431">
        <f t="shared" si="89"/>
        <v>2025</v>
      </c>
      <c r="N1431">
        <f t="shared" si="90"/>
        <v>32794.080000000002</v>
      </c>
      <c r="O1431" t="str">
        <f t="shared" si="91"/>
        <v>Minor Delay</v>
      </c>
    </row>
    <row r="1432" spans="1:15" x14ac:dyDescent="0.25">
      <c r="A1432">
        <v>1431</v>
      </c>
      <c r="B1432" s="2">
        <v>45938</v>
      </c>
      <c r="C1432" t="s">
        <v>18</v>
      </c>
      <c r="D1432" t="s">
        <v>20</v>
      </c>
      <c r="E1432" t="s">
        <v>29</v>
      </c>
      <c r="F1432" t="s">
        <v>24</v>
      </c>
      <c r="G1432">
        <v>52</v>
      </c>
      <c r="H1432">
        <v>279.60000000000002</v>
      </c>
      <c r="I1432">
        <v>0</v>
      </c>
      <c r="J1432" t="s">
        <v>30</v>
      </c>
      <c r="K1432">
        <v>14539.2</v>
      </c>
      <c r="L1432" t="str">
        <f t="shared" si="88"/>
        <v>Oct</v>
      </c>
      <c r="M1432">
        <f t="shared" si="89"/>
        <v>2025</v>
      </c>
      <c r="N1432">
        <f t="shared" si="90"/>
        <v>14539.2</v>
      </c>
      <c r="O1432" t="str">
        <f t="shared" si="91"/>
        <v>On Time</v>
      </c>
    </row>
    <row r="1433" spans="1:15" x14ac:dyDescent="0.25">
      <c r="A1433">
        <v>1432</v>
      </c>
      <c r="B1433" s="2">
        <v>45972</v>
      </c>
      <c r="C1433" t="s">
        <v>26</v>
      </c>
      <c r="D1433" t="s">
        <v>23</v>
      </c>
      <c r="E1433" t="s">
        <v>17</v>
      </c>
      <c r="F1433" t="s">
        <v>21</v>
      </c>
      <c r="G1433">
        <v>216</v>
      </c>
      <c r="H1433">
        <v>182.8</v>
      </c>
      <c r="I1433">
        <v>28</v>
      </c>
      <c r="J1433" t="s">
        <v>15</v>
      </c>
      <c r="K1433">
        <v>39484.800000000003</v>
      </c>
      <c r="L1433" t="str">
        <f t="shared" si="88"/>
        <v>Nov</v>
      </c>
      <c r="M1433">
        <f t="shared" si="89"/>
        <v>2025</v>
      </c>
      <c r="N1433">
        <f t="shared" si="90"/>
        <v>39484.800000000003</v>
      </c>
      <c r="O1433" t="str">
        <f t="shared" si="91"/>
        <v>Minor Delay</v>
      </c>
    </row>
    <row r="1434" spans="1:15" x14ac:dyDescent="0.25">
      <c r="A1434">
        <v>1433</v>
      </c>
      <c r="B1434" s="2">
        <v>45923</v>
      </c>
      <c r="C1434" t="s">
        <v>31</v>
      </c>
      <c r="D1434" t="s">
        <v>19</v>
      </c>
      <c r="E1434" t="s">
        <v>17</v>
      </c>
      <c r="F1434" t="s">
        <v>24</v>
      </c>
      <c r="G1434">
        <v>170</v>
      </c>
      <c r="H1434">
        <v>402.53</v>
      </c>
      <c r="I1434">
        <v>72</v>
      </c>
      <c r="J1434" t="s">
        <v>15</v>
      </c>
      <c r="K1434">
        <v>68430.100000000006</v>
      </c>
      <c r="L1434" t="str">
        <f t="shared" si="88"/>
        <v>Sep</v>
      </c>
      <c r="M1434">
        <f t="shared" si="89"/>
        <v>2025</v>
      </c>
      <c r="N1434">
        <f t="shared" si="90"/>
        <v>68430.099999999991</v>
      </c>
      <c r="O1434" t="str">
        <f t="shared" si="91"/>
        <v>Major Delay</v>
      </c>
    </row>
    <row r="1435" spans="1:15" x14ac:dyDescent="0.25">
      <c r="A1435">
        <v>1434</v>
      </c>
      <c r="B1435" s="2">
        <v>45926</v>
      </c>
      <c r="C1435" t="s">
        <v>25</v>
      </c>
      <c r="D1435" t="s">
        <v>29</v>
      </c>
      <c r="E1435" t="s">
        <v>19</v>
      </c>
      <c r="F1435" t="s">
        <v>24</v>
      </c>
      <c r="G1435">
        <v>52</v>
      </c>
      <c r="H1435">
        <v>295.08999999999997</v>
      </c>
      <c r="I1435">
        <v>0</v>
      </c>
      <c r="J1435" t="s">
        <v>15</v>
      </c>
      <c r="K1435">
        <v>15344.68</v>
      </c>
      <c r="L1435" t="str">
        <f t="shared" si="88"/>
        <v>Sep</v>
      </c>
      <c r="M1435">
        <f t="shared" si="89"/>
        <v>2025</v>
      </c>
      <c r="N1435">
        <f t="shared" si="90"/>
        <v>15344.679999999998</v>
      </c>
      <c r="O1435" t="str">
        <f t="shared" si="91"/>
        <v>On Time</v>
      </c>
    </row>
    <row r="1436" spans="1:15" x14ac:dyDescent="0.25">
      <c r="A1436">
        <v>1435</v>
      </c>
      <c r="B1436" s="2">
        <v>45660</v>
      </c>
      <c r="C1436" t="s">
        <v>26</v>
      </c>
      <c r="D1436" t="s">
        <v>20</v>
      </c>
      <c r="E1436" t="s">
        <v>12</v>
      </c>
      <c r="F1436" t="s">
        <v>21</v>
      </c>
      <c r="G1436">
        <v>98</v>
      </c>
      <c r="H1436">
        <v>207.46</v>
      </c>
      <c r="I1436">
        <v>43</v>
      </c>
      <c r="J1436" t="s">
        <v>15</v>
      </c>
      <c r="K1436">
        <v>20331.080000000002</v>
      </c>
      <c r="L1436" t="str">
        <f t="shared" si="88"/>
        <v>Jan</v>
      </c>
      <c r="M1436">
        <f t="shared" si="89"/>
        <v>2025</v>
      </c>
      <c r="N1436">
        <f t="shared" si="90"/>
        <v>20331.080000000002</v>
      </c>
      <c r="O1436" t="str">
        <f t="shared" si="91"/>
        <v>Moderate Delay</v>
      </c>
    </row>
    <row r="1437" spans="1:15" x14ac:dyDescent="0.25">
      <c r="A1437">
        <v>1436</v>
      </c>
      <c r="B1437" s="2">
        <v>45692</v>
      </c>
      <c r="C1437" t="s">
        <v>26</v>
      </c>
      <c r="D1437" t="s">
        <v>20</v>
      </c>
      <c r="E1437" t="s">
        <v>29</v>
      </c>
      <c r="F1437" t="s">
        <v>21</v>
      </c>
      <c r="G1437">
        <v>193</v>
      </c>
      <c r="H1437">
        <v>713.67</v>
      </c>
      <c r="I1437">
        <v>35</v>
      </c>
      <c r="J1437" t="s">
        <v>15</v>
      </c>
      <c r="K1437">
        <v>137738.31</v>
      </c>
      <c r="L1437" t="str">
        <f t="shared" si="88"/>
        <v>Feb</v>
      </c>
      <c r="M1437">
        <f t="shared" si="89"/>
        <v>2025</v>
      </c>
      <c r="N1437">
        <f t="shared" si="90"/>
        <v>137738.31</v>
      </c>
      <c r="O1437" t="str">
        <f t="shared" si="91"/>
        <v>Moderate Delay</v>
      </c>
    </row>
    <row r="1438" spans="1:15" x14ac:dyDescent="0.25">
      <c r="A1438">
        <v>1437</v>
      </c>
      <c r="B1438" s="2">
        <v>45798</v>
      </c>
      <c r="C1438" t="s">
        <v>26</v>
      </c>
      <c r="D1438" t="s">
        <v>13</v>
      </c>
      <c r="E1438" t="s">
        <v>23</v>
      </c>
      <c r="F1438" t="s">
        <v>24</v>
      </c>
      <c r="G1438">
        <v>199</v>
      </c>
      <c r="H1438">
        <v>599.70000000000005</v>
      </c>
      <c r="I1438">
        <v>0</v>
      </c>
      <c r="J1438" t="s">
        <v>30</v>
      </c>
      <c r="K1438">
        <v>119340.3</v>
      </c>
      <c r="L1438" t="str">
        <f t="shared" si="88"/>
        <v>May</v>
      </c>
      <c r="M1438">
        <f t="shared" si="89"/>
        <v>2025</v>
      </c>
      <c r="N1438">
        <f t="shared" si="90"/>
        <v>119340.3</v>
      </c>
      <c r="O1438" t="str">
        <f t="shared" si="91"/>
        <v>On Time</v>
      </c>
    </row>
    <row r="1439" spans="1:15" x14ac:dyDescent="0.25">
      <c r="A1439">
        <v>1438</v>
      </c>
      <c r="B1439" s="2">
        <v>45697</v>
      </c>
      <c r="C1439" t="s">
        <v>31</v>
      </c>
      <c r="D1439" t="s">
        <v>27</v>
      </c>
      <c r="E1439" t="s">
        <v>19</v>
      </c>
      <c r="F1439" t="s">
        <v>14</v>
      </c>
      <c r="G1439">
        <v>76</v>
      </c>
      <c r="H1439">
        <v>600.69000000000005</v>
      </c>
      <c r="I1439">
        <v>51</v>
      </c>
      <c r="J1439" t="s">
        <v>15</v>
      </c>
      <c r="K1439">
        <v>45652.44</v>
      </c>
      <c r="L1439" t="str">
        <f t="shared" si="88"/>
        <v>Feb</v>
      </c>
      <c r="M1439">
        <f t="shared" si="89"/>
        <v>2025</v>
      </c>
      <c r="N1439">
        <f t="shared" si="90"/>
        <v>45652.44</v>
      </c>
      <c r="O1439" t="str">
        <f t="shared" si="91"/>
        <v>Moderate Delay</v>
      </c>
    </row>
    <row r="1440" spans="1:15" x14ac:dyDescent="0.25">
      <c r="A1440">
        <v>1439</v>
      </c>
      <c r="B1440" s="2">
        <v>45722</v>
      </c>
      <c r="C1440" t="s">
        <v>31</v>
      </c>
      <c r="D1440" t="s">
        <v>23</v>
      </c>
      <c r="E1440" t="s">
        <v>12</v>
      </c>
      <c r="F1440" t="s">
        <v>21</v>
      </c>
      <c r="G1440">
        <v>215</v>
      </c>
      <c r="H1440">
        <v>626.88</v>
      </c>
      <c r="I1440">
        <v>0</v>
      </c>
      <c r="J1440" t="s">
        <v>15</v>
      </c>
      <c r="K1440">
        <v>134779.20000000001</v>
      </c>
      <c r="L1440" t="str">
        <f t="shared" si="88"/>
        <v>Mar</v>
      </c>
      <c r="M1440">
        <f t="shared" si="89"/>
        <v>2025</v>
      </c>
      <c r="N1440">
        <f t="shared" si="90"/>
        <v>134779.20000000001</v>
      </c>
      <c r="O1440" t="str">
        <f t="shared" si="91"/>
        <v>On Time</v>
      </c>
    </row>
    <row r="1441" spans="1:15" x14ac:dyDescent="0.25">
      <c r="A1441">
        <v>1440</v>
      </c>
      <c r="B1441" s="2">
        <v>45765</v>
      </c>
      <c r="C1441" t="s">
        <v>11</v>
      </c>
      <c r="D1441" t="s">
        <v>23</v>
      </c>
      <c r="E1441" t="s">
        <v>27</v>
      </c>
      <c r="F1441" t="s">
        <v>14</v>
      </c>
      <c r="G1441">
        <v>250</v>
      </c>
      <c r="H1441">
        <v>231.55</v>
      </c>
      <c r="I1441">
        <v>57</v>
      </c>
      <c r="J1441" t="s">
        <v>15</v>
      </c>
      <c r="K1441">
        <v>57887.5</v>
      </c>
      <c r="L1441" t="str">
        <f t="shared" si="88"/>
        <v>Apr</v>
      </c>
      <c r="M1441">
        <f t="shared" si="89"/>
        <v>2025</v>
      </c>
      <c r="N1441">
        <f t="shared" si="90"/>
        <v>57887.5</v>
      </c>
      <c r="O1441" t="str">
        <f t="shared" si="91"/>
        <v>Moderate Delay</v>
      </c>
    </row>
    <row r="1442" spans="1:15" x14ac:dyDescent="0.25">
      <c r="A1442">
        <v>1441</v>
      </c>
      <c r="B1442" s="2">
        <v>45742</v>
      </c>
      <c r="C1442" t="s">
        <v>18</v>
      </c>
      <c r="D1442" t="s">
        <v>29</v>
      </c>
      <c r="E1442" t="s">
        <v>19</v>
      </c>
      <c r="F1442" t="s">
        <v>14</v>
      </c>
      <c r="G1442">
        <v>132</v>
      </c>
      <c r="H1442">
        <v>117.56</v>
      </c>
      <c r="I1442">
        <v>33</v>
      </c>
      <c r="J1442" t="s">
        <v>30</v>
      </c>
      <c r="K1442">
        <v>15517.92</v>
      </c>
      <c r="L1442" t="str">
        <f t="shared" si="88"/>
        <v>Mar</v>
      </c>
      <c r="M1442">
        <f t="shared" si="89"/>
        <v>2025</v>
      </c>
      <c r="N1442">
        <f t="shared" si="90"/>
        <v>15517.92</v>
      </c>
      <c r="O1442" t="str">
        <f t="shared" si="91"/>
        <v>Moderate Delay</v>
      </c>
    </row>
    <row r="1443" spans="1:15" x14ac:dyDescent="0.25">
      <c r="A1443">
        <v>1442</v>
      </c>
      <c r="B1443" s="2">
        <v>45825</v>
      </c>
      <c r="C1443" t="s">
        <v>26</v>
      </c>
      <c r="D1443" t="s">
        <v>17</v>
      </c>
      <c r="E1443" t="s">
        <v>27</v>
      </c>
      <c r="F1443" t="s">
        <v>21</v>
      </c>
      <c r="G1443">
        <v>244</v>
      </c>
      <c r="H1443">
        <v>146.80000000000001</v>
      </c>
      <c r="I1443">
        <v>17</v>
      </c>
      <c r="J1443" t="s">
        <v>15</v>
      </c>
      <c r="K1443">
        <v>35819.199999999997</v>
      </c>
      <c r="L1443" t="str">
        <f t="shared" si="88"/>
        <v>Jun</v>
      </c>
      <c r="M1443">
        <f t="shared" si="89"/>
        <v>2025</v>
      </c>
      <c r="N1443">
        <f t="shared" si="90"/>
        <v>35819.200000000004</v>
      </c>
      <c r="O1443" t="str">
        <f t="shared" si="91"/>
        <v>Minor Delay</v>
      </c>
    </row>
    <row r="1444" spans="1:15" x14ac:dyDescent="0.25">
      <c r="A1444">
        <v>1443</v>
      </c>
      <c r="B1444" s="2">
        <v>46019</v>
      </c>
      <c r="C1444" t="s">
        <v>18</v>
      </c>
      <c r="D1444" t="s">
        <v>17</v>
      </c>
      <c r="E1444" t="s">
        <v>20</v>
      </c>
      <c r="F1444" t="s">
        <v>24</v>
      </c>
      <c r="G1444">
        <v>129</v>
      </c>
      <c r="H1444">
        <v>680.6</v>
      </c>
      <c r="I1444">
        <v>15</v>
      </c>
      <c r="J1444" t="s">
        <v>15</v>
      </c>
      <c r="K1444">
        <v>87797.4</v>
      </c>
      <c r="L1444" t="str">
        <f t="shared" si="88"/>
        <v>Dec</v>
      </c>
      <c r="M1444">
        <f t="shared" si="89"/>
        <v>2025</v>
      </c>
      <c r="N1444">
        <f t="shared" si="90"/>
        <v>87797.400000000009</v>
      </c>
      <c r="O1444" t="str">
        <f t="shared" si="91"/>
        <v>Minor Delay</v>
      </c>
    </row>
    <row r="1445" spans="1:15" x14ac:dyDescent="0.25">
      <c r="A1445">
        <v>1444</v>
      </c>
      <c r="B1445" s="2">
        <v>45982</v>
      </c>
      <c r="C1445" t="s">
        <v>26</v>
      </c>
      <c r="D1445" t="s">
        <v>19</v>
      </c>
      <c r="E1445" t="s">
        <v>29</v>
      </c>
      <c r="F1445" t="s">
        <v>21</v>
      </c>
      <c r="G1445">
        <v>86</v>
      </c>
      <c r="H1445">
        <v>681.51</v>
      </c>
      <c r="I1445">
        <v>29</v>
      </c>
      <c r="J1445" t="s">
        <v>15</v>
      </c>
      <c r="K1445">
        <v>58609.86</v>
      </c>
      <c r="L1445" t="str">
        <f t="shared" si="88"/>
        <v>Nov</v>
      </c>
      <c r="M1445">
        <f t="shared" si="89"/>
        <v>2025</v>
      </c>
      <c r="N1445">
        <f t="shared" si="90"/>
        <v>58609.86</v>
      </c>
      <c r="O1445" t="str">
        <f t="shared" si="91"/>
        <v>Minor Delay</v>
      </c>
    </row>
    <row r="1446" spans="1:15" x14ac:dyDescent="0.25">
      <c r="A1446">
        <v>1445</v>
      </c>
      <c r="B1446" s="2">
        <v>46008</v>
      </c>
      <c r="C1446" t="s">
        <v>16</v>
      </c>
      <c r="D1446" t="s">
        <v>20</v>
      </c>
      <c r="E1446" t="s">
        <v>23</v>
      </c>
      <c r="F1446" t="s">
        <v>21</v>
      </c>
      <c r="G1446">
        <v>280</v>
      </c>
      <c r="H1446">
        <v>382.21</v>
      </c>
      <c r="I1446">
        <v>16</v>
      </c>
      <c r="J1446" t="s">
        <v>15</v>
      </c>
      <c r="K1446">
        <v>107018.8</v>
      </c>
      <c r="L1446" t="str">
        <f t="shared" si="88"/>
        <v>Dec</v>
      </c>
      <c r="M1446">
        <f t="shared" si="89"/>
        <v>2025</v>
      </c>
      <c r="N1446">
        <f t="shared" si="90"/>
        <v>107018.79999999999</v>
      </c>
      <c r="O1446" t="str">
        <f t="shared" si="91"/>
        <v>Minor Delay</v>
      </c>
    </row>
    <row r="1447" spans="1:15" x14ac:dyDescent="0.25">
      <c r="A1447">
        <v>1446</v>
      </c>
      <c r="B1447" s="2">
        <v>45875</v>
      </c>
      <c r="C1447" t="s">
        <v>11</v>
      </c>
      <c r="D1447" t="s">
        <v>20</v>
      </c>
      <c r="E1447" t="s">
        <v>22</v>
      </c>
      <c r="F1447" t="s">
        <v>21</v>
      </c>
      <c r="G1447">
        <v>193</v>
      </c>
      <c r="H1447">
        <v>708.46</v>
      </c>
      <c r="I1447">
        <v>24</v>
      </c>
      <c r="J1447" t="s">
        <v>30</v>
      </c>
      <c r="K1447">
        <v>136732.78</v>
      </c>
      <c r="L1447" t="str">
        <f t="shared" si="88"/>
        <v>Aug</v>
      </c>
      <c r="M1447">
        <f t="shared" si="89"/>
        <v>2025</v>
      </c>
      <c r="N1447">
        <f t="shared" si="90"/>
        <v>136732.78</v>
      </c>
      <c r="O1447" t="str">
        <f t="shared" si="91"/>
        <v>Minor Delay</v>
      </c>
    </row>
    <row r="1448" spans="1:15" x14ac:dyDescent="0.25">
      <c r="A1448">
        <v>1447</v>
      </c>
      <c r="B1448" s="2">
        <v>45849</v>
      </c>
      <c r="C1448" t="s">
        <v>11</v>
      </c>
      <c r="D1448" t="s">
        <v>19</v>
      </c>
      <c r="E1448" t="s">
        <v>20</v>
      </c>
      <c r="F1448" t="s">
        <v>21</v>
      </c>
      <c r="G1448">
        <v>52</v>
      </c>
      <c r="H1448">
        <v>204.92</v>
      </c>
      <c r="I1448">
        <v>9</v>
      </c>
      <c r="J1448" t="s">
        <v>15</v>
      </c>
      <c r="K1448">
        <v>10655.84</v>
      </c>
      <c r="L1448" t="str">
        <f t="shared" si="88"/>
        <v>Jul</v>
      </c>
      <c r="M1448">
        <f t="shared" si="89"/>
        <v>2025</v>
      </c>
      <c r="N1448">
        <f t="shared" si="90"/>
        <v>10655.84</v>
      </c>
      <c r="O1448" t="str">
        <f t="shared" si="91"/>
        <v>Minor Delay</v>
      </c>
    </row>
    <row r="1449" spans="1:15" x14ac:dyDescent="0.25">
      <c r="A1449">
        <v>1448</v>
      </c>
      <c r="B1449" s="2">
        <v>45846</v>
      </c>
      <c r="C1449" t="s">
        <v>26</v>
      </c>
      <c r="D1449" t="s">
        <v>22</v>
      </c>
      <c r="E1449" t="s">
        <v>12</v>
      </c>
      <c r="F1449" t="s">
        <v>21</v>
      </c>
      <c r="G1449">
        <v>285</v>
      </c>
      <c r="H1449">
        <v>69.62</v>
      </c>
      <c r="I1449">
        <v>32</v>
      </c>
      <c r="J1449" t="s">
        <v>15</v>
      </c>
      <c r="K1449">
        <v>19841.7</v>
      </c>
      <c r="L1449" t="str">
        <f t="shared" si="88"/>
        <v>Jul</v>
      </c>
      <c r="M1449">
        <f t="shared" si="89"/>
        <v>2025</v>
      </c>
      <c r="N1449">
        <f t="shared" si="90"/>
        <v>19841.7</v>
      </c>
      <c r="O1449" t="str">
        <f t="shared" si="91"/>
        <v>Moderate Delay</v>
      </c>
    </row>
    <row r="1450" spans="1:15" x14ac:dyDescent="0.25">
      <c r="A1450">
        <v>1449</v>
      </c>
      <c r="B1450" s="2">
        <v>45861</v>
      </c>
      <c r="C1450" t="s">
        <v>16</v>
      </c>
      <c r="D1450" t="s">
        <v>23</v>
      </c>
      <c r="E1450" t="s">
        <v>27</v>
      </c>
      <c r="F1450" t="s">
        <v>21</v>
      </c>
      <c r="G1450">
        <v>230</v>
      </c>
      <c r="H1450">
        <v>247.25</v>
      </c>
      <c r="I1450">
        <v>0</v>
      </c>
      <c r="J1450" t="s">
        <v>30</v>
      </c>
      <c r="K1450">
        <v>56867.5</v>
      </c>
      <c r="L1450" t="str">
        <f t="shared" si="88"/>
        <v>Jul</v>
      </c>
      <c r="M1450">
        <f t="shared" si="89"/>
        <v>2025</v>
      </c>
      <c r="N1450">
        <f t="shared" si="90"/>
        <v>56867.5</v>
      </c>
      <c r="O1450" t="str">
        <f t="shared" si="91"/>
        <v>On Time</v>
      </c>
    </row>
    <row r="1451" spans="1:15" x14ac:dyDescent="0.25">
      <c r="A1451">
        <v>1450</v>
      </c>
      <c r="B1451" s="2">
        <v>45909</v>
      </c>
      <c r="C1451" t="s">
        <v>11</v>
      </c>
      <c r="D1451" t="s">
        <v>20</v>
      </c>
      <c r="E1451" t="s">
        <v>27</v>
      </c>
      <c r="F1451" t="s">
        <v>24</v>
      </c>
      <c r="G1451">
        <v>241</v>
      </c>
      <c r="H1451">
        <v>707.45</v>
      </c>
      <c r="I1451">
        <v>0</v>
      </c>
      <c r="J1451" t="s">
        <v>15</v>
      </c>
      <c r="K1451">
        <v>170495.45</v>
      </c>
      <c r="L1451" t="str">
        <f t="shared" si="88"/>
        <v>Sep</v>
      </c>
      <c r="M1451">
        <f t="shared" si="89"/>
        <v>2025</v>
      </c>
      <c r="N1451">
        <f t="shared" si="90"/>
        <v>170495.45</v>
      </c>
      <c r="O1451" t="str">
        <f t="shared" si="91"/>
        <v>On Time</v>
      </c>
    </row>
    <row r="1452" spans="1:15" x14ac:dyDescent="0.25">
      <c r="A1452">
        <v>1451</v>
      </c>
      <c r="B1452" s="2">
        <v>45847</v>
      </c>
      <c r="C1452" t="s">
        <v>16</v>
      </c>
      <c r="D1452" t="s">
        <v>12</v>
      </c>
      <c r="E1452" t="s">
        <v>13</v>
      </c>
      <c r="F1452" t="s">
        <v>21</v>
      </c>
      <c r="G1452">
        <v>278</v>
      </c>
      <c r="H1452">
        <v>587.85</v>
      </c>
      <c r="I1452">
        <v>15</v>
      </c>
      <c r="J1452" t="s">
        <v>30</v>
      </c>
      <c r="K1452">
        <v>163422.29999999999</v>
      </c>
      <c r="L1452" t="str">
        <f t="shared" si="88"/>
        <v>Jul</v>
      </c>
      <c r="M1452">
        <f t="shared" si="89"/>
        <v>2025</v>
      </c>
      <c r="N1452">
        <f t="shared" si="90"/>
        <v>163422.30000000002</v>
      </c>
      <c r="O1452" t="str">
        <f t="shared" si="91"/>
        <v>Minor Delay</v>
      </c>
    </row>
    <row r="1453" spans="1:15" x14ac:dyDescent="0.25">
      <c r="A1453">
        <v>1452</v>
      </c>
      <c r="B1453" s="2">
        <v>45719</v>
      </c>
      <c r="C1453" t="s">
        <v>16</v>
      </c>
      <c r="D1453" t="s">
        <v>12</v>
      </c>
      <c r="E1453" t="s">
        <v>20</v>
      </c>
      <c r="F1453" t="s">
        <v>24</v>
      </c>
      <c r="G1453">
        <v>213</v>
      </c>
      <c r="H1453">
        <v>585.84</v>
      </c>
      <c r="I1453">
        <v>5</v>
      </c>
      <c r="J1453" t="s">
        <v>15</v>
      </c>
      <c r="K1453">
        <v>124783.92</v>
      </c>
      <c r="L1453" t="str">
        <f t="shared" si="88"/>
        <v>Mar</v>
      </c>
      <c r="M1453">
        <f t="shared" si="89"/>
        <v>2025</v>
      </c>
      <c r="N1453">
        <f t="shared" si="90"/>
        <v>124783.92000000001</v>
      </c>
      <c r="O1453" t="str">
        <f t="shared" si="91"/>
        <v>Minor Delay</v>
      </c>
    </row>
    <row r="1454" spans="1:15" x14ac:dyDescent="0.25">
      <c r="A1454">
        <v>1453</v>
      </c>
      <c r="B1454" s="2">
        <v>45757</v>
      </c>
      <c r="C1454" t="s">
        <v>25</v>
      </c>
      <c r="D1454" t="s">
        <v>27</v>
      </c>
      <c r="E1454" t="s">
        <v>23</v>
      </c>
      <c r="F1454" t="s">
        <v>21</v>
      </c>
      <c r="G1454">
        <v>238</v>
      </c>
      <c r="H1454">
        <v>72.34</v>
      </c>
      <c r="I1454">
        <v>45</v>
      </c>
      <c r="J1454" t="s">
        <v>15</v>
      </c>
      <c r="K1454">
        <v>17216.919999999998</v>
      </c>
      <c r="L1454" t="str">
        <f t="shared" si="88"/>
        <v>Apr</v>
      </c>
      <c r="M1454">
        <f t="shared" si="89"/>
        <v>2025</v>
      </c>
      <c r="N1454">
        <f t="shared" si="90"/>
        <v>17216.920000000002</v>
      </c>
      <c r="O1454" t="str">
        <f t="shared" si="91"/>
        <v>Moderate Delay</v>
      </c>
    </row>
    <row r="1455" spans="1:15" x14ac:dyDescent="0.25">
      <c r="A1455">
        <v>1454</v>
      </c>
      <c r="B1455" s="2">
        <v>45922</v>
      </c>
      <c r="C1455" t="s">
        <v>16</v>
      </c>
      <c r="D1455" t="s">
        <v>29</v>
      </c>
      <c r="E1455" t="s">
        <v>17</v>
      </c>
      <c r="F1455" t="s">
        <v>21</v>
      </c>
      <c r="G1455">
        <v>153</v>
      </c>
      <c r="H1455">
        <v>368.12</v>
      </c>
      <c r="I1455">
        <v>0</v>
      </c>
      <c r="J1455" t="s">
        <v>15</v>
      </c>
      <c r="K1455">
        <v>56322.36</v>
      </c>
      <c r="L1455" t="str">
        <f t="shared" si="88"/>
        <v>Sep</v>
      </c>
      <c r="M1455">
        <f t="shared" si="89"/>
        <v>2025</v>
      </c>
      <c r="N1455">
        <f t="shared" si="90"/>
        <v>56322.36</v>
      </c>
      <c r="O1455" t="str">
        <f t="shared" si="91"/>
        <v>On Time</v>
      </c>
    </row>
    <row r="1456" spans="1:15" x14ac:dyDescent="0.25">
      <c r="A1456">
        <v>1455</v>
      </c>
      <c r="B1456" s="2">
        <v>45756</v>
      </c>
      <c r="C1456" t="s">
        <v>31</v>
      </c>
      <c r="D1456" t="s">
        <v>13</v>
      </c>
      <c r="E1456" t="s">
        <v>29</v>
      </c>
      <c r="F1456" t="s">
        <v>14</v>
      </c>
      <c r="G1456">
        <v>236</v>
      </c>
      <c r="H1456">
        <v>257.31</v>
      </c>
      <c r="I1456">
        <v>23</v>
      </c>
      <c r="J1456" t="s">
        <v>15</v>
      </c>
      <c r="K1456">
        <v>60725.16</v>
      </c>
      <c r="L1456" t="str">
        <f t="shared" si="88"/>
        <v>Apr</v>
      </c>
      <c r="M1456">
        <f t="shared" si="89"/>
        <v>2025</v>
      </c>
      <c r="N1456">
        <f t="shared" si="90"/>
        <v>60725.16</v>
      </c>
      <c r="O1456" t="str">
        <f t="shared" si="91"/>
        <v>Minor Delay</v>
      </c>
    </row>
    <row r="1457" spans="1:15" x14ac:dyDescent="0.25">
      <c r="A1457">
        <v>1456</v>
      </c>
      <c r="B1457" s="2">
        <v>45746</v>
      </c>
      <c r="C1457" t="s">
        <v>25</v>
      </c>
      <c r="D1457" t="s">
        <v>27</v>
      </c>
      <c r="E1457" t="s">
        <v>17</v>
      </c>
      <c r="F1457" t="s">
        <v>21</v>
      </c>
      <c r="G1457">
        <v>265</v>
      </c>
      <c r="H1457">
        <v>680.02</v>
      </c>
      <c r="I1457">
        <v>26</v>
      </c>
      <c r="J1457" t="s">
        <v>15</v>
      </c>
      <c r="K1457">
        <v>180205.3</v>
      </c>
      <c r="L1457" t="str">
        <f t="shared" si="88"/>
        <v>Mar</v>
      </c>
      <c r="M1457">
        <f t="shared" si="89"/>
        <v>2025</v>
      </c>
      <c r="N1457">
        <f t="shared" si="90"/>
        <v>180205.3</v>
      </c>
      <c r="O1457" t="str">
        <f t="shared" si="91"/>
        <v>Minor Delay</v>
      </c>
    </row>
    <row r="1458" spans="1:15" x14ac:dyDescent="0.25">
      <c r="A1458">
        <v>1457</v>
      </c>
      <c r="B1458" s="2">
        <v>45718</v>
      </c>
      <c r="C1458" t="s">
        <v>26</v>
      </c>
      <c r="D1458" t="s">
        <v>23</v>
      </c>
      <c r="E1458" t="s">
        <v>17</v>
      </c>
      <c r="F1458" t="s">
        <v>24</v>
      </c>
      <c r="G1458">
        <v>195</v>
      </c>
      <c r="H1458">
        <v>678.72</v>
      </c>
      <c r="I1458">
        <v>69</v>
      </c>
      <c r="J1458" t="s">
        <v>15</v>
      </c>
      <c r="K1458">
        <v>132350.39999999999</v>
      </c>
      <c r="L1458" t="str">
        <f t="shared" si="88"/>
        <v>Mar</v>
      </c>
      <c r="M1458">
        <f t="shared" si="89"/>
        <v>2025</v>
      </c>
      <c r="N1458">
        <f t="shared" si="90"/>
        <v>132350.39999999999</v>
      </c>
      <c r="O1458" t="str">
        <f t="shared" si="91"/>
        <v>Major Delay</v>
      </c>
    </row>
    <row r="1459" spans="1:15" x14ac:dyDescent="0.25">
      <c r="A1459">
        <v>1458</v>
      </c>
      <c r="B1459" s="2">
        <v>45702</v>
      </c>
      <c r="C1459" t="s">
        <v>11</v>
      </c>
      <c r="D1459" t="s">
        <v>12</v>
      </c>
      <c r="E1459" t="s">
        <v>19</v>
      </c>
      <c r="F1459" t="s">
        <v>24</v>
      </c>
      <c r="G1459">
        <v>201</v>
      </c>
      <c r="H1459">
        <v>523.70000000000005</v>
      </c>
      <c r="I1459">
        <v>49</v>
      </c>
      <c r="J1459" t="s">
        <v>15</v>
      </c>
      <c r="K1459">
        <v>105263.7</v>
      </c>
      <c r="L1459" t="str">
        <f t="shared" si="88"/>
        <v>Feb</v>
      </c>
      <c r="M1459">
        <f t="shared" si="89"/>
        <v>2025</v>
      </c>
      <c r="N1459">
        <f t="shared" si="90"/>
        <v>105263.70000000001</v>
      </c>
      <c r="O1459" t="str">
        <f t="shared" si="91"/>
        <v>Moderate Delay</v>
      </c>
    </row>
    <row r="1460" spans="1:15" x14ac:dyDescent="0.25">
      <c r="A1460">
        <v>1459</v>
      </c>
      <c r="B1460" s="2">
        <v>45769</v>
      </c>
      <c r="C1460" t="s">
        <v>25</v>
      </c>
      <c r="D1460" t="s">
        <v>29</v>
      </c>
      <c r="E1460" t="s">
        <v>13</v>
      </c>
      <c r="F1460" t="s">
        <v>24</v>
      </c>
      <c r="G1460">
        <v>167</v>
      </c>
      <c r="H1460">
        <v>120.14</v>
      </c>
      <c r="I1460">
        <v>16</v>
      </c>
      <c r="J1460" t="s">
        <v>30</v>
      </c>
      <c r="K1460">
        <v>20063.38</v>
      </c>
      <c r="L1460" t="str">
        <f t="shared" si="88"/>
        <v>Apr</v>
      </c>
      <c r="M1460">
        <f t="shared" si="89"/>
        <v>2025</v>
      </c>
      <c r="N1460">
        <f t="shared" si="90"/>
        <v>20063.38</v>
      </c>
      <c r="O1460" t="str">
        <f t="shared" si="91"/>
        <v>Minor Delay</v>
      </c>
    </row>
    <row r="1461" spans="1:15" x14ac:dyDescent="0.25">
      <c r="A1461">
        <v>1460</v>
      </c>
      <c r="B1461" s="2">
        <v>45816</v>
      </c>
      <c r="C1461" t="s">
        <v>16</v>
      </c>
      <c r="D1461" t="s">
        <v>19</v>
      </c>
      <c r="E1461" t="s">
        <v>29</v>
      </c>
      <c r="F1461" t="s">
        <v>24</v>
      </c>
      <c r="G1461">
        <v>230</v>
      </c>
      <c r="H1461">
        <v>272.44</v>
      </c>
      <c r="I1461">
        <v>1</v>
      </c>
      <c r="J1461" t="s">
        <v>15</v>
      </c>
      <c r="K1461">
        <v>62661.2</v>
      </c>
      <c r="L1461" t="str">
        <f t="shared" si="88"/>
        <v>Jun</v>
      </c>
      <c r="M1461">
        <f t="shared" si="89"/>
        <v>2025</v>
      </c>
      <c r="N1461">
        <f t="shared" si="90"/>
        <v>62661.2</v>
      </c>
      <c r="O1461" t="str">
        <f t="shared" si="91"/>
        <v>Minor Delay</v>
      </c>
    </row>
    <row r="1462" spans="1:15" x14ac:dyDescent="0.25">
      <c r="A1462">
        <v>1461</v>
      </c>
      <c r="B1462" s="2">
        <v>45773</v>
      </c>
      <c r="C1462" t="s">
        <v>11</v>
      </c>
      <c r="D1462" t="s">
        <v>22</v>
      </c>
      <c r="E1462" t="s">
        <v>20</v>
      </c>
      <c r="F1462" t="s">
        <v>24</v>
      </c>
      <c r="G1462">
        <v>276</v>
      </c>
      <c r="H1462">
        <v>207.43</v>
      </c>
      <c r="I1462">
        <v>39</v>
      </c>
      <c r="J1462" t="s">
        <v>15</v>
      </c>
      <c r="K1462">
        <v>57250.68</v>
      </c>
      <c r="L1462" t="str">
        <f t="shared" si="88"/>
        <v>Apr</v>
      </c>
      <c r="M1462">
        <f t="shared" si="89"/>
        <v>2025</v>
      </c>
      <c r="N1462">
        <f t="shared" si="90"/>
        <v>57250.68</v>
      </c>
      <c r="O1462" t="str">
        <f t="shared" si="91"/>
        <v>Moderate Delay</v>
      </c>
    </row>
    <row r="1463" spans="1:15" x14ac:dyDescent="0.25">
      <c r="A1463">
        <v>1462</v>
      </c>
      <c r="B1463" s="2">
        <v>45839</v>
      </c>
      <c r="C1463" t="s">
        <v>31</v>
      </c>
      <c r="D1463" t="s">
        <v>12</v>
      </c>
      <c r="E1463" t="s">
        <v>27</v>
      </c>
      <c r="F1463" t="s">
        <v>24</v>
      </c>
      <c r="G1463">
        <v>139</v>
      </c>
      <c r="H1463">
        <v>631.54999999999995</v>
      </c>
      <c r="I1463">
        <v>17</v>
      </c>
      <c r="J1463" t="s">
        <v>15</v>
      </c>
      <c r="K1463">
        <v>87785.45</v>
      </c>
      <c r="L1463" t="str">
        <f t="shared" si="88"/>
        <v>Jul</v>
      </c>
      <c r="M1463">
        <f t="shared" si="89"/>
        <v>2025</v>
      </c>
      <c r="N1463">
        <f t="shared" si="90"/>
        <v>87785.45</v>
      </c>
      <c r="O1463" t="str">
        <f t="shared" si="91"/>
        <v>Minor Delay</v>
      </c>
    </row>
    <row r="1464" spans="1:15" x14ac:dyDescent="0.25">
      <c r="A1464">
        <v>1463</v>
      </c>
      <c r="B1464" s="2">
        <v>45957</v>
      </c>
      <c r="C1464" t="s">
        <v>18</v>
      </c>
      <c r="D1464" t="s">
        <v>29</v>
      </c>
      <c r="E1464" t="s">
        <v>13</v>
      </c>
      <c r="F1464" t="s">
        <v>14</v>
      </c>
      <c r="G1464">
        <v>187</v>
      </c>
      <c r="H1464">
        <v>480.85</v>
      </c>
      <c r="I1464">
        <v>46</v>
      </c>
      <c r="J1464" t="s">
        <v>15</v>
      </c>
      <c r="K1464">
        <v>89918.95</v>
      </c>
      <c r="L1464" t="str">
        <f t="shared" si="88"/>
        <v>Oct</v>
      </c>
      <c r="M1464">
        <f t="shared" si="89"/>
        <v>2025</v>
      </c>
      <c r="N1464">
        <f t="shared" si="90"/>
        <v>89918.95</v>
      </c>
      <c r="O1464" t="str">
        <f t="shared" si="91"/>
        <v>Moderate Delay</v>
      </c>
    </row>
    <row r="1465" spans="1:15" x14ac:dyDescent="0.25">
      <c r="A1465">
        <v>1464</v>
      </c>
      <c r="B1465" s="2">
        <v>45833</v>
      </c>
      <c r="C1465" t="s">
        <v>25</v>
      </c>
      <c r="D1465" t="s">
        <v>23</v>
      </c>
      <c r="E1465" t="s">
        <v>19</v>
      </c>
      <c r="F1465" t="s">
        <v>21</v>
      </c>
      <c r="G1465">
        <v>191</v>
      </c>
      <c r="H1465">
        <v>674.09</v>
      </c>
      <c r="I1465">
        <v>18</v>
      </c>
      <c r="J1465" t="s">
        <v>15</v>
      </c>
      <c r="K1465">
        <v>128751.19</v>
      </c>
      <c r="L1465" t="str">
        <f t="shared" si="88"/>
        <v>Jun</v>
      </c>
      <c r="M1465">
        <f t="shared" si="89"/>
        <v>2025</v>
      </c>
      <c r="N1465">
        <f t="shared" si="90"/>
        <v>128751.19</v>
      </c>
      <c r="O1465" t="str">
        <f t="shared" si="91"/>
        <v>Minor Delay</v>
      </c>
    </row>
    <row r="1466" spans="1:15" x14ac:dyDescent="0.25">
      <c r="A1466">
        <v>1465</v>
      </c>
      <c r="B1466" s="2">
        <v>45790</v>
      </c>
      <c r="C1466" t="s">
        <v>11</v>
      </c>
      <c r="D1466" t="s">
        <v>12</v>
      </c>
      <c r="E1466" t="s">
        <v>23</v>
      </c>
      <c r="F1466" t="s">
        <v>24</v>
      </c>
      <c r="G1466">
        <v>116</v>
      </c>
      <c r="H1466">
        <v>83.27</v>
      </c>
      <c r="I1466">
        <v>47</v>
      </c>
      <c r="J1466" t="s">
        <v>15</v>
      </c>
      <c r="K1466">
        <v>9659.32</v>
      </c>
      <c r="L1466" t="str">
        <f t="shared" si="88"/>
        <v>May</v>
      </c>
      <c r="M1466">
        <f t="shared" si="89"/>
        <v>2025</v>
      </c>
      <c r="N1466">
        <f t="shared" si="90"/>
        <v>9659.32</v>
      </c>
      <c r="O1466" t="str">
        <f t="shared" si="91"/>
        <v>Moderate Delay</v>
      </c>
    </row>
    <row r="1467" spans="1:15" x14ac:dyDescent="0.25">
      <c r="A1467">
        <v>1466</v>
      </c>
      <c r="B1467" s="2">
        <v>45958</v>
      </c>
      <c r="C1467" t="s">
        <v>26</v>
      </c>
      <c r="D1467" t="s">
        <v>29</v>
      </c>
      <c r="E1467" t="s">
        <v>27</v>
      </c>
      <c r="F1467" t="s">
        <v>24</v>
      </c>
      <c r="G1467">
        <v>194</v>
      </c>
      <c r="H1467">
        <v>339.65</v>
      </c>
      <c r="I1467">
        <v>44</v>
      </c>
      <c r="J1467" t="s">
        <v>15</v>
      </c>
      <c r="K1467">
        <v>65892.100000000006</v>
      </c>
      <c r="L1467" t="str">
        <f t="shared" si="88"/>
        <v>Oct</v>
      </c>
      <c r="M1467">
        <f t="shared" si="89"/>
        <v>2025</v>
      </c>
      <c r="N1467">
        <f t="shared" si="90"/>
        <v>65892.099999999991</v>
      </c>
      <c r="O1467" t="str">
        <f t="shared" si="91"/>
        <v>Moderate Delay</v>
      </c>
    </row>
    <row r="1468" spans="1:15" x14ac:dyDescent="0.25">
      <c r="A1468">
        <v>1467</v>
      </c>
      <c r="B1468" s="2">
        <v>46017</v>
      </c>
      <c r="C1468" t="s">
        <v>16</v>
      </c>
      <c r="D1468" t="s">
        <v>13</v>
      </c>
      <c r="E1468" t="s">
        <v>17</v>
      </c>
      <c r="F1468" t="s">
        <v>21</v>
      </c>
      <c r="G1468">
        <v>141</v>
      </c>
      <c r="H1468">
        <v>703.3</v>
      </c>
      <c r="I1468">
        <v>46</v>
      </c>
      <c r="J1468" t="s">
        <v>15</v>
      </c>
      <c r="K1468">
        <v>99165.3</v>
      </c>
      <c r="L1468" t="str">
        <f t="shared" si="88"/>
        <v>Dec</v>
      </c>
      <c r="M1468">
        <f t="shared" si="89"/>
        <v>2025</v>
      </c>
      <c r="N1468">
        <f t="shared" si="90"/>
        <v>99165.299999999988</v>
      </c>
      <c r="O1468" t="str">
        <f t="shared" si="91"/>
        <v>Moderate Delay</v>
      </c>
    </row>
    <row r="1469" spans="1:15" x14ac:dyDescent="0.25">
      <c r="A1469">
        <v>1468</v>
      </c>
      <c r="B1469" s="2">
        <v>45841</v>
      </c>
      <c r="C1469" t="s">
        <v>26</v>
      </c>
      <c r="D1469" t="s">
        <v>12</v>
      </c>
      <c r="E1469" t="s">
        <v>19</v>
      </c>
      <c r="F1469" t="s">
        <v>14</v>
      </c>
      <c r="G1469">
        <v>169</v>
      </c>
      <c r="H1469">
        <v>464.62</v>
      </c>
      <c r="I1469">
        <v>21</v>
      </c>
      <c r="J1469" t="s">
        <v>15</v>
      </c>
      <c r="K1469">
        <v>78520.78</v>
      </c>
      <c r="L1469" t="str">
        <f t="shared" si="88"/>
        <v>Jul</v>
      </c>
      <c r="M1469">
        <f t="shared" si="89"/>
        <v>2025</v>
      </c>
      <c r="N1469">
        <f t="shared" si="90"/>
        <v>78520.78</v>
      </c>
      <c r="O1469" t="str">
        <f t="shared" si="91"/>
        <v>Minor Delay</v>
      </c>
    </row>
    <row r="1470" spans="1:15" x14ac:dyDescent="0.25">
      <c r="A1470">
        <v>1469</v>
      </c>
      <c r="B1470" s="2">
        <v>45961</v>
      </c>
      <c r="C1470" t="s">
        <v>31</v>
      </c>
      <c r="D1470" t="s">
        <v>20</v>
      </c>
      <c r="E1470" t="s">
        <v>27</v>
      </c>
      <c r="F1470" t="s">
        <v>21</v>
      </c>
      <c r="G1470">
        <v>161</v>
      </c>
      <c r="H1470">
        <v>600.91</v>
      </c>
      <c r="I1470">
        <v>1</v>
      </c>
      <c r="J1470" t="s">
        <v>15</v>
      </c>
      <c r="K1470">
        <v>96746.51</v>
      </c>
      <c r="L1470" t="str">
        <f t="shared" si="88"/>
        <v>Oct</v>
      </c>
      <c r="M1470">
        <f t="shared" si="89"/>
        <v>2025</v>
      </c>
      <c r="N1470">
        <f t="shared" si="90"/>
        <v>96746.51</v>
      </c>
      <c r="O1470" t="str">
        <f t="shared" si="91"/>
        <v>Minor Delay</v>
      </c>
    </row>
    <row r="1471" spans="1:15" x14ac:dyDescent="0.25">
      <c r="A1471">
        <v>1470</v>
      </c>
      <c r="B1471" s="2">
        <v>46005</v>
      </c>
      <c r="C1471" t="s">
        <v>18</v>
      </c>
      <c r="D1471" t="s">
        <v>22</v>
      </c>
      <c r="E1471" t="s">
        <v>27</v>
      </c>
      <c r="F1471" t="s">
        <v>24</v>
      </c>
      <c r="G1471">
        <v>60</v>
      </c>
      <c r="H1471">
        <v>778.37</v>
      </c>
      <c r="I1471">
        <v>23</v>
      </c>
      <c r="J1471" t="s">
        <v>30</v>
      </c>
      <c r="K1471">
        <v>46702.2</v>
      </c>
      <c r="L1471" t="str">
        <f t="shared" si="88"/>
        <v>Dec</v>
      </c>
      <c r="M1471">
        <f t="shared" si="89"/>
        <v>2025</v>
      </c>
      <c r="N1471">
        <f t="shared" si="90"/>
        <v>46702.2</v>
      </c>
      <c r="O1471" t="str">
        <f t="shared" si="91"/>
        <v>Minor Delay</v>
      </c>
    </row>
    <row r="1472" spans="1:15" x14ac:dyDescent="0.25">
      <c r="A1472">
        <v>1471</v>
      </c>
      <c r="B1472" s="2">
        <v>45873</v>
      </c>
      <c r="C1472" t="s">
        <v>18</v>
      </c>
      <c r="D1472" t="s">
        <v>27</v>
      </c>
      <c r="E1472" t="s">
        <v>12</v>
      </c>
      <c r="F1472" t="s">
        <v>24</v>
      </c>
      <c r="G1472">
        <v>294</v>
      </c>
      <c r="H1472">
        <v>487.34</v>
      </c>
      <c r="I1472">
        <v>7</v>
      </c>
      <c r="J1472" t="s">
        <v>15</v>
      </c>
      <c r="K1472">
        <v>143277.96</v>
      </c>
      <c r="L1472" t="str">
        <f t="shared" si="88"/>
        <v>Aug</v>
      </c>
      <c r="M1472">
        <f t="shared" si="89"/>
        <v>2025</v>
      </c>
      <c r="N1472">
        <f t="shared" si="90"/>
        <v>143277.96</v>
      </c>
      <c r="O1472" t="str">
        <f t="shared" si="91"/>
        <v>Minor Delay</v>
      </c>
    </row>
    <row r="1473" spans="1:15" x14ac:dyDescent="0.25">
      <c r="A1473">
        <v>1472</v>
      </c>
      <c r="B1473" s="2">
        <v>45948</v>
      </c>
      <c r="C1473" t="s">
        <v>11</v>
      </c>
      <c r="D1473" t="s">
        <v>23</v>
      </c>
      <c r="E1473" t="s">
        <v>19</v>
      </c>
      <c r="F1473" t="s">
        <v>14</v>
      </c>
      <c r="G1473">
        <v>219</v>
      </c>
      <c r="H1473">
        <v>306.52999999999997</v>
      </c>
      <c r="I1473">
        <v>11</v>
      </c>
      <c r="J1473" t="s">
        <v>30</v>
      </c>
      <c r="K1473">
        <v>67130.070000000007</v>
      </c>
      <c r="L1473" t="str">
        <f t="shared" si="88"/>
        <v>Oct</v>
      </c>
      <c r="M1473">
        <f t="shared" si="89"/>
        <v>2025</v>
      </c>
      <c r="N1473">
        <f t="shared" si="90"/>
        <v>67130.069999999992</v>
      </c>
      <c r="O1473" t="str">
        <f t="shared" si="91"/>
        <v>Minor Delay</v>
      </c>
    </row>
    <row r="1474" spans="1:15" x14ac:dyDescent="0.25">
      <c r="A1474">
        <v>1473</v>
      </c>
      <c r="B1474" s="2">
        <v>45730</v>
      </c>
      <c r="C1474" t="s">
        <v>26</v>
      </c>
      <c r="D1474" t="s">
        <v>12</v>
      </c>
      <c r="E1474" t="s">
        <v>22</v>
      </c>
      <c r="F1474" t="s">
        <v>24</v>
      </c>
      <c r="G1474">
        <v>151</v>
      </c>
      <c r="H1474">
        <v>182.35</v>
      </c>
      <c r="I1474">
        <v>34</v>
      </c>
      <c r="J1474" t="s">
        <v>30</v>
      </c>
      <c r="K1474">
        <v>27534.85</v>
      </c>
      <c r="L1474" t="str">
        <f t="shared" si="88"/>
        <v>Mar</v>
      </c>
      <c r="M1474">
        <f t="shared" si="89"/>
        <v>2025</v>
      </c>
      <c r="N1474">
        <f t="shared" si="90"/>
        <v>27534.85</v>
      </c>
      <c r="O1474" t="str">
        <f t="shared" si="91"/>
        <v>Moderate Delay</v>
      </c>
    </row>
    <row r="1475" spans="1:15" x14ac:dyDescent="0.25">
      <c r="A1475">
        <v>1474</v>
      </c>
      <c r="B1475" s="2">
        <v>45699</v>
      </c>
      <c r="C1475" t="s">
        <v>11</v>
      </c>
      <c r="D1475" t="s">
        <v>23</v>
      </c>
      <c r="E1475" t="s">
        <v>22</v>
      </c>
      <c r="F1475" t="s">
        <v>14</v>
      </c>
      <c r="G1475">
        <v>269</v>
      </c>
      <c r="H1475">
        <v>210.46</v>
      </c>
      <c r="I1475">
        <v>20</v>
      </c>
      <c r="J1475" t="s">
        <v>15</v>
      </c>
      <c r="K1475">
        <v>56613.74</v>
      </c>
      <c r="L1475" t="str">
        <f t="shared" ref="L1475:L1538" si="92">TEXT(B1475,"MMM")</f>
        <v>Feb</v>
      </c>
      <c r="M1475">
        <f t="shared" ref="M1475:M1538" si="93">YEAR(B1475)</f>
        <v>2025</v>
      </c>
      <c r="N1475">
        <f t="shared" ref="N1475:N1538" si="94">G1475*H1475</f>
        <v>56613.740000000005</v>
      </c>
      <c r="O1475" t="str">
        <f t="shared" ref="O1475:O1538" si="95">IF(I1475=0,"On Time",IF(I1475&lt;=30,"Minor Delay",IF(I1475&lt;=60,"Moderate Delay","Major Delay")))</f>
        <v>Minor Delay</v>
      </c>
    </row>
    <row r="1476" spans="1:15" x14ac:dyDescent="0.25">
      <c r="A1476">
        <v>1475</v>
      </c>
      <c r="B1476" s="2">
        <v>46008</v>
      </c>
      <c r="C1476" t="s">
        <v>31</v>
      </c>
      <c r="D1476" t="s">
        <v>19</v>
      </c>
      <c r="E1476" t="s">
        <v>29</v>
      </c>
      <c r="F1476" t="s">
        <v>24</v>
      </c>
      <c r="G1476">
        <v>51</v>
      </c>
      <c r="H1476">
        <v>413.23</v>
      </c>
      <c r="I1476">
        <v>4</v>
      </c>
      <c r="J1476" t="s">
        <v>15</v>
      </c>
      <c r="K1476">
        <v>21074.73</v>
      </c>
      <c r="L1476" t="str">
        <f t="shared" si="92"/>
        <v>Dec</v>
      </c>
      <c r="M1476">
        <f t="shared" si="93"/>
        <v>2025</v>
      </c>
      <c r="N1476">
        <f t="shared" si="94"/>
        <v>21074.73</v>
      </c>
      <c r="O1476" t="str">
        <f t="shared" si="95"/>
        <v>Minor Delay</v>
      </c>
    </row>
    <row r="1477" spans="1:15" x14ac:dyDescent="0.25">
      <c r="A1477">
        <v>1476</v>
      </c>
      <c r="B1477" s="2">
        <v>46000</v>
      </c>
      <c r="C1477" t="s">
        <v>18</v>
      </c>
      <c r="D1477" t="s">
        <v>19</v>
      </c>
      <c r="E1477" t="s">
        <v>27</v>
      </c>
      <c r="F1477" t="s">
        <v>24</v>
      </c>
      <c r="G1477">
        <v>230</v>
      </c>
      <c r="H1477">
        <v>239.63</v>
      </c>
      <c r="I1477">
        <v>43</v>
      </c>
      <c r="J1477" t="s">
        <v>30</v>
      </c>
      <c r="K1477">
        <v>55114.9</v>
      </c>
      <c r="L1477" t="str">
        <f t="shared" si="92"/>
        <v>Dec</v>
      </c>
      <c r="M1477">
        <f t="shared" si="93"/>
        <v>2025</v>
      </c>
      <c r="N1477">
        <f t="shared" si="94"/>
        <v>55114.9</v>
      </c>
      <c r="O1477" t="str">
        <f t="shared" si="95"/>
        <v>Moderate Delay</v>
      </c>
    </row>
    <row r="1478" spans="1:15" x14ac:dyDescent="0.25">
      <c r="A1478">
        <v>1477</v>
      </c>
      <c r="B1478" s="2">
        <v>45820</v>
      </c>
      <c r="C1478" t="s">
        <v>11</v>
      </c>
      <c r="D1478" t="s">
        <v>17</v>
      </c>
      <c r="E1478" t="s">
        <v>29</v>
      </c>
      <c r="F1478" t="s">
        <v>24</v>
      </c>
      <c r="G1478">
        <v>247</v>
      </c>
      <c r="H1478">
        <v>302.06</v>
      </c>
      <c r="I1478">
        <v>12</v>
      </c>
      <c r="J1478" t="s">
        <v>30</v>
      </c>
      <c r="K1478">
        <v>74608.820000000007</v>
      </c>
      <c r="L1478" t="str">
        <f t="shared" si="92"/>
        <v>Jun</v>
      </c>
      <c r="M1478">
        <f t="shared" si="93"/>
        <v>2025</v>
      </c>
      <c r="N1478">
        <f t="shared" si="94"/>
        <v>74608.820000000007</v>
      </c>
      <c r="O1478" t="str">
        <f t="shared" si="95"/>
        <v>Minor Delay</v>
      </c>
    </row>
    <row r="1479" spans="1:15" x14ac:dyDescent="0.25">
      <c r="A1479">
        <v>1478</v>
      </c>
      <c r="B1479" s="2">
        <v>45835</v>
      </c>
      <c r="C1479" t="s">
        <v>18</v>
      </c>
      <c r="D1479" t="s">
        <v>17</v>
      </c>
      <c r="E1479" t="s">
        <v>12</v>
      </c>
      <c r="F1479" t="s">
        <v>21</v>
      </c>
      <c r="G1479">
        <v>239</v>
      </c>
      <c r="H1479">
        <v>777.97</v>
      </c>
      <c r="I1479">
        <v>56</v>
      </c>
      <c r="J1479" t="s">
        <v>15</v>
      </c>
      <c r="K1479">
        <v>185934.83</v>
      </c>
      <c r="L1479" t="str">
        <f t="shared" si="92"/>
        <v>Jun</v>
      </c>
      <c r="M1479">
        <f t="shared" si="93"/>
        <v>2025</v>
      </c>
      <c r="N1479">
        <f t="shared" si="94"/>
        <v>185934.83000000002</v>
      </c>
      <c r="O1479" t="str">
        <f t="shared" si="95"/>
        <v>Moderate Delay</v>
      </c>
    </row>
    <row r="1480" spans="1:15" x14ac:dyDescent="0.25">
      <c r="A1480">
        <v>1479</v>
      </c>
      <c r="B1480" s="2">
        <v>45846</v>
      </c>
      <c r="C1480" t="s">
        <v>26</v>
      </c>
      <c r="D1480" t="s">
        <v>29</v>
      </c>
      <c r="E1480" t="s">
        <v>23</v>
      </c>
      <c r="F1480" t="s">
        <v>24</v>
      </c>
      <c r="G1480">
        <v>178</v>
      </c>
      <c r="H1480">
        <v>669.2</v>
      </c>
      <c r="I1480">
        <v>0</v>
      </c>
      <c r="J1480" t="s">
        <v>30</v>
      </c>
      <c r="K1480">
        <v>119117.6</v>
      </c>
      <c r="L1480" t="str">
        <f t="shared" si="92"/>
        <v>Jul</v>
      </c>
      <c r="M1480">
        <f t="shared" si="93"/>
        <v>2025</v>
      </c>
      <c r="N1480">
        <f t="shared" si="94"/>
        <v>119117.6</v>
      </c>
      <c r="O1480" t="str">
        <f t="shared" si="95"/>
        <v>On Time</v>
      </c>
    </row>
    <row r="1481" spans="1:15" x14ac:dyDescent="0.25">
      <c r="A1481">
        <v>1480</v>
      </c>
      <c r="B1481" s="2">
        <v>45913</v>
      </c>
      <c r="C1481" t="s">
        <v>11</v>
      </c>
      <c r="D1481" t="s">
        <v>19</v>
      </c>
      <c r="E1481" t="s">
        <v>29</v>
      </c>
      <c r="F1481" t="s">
        <v>14</v>
      </c>
      <c r="G1481">
        <v>104</v>
      </c>
      <c r="H1481">
        <v>283.43</v>
      </c>
      <c r="I1481">
        <v>0</v>
      </c>
      <c r="J1481" t="s">
        <v>15</v>
      </c>
      <c r="K1481">
        <v>29476.720000000001</v>
      </c>
      <c r="L1481" t="str">
        <f t="shared" si="92"/>
        <v>Sep</v>
      </c>
      <c r="M1481">
        <f t="shared" si="93"/>
        <v>2025</v>
      </c>
      <c r="N1481">
        <f t="shared" si="94"/>
        <v>29476.720000000001</v>
      </c>
      <c r="O1481" t="str">
        <f t="shared" si="95"/>
        <v>On Time</v>
      </c>
    </row>
    <row r="1482" spans="1:15" x14ac:dyDescent="0.25">
      <c r="A1482">
        <v>1481</v>
      </c>
      <c r="B1482" s="2">
        <v>45875</v>
      </c>
      <c r="C1482" t="s">
        <v>11</v>
      </c>
      <c r="D1482" t="s">
        <v>17</v>
      </c>
      <c r="E1482" t="s">
        <v>29</v>
      </c>
      <c r="F1482" t="s">
        <v>24</v>
      </c>
      <c r="G1482">
        <v>129</v>
      </c>
      <c r="H1482">
        <v>346.24</v>
      </c>
      <c r="I1482">
        <v>22</v>
      </c>
      <c r="J1482" t="s">
        <v>30</v>
      </c>
      <c r="K1482">
        <v>44664.959999999999</v>
      </c>
      <c r="L1482" t="str">
        <f t="shared" si="92"/>
        <v>Aug</v>
      </c>
      <c r="M1482">
        <f t="shared" si="93"/>
        <v>2025</v>
      </c>
      <c r="N1482">
        <f t="shared" si="94"/>
        <v>44664.959999999999</v>
      </c>
      <c r="O1482" t="str">
        <f t="shared" si="95"/>
        <v>Minor Delay</v>
      </c>
    </row>
    <row r="1483" spans="1:15" x14ac:dyDescent="0.25">
      <c r="A1483">
        <v>1482</v>
      </c>
      <c r="B1483" s="2">
        <v>45741</v>
      </c>
      <c r="C1483" t="s">
        <v>18</v>
      </c>
      <c r="D1483" t="s">
        <v>17</v>
      </c>
      <c r="E1483" t="s">
        <v>29</v>
      </c>
      <c r="F1483" t="s">
        <v>21</v>
      </c>
      <c r="G1483">
        <v>182</v>
      </c>
      <c r="H1483">
        <v>677.33</v>
      </c>
      <c r="I1483">
        <v>13</v>
      </c>
      <c r="J1483" t="s">
        <v>15</v>
      </c>
      <c r="K1483">
        <v>123274.06</v>
      </c>
      <c r="L1483" t="str">
        <f t="shared" si="92"/>
        <v>Mar</v>
      </c>
      <c r="M1483">
        <f t="shared" si="93"/>
        <v>2025</v>
      </c>
      <c r="N1483">
        <f t="shared" si="94"/>
        <v>123274.06000000001</v>
      </c>
      <c r="O1483" t="str">
        <f t="shared" si="95"/>
        <v>Minor Delay</v>
      </c>
    </row>
    <row r="1484" spans="1:15" x14ac:dyDescent="0.25">
      <c r="A1484">
        <v>1483</v>
      </c>
      <c r="B1484" s="2">
        <v>46009</v>
      </c>
      <c r="C1484" t="s">
        <v>25</v>
      </c>
      <c r="D1484" t="s">
        <v>12</v>
      </c>
      <c r="E1484" t="s">
        <v>17</v>
      </c>
      <c r="F1484" t="s">
        <v>14</v>
      </c>
      <c r="G1484">
        <v>217</v>
      </c>
      <c r="H1484">
        <v>698.23</v>
      </c>
      <c r="I1484">
        <v>21</v>
      </c>
      <c r="J1484" t="s">
        <v>15</v>
      </c>
      <c r="K1484">
        <v>151515.91</v>
      </c>
      <c r="L1484" t="str">
        <f t="shared" si="92"/>
        <v>Dec</v>
      </c>
      <c r="M1484">
        <f t="shared" si="93"/>
        <v>2025</v>
      </c>
      <c r="N1484">
        <f t="shared" si="94"/>
        <v>151515.91</v>
      </c>
      <c r="O1484" t="str">
        <f t="shared" si="95"/>
        <v>Minor Delay</v>
      </c>
    </row>
    <row r="1485" spans="1:15" x14ac:dyDescent="0.25">
      <c r="A1485">
        <v>1484</v>
      </c>
      <c r="B1485" s="2">
        <v>46009</v>
      </c>
      <c r="C1485" t="s">
        <v>18</v>
      </c>
      <c r="D1485" t="s">
        <v>27</v>
      </c>
      <c r="E1485" t="s">
        <v>17</v>
      </c>
      <c r="F1485" t="s">
        <v>14</v>
      </c>
      <c r="G1485">
        <v>174</v>
      </c>
      <c r="H1485">
        <v>543.82000000000005</v>
      </c>
      <c r="I1485">
        <v>16</v>
      </c>
      <c r="J1485" t="s">
        <v>15</v>
      </c>
      <c r="K1485">
        <v>94624.68</v>
      </c>
      <c r="L1485" t="str">
        <f t="shared" si="92"/>
        <v>Dec</v>
      </c>
      <c r="M1485">
        <f t="shared" si="93"/>
        <v>2025</v>
      </c>
      <c r="N1485">
        <f t="shared" si="94"/>
        <v>94624.680000000008</v>
      </c>
      <c r="O1485" t="str">
        <f t="shared" si="95"/>
        <v>Minor Delay</v>
      </c>
    </row>
    <row r="1486" spans="1:15" x14ac:dyDescent="0.25">
      <c r="A1486">
        <v>1485</v>
      </c>
      <c r="B1486" s="2">
        <v>45813</v>
      </c>
      <c r="C1486" t="s">
        <v>18</v>
      </c>
      <c r="D1486" t="s">
        <v>17</v>
      </c>
      <c r="E1486" t="s">
        <v>13</v>
      </c>
      <c r="F1486" t="s">
        <v>24</v>
      </c>
      <c r="G1486">
        <v>239</v>
      </c>
      <c r="H1486">
        <v>529.25</v>
      </c>
      <c r="I1486">
        <v>0</v>
      </c>
      <c r="J1486" t="s">
        <v>15</v>
      </c>
      <c r="K1486">
        <v>126490.75</v>
      </c>
      <c r="L1486" t="str">
        <f t="shared" si="92"/>
        <v>Jun</v>
      </c>
      <c r="M1486">
        <f t="shared" si="93"/>
        <v>2025</v>
      </c>
      <c r="N1486">
        <f t="shared" si="94"/>
        <v>126490.75</v>
      </c>
      <c r="O1486" t="str">
        <f t="shared" si="95"/>
        <v>On Time</v>
      </c>
    </row>
    <row r="1487" spans="1:15" x14ac:dyDescent="0.25">
      <c r="A1487">
        <v>1486</v>
      </c>
      <c r="B1487" s="2">
        <v>46022</v>
      </c>
      <c r="C1487" t="s">
        <v>26</v>
      </c>
      <c r="D1487" t="s">
        <v>22</v>
      </c>
      <c r="E1487" t="s">
        <v>27</v>
      </c>
      <c r="F1487" t="s">
        <v>21</v>
      </c>
      <c r="G1487">
        <v>298</v>
      </c>
      <c r="H1487">
        <v>330</v>
      </c>
      <c r="I1487">
        <v>0</v>
      </c>
      <c r="J1487" t="s">
        <v>15</v>
      </c>
      <c r="K1487">
        <v>98340</v>
      </c>
      <c r="L1487" t="str">
        <f t="shared" si="92"/>
        <v>Dec</v>
      </c>
      <c r="M1487">
        <f t="shared" si="93"/>
        <v>2025</v>
      </c>
      <c r="N1487">
        <f t="shared" si="94"/>
        <v>98340</v>
      </c>
      <c r="O1487" t="str">
        <f t="shared" si="95"/>
        <v>On Time</v>
      </c>
    </row>
    <row r="1488" spans="1:15" x14ac:dyDescent="0.25">
      <c r="A1488">
        <v>1487</v>
      </c>
      <c r="B1488" s="2">
        <v>46003</v>
      </c>
      <c r="C1488" t="s">
        <v>16</v>
      </c>
      <c r="D1488" t="s">
        <v>17</v>
      </c>
      <c r="E1488" t="s">
        <v>20</v>
      </c>
      <c r="F1488" t="s">
        <v>14</v>
      </c>
      <c r="G1488">
        <v>51</v>
      </c>
      <c r="H1488">
        <v>309.47000000000003</v>
      </c>
      <c r="I1488">
        <v>50</v>
      </c>
      <c r="J1488" t="s">
        <v>15</v>
      </c>
      <c r="K1488">
        <v>15782.97</v>
      </c>
      <c r="L1488" t="str">
        <f t="shared" si="92"/>
        <v>Dec</v>
      </c>
      <c r="M1488">
        <f t="shared" si="93"/>
        <v>2025</v>
      </c>
      <c r="N1488">
        <f t="shared" si="94"/>
        <v>15782.970000000001</v>
      </c>
      <c r="O1488" t="str">
        <f t="shared" si="95"/>
        <v>Moderate Delay</v>
      </c>
    </row>
    <row r="1489" spans="1:15" x14ac:dyDescent="0.25">
      <c r="A1489">
        <v>1488</v>
      </c>
      <c r="B1489" s="2">
        <v>45682</v>
      </c>
      <c r="C1489" t="s">
        <v>18</v>
      </c>
      <c r="D1489" t="s">
        <v>20</v>
      </c>
      <c r="E1489" t="s">
        <v>17</v>
      </c>
      <c r="F1489" t="s">
        <v>24</v>
      </c>
      <c r="G1489">
        <v>60</v>
      </c>
      <c r="H1489">
        <v>149.94999999999999</v>
      </c>
      <c r="I1489">
        <v>6</v>
      </c>
      <c r="J1489" t="s">
        <v>15</v>
      </c>
      <c r="K1489">
        <v>8997</v>
      </c>
      <c r="L1489" t="str">
        <f t="shared" si="92"/>
        <v>Jan</v>
      </c>
      <c r="M1489">
        <f t="shared" si="93"/>
        <v>2025</v>
      </c>
      <c r="N1489">
        <f t="shared" si="94"/>
        <v>8997</v>
      </c>
      <c r="O1489" t="str">
        <f t="shared" si="95"/>
        <v>Minor Delay</v>
      </c>
    </row>
    <row r="1490" spans="1:15" x14ac:dyDescent="0.25">
      <c r="A1490">
        <v>1489</v>
      </c>
      <c r="B1490" s="2">
        <v>45964</v>
      </c>
      <c r="C1490" t="s">
        <v>25</v>
      </c>
      <c r="D1490" t="s">
        <v>22</v>
      </c>
      <c r="E1490" t="s">
        <v>13</v>
      </c>
      <c r="F1490" t="s">
        <v>24</v>
      </c>
      <c r="G1490">
        <v>114</v>
      </c>
      <c r="H1490">
        <v>375.02</v>
      </c>
      <c r="I1490">
        <v>0</v>
      </c>
      <c r="J1490" t="s">
        <v>15</v>
      </c>
      <c r="K1490">
        <v>42752.28</v>
      </c>
      <c r="L1490" t="str">
        <f t="shared" si="92"/>
        <v>Nov</v>
      </c>
      <c r="M1490">
        <f t="shared" si="93"/>
        <v>2025</v>
      </c>
      <c r="N1490">
        <f t="shared" si="94"/>
        <v>42752.28</v>
      </c>
      <c r="O1490" t="str">
        <f t="shared" si="95"/>
        <v>On Time</v>
      </c>
    </row>
    <row r="1491" spans="1:15" x14ac:dyDescent="0.25">
      <c r="A1491">
        <v>1490</v>
      </c>
      <c r="B1491" s="2">
        <v>45808</v>
      </c>
      <c r="C1491" t="s">
        <v>26</v>
      </c>
      <c r="D1491" t="s">
        <v>23</v>
      </c>
      <c r="E1491" t="s">
        <v>29</v>
      </c>
      <c r="F1491" t="s">
        <v>24</v>
      </c>
      <c r="G1491">
        <v>54</v>
      </c>
      <c r="H1491">
        <v>390.61</v>
      </c>
      <c r="I1491">
        <v>0</v>
      </c>
      <c r="J1491" t="s">
        <v>15</v>
      </c>
      <c r="K1491">
        <v>21092.94</v>
      </c>
      <c r="L1491" t="str">
        <f t="shared" si="92"/>
        <v>May</v>
      </c>
      <c r="M1491">
        <f t="shared" si="93"/>
        <v>2025</v>
      </c>
      <c r="N1491">
        <f t="shared" si="94"/>
        <v>21092.940000000002</v>
      </c>
      <c r="O1491" t="str">
        <f t="shared" si="95"/>
        <v>On Time</v>
      </c>
    </row>
    <row r="1492" spans="1:15" x14ac:dyDescent="0.25">
      <c r="A1492">
        <v>1491</v>
      </c>
      <c r="B1492" s="2">
        <v>45840</v>
      </c>
      <c r="C1492" t="s">
        <v>25</v>
      </c>
      <c r="D1492" t="s">
        <v>13</v>
      </c>
      <c r="E1492" t="s">
        <v>29</v>
      </c>
      <c r="F1492" t="s">
        <v>14</v>
      </c>
      <c r="G1492">
        <v>186</v>
      </c>
      <c r="H1492">
        <v>606.62</v>
      </c>
      <c r="I1492">
        <v>20</v>
      </c>
      <c r="J1492" t="s">
        <v>15</v>
      </c>
      <c r="K1492">
        <v>112831.32</v>
      </c>
      <c r="L1492" t="str">
        <f t="shared" si="92"/>
        <v>Jul</v>
      </c>
      <c r="M1492">
        <f t="shared" si="93"/>
        <v>2025</v>
      </c>
      <c r="N1492">
        <f t="shared" si="94"/>
        <v>112831.32</v>
      </c>
      <c r="O1492" t="str">
        <f t="shared" si="95"/>
        <v>Minor Delay</v>
      </c>
    </row>
    <row r="1493" spans="1:15" x14ac:dyDescent="0.25">
      <c r="A1493">
        <v>1492</v>
      </c>
      <c r="B1493" s="2">
        <v>45878</v>
      </c>
      <c r="C1493" t="s">
        <v>26</v>
      </c>
      <c r="D1493" t="s">
        <v>29</v>
      </c>
      <c r="E1493" t="s">
        <v>27</v>
      </c>
      <c r="F1493" t="s">
        <v>24</v>
      </c>
      <c r="G1493">
        <v>298</v>
      </c>
      <c r="H1493">
        <v>398.94</v>
      </c>
      <c r="I1493">
        <v>30</v>
      </c>
      <c r="J1493" t="s">
        <v>15</v>
      </c>
      <c r="K1493">
        <v>118884.12</v>
      </c>
      <c r="L1493" t="str">
        <f t="shared" si="92"/>
        <v>Aug</v>
      </c>
      <c r="M1493">
        <f t="shared" si="93"/>
        <v>2025</v>
      </c>
      <c r="N1493">
        <f t="shared" si="94"/>
        <v>118884.12</v>
      </c>
      <c r="O1493" t="str">
        <f t="shared" si="95"/>
        <v>Minor Delay</v>
      </c>
    </row>
    <row r="1494" spans="1:15" x14ac:dyDescent="0.25">
      <c r="A1494">
        <v>1493</v>
      </c>
      <c r="B1494" s="2">
        <v>45678</v>
      </c>
      <c r="C1494" t="s">
        <v>16</v>
      </c>
      <c r="D1494" t="s">
        <v>27</v>
      </c>
      <c r="E1494" t="s">
        <v>20</v>
      </c>
      <c r="F1494" t="s">
        <v>24</v>
      </c>
      <c r="G1494">
        <v>145</v>
      </c>
      <c r="H1494">
        <v>88.33</v>
      </c>
      <c r="I1494">
        <v>0</v>
      </c>
      <c r="J1494" t="s">
        <v>30</v>
      </c>
      <c r="K1494">
        <v>12807.85</v>
      </c>
      <c r="L1494" t="str">
        <f t="shared" si="92"/>
        <v>Jan</v>
      </c>
      <c r="M1494">
        <f t="shared" si="93"/>
        <v>2025</v>
      </c>
      <c r="N1494">
        <f t="shared" si="94"/>
        <v>12807.85</v>
      </c>
      <c r="O1494" t="str">
        <f t="shared" si="95"/>
        <v>On Time</v>
      </c>
    </row>
    <row r="1495" spans="1:15" x14ac:dyDescent="0.25">
      <c r="A1495">
        <v>1494</v>
      </c>
      <c r="B1495" s="2">
        <v>45920</v>
      </c>
      <c r="C1495" t="s">
        <v>25</v>
      </c>
      <c r="D1495" t="s">
        <v>12</v>
      </c>
      <c r="E1495" t="s">
        <v>20</v>
      </c>
      <c r="F1495" t="s">
        <v>14</v>
      </c>
      <c r="G1495">
        <v>136</v>
      </c>
      <c r="H1495">
        <v>746.31</v>
      </c>
      <c r="I1495">
        <v>0</v>
      </c>
      <c r="J1495" t="s">
        <v>15</v>
      </c>
      <c r="K1495">
        <v>101498.16</v>
      </c>
      <c r="L1495" t="str">
        <f t="shared" si="92"/>
        <v>Sep</v>
      </c>
      <c r="M1495">
        <f t="shared" si="93"/>
        <v>2025</v>
      </c>
      <c r="N1495">
        <f t="shared" si="94"/>
        <v>101498.15999999999</v>
      </c>
      <c r="O1495" t="str">
        <f t="shared" si="95"/>
        <v>On Time</v>
      </c>
    </row>
    <row r="1496" spans="1:15" x14ac:dyDescent="0.25">
      <c r="A1496">
        <v>1495</v>
      </c>
      <c r="B1496" s="2">
        <v>45669</v>
      </c>
      <c r="C1496" t="s">
        <v>11</v>
      </c>
      <c r="D1496" t="s">
        <v>17</v>
      </c>
      <c r="E1496" t="s">
        <v>20</v>
      </c>
      <c r="F1496" t="s">
        <v>21</v>
      </c>
      <c r="G1496">
        <v>115</v>
      </c>
      <c r="H1496">
        <v>593.98</v>
      </c>
      <c r="I1496">
        <v>19</v>
      </c>
      <c r="J1496" t="s">
        <v>30</v>
      </c>
      <c r="K1496">
        <v>68307.7</v>
      </c>
      <c r="L1496" t="str">
        <f t="shared" si="92"/>
        <v>Jan</v>
      </c>
      <c r="M1496">
        <f t="shared" si="93"/>
        <v>2025</v>
      </c>
      <c r="N1496">
        <f t="shared" si="94"/>
        <v>68307.7</v>
      </c>
      <c r="O1496" t="str">
        <f t="shared" si="95"/>
        <v>Minor Delay</v>
      </c>
    </row>
    <row r="1497" spans="1:15" x14ac:dyDescent="0.25">
      <c r="A1497">
        <v>1496</v>
      </c>
      <c r="B1497" s="2">
        <v>45950</v>
      </c>
      <c r="C1497" t="s">
        <v>26</v>
      </c>
      <c r="D1497" t="s">
        <v>12</v>
      </c>
      <c r="E1497" t="s">
        <v>23</v>
      </c>
      <c r="F1497" t="s">
        <v>24</v>
      </c>
      <c r="G1497">
        <v>207</v>
      </c>
      <c r="H1497">
        <v>440.39</v>
      </c>
      <c r="I1497">
        <v>9</v>
      </c>
      <c r="J1497" t="s">
        <v>30</v>
      </c>
      <c r="K1497">
        <v>91160.73</v>
      </c>
      <c r="L1497" t="str">
        <f t="shared" si="92"/>
        <v>Oct</v>
      </c>
      <c r="M1497">
        <f t="shared" si="93"/>
        <v>2025</v>
      </c>
      <c r="N1497">
        <f t="shared" si="94"/>
        <v>91160.73</v>
      </c>
      <c r="O1497" t="str">
        <f t="shared" si="95"/>
        <v>Minor Delay</v>
      </c>
    </row>
    <row r="1498" spans="1:15" x14ac:dyDescent="0.25">
      <c r="A1498">
        <v>1497</v>
      </c>
      <c r="B1498" s="2">
        <v>45849</v>
      </c>
      <c r="C1498" t="s">
        <v>31</v>
      </c>
      <c r="D1498" t="s">
        <v>19</v>
      </c>
      <c r="E1498" t="s">
        <v>13</v>
      </c>
      <c r="F1498" t="s">
        <v>24</v>
      </c>
      <c r="G1498">
        <v>105</v>
      </c>
      <c r="H1498">
        <v>622.92999999999995</v>
      </c>
      <c r="I1498">
        <v>0</v>
      </c>
      <c r="J1498" t="s">
        <v>15</v>
      </c>
      <c r="K1498">
        <v>65407.65</v>
      </c>
      <c r="L1498" t="str">
        <f t="shared" si="92"/>
        <v>Jul</v>
      </c>
      <c r="M1498">
        <f t="shared" si="93"/>
        <v>2025</v>
      </c>
      <c r="N1498">
        <f t="shared" si="94"/>
        <v>65407.649999999994</v>
      </c>
      <c r="O1498" t="str">
        <f t="shared" si="95"/>
        <v>On Time</v>
      </c>
    </row>
    <row r="1499" spans="1:15" x14ac:dyDescent="0.25">
      <c r="A1499">
        <v>1498</v>
      </c>
      <c r="B1499" s="2">
        <v>45967</v>
      </c>
      <c r="C1499" t="s">
        <v>18</v>
      </c>
      <c r="D1499" t="s">
        <v>23</v>
      </c>
      <c r="E1499" t="s">
        <v>13</v>
      </c>
      <c r="F1499" t="s">
        <v>14</v>
      </c>
      <c r="G1499">
        <v>223</v>
      </c>
      <c r="H1499">
        <v>270.83999999999997</v>
      </c>
      <c r="I1499">
        <v>35</v>
      </c>
      <c r="J1499" t="s">
        <v>15</v>
      </c>
      <c r="K1499">
        <v>60397.32</v>
      </c>
      <c r="L1499" t="str">
        <f t="shared" si="92"/>
        <v>Nov</v>
      </c>
      <c r="M1499">
        <f t="shared" si="93"/>
        <v>2025</v>
      </c>
      <c r="N1499">
        <f t="shared" si="94"/>
        <v>60397.319999999992</v>
      </c>
      <c r="O1499" t="str">
        <f t="shared" si="95"/>
        <v>Moderate Delay</v>
      </c>
    </row>
    <row r="1500" spans="1:15" x14ac:dyDescent="0.25">
      <c r="A1500">
        <v>1499</v>
      </c>
      <c r="B1500" s="2">
        <v>45870</v>
      </c>
      <c r="C1500" t="s">
        <v>25</v>
      </c>
      <c r="D1500" t="s">
        <v>19</v>
      </c>
      <c r="E1500" t="s">
        <v>13</v>
      </c>
      <c r="F1500" t="s">
        <v>14</v>
      </c>
      <c r="G1500">
        <v>120</v>
      </c>
      <c r="H1500">
        <v>257.62</v>
      </c>
      <c r="I1500">
        <v>0</v>
      </c>
      <c r="J1500" t="s">
        <v>15</v>
      </c>
      <c r="K1500">
        <v>30914.400000000001</v>
      </c>
      <c r="L1500" t="str">
        <f t="shared" si="92"/>
        <v>Aug</v>
      </c>
      <c r="M1500">
        <f t="shared" si="93"/>
        <v>2025</v>
      </c>
      <c r="N1500">
        <f t="shared" si="94"/>
        <v>30914.400000000001</v>
      </c>
      <c r="O1500" t="str">
        <f t="shared" si="95"/>
        <v>On Time</v>
      </c>
    </row>
    <row r="1501" spans="1:15" x14ac:dyDescent="0.25">
      <c r="A1501">
        <v>1500</v>
      </c>
      <c r="B1501" s="2">
        <v>45667</v>
      </c>
      <c r="C1501" t="s">
        <v>25</v>
      </c>
      <c r="D1501" t="s">
        <v>19</v>
      </c>
      <c r="E1501" t="s">
        <v>23</v>
      </c>
      <c r="F1501" t="s">
        <v>24</v>
      </c>
      <c r="G1501">
        <v>106</v>
      </c>
      <c r="H1501">
        <v>107.15</v>
      </c>
      <c r="I1501">
        <v>0</v>
      </c>
      <c r="J1501" t="s">
        <v>15</v>
      </c>
      <c r="K1501">
        <v>11357.9</v>
      </c>
      <c r="L1501" t="str">
        <f t="shared" si="92"/>
        <v>Jan</v>
      </c>
      <c r="M1501">
        <f t="shared" si="93"/>
        <v>2025</v>
      </c>
      <c r="N1501">
        <f t="shared" si="94"/>
        <v>11357.900000000001</v>
      </c>
      <c r="O1501" t="str">
        <f t="shared" si="95"/>
        <v>On Time</v>
      </c>
    </row>
    <row r="1502" spans="1:15" x14ac:dyDescent="0.25">
      <c r="A1502">
        <v>1501</v>
      </c>
      <c r="B1502" s="2">
        <v>45983</v>
      </c>
      <c r="C1502" t="s">
        <v>31</v>
      </c>
      <c r="D1502" t="s">
        <v>20</v>
      </c>
      <c r="E1502" t="s">
        <v>17</v>
      </c>
      <c r="F1502" t="s">
        <v>24</v>
      </c>
      <c r="G1502">
        <v>188</v>
      </c>
      <c r="H1502">
        <v>347.89</v>
      </c>
      <c r="I1502">
        <v>23</v>
      </c>
      <c r="J1502" t="s">
        <v>15</v>
      </c>
      <c r="K1502">
        <v>65403.32</v>
      </c>
      <c r="L1502" t="str">
        <f t="shared" si="92"/>
        <v>Nov</v>
      </c>
      <c r="M1502">
        <f t="shared" si="93"/>
        <v>2025</v>
      </c>
      <c r="N1502">
        <f t="shared" si="94"/>
        <v>65403.32</v>
      </c>
      <c r="O1502" t="str">
        <f t="shared" si="95"/>
        <v>Minor Delay</v>
      </c>
    </row>
    <row r="1503" spans="1:15" x14ac:dyDescent="0.25">
      <c r="A1503">
        <v>1502</v>
      </c>
      <c r="B1503" s="2">
        <v>45735</v>
      </c>
      <c r="C1503" t="s">
        <v>18</v>
      </c>
      <c r="D1503" t="s">
        <v>22</v>
      </c>
      <c r="E1503" t="s">
        <v>27</v>
      </c>
      <c r="F1503" t="s">
        <v>21</v>
      </c>
      <c r="G1503">
        <v>177</v>
      </c>
      <c r="H1503">
        <v>215.87</v>
      </c>
      <c r="I1503">
        <v>18</v>
      </c>
      <c r="J1503" t="s">
        <v>15</v>
      </c>
      <c r="K1503">
        <v>38208.99</v>
      </c>
      <c r="L1503" t="str">
        <f t="shared" si="92"/>
        <v>Mar</v>
      </c>
      <c r="M1503">
        <f t="shared" si="93"/>
        <v>2025</v>
      </c>
      <c r="N1503">
        <f t="shared" si="94"/>
        <v>38208.99</v>
      </c>
      <c r="O1503" t="str">
        <f t="shared" si="95"/>
        <v>Minor Delay</v>
      </c>
    </row>
    <row r="1504" spans="1:15" x14ac:dyDescent="0.25">
      <c r="A1504">
        <v>1503</v>
      </c>
      <c r="B1504" s="2">
        <v>45864</v>
      </c>
      <c r="C1504" t="s">
        <v>16</v>
      </c>
      <c r="D1504" t="s">
        <v>17</v>
      </c>
      <c r="E1504" t="s">
        <v>23</v>
      </c>
      <c r="F1504" t="s">
        <v>21</v>
      </c>
      <c r="G1504">
        <v>268</v>
      </c>
      <c r="H1504">
        <v>482.77</v>
      </c>
      <c r="I1504">
        <v>45</v>
      </c>
      <c r="J1504" t="s">
        <v>28</v>
      </c>
      <c r="K1504">
        <v>129382.36</v>
      </c>
      <c r="L1504" t="str">
        <f t="shared" si="92"/>
        <v>Jul</v>
      </c>
      <c r="M1504">
        <f t="shared" si="93"/>
        <v>2025</v>
      </c>
      <c r="N1504">
        <f t="shared" si="94"/>
        <v>129382.36</v>
      </c>
      <c r="O1504" t="str">
        <f t="shared" si="95"/>
        <v>Moderate Delay</v>
      </c>
    </row>
    <row r="1505" spans="1:15" x14ac:dyDescent="0.25">
      <c r="A1505">
        <v>1504</v>
      </c>
      <c r="B1505" s="2">
        <v>45929</v>
      </c>
      <c r="C1505" t="s">
        <v>26</v>
      </c>
      <c r="D1505" t="s">
        <v>12</v>
      </c>
      <c r="E1505" t="s">
        <v>23</v>
      </c>
      <c r="F1505" t="s">
        <v>24</v>
      </c>
      <c r="G1505">
        <v>124</v>
      </c>
      <c r="H1505">
        <v>615.63</v>
      </c>
      <c r="I1505">
        <v>33</v>
      </c>
      <c r="J1505" t="s">
        <v>15</v>
      </c>
      <c r="K1505">
        <v>76338.12</v>
      </c>
      <c r="L1505" t="str">
        <f t="shared" si="92"/>
        <v>Sep</v>
      </c>
      <c r="M1505">
        <f t="shared" si="93"/>
        <v>2025</v>
      </c>
      <c r="N1505">
        <f t="shared" si="94"/>
        <v>76338.12</v>
      </c>
      <c r="O1505" t="str">
        <f t="shared" si="95"/>
        <v>Moderate Delay</v>
      </c>
    </row>
    <row r="1506" spans="1:15" x14ac:dyDescent="0.25">
      <c r="A1506">
        <v>1505</v>
      </c>
      <c r="B1506" s="2">
        <v>45737</v>
      </c>
      <c r="C1506" t="s">
        <v>31</v>
      </c>
      <c r="D1506" t="s">
        <v>20</v>
      </c>
      <c r="E1506" t="s">
        <v>13</v>
      </c>
      <c r="F1506" t="s">
        <v>21</v>
      </c>
      <c r="G1506">
        <v>92</v>
      </c>
      <c r="H1506">
        <v>521.96</v>
      </c>
      <c r="I1506">
        <v>0</v>
      </c>
      <c r="J1506" t="s">
        <v>15</v>
      </c>
      <c r="K1506">
        <v>48020.32</v>
      </c>
      <c r="L1506" t="str">
        <f t="shared" si="92"/>
        <v>Mar</v>
      </c>
      <c r="M1506">
        <f t="shared" si="93"/>
        <v>2025</v>
      </c>
      <c r="N1506">
        <f t="shared" si="94"/>
        <v>48020.320000000007</v>
      </c>
      <c r="O1506" t="str">
        <f t="shared" si="95"/>
        <v>On Time</v>
      </c>
    </row>
    <row r="1507" spans="1:15" x14ac:dyDescent="0.25">
      <c r="A1507">
        <v>1506</v>
      </c>
      <c r="B1507" s="2">
        <v>45778</v>
      </c>
      <c r="C1507" t="s">
        <v>18</v>
      </c>
      <c r="D1507" t="s">
        <v>23</v>
      </c>
      <c r="E1507" t="s">
        <v>27</v>
      </c>
      <c r="F1507" t="s">
        <v>21</v>
      </c>
      <c r="G1507">
        <v>83</v>
      </c>
      <c r="H1507">
        <v>340.04</v>
      </c>
      <c r="I1507">
        <v>9</v>
      </c>
      <c r="J1507" t="s">
        <v>30</v>
      </c>
      <c r="K1507">
        <v>28223.32</v>
      </c>
      <c r="L1507" t="str">
        <f t="shared" si="92"/>
        <v>May</v>
      </c>
      <c r="M1507">
        <f t="shared" si="93"/>
        <v>2025</v>
      </c>
      <c r="N1507">
        <f t="shared" si="94"/>
        <v>28223.320000000003</v>
      </c>
      <c r="O1507" t="str">
        <f t="shared" si="95"/>
        <v>Minor Delay</v>
      </c>
    </row>
    <row r="1508" spans="1:15" x14ac:dyDescent="0.25">
      <c r="A1508">
        <v>1507</v>
      </c>
      <c r="B1508" s="2">
        <v>45860</v>
      </c>
      <c r="C1508" t="s">
        <v>11</v>
      </c>
      <c r="D1508" t="s">
        <v>12</v>
      </c>
      <c r="E1508" t="s">
        <v>29</v>
      </c>
      <c r="F1508" t="s">
        <v>14</v>
      </c>
      <c r="G1508">
        <v>78</v>
      </c>
      <c r="H1508">
        <v>482.35</v>
      </c>
      <c r="I1508">
        <v>26</v>
      </c>
      <c r="J1508" t="s">
        <v>15</v>
      </c>
      <c r="K1508">
        <v>37623.300000000003</v>
      </c>
      <c r="L1508" t="str">
        <f t="shared" si="92"/>
        <v>Jul</v>
      </c>
      <c r="M1508">
        <f t="shared" si="93"/>
        <v>2025</v>
      </c>
      <c r="N1508">
        <f t="shared" si="94"/>
        <v>37623.300000000003</v>
      </c>
      <c r="O1508" t="str">
        <f t="shared" si="95"/>
        <v>Minor Delay</v>
      </c>
    </row>
    <row r="1509" spans="1:15" x14ac:dyDescent="0.25">
      <c r="A1509">
        <v>1508</v>
      </c>
      <c r="B1509" s="2">
        <v>45838</v>
      </c>
      <c r="C1509" t="s">
        <v>11</v>
      </c>
      <c r="D1509" t="s">
        <v>17</v>
      </c>
      <c r="E1509" t="s">
        <v>20</v>
      </c>
      <c r="F1509" t="s">
        <v>24</v>
      </c>
      <c r="G1509">
        <v>280</v>
      </c>
      <c r="H1509">
        <v>503.44</v>
      </c>
      <c r="I1509">
        <v>33</v>
      </c>
      <c r="J1509" t="s">
        <v>15</v>
      </c>
      <c r="K1509">
        <v>140963.20000000001</v>
      </c>
      <c r="L1509" t="str">
        <f t="shared" si="92"/>
        <v>Jun</v>
      </c>
      <c r="M1509">
        <f t="shared" si="93"/>
        <v>2025</v>
      </c>
      <c r="N1509">
        <f t="shared" si="94"/>
        <v>140963.20000000001</v>
      </c>
      <c r="O1509" t="str">
        <f t="shared" si="95"/>
        <v>Moderate Delay</v>
      </c>
    </row>
    <row r="1510" spans="1:15" x14ac:dyDescent="0.25">
      <c r="A1510">
        <v>1509</v>
      </c>
      <c r="B1510" s="2">
        <v>45998</v>
      </c>
      <c r="C1510" t="s">
        <v>25</v>
      </c>
      <c r="D1510" t="s">
        <v>22</v>
      </c>
      <c r="E1510" t="s">
        <v>12</v>
      </c>
      <c r="F1510" t="s">
        <v>21</v>
      </c>
      <c r="G1510">
        <v>245</v>
      </c>
      <c r="H1510">
        <v>530.79999999999995</v>
      </c>
      <c r="I1510">
        <v>0</v>
      </c>
      <c r="J1510" t="s">
        <v>15</v>
      </c>
      <c r="K1510">
        <v>130046</v>
      </c>
      <c r="L1510" t="str">
        <f t="shared" si="92"/>
        <v>Dec</v>
      </c>
      <c r="M1510">
        <f t="shared" si="93"/>
        <v>2025</v>
      </c>
      <c r="N1510">
        <f t="shared" si="94"/>
        <v>130045.99999999999</v>
      </c>
      <c r="O1510" t="str">
        <f t="shared" si="95"/>
        <v>On Time</v>
      </c>
    </row>
    <row r="1511" spans="1:15" x14ac:dyDescent="0.25">
      <c r="A1511">
        <v>1510</v>
      </c>
      <c r="B1511" s="2">
        <v>45895</v>
      </c>
      <c r="C1511" t="s">
        <v>26</v>
      </c>
      <c r="D1511" t="s">
        <v>17</v>
      </c>
      <c r="E1511" t="s">
        <v>27</v>
      </c>
      <c r="F1511" t="s">
        <v>24</v>
      </c>
      <c r="G1511">
        <v>90</v>
      </c>
      <c r="H1511">
        <v>743.69</v>
      </c>
      <c r="I1511">
        <v>19</v>
      </c>
      <c r="J1511" t="s">
        <v>15</v>
      </c>
      <c r="K1511">
        <v>66932.100000000006</v>
      </c>
      <c r="L1511" t="str">
        <f t="shared" si="92"/>
        <v>Aug</v>
      </c>
      <c r="M1511">
        <f t="shared" si="93"/>
        <v>2025</v>
      </c>
      <c r="N1511">
        <f t="shared" si="94"/>
        <v>66932.100000000006</v>
      </c>
      <c r="O1511" t="str">
        <f t="shared" si="95"/>
        <v>Minor Delay</v>
      </c>
    </row>
    <row r="1512" spans="1:15" x14ac:dyDescent="0.25">
      <c r="A1512">
        <v>1511</v>
      </c>
      <c r="B1512" s="2">
        <v>45930</v>
      </c>
      <c r="C1512" t="s">
        <v>26</v>
      </c>
      <c r="D1512" t="s">
        <v>23</v>
      </c>
      <c r="E1512" t="s">
        <v>13</v>
      </c>
      <c r="F1512" t="s">
        <v>24</v>
      </c>
      <c r="G1512">
        <v>217</v>
      </c>
      <c r="H1512">
        <v>187.48</v>
      </c>
      <c r="I1512">
        <v>40</v>
      </c>
      <c r="J1512" t="s">
        <v>15</v>
      </c>
      <c r="K1512">
        <v>40683.160000000003</v>
      </c>
      <c r="L1512" t="str">
        <f t="shared" si="92"/>
        <v>Sep</v>
      </c>
      <c r="M1512">
        <f t="shared" si="93"/>
        <v>2025</v>
      </c>
      <c r="N1512">
        <f t="shared" si="94"/>
        <v>40683.159999999996</v>
      </c>
      <c r="O1512" t="str">
        <f t="shared" si="95"/>
        <v>Moderate Delay</v>
      </c>
    </row>
    <row r="1513" spans="1:15" x14ac:dyDescent="0.25">
      <c r="A1513">
        <v>1512</v>
      </c>
      <c r="B1513" s="2">
        <v>45754</v>
      </c>
      <c r="C1513" t="s">
        <v>25</v>
      </c>
      <c r="D1513" t="s">
        <v>17</v>
      </c>
      <c r="E1513" t="s">
        <v>20</v>
      </c>
      <c r="F1513" t="s">
        <v>14</v>
      </c>
      <c r="G1513">
        <v>208</v>
      </c>
      <c r="H1513">
        <v>225.9</v>
      </c>
      <c r="I1513">
        <v>6</v>
      </c>
      <c r="J1513" t="s">
        <v>15</v>
      </c>
      <c r="K1513">
        <v>46987.199999999997</v>
      </c>
      <c r="L1513" t="str">
        <f t="shared" si="92"/>
        <v>Apr</v>
      </c>
      <c r="M1513">
        <f t="shared" si="93"/>
        <v>2025</v>
      </c>
      <c r="N1513">
        <f t="shared" si="94"/>
        <v>46987.200000000004</v>
      </c>
      <c r="O1513" t="str">
        <f t="shared" si="95"/>
        <v>Minor Delay</v>
      </c>
    </row>
    <row r="1514" spans="1:15" x14ac:dyDescent="0.25">
      <c r="A1514">
        <v>1513</v>
      </c>
      <c r="B1514" s="2">
        <v>45964</v>
      </c>
      <c r="C1514" t="s">
        <v>31</v>
      </c>
      <c r="D1514" t="s">
        <v>27</v>
      </c>
      <c r="E1514" t="s">
        <v>12</v>
      </c>
      <c r="F1514" t="s">
        <v>21</v>
      </c>
      <c r="G1514">
        <v>154</v>
      </c>
      <c r="H1514">
        <v>759.66</v>
      </c>
      <c r="I1514">
        <v>11</v>
      </c>
      <c r="J1514" t="s">
        <v>15</v>
      </c>
      <c r="K1514">
        <v>116987.64</v>
      </c>
      <c r="L1514" t="str">
        <f t="shared" si="92"/>
        <v>Nov</v>
      </c>
      <c r="M1514">
        <f t="shared" si="93"/>
        <v>2025</v>
      </c>
      <c r="N1514">
        <f t="shared" si="94"/>
        <v>116987.64</v>
      </c>
      <c r="O1514" t="str">
        <f t="shared" si="95"/>
        <v>Minor Delay</v>
      </c>
    </row>
    <row r="1515" spans="1:15" x14ac:dyDescent="0.25">
      <c r="A1515">
        <v>1514</v>
      </c>
      <c r="B1515" s="2">
        <v>45847</v>
      </c>
      <c r="C1515" t="s">
        <v>16</v>
      </c>
      <c r="D1515" t="s">
        <v>20</v>
      </c>
      <c r="E1515" t="s">
        <v>12</v>
      </c>
      <c r="F1515" t="s">
        <v>21</v>
      </c>
      <c r="G1515">
        <v>203</v>
      </c>
      <c r="H1515">
        <v>713.8</v>
      </c>
      <c r="I1515">
        <v>36</v>
      </c>
      <c r="J1515" t="s">
        <v>15</v>
      </c>
      <c r="K1515">
        <v>144901.4</v>
      </c>
      <c r="L1515" t="str">
        <f t="shared" si="92"/>
        <v>Jul</v>
      </c>
      <c r="M1515">
        <f t="shared" si="93"/>
        <v>2025</v>
      </c>
      <c r="N1515">
        <f t="shared" si="94"/>
        <v>144901.4</v>
      </c>
      <c r="O1515" t="str">
        <f t="shared" si="95"/>
        <v>Moderate Delay</v>
      </c>
    </row>
    <row r="1516" spans="1:15" x14ac:dyDescent="0.25">
      <c r="A1516">
        <v>1515</v>
      </c>
      <c r="B1516" s="2">
        <v>45740</v>
      </c>
      <c r="C1516" t="s">
        <v>18</v>
      </c>
      <c r="D1516" t="s">
        <v>27</v>
      </c>
      <c r="E1516" t="s">
        <v>19</v>
      </c>
      <c r="F1516" t="s">
        <v>24</v>
      </c>
      <c r="G1516">
        <v>235</v>
      </c>
      <c r="H1516">
        <v>707.24</v>
      </c>
      <c r="I1516">
        <v>46</v>
      </c>
      <c r="J1516" t="s">
        <v>30</v>
      </c>
      <c r="K1516">
        <v>166201.4</v>
      </c>
      <c r="L1516" t="str">
        <f t="shared" si="92"/>
        <v>Mar</v>
      </c>
      <c r="M1516">
        <f t="shared" si="93"/>
        <v>2025</v>
      </c>
      <c r="N1516">
        <f t="shared" si="94"/>
        <v>166201.4</v>
      </c>
      <c r="O1516" t="str">
        <f t="shared" si="95"/>
        <v>Moderate Delay</v>
      </c>
    </row>
    <row r="1517" spans="1:15" x14ac:dyDescent="0.25">
      <c r="A1517">
        <v>1516</v>
      </c>
      <c r="B1517" s="2">
        <v>45808</v>
      </c>
      <c r="C1517" t="s">
        <v>16</v>
      </c>
      <c r="D1517" t="s">
        <v>22</v>
      </c>
      <c r="E1517" t="s">
        <v>29</v>
      </c>
      <c r="F1517" t="s">
        <v>14</v>
      </c>
      <c r="G1517">
        <v>102</v>
      </c>
      <c r="H1517">
        <v>487.43</v>
      </c>
      <c r="I1517">
        <v>72</v>
      </c>
      <c r="J1517" t="s">
        <v>15</v>
      </c>
      <c r="K1517">
        <v>49717.86</v>
      </c>
      <c r="L1517" t="str">
        <f t="shared" si="92"/>
        <v>May</v>
      </c>
      <c r="M1517">
        <f t="shared" si="93"/>
        <v>2025</v>
      </c>
      <c r="N1517">
        <f t="shared" si="94"/>
        <v>49717.86</v>
      </c>
      <c r="O1517" t="str">
        <f t="shared" si="95"/>
        <v>Major Delay</v>
      </c>
    </row>
    <row r="1518" spans="1:15" x14ac:dyDescent="0.25">
      <c r="A1518">
        <v>1517</v>
      </c>
      <c r="B1518" s="2">
        <v>45748</v>
      </c>
      <c r="C1518" t="s">
        <v>18</v>
      </c>
      <c r="D1518" t="s">
        <v>20</v>
      </c>
      <c r="E1518" t="s">
        <v>19</v>
      </c>
      <c r="F1518" t="s">
        <v>21</v>
      </c>
      <c r="G1518">
        <v>214</v>
      </c>
      <c r="H1518">
        <v>142.26</v>
      </c>
      <c r="I1518">
        <v>2</v>
      </c>
      <c r="J1518" t="s">
        <v>30</v>
      </c>
      <c r="K1518">
        <v>30443.64</v>
      </c>
      <c r="L1518" t="str">
        <f t="shared" si="92"/>
        <v>Apr</v>
      </c>
      <c r="M1518">
        <f t="shared" si="93"/>
        <v>2025</v>
      </c>
      <c r="N1518">
        <f t="shared" si="94"/>
        <v>30443.64</v>
      </c>
      <c r="O1518" t="str">
        <f t="shared" si="95"/>
        <v>Minor Delay</v>
      </c>
    </row>
    <row r="1519" spans="1:15" x14ac:dyDescent="0.25">
      <c r="A1519">
        <v>1518</v>
      </c>
      <c r="B1519" s="2">
        <v>45894</v>
      </c>
      <c r="C1519" t="s">
        <v>25</v>
      </c>
      <c r="D1519" t="s">
        <v>29</v>
      </c>
      <c r="E1519" t="s">
        <v>23</v>
      </c>
      <c r="F1519" t="s">
        <v>14</v>
      </c>
      <c r="G1519">
        <v>51</v>
      </c>
      <c r="H1519">
        <v>613.97</v>
      </c>
      <c r="I1519">
        <v>6</v>
      </c>
      <c r="J1519" t="s">
        <v>15</v>
      </c>
      <c r="K1519">
        <v>31312.47</v>
      </c>
      <c r="L1519" t="str">
        <f t="shared" si="92"/>
        <v>Aug</v>
      </c>
      <c r="M1519">
        <f t="shared" si="93"/>
        <v>2025</v>
      </c>
      <c r="N1519">
        <f t="shared" si="94"/>
        <v>31312.47</v>
      </c>
      <c r="O1519" t="str">
        <f t="shared" si="95"/>
        <v>Minor Delay</v>
      </c>
    </row>
    <row r="1520" spans="1:15" x14ac:dyDescent="0.25">
      <c r="A1520">
        <v>1519</v>
      </c>
      <c r="B1520" s="2">
        <v>45855</v>
      </c>
      <c r="C1520" t="s">
        <v>16</v>
      </c>
      <c r="D1520" t="s">
        <v>17</v>
      </c>
      <c r="E1520" t="s">
        <v>27</v>
      </c>
      <c r="F1520" t="s">
        <v>24</v>
      </c>
      <c r="G1520">
        <v>295</v>
      </c>
      <c r="H1520">
        <v>252.42</v>
      </c>
      <c r="I1520">
        <v>17</v>
      </c>
      <c r="J1520" t="s">
        <v>15</v>
      </c>
      <c r="K1520">
        <v>74463.899999999994</v>
      </c>
      <c r="L1520" t="str">
        <f t="shared" si="92"/>
        <v>Jul</v>
      </c>
      <c r="M1520">
        <f t="shared" si="93"/>
        <v>2025</v>
      </c>
      <c r="N1520">
        <f t="shared" si="94"/>
        <v>74463.899999999994</v>
      </c>
      <c r="O1520" t="str">
        <f t="shared" si="95"/>
        <v>Minor Delay</v>
      </c>
    </row>
    <row r="1521" spans="1:15" x14ac:dyDescent="0.25">
      <c r="A1521">
        <v>1520</v>
      </c>
      <c r="B1521" s="2">
        <v>45882</v>
      </c>
      <c r="C1521" t="s">
        <v>18</v>
      </c>
      <c r="D1521" t="s">
        <v>27</v>
      </c>
      <c r="E1521" t="s">
        <v>13</v>
      </c>
      <c r="F1521" t="s">
        <v>21</v>
      </c>
      <c r="G1521">
        <v>65</v>
      </c>
      <c r="H1521">
        <v>276.79000000000002</v>
      </c>
      <c r="I1521">
        <v>7</v>
      </c>
      <c r="J1521" t="s">
        <v>15</v>
      </c>
      <c r="K1521">
        <v>17991.349999999999</v>
      </c>
      <c r="L1521" t="str">
        <f t="shared" si="92"/>
        <v>Aug</v>
      </c>
      <c r="M1521">
        <f t="shared" si="93"/>
        <v>2025</v>
      </c>
      <c r="N1521">
        <f t="shared" si="94"/>
        <v>17991.350000000002</v>
      </c>
      <c r="O1521" t="str">
        <f t="shared" si="95"/>
        <v>Minor Delay</v>
      </c>
    </row>
    <row r="1522" spans="1:15" x14ac:dyDescent="0.25">
      <c r="A1522">
        <v>1521</v>
      </c>
      <c r="B1522" s="2">
        <v>45862</v>
      </c>
      <c r="C1522" t="s">
        <v>25</v>
      </c>
      <c r="D1522" t="s">
        <v>13</v>
      </c>
      <c r="E1522" t="s">
        <v>17</v>
      </c>
      <c r="F1522" t="s">
        <v>21</v>
      </c>
      <c r="G1522">
        <v>211</v>
      </c>
      <c r="H1522">
        <v>540.73</v>
      </c>
      <c r="I1522">
        <v>8</v>
      </c>
      <c r="J1522" t="s">
        <v>15</v>
      </c>
      <c r="K1522">
        <v>114094.03</v>
      </c>
      <c r="L1522" t="str">
        <f t="shared" si="92"/>
        <v>Jul</v>
      </c>
      <c r="M1522">
        <f t="shared" si="93"/>
        <v>2025</v>
      </c>
      <c r="N1522">
        <f t="shared" si="94"/>
        <v>114094.03</v>
      </c>
      <c r="O1522" t="str">
        <f t="shared" si="95"/>
        <v>Minor Delay</v>
      </c>
    </row>
    <row r="1523" spans="1:15" x14ac:dyDescent="0.25">
      <c r="A1523">
        <v>1522</v>
      </c>
      <c r="B1523" s="2">
        <v>45744</v>
      </c>
      <c r="C1523" t="s">
        <v>26</v>
      </c>
      <c r="D1523" t="s">
        <v>23</v>
      </c>
      <c r="E1523" t="s">
        <v>12</v>
      </c>
      <c r="F1523" t="s">
        <v>24</v>
      </c>
      <c r="G1523">
        <v>218</v>
      </c>
      <c r="H1523">
        <v>311.48</v>
      </c>
      <c r="I1523">
        <v>25</v>
      </c>
      <c r="J1523" t="s">
        <v>30</v>
      </c>
      <c r="K1523">
        <v>67902.64</v>
      </c>
      <c r="L1523" t="str">
        <f t="shared" si="92"/>
        <v>Mar</v>
      </c>
      <c r="M1523">
        <f t="shared" si="93"/>
        <v>2025</v>
      </c>
      <c r="N1523">
        <f t="shared" si="94"/>
        <v>67902.64</v>
      </c>
      <c r="O1523" t="str">
        <f t="shared" si="95"/>
        <v>Minor Delay</v>
      </c>
    </row>
    <row r="1524" spans="1:15" x14ac:dyDescent="0.25">
      <c r="A1524">
        <v>1523</v>
      </c>
      <c r="B1524" s="2">
        <v>45793</v>
      </c>
      <c r="C1524" t="s">
        <v>16</v>
      </c>
      <c r="D1524" t="s">
        <v>20</v>
      </c>
      <c r="E1524" t="s">
        <v>19</v>
      </c>
      <c r="F1524" t="s">
        <v>24</v>
      </c>
      <c r="G1524">
        <v>214</v>
      </c>
      <c r="H1524">
        <v>573.35</v>
      </c>
      <c r="I1524">
        <v>0</v>
      </c>
      <c r="J1524" t="s">
        <v>15</v>
      </c>
      <c r="K1524">
        <v>122696.9</v>
      </c>
      <c r="L1524" t="str">
        <f t="shared" si="92"/>
        <v>May</v>
      </c>
      <c r="M1524">
        <f t="shared" si="93"/>
        <v>2025</v>
      </c>
      <c r="N1524">
        <f t="shared" si="94"/>
        <v>122696.90000000001</v>
      </c>
      <c r="O1524" t="str">
        <f t="shared" si="95"/>
        <v>On Time</v>
      </c>
    </row>
    <row r="1525" spans="1:15" x14ac:dyDescent="0.25">
      <c r="A1525">
        <v>1524</v>
      </c>
      <c r="B1525" s="2">
        <v>45809</v>
      </c>
      <c r="C1525" t="s">
        <v>25</v>
      </c>
      <c r="D1525" t="s">
        <v>23</v>
      </c>
      <c r="E1525" t="s">
        <v>17</v>
      </c>
      <c r="F1525" t="s">
        <v>24</v>
      </c>
      <c r="G1525">
        <v>134</v>
      </c>
      <c r="H1525">
        <v>642.66</v>
      </c>
      <c r="I1525">
        <v>30</v>
      </c>
      <c r="J1525" t="s">
        <v>15</v>
      </c>
      <c r="K1525">
        <v>86116.44</v>
      </c>
      <c r="L1525" t="str">
        <f t="shared" si="92"/>
        <v>Jun</v>
      </c>
      <c r="M1525">
        <f t="shared" si="93"/>
        <v>2025</v>
      </c>
      <c r="N1525">
        <f t="shared" si="94"/>
        <v>86116.44</v>
      </c>
      <c r="O1525" t="str">
        <f t="shared" si="95"/>
        <v>Minor Delay</v>
      </c>
    </row>
    <row r="1526" spans="1:15" x14ac:dyDescent="0.25">
      <c r="A1526">
        <v>1525</v>
      </c>
      <c r="B1526" s="2">
        <v>45729</v>
      </c>
      <c r="C1526" t="s">
        <v>11</v>
      </c>
      <c r="D1526" t="s">
        <v>23</v>
      </c>
      <c r="E1526" t="s">
        <v>13</v>
      </c>
      <c r="F1526" t="s">
        <v>21</v>
      </c>
      <c r="G1526">
        <v>123</v>
      </c>
      <c r="H1526">
        <v>79.2</v>
      </c>
      <c r="I1526">
        <v>43</v>
      </c>
      <c r="J1526" t="s">
        <v>15</v>
      </c>
      <c r="K1526">
        <v>9741.6</v>
      </c>
      <c r="L1526" t="str">
        <f t="shared" si="92"/>
        <v>Mar</v>
      </c>
      <c r="M1526">
        <f t="shared" si="93"/>
        <v>2025</v>
      </c>
      <c r="N1526">
        <f t="shared" si="94"/>
        <v>9741.6</v>
      </c>
      <c r="O1526" t="str">
        <f t="shared" si="95"/>
        <v>Moderate Delay</v>
      </c>
    </row>
    <row r="1527" spans="1:15" x14ac:dyDescent="0.25">
      <c r="A1527">
        <v>1526</v>
      </c>
      <c r="B1527" s="2">
        <v>45948</v>
      </c>
      <c r="C1527" t="s">
        <v>25</v>
      </c>
      <c r="D1527" t="s">
        <v>23</v>
      </c>
      <c r="E1527" t="s">
        <v>29</v>
      </c>
      <c r="F1527" t="s">
        <v>24</v>
      </c>
      <c r="G1527">
        <v>171</v>
      </c>
      <c r="H1527">
        <v>587.67999999999995</v>
      </c>
      <c r="I1527">
        <v>0</v>
      </c>
      <c r="J1527" t="s">
        <v>15</v>
      </c>
      <c r="K1527">
        <v>100493.28</v>
      </c>
      <c r="L1527" t="str">
        <f t="shared" si="92"/>
        <v>Oct</v>
      </c>
      <c r="M1527">
        <f t="shared" si="93"/>
        <v>2025</v>
      </c>
      <c r="N1527">
        <f t="shared" si="94"/>
        <v>100493.27999999998</v>
      </c>
      <c r="O1527" t="str">
        <f t="shared" si="95"/>
        <v>On Time</v>
      </c>
    </row>
    <row r="1528" spans="1:15" x14ac:dyDescent="0.25">
      <c r="A1528">
        <v>1527</v>
      </c>
      <c r="B1528" s="2">
        <v>45733</v>
      </c>
      <c r="C1528" t="s">
        <v>31</v>
      </c>
      <c r="D1528" t="s">
        <v>29</v>
      </c>
      <c r="E1528" t="s">
        <v>19</v>
      </c>
      <c r="F1528" t="s">
        <v>24</v>
      </c>
      <c r="G1528">
        <v>269</v>
      </c>
      <c r="H1528">
        <v>344.33</v>
      </c>
      <c r="I1528">
        <v>16</v>
      </c>
      <c r="J1528" t="s">
        <v>15</v>
      </c>
      <c r="K1528">
        <v>92624.77</v>
      </c>
      <c r="L1528" t="str">
        <f t="shared" si="92"/>
        <v>Mar</v>
      </c>
      <c r="M1528">
        <f t="shared" si="93"/>
        <v>2025</v>
      </c>
      <c r="N1528">
        <f t="shared" si="94"/>
        <v>92624.76999999999</v>
      </c>
      <c r="O1528" t="str">
        <f t="shared" si="95"/>
        <v>Minor Delay</v>
      </c>
    </row>
    <row r="1529" spans="1:15" x14ac:dyDescent="0.25">
      <c r="A1529">
        <v>1528</v>
      </c>
      <c r="B1529" s="2">
        <v>45957</v>
      </c>
      <c r="C1529" t="s">
        <v>16</v>
      </c>
      <c r="D1529" t="s">
        <v>23</v>
      </c>
      <c r="E1529" t="s">
        <v>29</v>
      </c>
      <c r="F1529" t="s">
        <v>24</v>
      </c>
      <c r="G1529">
        <v>143</v>
      </c>
      <c r="H1529">
        <v>593.64</v>
      </c>
      <c r="I1529">
        <v>15</v>
      </c>
      <c r="J1529" t="s">
        <v>15</v>
      </c>
      <c r="K1529">
        <v>84890.52</v>
      </c>
      <c r="L1529" t="str">
        <f t="shared" si="92"/>
        <v>Oct</v>
      </c>
      <c r="M1529">
        <f t="shared" si="93"/>
        <v>2025</v>
      </c>
      <c r="N1529">
        <f t="shared" si="94"/>
        <v>84890.52</v>
      </c>
      <c r="O1529" t="str">
        <f t="shared" si="95"/>
        <v>Minor Delay</v>
      </c>
    </row>
    <row r="1530" spans="1:15" x14ac:dyDescent="0.25">
      <c r="A1530">
        <v>1529</v>
      </c>
      <c r="B1530" s="2">
        <v>45902</v>
      </c>
      <c r="C1530" t="s">
        <v>31</v>
      </c>
      <c r="D1530" t="s">
        <v>27</v>
      </c>
      <c r="E1530" t="s">
        <v>17</v>
      </c>
      <c r="F1530" t="s">
        <v>14</v>
      </c>
      <c r="G1530">
        <v>298</v>
      </c>
      <c r="H1530">
        <v>314.72000000000003</v>
      </c>
      <c r="I1530">
        <v>47</v>
      </c>
      <c r="J1530" t="s">
        <v>15</v>
      </c>
      <c r="K1530">
        <v>93786.559999999998</v>
      </c>
      <c r="L1530" t="str">
        <f t="shared" si="92"/>
        <v>Sep</v>
      </c>
      <c r="M1530">
        <f t="shared" si="93"/>
        <v>2025</v>
      </c>
      <c r="N1530">
        <f t="shared" si="94"/>
        <v>93786.560000000012</v>
      </c>
      <c r="O1530" t="str">
        <f t="shared" si="95"/>
        <v>Moderate Delay</v>
      </c>
    </row>
    <row r="1531" spans="1:15" x14ac:dyDescent="0.25">
      <c r="A1531">
        <v>1530</v>
      </c>
      <c r="B1531" s="2">
        <v>45906</v>
      </c>
      <c r="C1531" t="s">
        <v>25</v>
      </c>
      <c r="D1531" t="s">
        <v>22</v>
      </c>
      <c r="E1531" t="s">
        <v>20</v>
      </c>
      <c r="F1531" t="s">
        <v>14</v>
      </c>
      <c r="G1531">
        <v>272</v>
      </c>
      <c r="H1531">
        <v>448.68</v>
      </c>
      <c r="I1531">
        <v>60</v>
      </c>
      <c r="J1531" t="s">
        <v>15</v>
      </c>
      <c r="K1531">
        <v>122040.96000000001</v>
      </c>
      <c r="L1531" t="str">
        <f t="shared" si="92"/>
        <v>Sep</v>
      </c>
      <c r="M1531">
        <f t="shared" si="93"/>
        <v>2025</v>
      </c>
      <c r="N1531">
        <f t="shared" si="94"/>
        <v>122040.96000000001</v>
      </c>
      <c r="O1531" t="str">
        <f t="shared" si="95"/>
        <v>Moderate Delay</v>
      </c>
    </row>
    <row r="1532" spans="1:15" x14ac:dyDescent="0.25">
      <c r="A1532">
        <v>1531</v>
      </c>
      <c r="B1532" s="2">
        <v>46000</v>
      </c>
      <c r="C1532" t="s">
        <v>16</v>
      </c>
      <c r="D1532" t="s">
        <v>17</v>
      </c>
      <c r="E1532" t="s">
        <v>13</v>
      </c>
      <c r="F1532" t="s">
        <v>24</v>
      </c>
      <c r="G1532">
        <v>107</v>
      </c>
      <c r="H1532">
        <v>288.89</v>
      </c>
      <c r="I1532">
        <v>23</v>
      </c>
      <c r="J1532" t="s">
        <v>15</v>
      </c>
      <c r="K1532">
        <v>30911.23</v>
      </c>
      <c r="L1532" t="str">
        <f t="shared" si="92"/>
        <v>Dec</v>
      </c>
      <c r="M1532">
        <f t="shared" si="93"/>
        <v>2025</v>
      </c>
      <c r="N1532">
        <f t="shared" si="94"/>
        <v>30911.23</v>
      </c>
      <c r="O1532" t="str">
        <f t="shared" si="95"/>
        <v>Minor Delay</v>
      </c>
    </row>
    <row r="1533" spans="1:15" x14ac:dyDescent="0.25">
      <c r="A1533">
        <v>1532</v>
      </c>
      <c r="B1533" s="2">
        <v>45840</v>
      </c>
      <c r="C1533" t="s">
        <v>18</v>
      </c>
      <c r="D1533" t="s">
        <v>12</v>
      </c>
      <c r="E1533" t="s">
        <v>23</v>
      </c>
      <c r="F1533" t="s">
        <v>24</v>
      </c>
      <c r="G1533">
        <v>195</v>
      </c>
      <c r="H1533">
        <v>735.4</v>
      </c>
      <c r="I1533">
        <v>39</v>
      </c>
      <c r="J1533" t="s">
        <v>30</v>
      </c>
      <c r="K1533">
        <v>143403</v>
      </c>
      <c r="L1533" t="str">
        <f t="shared" si="92"/>
        <v>Jul</v>
      </c>
      <c r="M1533">
        <f t="shared" si="93"/>
        <v>2025</v>
      </c>
      <c r="N1533">
        <f t="shared" si="94"/>
        <v>143403</v>
      </c>
      <c r="O1533" t="str">
        <f t="shared" si="95"/>
        <v>Moderate Delay</v>
      </c>
    </row>
    <row r="1534" spans="1:15" x14ac:dyDescent="0.25">
      <c r="A1534">
        <v>1533</v>
      </c>
      <c r="B1534" s="2">
        <v>45761</v>
      </c>
      <c r="C1534" t="s">
        <v>26</v>
      </c>
      <c r="D1534" t="s">
        <v>27</v>
      </c>
      <c r="E1534" t="s">
        <v>19</v>
      </c>
      <c r="F1534" t="s">
        <v>21</v>
      </c>
      <c r="G1534">
        <v>58</v>
      </c>
      <c r="H1534">
        <v>354.88</v>
      </c>
      <c r="I1534">
        <v>38</v>
      </c>
      <c r="J1534" t="s">
        <v>15</v>
      </c>
      <c r="K1534">
        <v>20583.04</v>
      </c>
      <c r="L1534" t="str">
        <f t="shared" si="92"/>
        <v>Apr</v>
      </c>
      <c r="M1534">
        <f t="shared" si="93"/>
        <v>2025</v>
      </c>
      <c r="N1534">
        <f t="shared" si="94"/>
        <v>20583.04</v>
      </c>
      <c r="O1534" t="str">
        <f t="shared" si="95"/>
        <v>Moderate Delay</v>
      </c>
    </row>
    <row r="1535" spans="1:15" x14ac:dyDescent="0.25">
      <c r="A1535">
        <v>1534</v>
      </c>
      <c r="B1535" s="2">
        <v>45686</v>
      </c>
      <c r="C1535" t="s">
        <v>18</v>
      </c>
      <c r="D1535" t="s">
        <v>27</v>
      </c>
      <c r="E1535" t="s">
        <v>12</v>
      </c>
      <c r="F1535" t="s">
        <v>21</v>
      </c>
      <c r="G1535">
        <v>183</v>
      </c>
      <c r="H1535">
        <v>243.5</v>
      </c>
      <c r="I1535">
        <v>33</v>
      </c>
      <c r="J1535" t="s">
        <v>15</v>
      </c>
      <c r="K1535">
        <v>44560.5</v>
      </c>
      <c r="L1535" t="str">
        <f t="shared" si="92"/>
        <v>Jan</v>
      </c>
      <c r="M1535">
        <f t="shared" si="93"/>
        <v>2025</v>
      </c>
      <c r="N1535">
        <f t="shared" si="94"/>
        <v>44560.5</v>
      </c>
      <c r="O1535" t="str">
        <f t="shared" si="95"/>
        <v>Moderate Delay</v>
      </c>
    </row>
    <row r="1536" spans="1:15" x14ac:dyDescent="0.25">
      <c r="A1536">
        <v>1535</v>
      </c>
      <c r="B1536" s="2">
        <v>45774</v>
      </c>
      <c r="C1536" t="s">
        <v>25</v>
      </c>
      <c r="D1536" t="s">
        <v>29</v>
      </c>
      <c r="E1536" t="s">
        <v>23</v>
      </c>
      <c r="F1536" t="s">
        <v>21</v>
      </c>
      <c r="G1536">
        <v>166</v>
      </c>
      <c r="H1536">
        <v>191.3</v>
      </c>
      <c r="I1536">
        <v>39</v>
      </c>
      <c r="J1536" t="s">
        <v>15</v>
      </c>
      <c r="K1536">
        <v>31755.8</v>
      </c>
      <c r="L1536" t="str">
        <f t="shared" si="92"/>
        <v>Apr</v>
      </c>
      <c r="M1536">
        <f t="shared" si="93"/>
        <v>2025</v>
      </c>
      <c r="N1536">
        <f t="shared" si="94"/>
        <v>31755.800000000003</v>
      </c>
      <c r="O1536" t="str">
        <f t="shared" si="95"/>
        <v>Moderate Delay</v>
      </c>
    </row>
    <row r="1537" spans="1:15" x14ac:dyDescent="0.25">
      <c r="A1537">
        <v>1536</v>
      </c>
      <c r="B1537" s="2">
        <v>45725</v>
      </c>
      <c r="C1537" t="s">
        <v>31</v>
      </c>
      <c r="D1537" t="s">
        <v>19</v>
      </c>
      <c r="E1537" t="s">
        <v>12</v>
      </c>
      <c r="F1537" t="s">
        <v>24</v>
      </c>
      <c r="G1537">
        <v>65</v>
      </c>
      <c r="H1537">
        <v>213.72</v>
      </c>
      <c r="I1537">
        <v>17</v>
      </c>
      <c r="J1537" t="s">
        <v>15</v>
      </c>
      <c r="K1537">
        <v>13891.8</v>
      </c>
      <c r="L1537" t="str">
        <f t="shared" si="92"/>
        <v>Mar</v>
      </c>
      <c r="M1537">
        <f t="shared" si="93"/>
        <v>2025</v>
      </c>
      <c r="N1537">
        <f t="shared" si="94"/>
        <v>13891.8</v>
      </c>
      <c r="O1537" t="str">
        <f t="shared" si="95"/>
        <v>Minor Delay</v>
      </c>
    </row>
    <row r="1538" spans="1:15" x14ac:dyDescent="0.25">
      <c r="A1538">
        <v>1537</v>
      </c>
      <c r="B1538" s="2">
        <v>45708</v>
      </c>
      <c r="C1538" t="s">
        <v>31</v>
      </c>
      <c r="D1538" t="s">
        <v>20</v>
      </c>
      <c r="E1538" t="s">
        <v>27</v>
      </c>
      <c r="F1538" t="s">
        <v>14</v>
      </c>
      <c r="G1538">
        <v>131</v>
      </c>
      <c r="H1538">
        <v>644.61</v>
      </c>
      <c r="I1538">
        <v>45</v>
      </c>
      <c r="J1538" t="s">
        <v>15</v>
      </c>
      <c r="K1538">
        <v>84443.91</v>
      </c>
      <c r="L1538" t="str">
        <f t="shared" si="92"/>
        <v>Feb</v>
      </c>
      <c r="M1538">
        <f t="shared" si="93"/>
        <v>2025</v>
      </c>
      <c r="N1538">
        <f t="shared" si="94"/>
        <v>84443.91</v>
      </c>
      <c r="O1538" t="str">
        <f t="shared" si="95"/>
        <v>Moderate Delay</v>
      </c>
    </row>
    <row r="1539" spans="1:15" x14ac:dyDescent="0.25">
      <c r="A1539">
        <v>1538</v>
      </c>
      <c r="B1539" s="2">
        <v>45709</v>
      </c>
      <c r="C1539" t="s">
        <v>31</v>
      </c>
      <c r="D1539" t="s">
        <v>20</v>
      </c>
      <c r="E1539" t="s">
        <v>19</v>
      </c>
      <c r="F1539" t="s">
        <v>21</v>
      </c>
      <c r="G1539">
        <v>105</v>
      </c>
      <c r="H1539">
        <v>502.74</v>
      </c>
      <c r="I1539">
        <v>32</v>
      </c>
      <c r="J1539" t="s">
        <v>15</v>
      </c>
      <c r="K1539">
        <v>52787.7</v>
      </c>
      <c r="L1539" t="str">
        <f t="shared" ref="L1539:L1602" si="96">TEXT(B1539,"MMM")</f>
        <v>Feb</v>
      </c>
      <c r="M1539">
        <f t="shared" ref="M1539:M1602" si="97">YEAR(B1539)</f>
        <v>2025</v>
      </c>
      <c r="N1539">
        <f t="shared" ref="N1539:N1602" si="98">G1539*H1539</f>
        <v>52787.700000000004</v>
      </c>
      <c r="O1539" t="str">
        <f t="shared" ref="O1539:O1602" si="99">IF(I1539=0,"On Time",IF(I1539&lt;=30,"Minor Delay",IF(I1539&lt;=60,"Moderate Delay","Major Delay")))</f>
        <v>Moderate Delay</v>
      </c>
    </row>
    <row r="1540" spans="1:15" x14ac:dyDescent="0.25">
      <c r="A1540">
        <v>1539</v>
      </c>
      <c r="B1540" s="2">
        <v>45715</v>
      </c>
      <c r="C1540" t="s">
        <v>25</v>
      </c>
      <c r="D1540" t="s">
        <v>13</v>
      </c>
      <c r="E1540" t="s">
        <v>20</v>
      </c>
      <c r="F1540" t="s">
        <v>24</v>
      </c>
      <c r="G1540">
        <v>249</v>
      </c>
      <c r="H1540">
        <v>535.54</v>
      </c>
      <c r="I1540">
        <v>0</v>
      </c>
      <c r="J1540" t="s">
        <v>15</v>
      </c>
      <c r="K1540">
        <v>133349.46</v>
      </c>
      <c r="L1540" t="str">
        <f t="shared" si="96"/>
        <v>Feb</v>
      </c>
      <c r="M1540">
        <f t="shared" si="97"/>
        <v>2025</v>
      </c>
      <c r="N1540">
        <f t="shared" si="98"/>
        <v>133349.46</v>
      </c>
      <c r="O1540" t="str">
        <f t="shared" si="99"/>
        <v>On Time</v>
      </c>
    </row>
    <row r="1541" spans="1:15" x14ac:dyDescent="0.25">
      <c r="A1541">
        <v>1540</v>
      </c>
      <c r="B1541" s="2">
        <v>45866</v>
      </c>
      <c r="C1541" t="s">
        <v>31</v>
      </c>
      <c r="D1541" t="s">
        <v>13</v>
      </c>
      <c r="E1541" t="s">
        <v>22</v>
      </c>
      <c r="F1541" t="s">
        <v>24</v>
      </c>
      <c r="G1541">
        <v>176</v>
      </c>
      <c r="H1541">
        <v>527.03</v>
      </c>
      <c r="I1541">
        <v>1</v>
      </c>
      <c r="J1541" t="s">
        <v>15</v>
      </c>
      <c r="K1541">
        <v>92757.28</v>
      </c>
      <c r="L1541" t="str">
        <f t="shared" si="96"/>
        <v>Jul</v>
      </c>
      <c r="M1541">
        <f t="shared" si="97"/>
        <v>2025</v>
      </c>
      <c r="N1541">
        <f t="shared" si="98"/>
        <v>92757.28</v>
      </c>
      <c r="O1541" t="str">
        <f t="shared" si="99"/>
        <v>Minor Delay</v>
      </c>
    </row>
    <row r="1542" spans="1:15" x14ac:dyDescent="0.25">
      <c r="A1542">
        <v>1541</v>
      </c>
      <c r="B1542" s="2">
        <v>45988</v>
      </c>
      <c r="C1542" t="s">
        <v>26</v>
      </c>
      <c r="D1542" t="s">
        <v>20</v>
      </c>
      <c r="E1542" t="s">
        <v>23</v>
      </c>
      <c r="F1542" t="s">
        <v>24</v>
      </c>
      <c r="G1542">
        <v>272</v>
      </c>
      <c r="H1542">
        <v>453.82</v>
      </c>
      <c r="I1542">
        <v>0</v>
      </c>
      <c r="J1542" t="s">
        <v>15</v>
      </c>
      <c r="K1542">
        <v>123439.03999999999</v>
      </c>
      <c r="L1542" t="str">
        <f t="shared" si="96"/>
        <v>Nov</v>
      </c>
      <c r="M1542">
        <f t="shared" si="97"/>
        <v>2025</v>
      </c>
      <c r="N1542">
        <f t="shared" si="98"/>
        <v>123439.03999999999</v>
      </c>
      <c r="O1542" t="str">
        <f t="shared" si="99"/>
        <v>On Time</v>
      </c>
    </row>
    <row r="1543" spans="1:15" x14ac:dyDescent="0.25">
      <c r="A1543">
        <v>1542</v>
      </c>
      <c r="B1543" s="2">
        <v>45751</v>
      </c>
      <c r="C1543" t="s">
        <v>18</v>
      </c>
      <c r="D1543" t="s">
        <v>20</v>
      </c>
      <c r="E1543" t="s">
        <v>12</v>
      </c>
      <c r="F1543" t="s">
        <v>14</v>
      </c>
      <c r="G1543">
        <v>131</v>
      </c>
      <c r="H1543">
        <v>721.09</v>
      </c>
      <c r="I1543">
        <v>51</v>
      </c>
      <c r="J1543" t="s">
        <v>15</v>
      </c>
      <c r="K1543">
        <v>94462.79</v>
      </c>
      <c r="L1543" t="str">
        <f t="shared" si="96"/>
        <v>Apr</v>
      </c>
      <c r="M1543">
        <f t="shared" si="97"/>
        <v>2025</v>
      </c>
      <c r="N1543">
        <f t="shared" si="98"/>
        <v>94462.790000000008</v>
      </c>
      <c r="O1543" t="str">
        <f t="shared" si="99"/>
        <v>Moderate Delay</v>
      </c>
    </row>
    <row r="1544" spans="1:15" x14ac:dyDescent="0.25">
      <c r="A1544">
        <v>1543</v>
      </c>
      <c r="B1544" s="2">
        <v>45749</v>
      </c>
      <c r="C1544" t="s">
        <v>16</v>
      </c>
      <c r="D1544" t="s">
        <v>20</v>
      </c>
      <c r="E1544" t="s">
        <v>29</v>
      </c>
      <c r="F1544" t="s">
        <v>24</v>
      </c>
      <c r="G1544">
        <v>222</v>
      </c>
      <c r="H1544">
        <v>285.43</v>
      </c>
      <c r="I1544">
        <v>44</v>
      </c>
      <c r="J1544" t="s">
        <v>15</v>
      </c>
      <c r="K1544">
        <v>63365.46</v>
      </c>
      <c r="L1544" t="str">
        <f t="shared" si="96"/>
        <v>Apr</v>
      </c>
      <c r="M1544">
        <f t="shared" si="97"/>
        <v>2025</v>
      </c>
      <c r="N1544">
        <f t="shared" si="98"/>
        <v>63365.46</v>
      </c>
      <c r="O1544" t="str">
        <f t="shared" si="99"/>
        <v>Moderate Delay</v>
      </c>
    </row>
    <row r="1545" spans="1:15" x14ac:dyDescent="0.25">
      <c r="A1545">
        <v>1544</v>
      </c>
      <c r="B1545" s="2">
        <v>45757</v>
      </c>
      <c r="C1545" t="s">
        <v>16</v>
      </c>
      <c r="D1545" t="s">
        <v>27</v>
      </c>
      <c r="E1545" t="s">
        <v>29</v>
      </c>
      <c r="F1545" t="s">
        <v>14</v>
      </c>
      <c r="G1545">
        <v>104</v>
      </c>
      <c r="H1545">
        <v>287.33</v>
      </c>
      <c r="I1545">
        <v>7</v>
      </c>
      <c r="J1545" t="s">
        <v>15</v>
      </c>
      <c r="K1545">
        <v>29882.32</v>
      </c>
      <c r="L1545" t="str">
        <f t="shared" si="96"/>
        <v>Apr</v>
      </c>
      <c r="M1545">
        <f t="shared" si="97"/>
        <v>2025</v>
      </c>
      <c r="N1545">
        <f t="shared" si="98"/>
        <v>29882.32</v>
      </c>
      <c r="O1545" t="str">
        <f t="shared" si="99"/>
        <v>Minor Delay</v>
      </c>
    </row>
    <row r="1546" spans="1:15" x14ac:dyDescent="0.25">
      <c r="A1546">
        <v>1545</v>
      </c>
      <c r="B1546" s="2">
        <v>45710</v>
      </c>
      <c r="C1546" t="s">
        <v>25</v>
      </c>
      <c r="D1546" t="s">
        <v>27</v>
      </c>
      <c r="E1546" t="s">
        <v>20</v>
      </c>
      <c r="F1546" t="s">
        <v>24</v>
      </c>
      <c r="G1546">
        <v>287</v>
      </c>
      <c r="H1546">
        <v>511.05</v>
      </c>
      <c r="I1546">
        <v>6</v>
      </c>
      <c r="J1546" t="s">
        <v>15</v>
      </c>
      <c r="K1546">
        <v>146671.35</v>
      </c>
      <c r="L1546" t="str">
        <f t="shared" si="96"/>
        <v>Feb</v>
      </c>
      <c r="M1546">
        <f t="shared" si="97"/>
        <v>2025</v>
      </c>
      <c r="N1546">
        <f t="shared" si="98"/>
        <v>146671.35</v>
      </c>
      <c r="O1546" t="str">
        <f t="shared" si="99"/>
        <v>Minor Delay</v>
      </c>
    </row>
    <row r="1547" spans="1:15" x14ac:dyDescent="0.25">
      <c r="A1547">
        <v>1546</v>
      </c>
      <c r="B1547" s="2">
        <v>45738</v>
      </c>
      <c r="C1547" t="s">
        <v>31</v>
      </c>
      <c r="D1547" t="s">
        <v>17</v>
      </c>
      <c r="E1547" t="s">
        <v>29</v>
      </c>
      <c r="F1547" t="s">
        <v>21</v>
      </c>
      <c r="G1547">
        <v>90</v>
      </c>
      <c r="H1547">
        <v>301</v>
      </c>
      <c r="I1547">
        <v>13</v>
      </c>
      <c r="J1547" t="s">
        <v>15</v>
      </c>
      <c r="K1547">
        <v>27090</v>
      </c>
      <c r="L1547" t="str">
        <f t="shared" si="96"/>
        <v>Mar</v>
      </c>
      <c r="M1547">
        <f t="shared" si="97"/>
        <v>2025</v>
      </c>
      <c r="N1547">
        <f t="shared" si="98"/>
        <v>27090</v>
      </c>
      <c r="O1547" t="str">
        <f t="shared" si="99"/>
        <v>Minor Delay</v>
      </c>
    </row>
    <row r="1548" spans="1:15" x14ac:dyDescent="0.25">
      <c r="A1548">
        <v>1547</v>
      </c>
      <c r="B1548" s="2">
        <v>45795</v>
      </c>
      <c r="C1548" t="s">
        <v>11</v>
      </c>
      <c r="D1548" t="s">
        <v>20</v>
      </c>
      <c r="E1548" t="s">
        <v>17</v>
      </c>
      <c r="F1548" t="s">
        <v>24</v>
      </c>
      <c r="G1548">
        <v>170</v>
      </c>
      <c r="H1548">
        <v>751.4</v>
      </c>
      <c r="I1548">
        <v>32</v>
      </c>
      <c r="J1548" t="s">
        <v>15</v>
      </c>
      <c r="K1548">
        <v>127738</v>
      </c>
      <c r="L1548" t="str">
        <f t="shared" si="96"/>
        <v>May</v>
      </c>
      <c r="M1548">
        <f t="shared" si="97"/>
        <v>2025</v>
      </c>
      <c r="N1548">
        <f t="shared" si="98"/>
        <v>127738</v>
      </c>
      <c r="O1548" t="str">
        <f t="shared" si="99"/>
        <v>Moderate Delay</v>
      </c>
    </row>
    <row r="1549" spans="1:15" x14ac:dyDescent="0.25">
      <c r="A1549">
        <v>1548</v>
      </c>
      <c r="B1549" s="2">
        <v>45888</v>
      </c>
      <c r="C1549" t="s">
        <v>26</v>
      </c>
      <c r="D1549" t="s">
        <v>22</v>
      </c>
      <c r="E1549" t="s">
        <v>17</v>
      </c>
      <c r="F1549" t="s">
        <v>24</v>
      </c>
      <c r="G1549">
        <v>194</v>
      </c>
      <c r="H1549">
        <v>351.22</v>
      </c>
      <c r="I1549">
        <v>0</v>
      </c>
      <c r="J1549" t="s">
        <v>15</v>
      </c>
      <c r="K1549">
        <v>68136.679999999993</v>
      </c>
      <c r="L1549" t="str">
        <f t="shared" si="96"/>
        <v>Aug</v>
      </c>
      <c r="M1549">
        <f t="shared" si="97"/>
        <v>2025</v>
      </c>
      <c r="N1549">
        <f t="shared" si="98"/>
        <v>68136.680000000008</v>
      </c>
      <c r="O1549" t="str">
        <f t="shared" si="99"/>
        <v>On Time</v>
      </c>
    </row>
    <row r="1550" spans="1:15" x14ac:dyDescent="0.25">
      <c r="A1550">
        <v>1549</v>
      </c>
      <c r="B1550" s="2">
        <v>45867</v>
      </c>
      <c r="C1550" t="s">
        <v>26</v>
      </c>
      <c r="D1550" t="s">
        <v>17</v>
      </c>
      <c r="E1550" t="s">
        <v>13</v>
      </c>
      <c r="F1550" t="s">
        <v>21</v>
      </c>
      <c r="G1550">
        <v>256</v>
      </c>
      <c r="H1550">
        <v>163.55000000000001</v>
      </c>
      <c r="I1550">
        <v>0</v>
      </c>
      <c r="J1550" t="s">
        <v>30</v>
      </c>
      <c r="K1550">
        <v>41868.800000000003</v>
      </c>
      <c r="L1550" t="str">
        <f t="shared" si="96"/>
        <v>Jul</v>
      </c>
      <c r="M1550">
        <f t="shared" si="97"/>
        <v>2025</v>
      </c>
      <c r="N1550">
        <f t="shared" si="98"/>
        <v>41868.800000000003</v>
      </c>
      <c r="O1550" t="str">
        <f t="shared" si="99"/>
        <v>On Time</v>
      </c>
    </row>
    <row r="1551" spans="1:15" x14ac:dyDescent="0.25">
      <c r="A1551">
        <v>1550</v>
      </c>
      <c r="B1551" s="2">
        <v>45996</v>
      </c>
      <c r="C1551" t="s">
        <v>25</v>
      </c>
      <c r="D1551" t="s">
        <v>19</v>
      </c>
      <c r="E1551" t="s">
        <v>23</v>
      </c>
      <c r="F1551" t="s">
        <v>24</v>
      </c>
      <c r="G1551">
        <v>125</v>
      </c>
      <c r="H1551">
        <v>676.09</v>
      </c>
      <c r="I1551">
        <v>25</v>
      </c>
      <c r="J1551" t="s">
        <v>15</v>
      </c>
      <c r="K1551">
        <v>84511.25</v>
      </c>
      <c r="L1551" t="str">
        <f t="shared" si="96"/>
        <v>Dec</v>
      </c>
      <c r="M1551">
        <f t="shared" si="97"/>
        <v>2025</v>
      </c>
      <c r="N1551">
        <f t="shared" si="98"/>
        <v>84511.25</v>
      </c>
      <c r="O1551" t="str">
        <f t="shared" si="99"/>
        <v>Minor Delay</v>
      </c>
    </row>
    <row r="1552" spans="1:15" x14ac:dyDescent="0.25">
      <c r="A1552">
        <v>1551</v>
      </c>
      <c r="B1552" s="2">
        <v>45824</v>
      </c>
      <c r="C1552" t="s">
        <v>31</v>
      </c>
      <c r="D1552" t="s">
        <v>17</v>
      </c>
      <c r="E1552" t="s">
        <v>20</v>
      </c>
      <c r="F1552" t="s">
        <v>21</v>
      </c>
      <c r="G1552">
        <v>239</v>
      </c>
      <c r="H1552">
        <v>207.59</v>
      </c>
      <c r="I1552">
        <v>26</v>
      </c>
      <c r="J1552" t="s">
        <v>30</v>
      </c>
      <c r="K1552">
        <v>49614.01</v>
      </c>
      <c r="L1552" t="str">
        <f t="shared" si="96"/>
        <v>Jun</v>
      </c>
      <c r="M1552">
        <f t="shared" si="97"/>
        <v>2025</v>
      </c>
      <c r="N1552">
        <f t="shared" si="98"/>
        <v>49614.01</v>
      </c>
      <c r="O1552" t="str">
        <f t="shared" si="99"/>
        <v>Minor Delay</v>
      </c>
    </row>
    <row r="1553" spans="1:15" x14ac:dyDescent="0.25">
      <c r="A1553">
        <v>1552</v>
      </c>
      <c r="B1553" s="2">
        <v>45782</v>
      </c>
      <c r="C1553" t="s">
        <v>11</v>
      </c>
      <c r="D1553" t="s">
        <v>12</v>
      </c>
      <c r="E1553" t="s">
        <v>29</v>
      </c>
      <c r="F1553" t="s">
        <v>24</v>
      </c>
      <c r="G1553">
        <v>235</v>
      </c>
      <c r="H1553">
        <v>414.97</v>
      </c>
      <c r="I1553">
        <v>48</v>
      </c>
      <c r="J1553" t="s">
        <v>15</v>
      </c>
      <c r="K1553">
        <v>97517.95</v>
      </c>
      <c r="L1553" t="str">
        <f t="shared" si="96"/>
        <v>May</v>
      </c>
      <c r="M1553">
        <f t="shared" si="97"/>
        <v>2025</v>
      </c>
      <c r="N1553">
        <f t="shared" si="98"/>
        <v>97517.950000000012</v>
      </c>
      <c r="O1553" t="str">
        <f t="shared" si="99"/>
        <v>Moderate Delay</v>
      </c>
    </row>
    <row r="1554" spans="1:15" x14ac:dyDescent="0.25">
      <c r="A1554">
        <v>1553</v>
      </c>
      <c r="B1554" s="2">
        <v>45995</v>
      </c>
      <c r="C1554" t="s">
        <v>18</v>
      </c>
      <c r="D1554" t="s">
        <v>20</v>
      </c>
      <c r="E1554" t="s">
        <v>13</v>
      </c>
      <c r="F1554" t="s">
        <v>21</v>
      </c>
      <c r="G1554">
        <v>295</v>
      </c>
      <c r="H1554">
        <v>732.58</v>
      </c>
      <c r="I1554">
        <v>0</v>
      </c>
      <c r="J1554" t="s">
        <v>15</v>
      </c>
      <c r="K1554">
        <v>216111.1</v>
      </c>
      <c r="L1554" t="str">
        <f t="shared" si="96"/>
        <v>Dec</v>
      </c>
      <c r="M1554">
        <f t="shared" si="97"/>
        <v>2025</v>
      </c>
      <c r="N1554">
        <f t="shared" si="98"/>
        <v>216111.1</v>
      </c>
      <c r="O1554" t="str">
        <f t="shared" si="99"/>
        <v>On Time</v>
      </c>
    </row>
    <row r="1555" spans="1:15" x14ac:dyDescent="0.25">
      <c r="A1555">
        <v>1554</v>
      </c>
      <c r="B1555" s="2">
        <v>45709</v>
      </c>
      <c r="C1555" t="s">
        <v>16</v>
      </c>
      <c r="D1555" t="s">
        <v>17</v>
      </c>
      <c r="E1555" t="s">
        <v>13</v>
      </c>
      <c r="F1555" t="s">
        <v>21</v>
      </c>
      <c r="G1555">
        <v>137</v>
      </c>
      <c r="H1555">
        <v>264.27</v>
      </c>
      <c r="I1555">
        <v>21</v>
      </c>
      <c r="J1555" t="s">
        <v>15</v>
      </c>
      <c r="K1555">
        <v>36204.99</v>
      </c>
      <c r="L1555" t="str">
        <f t="shared" si="96"/>
        <v>Feb</v>
      </c>
      <c r="M1555">
        <f t="shared" si="97"/>
        <v>2025</v>
      </c>
      <c r="N1555">
        <f t="shared" si="98"/>
        <v>36204.99</v>
      </c>
      <c r="O1555" t="str">
        <f t="shared" si="99"/>
        <v>Minor Delay</v>
      </c>
    </row>
    <row r="1556" spans="1:15" x14ac:dyDescent="0.25">
      <c r="A1556">
        <v>1555</v>
      </c>
      <c r="B1556" s="2">
        <v>45899</v>
      </c>
      <c r="C1556" t="s">
        <v>11</v>
      </c>
      <c r="D1556" t="s">
        <v>23</v>
      </c>
      <c r="E1556" t="s">
        <v>12</v>
      </c>
      <c r="F1556" t="s">
        <v>21</v>
      </c>
      <c r="G1556">
        <v>68</v>
      </c>
      <c r="H1556">
        <v>300.16000000000003</v>
      </c>
      <c r="I1556">
        <v>24</v>
      </c>
      <c r="J1556" t="s">
        <v>15</v>
      </c>
      <c r="K1556">
        <v>20410.88</v>
      </c>
      <c r="L1556" t="str">
        <f t="shared" si="96"/>
        <v>Aug</v>
      </c>
      <c r="M1556">
        <f t="shared" si="97"/>
        <v>2025</v>
      </c>
      <c r="N1556">
        <f t="shared" si="98"/>
        <v>20410.88</v>
      </c>
      <c r="O1556" t="str">
        <f t="shared" si="99"/>
        <v>Minor Delay</v>
      </c>
    </row>
    <row r="1557" spans="1:15" x14ac:dyDescent="0.25">
      <c r="A1557">
        <v>1556</v>
      </c>
      <c r="B1557" s="2">
        <v>45951</v>
      </c>
      <c r="C1557" t="s">
        <v>11</v>
      </c>
      <c r="D1557" t="s">
        <v>29</v>
      </c>
      <c r="E1557" t="s">
        <v>22</v>
      </c>
      <c r="F1557" t="s">
        <v>21</v>
      </c>
      <c r="G1557">
        <v>72</v>
      </c>
      <c r="H1557">
        <v>384.31</v>
      </c>
      <c r="I1557">
        <v>0</v>
      </c>
      <c r="J1557" t="s">
        <v>15</v>
      </c>
      <c r="K1557">
        <v>27670.32</v>
      </c>
      <c r="L1557" t="str">
        <f t="shared" si="96"/>
        <v>Oct</v>
      </c>
      <c r="M1557">
        <f t="shared" si="97"/>
        <v>2025</v>
      </c>
      <c r="N1557">
        <f t="shared" si="98"/>
        <v>27670.32</v>
      </c>
      <c r="O1557" t="str">
        <f t="shared" si="99"/>
        <v>On Time</v>
      </c>
    </row>
    <row r="1558" spans="1:15" x14ac:dyDescent="0.25">
      <c r="A1558">
        <v>1557</v>
      </c>
      <c r="B1558" s="2">
        <v>45943</v>
      </c>
      <c r="C1558" t="s">
        <v>31</v>
      </c>
      <c r="D1558" t="s">
        <v>27</v>
      </c>
      <c r="E1558" t="s">
        <v>23</v>
      </c>
      <c r="F1558" t="s">
        <v>24</v>
      </c>
      <c r="G1558">
        <v>226</v>
      </c>
      <c r="H1558">
        <v>76.17</v>
      </c>
      <c r="I1558">
        <v>21</v>
      </c>
      <c r="J1558" t="s">
        <v>15</v>
      </c>
      <c r="K1558">
        <v>17214.419999999998</v>
      </c>
      <c r="L1558" t="str">
        <f t="shared" si="96"/>
        <v>Oct</v>
      </c>
      <c r="M1558">
        <f t="shared" si="97"/>
        <v>2025</v>
      </c>
      <c r="N1558">
        <f t="shared" si="98"/>
        <v>17214.420000000002</v>
      </c>
      <c r="O1558" t="str">
        <f t="shared" si="99"/>
        <v>Minor Delay</v>
      </c>
    </row>
    <row r="1559" spans="1:15" x14ac:dyDescent="0.25">
      <c r="A1559">
        <v>1558</v>
      </c>
      <c r="B1559" s="2">
        <v>45886</v>
      </c>
      <c r="C1559" t="s">
        <v>25</v>
      </c>
      <c r="D1559" t="s">
        <v>22</v>
      </c>
      <c r="E1559" t="s">
        <v>17</v>
      </c>
      <c r="F1559" t="s">
        <v>14</v>
      </c>
      <c r="G1559">
        <v>97</v>
      </c>
      <c r="H1559">
        <v>297.74</v>
      </c>
      <c r="I1559">
        <v>10</v>
      </c>
      <c r="J1559" t="s">
        <v>15</v>
      </c>
      <c r="K1559">
        <v>28880.78</v>
      </c>
      <c r="L1559" t="str">
        <f t="shared" si="96"/>
        <v>Aug</v>
      </c>
      <c r="M1559">
        <f t="shared" si="97"/>
        <v>2025</v>
      </c>
      <c r="N1559">
        <f t="shared" si="98"/>
        <v>28880.780000000002</v>
      </c>
      <c r="O1559" t="str">
        <f t="shared" si="99"/>
        <v>Minor Delay</v>
      </c>
    </row>
    <row r="1560" spans="1:15" x14ac:dyDescent="0.25">
      <c r="A1560">
        <v>1559</v>
      </c>
      <c r="B1560" s="2">
        <v>45759</v>
      </c>
      <c r="C1560" t="s">
        <v>25</v>
      </c>
      <c r="D1560" t="s">
        <v>22</v>
      </c>
      <c r="E1560" t="s">
        <v>17</v>
      </c>
      <c r="F1560" t="s">
        <v>21</v>
      </c>
      <c r="G1560">
        <v>116</v>
      </c>
      <c r="H1560">
        <v>248.96</v>
      </c>
      <c r="I1560">
        <v>19</v>
      </c>
      <c r="J1560" t="s">
        <v>15</v>
      </c>
      <c r="K1560">
        <v>28879.360000000001</v>
      </c>
      <c r="L1560" t="str">
        <f t="shared" si="96"/>
        <v>Apr</v>
      </c>
      <c r="M1560">
        <f t="shared" si="97"/>
        <v>2025</v>
      </c>
      <c r="N1560">
        <f t="shared" si="98"/>
        <v>28879.360000000001</v>
      </c>
      <c r="O1560" t="str">
        <f t="shared" si="99"/>
        <v>Minor Delay</v>
      </c>
    </row>
    <row r="1561" spans="1:15" x14ac:dyDescent="0.25">
      <c r="A1561">
        <v>1560</v>
      </c>
      <c r="B1561" s="2">
        <v>45860</v>
      </c>
      <c r="C1561" t="s">
        <v>18</v>
      </c>
      <c r="D1561" t="s">
        <v>17</v>
      </c>
      <c r="E1561" t="s">
        <v>20</v>
      </c>
      <c r="F1561" t="s">
        <v>14</v>
      </c>
      <c r="G1561">
        <v>262</v>
      </c>
      <c r="H1561">
        <v>451.01</v>
      </c>
      <c r="I1561">
        <v>14</v>
      </c>
      <c r="J1561" t="s">
        <v>30</v>
      </c>
      <c r="K1561">
        <v>118164.62</v>
      </c>
      <c r="L1561" t="str">
        <f t="shared" si="96"/>
        <v>Jul</v>
      </c>
      <c r="M1561">
        <f t="shared" si="97"/>
        <v>2025</v>
      </c>
      <c r="N1561">
        <f t="shared" si="98"/>
        <v>118164.62</v>
      </c>
      <c r="O1561" t="str">
        <f t="shared" si="99"/>
        <v>Minor Delay</v>
      </c>
    </row>
    <row r="1562" spans="1:15" x14ac:dyDescent="0.25">
      <c r="A1562">
        <v>1561</v>
      </c>
      <c r="B1562" s="2">
        <v>45666</v>
      </c>
      <c r="C1562" t="s">
        <v>31</v>
      </c>
      <c r="D1562" t="s">
        <v>27</v>
      </c>
      <c r="E1562" t="s">
        <v>22</v>
      </c>
      <c r="F1562" t="s">
        <v>24</v>
      </c>
      <c r="G1562">
        <v>58</v>
      </c>
      <c r="H1562">
        <v>770.24</v>
      </c>
      <c r="I1562">
        <v>35</v>
      </c>
      <c r="J1562" t="s">
        <v>15</v>
      </c>
      <c r="K1562">
        <v>44673.919999999998</v>
      </c>
      <c r="L1562" t="str">
        <f t="shared" si="96"/>
        <v>Jan</v>
      </c>
      <c r="M1562">
        <f t="shared" si="97"/>
        <v>2025</v>
      </c>
      <c r="N1562">
        <f t="shared" si="98"/>
        <v>44673.919999999998</v>
      </c>
      <c r="O1562" t="str">
        <f t="shared" si="99"/>
        <v>Moderate Delay</v>
      </c>
    </row>
    <row r="1563" spans="1:15" x14ac:dyDescent="0.25">
      <c r="A1563">
        <v>1562</v>
      </c>
      <c r="B1563" s="2">
        <v>45982</v>
      </c>
      <c r="C1563" t="s">
        <v>16</v>
      </c>
      <c r="D1563" t="s">
        <v>23</v>
      </c>
      <c r="E1563" t="s">
        <v>17</v>
      </c>
      <c r="F1563" t="s">
        <v>21</v>
      </c>
      <c r="G1563">
        <v>69</v>
      </c>
      <c r="H1563">
        <v>478.33</v>
      </c>
      <c r="I1563">
        <v>4</v>
      </c>
      <c r="J1563" t="s">
        <v>30</v>
      </c>
      <c r="K1563">
        <v>33004.769999999997</v>
      </c>
      <c r="L1563" t="str">
        <f t="shared" si="96"/>
        <v>Nov</v>
      </c>
      <c r="M1563">
        <f t="shared" si="97"/>
        <v>2025</v>
      </c>
      <c r="N1563">
        <f t="shared" si="98"/>
        <v>33004.769999999997</v>
      </c>
      <c r="O1563" t="str">
        <f t="shared" si="99"/>
        <v>Minor Delay</v>
      </c>
    </row>
    <row r="1564" spans="1:15" x14ac:dyDescent="0.25">
      <c r="A1564">
        <v>1563</v>
      </c>
      <c r="B1564" s="2">
        <v>45920</v>
      </c>
      <c r="C1564" t="s">
        <v>16</v>
      </c>
      <c r="D1564" t="s">
        <v>12</v>
      </c>
      <c r="E1564" t="s">
        <v>19</v>
      </c>
      <c r="F1564" t="s">
        <v>21</v>
      </c>
      <c r="G1564">
        <v>286</v>
      </c>
      <c r="H1564">
        <v>406.65</v>
      </c>
      <c r="I1564">
        <v>10</v>
      </c>
      <c r="J1564" t="s">
        <v>15</v>
      </c>
      <c r="K1564">
        <v>116301.9</v>
      </c>
      <c r="L1564" t="str">
        <f t="shared" si="96"/>
        <v>Sep</v>
      </c>
      <c r="M1564">
        <f t="shared" si="97"/>
        <v>2025</v>
      </c>
      <c r="N1564">
        <f t="shared" si="98"/>
        <v>116301.9</v>
      </c>
      <c r="O1564" t="str">
        <f t="shared" si="99"/>
        <v>Minor Delay</v>
      </c>
    </row>
    <row r="1565" spans="1:15" x14ac:dyDescent="0.25">
      <c r="A1565">
        <v>1564</v>
      </c>
      <c r="B1565" s="2">
        <v>45896</v>
      </c>
      <c r="C1565" t="s">
        <v>18</v>
      </c>
      <c r="D1565" t="s">
        <v>17</v>
      </c>
      <c r="E1565" t="s">
        <v>23</v>
      </c>
      <c r="F1565" t="s">
        <v>21</v>
      </c>
      <c r="G1565">
        <v>88</v>
      </c>
      <c r="H1565">
        <v>541.33000000000004</v>
      </c>
      <c r="I1565">
        <v>6</v>
      </c>
      <c r="J1565" t="s">
        <v>15</v>
      </c>
      <c r="K1565">
        <v>47637.04</v>
      </c>
      <c r="L1565" t="str">
        <f t="shared" si="96"/>
        <v>Aug</v>
      </c>
      <c r="M1565">
        <f t="shared" si="97"/>
        <v>2025</v>
      </c>
      <c r="N1565">
        <f t="shared" si="98"/>
        <v>47637.04</v>
      </c>
      <c r="O1565" t="str">
        <f t="shared" si="99"/>
        <v>Minor Delay</v>
      </c>
    </row>
    <row r="1566" spans="1:15" x14ac:dyDescent="0.25">
      <c r="A1566">
        <v>1565</v>
      </c>
      <c r="B1566" s="2">
        <v>45928</v>
      </c>
      <c r="C1566" t="s">
        <v>25</v>
      </c>
      <c r="D1566" t="s">
        <v>22</v>
      </c>
      <c r="E1566" t="s">
        <v>27</v>
      </c>
      <c r="F1566" t="s">
        <v>21</v>
      </c>
      <c r="G1566">
        <v>259</v>
      </c>
      <c r="H1566">
        <v>761.89</v>
      </c>
      <c r="I1566">
        <v>39</v>
      </c>
      <c r="J1566" t="s">
        <v>15</v>
      </c>
      <c r="K1566">
        <v>197329.51</v>
      </c>
      <c r="L1566" t="str">
        <f t="shared" si="96"/>
        <v>Sep</v>
      </c>
      <c r="M1566">
        <f t="shared" si="97"/>
        <v>2025</v>
      </c>
      <c r="N1566">
        <f t="shared" si="98"/>
        <v>197329.51</v>
      </c>
      <c r="O1566" t="str">
        <f t="shared" si="99"/>
        <v>Moderate Delay</v>
      </c>
    </row>
    <row r="1567" spans="1:15" x14ac:dyDescent="0.25">
      <c r="A1567">
        <v>1566</v>
      </c>
      <c r="B1567" s="2">
        <v>45662</v>
      </c>
      <c r="C1567" t="s">
        <v>11</v>
      </c>
      <c r="D1567" t="s">
        <v>17</v>
      </c>
      <c r="E1567" t="s">
        <v>13</v>
      </c>
      <c r="F1567" t="s">
        <v>24</v>
      </c>
      <c r="G1567">
        <v>159</v>
      </c>
      <c r="H1567">
        <v>171.37</v>
      </c>
      <c r="I1567">
        <v>3</v>
      </c>
      <c r="J1567" t="s">
        <v>30</v>
      </c>
      <c r="K1567">
        <v>27247.83</v>
      </c>
      <c r="L1567" t="str">
        <f t="shared" si="96"/>
        <v>Jan</v>
      </c>
      <c r="M1567">
        <f t="shared" si="97"/>
        <v>2025</v>
      </c>
      <c r="N1567">
        <f t="shared" si="98"/>
        <v>27247.83</v>
      </c>
      <c r="O1567" t="str">
        <f t="shared" si="99"/>
        <v>Minor Delay</v>
      </c>
    </row>
    <row r="1568" spans="1:15" x14ac:dyDescent="0.25">
      <c r="A1568">
        <v>1567</v>
      </c>
      <c r="B1568" s="2">
        <v>45992</v>
      </c>
      <c r="C1568" t="s">
        <v>25</v>
      </c>
      <c r="D1568" t="s">
        <v>22</v>
      </c>
      <c r="E1568" t="s">
        <v>27</v>
      </c>
      <c r="F1568" t="s">
        <v>14</v>
      </c>
      <c r="G1568">
        <v>247</v>
      </c>
      <c r="H1568">
        <v>667.93</v>
      </c>
      <c r="I1568">
        <v>67</v>
      </c>
      <c r="J1568" t="s">
        <v>15</v>
      </c>
      <c r="K1568">
        <v>164978.71</v>
      </c>
      <c r="L1568" t="str">
        <f t="shared" si="96"/>
        <v>Dec</v>
      </c>
      <c r="M1568">
        <f t="shared" si="97"/>
        <v>2025</v>
      </c>
      <c r="N1568">
        <f t="shared" si="98"/>
        <v>164978.71</v>
      </c>
      <c r="O1568" t="str">
        <f t="shared" si="99"/>
        <v>Major Delay</v>
      </c>
    </row>
    <row r="1569" spans="1:15" x14ac:dyDescent="0.25">
      <c r="A1569">
        <v>1568</v>
      </c>
      <c r="B1569" s="2">
        <v>45733</v>
      </c>
      <c r="C1569" t="s">
        <v>11</v>
      </c>
      <c r="D1569" t="s">
        <v>29</v>
      </c>
      <c r="E1569" t="s">
        <v>23</v>
      </c>
      <c r="F1569" t="s">
        <v>24</v>
      </c>
      <c r="G1569">
        <v>96</v>
      </c>
      <c r="H1569">
        <v>134.66</v>
      </c>
      <c r="I1569">
        <v>0</v>
      </c>
      <c r="J1569" t="s">
        <v>15</v>
      </c>
      <c r="K1569">
        <v>12927.36</v>
      </c>
      <c r="L1569" t="str">
        <f t="shared" si="96"/>
        <v>Mar</v>
      </c>
      <c r="M1569">
        <f t="shared" si="97"/>
        <v>2025</v>
      </c>
      <c r="N1569">
        <f t="shared" si="98"/>
        <v>12927.36</v>
      </c>
      <c r="O1569" t="str">
        <f t="shared" si="99"/>
        <v>On Time</v>
      </c>
    </row>
    <row r="1570" spans="1:15" x14ac:dyDescent="0.25">
      <c r="A1570">
        <v>1569</v>
      </c>
      <c r="B1570" s="2">
        <v>45934</v>
      </c>
      <c r="C1570" t="s">
        <v>26</v>
      </c>
      <c r="D1570" t="s">
        <v>13</v>
      </c>
      <c r="E1570" t="s">
        <v>19</v>
      </c>
      <c r="F1570" t="s">
        <v>14</v>
      </c>
      <c r="G1570">
        <v>133</v>
      </c>
      <c r="H1570">
        <v>704.21</v>
      </c>
      <c r="I1570">
        <v>52</v>
      </c>
      <c r="J1570" t="s">
        <v>15</v>
      </c>
      <c r="K1570">
        <v>93659.93</v>
      </c>
      <c r="L1570" t="str">
        <f t="shared" si="96"/>
        <v>Oct</v>
      </c>
      <c r="M1570">
        <f t="shared" si="97"/>
        <v>2025</v>
      </c>
      <c r="N1570">
        <f t="shared" si="98"/>
        <v>93659.930000000008</v>
      </c>
      <c r="O1570" t="str">
        <f t="shared" si="99"/>
        <v>Moderate Delay</v>
      </c>
    </row>
    <row r="1571" spans="1:15" x14ac:dyDescent="0.25">
      <c r="A1571">
        <v>1570</v>
      </c>
      <c r="B1571" s="2">
        <v>45796</v>
      </c>
      <c r="C1571" t="s">
        <v>11</v>
      </c>
      <c r="D1571" t="s">
        <v>29</v>
      </c>
      <c r="E1571" t="s">
        <v>20</v>
      </c>
      <c r="F1571" t="s">
        <v>14</v>
      </c>
      <c r="G1571">
        <v>247</v>
      </c>
      <c r="H1571">
        <v>322.95999999999998</v>
      </c>
      <c r="I1571">
        <v>4</v>
      </c>
      <c r="J1571" t="s">
        <v>15</v>
      </c>
      <c r="K1571">
        <v>79771.12</v>
      </c>
      <c r="L1571" t="str">
        <f t="shared" si="96"/>
        <v>May</v>
      </c>
      <c r="M1571">
        <f t="shared" si="97"/>
        <v>2025</v>
      </c>
      <c r="N1571">
        <f t="shared" si="98"/>
        <v>79771.12</v>
      </c>
      <c r="O1571" t="str">
        <f t="shared" si="99"/>
        <v>Minor Delay</v>
      </c>
    </row>
    <row r="1572" spans="1:15" x14ac:dyDescent="0.25">
      <c r="A1572">
        <v>1571</v>
      </c>
      <c r="B1572" s="2">
        <v>45850</v>
      </c>
      <c r="C1572" t="s">
        <v>16</v>
      </c>
      <c r="D1572" t="s">
        <v>20</v>
      </c>
      <c r="E1572" t="s">
        <v>12</v>
      </c>
      <c r="F1572" t="s">
        <v>24</v>
      </c>
      <c r="G1572">
        <v>272</v>
      </c>
      <c r="H1572">
        <v>610.52</v>
      </c>
      <c r="I1572">
        <v>18</v>
      </c>
      <c r="J1572" t="s">
        <v>15</v>
      </c>
      <c r="K1572">
        <v>166061.44</v>
      </c>
      <c r="L1572" t="str">
        <f t="shared" si="96"/>
        <v>Jul</v>
      </c>
      <c r="M1572">
        <f t="shared" si="97"/>
        <v>2025</v>
      </c>
      <c r="N1572">
        <f t="shared" si="98"/>
        <v>166061.44</v>
      </c>
      <c r="O1572" t="str">
        <f t="shared" si="99"/>
        <v>Minor Delay</v>
      </c>
    </row>
    <row r="1573" spans="1:15" x14ac:dyDescent="0.25">
      <c r="A1573">
        <v>1572</v>
      </c>
      <c r="B1573" s="2">
        <v>45763</v>
      </c>
      <c r="C1573" t="s">
        <v>18</v>
      </c>
      <c r="D1573" t="s">
        <v>17</v>
      </c>
      <c r="E1573" t="s">
        <v>19</v>
      </c>
      <c r="F1573" t="s">
        <v>21</v>
      </c>
      <c r="G1573">
        <v>258</v>
      </c>
      <c r="H1573">
        <v>152.24</v>
      </c>
      <c r="I1573">
        <v>0</v>
      </c>
      <c r="J1573" t="s">
        <v>30</v>
      </c>
      <c r="K1573">
        <v>39277.919999999998</v>
      </c>
      <c r="L1573" t="str">
        <f t="shared" si="96"/>
        <v>Apr</v>
      </c>
      <c r="M1573">
        <f t="shared" si="97"/>
        <v>2025</v>
      </c>
      <c r="N1573">
        <f t="shared" si="98"/>
        <v>39277.920000000006</v>
      </c>
      <c r="O1573" t="str">
        <f t="shared" si="99"/>
        <v>On Time</v>
      </c>
    </row>
    <row r="1574" spans="1:15" x14ac:dyDescent="0.25">
      <c r="A1574">
        <v>1573</v>
      </c>
      <c r="B1574" s="2">
        <v>45741</v>
      </c>
      <c r="C1574" t="s">
        <v>11</v>
      </c>
      <c r="D1574" t="s">
        <v>27</v>
      </c>
      <c r="E1574" t="s">
        <v>12</v>
      </c>
      <c r="F1574" t="s">
        <v>14</v>
      </c>
      <c r="G1574">
        <v>290</v>
      </c>
      <c r="H1574">
        <v>421.94</v>
      </c>
      <c r="I1574">
        <v>0</v>
      </c>
      <c r="J1574" t="s">
        <v>15</v>
      </c>
      <c r="K1574">
        <v>122362.6</v>
      </c>
      <c r="L1574" t="str">
        <f t="shared" si="96"/>
        <v>Mar</v>
      </c>
      <c r="M1574">
        <f t="shared" si="97"/>
        <v>2025</v>
      </c>
      <c r="N1574">
        <f t="shared" si="98"/>
        <v>122362.6</v>
      </c>
      <c r="O1574" t="str">
        <f t="shared" si="99"/>
        <v>On Time</v>
      </c>
    </row>
    <row r="1575" spans="1:15" x14ac:dyDescent="0.25">
      <c r="A1575">
        <v>1574</v>
      </c>
      <c r="B1575" s="2">
        <v>45704</v>
      </c>
      <c r="C1575" t="s">
        <v>31</v>
      </c>
      <c r="D1575" t="s">
        <v>19</v>
      </c>
      <c r="E1575" t="s">
        <v>23</v>
      </c>
      <c r="F1575" t="s">
        <v>24</v>
      </c>
      <c r="G1575">
        <v>172</v>
      </c>
      <c r="H1575">
        <v>248.91</v>
      </c>
      <c r="I1575">
        <v>0</v>
      </c>
      <c r="J1575" t="s">
        <v>15</v>
      </c>
      <c r="K1575">
        <v>42812.52</v>
      </c>
      <c r="L1575" t="str">
        <f t="shared" si="96"/>
        <v>Feb</v>
      </c>
      <c r="M1575">
        <f t="shared" si="97"/>
        <v>2025</v>
      </c>
      <c r="N1575">
        <f t="shared" si="98"/>
        <v>42812.52</v>
      </c>
      <c r="O1575" t="str">
        <f t="shared" si="99"/>
        <v>On Time</v>
      </c>
    </row>
    <row r="1576" spans="1:15" x14ac:dyDescent="0.25">
      <c r="A1576">
        <v>1575</v>
      </c>
      <c r="B1576" s="2">
        <v>45661</v>
      </c>
      <c r="C1576" t="s">
        <v>18</v>
      </c>
      <c r="D1576" t="s">
        <v>20</v>
      </c>
      <c r="E1576" t="s">
        <v>13</v>
      </c>
      <c r="F1576" t="s">
        <v>24</v>
      </c>
      <c r="G1576">
        <v>152</v>
      </c>
      <c r="H1576">
        <v>771.56</v>
      </c>
      <c r="I1576">
        <v>39</v>
      </c>
      <c r="J1576" t="s">
        <v>15</v>
      </c>
      <c r="K1576">
        <v>117277.12</v>
      </c>
      <c r="L1576" t="str">
        <f t="shared" si="96"/>
        <v>Jan</v>
      </c>
      <c r="M1576">
        <f t="shared" si="97"/>
        <v>2025</v>
      </c>
      <c r="N1576">
        <f t="shared" si="98"/>
        <v>117277.12</v>
      </c>
      <c r="O1576" t="str">
        <f t="shared" si="99"/>
        <v>Moderate Delay</v>
      </c>
    </row>
    <row r="1577" spans="1:15" x14ac:dyDescent="0.25">
      <c r="A1577">
        <v>1576</v>
      </c>
      <c r="B1577" s="2">
        <v>45991</v>
      </c>
      <c r="C1577" t="s">
        <v>26</v>
      </c>
      <c r="D1577" t="s">
        <v>12</v>
      </c>
      <c r="E1577" t="s">
        <v>20</v>
      </c>
      <c r="F1577" t="s">
        <v>14</v>
      </c>
      <c r="G1577">
        <v>229</v>
      </c>
      <c r="H1577">
        <v>122.49</v>
      </c>
      <c r="I1577">
        <v>33</v>
      </c>
      <c r="J1577" t="s">
        <v>15</v>
      </c>
      <c r="K1577">
        <v>28050.21</v>
      </c>
      <c r="L1577" t="str">
        <f t="shared" si="96"/>
        <v>Nov</v>
      </c>
      <c r="M1577">
        <f t="shared" si="97"/>
        <v>2025</v>
      </c>
      <c r="N1577">
        <f t="shared" si="98"/>
        <v>28050.21</v>
      </c>
      <c r="O1577" t="str">
        <f t="shared" si="99"/>
        <v>Moderate Delay</v>
      </c>
    </row>
    <row r="1578" spans="1:15" x14ac:dyDescent="0.25">
      <c r="A1578">
        <v>1577</v>
      </c>
      <c r="B1578" s="2">
        <v>45666</v>
      </c>
      <c r="C1578" t="s">
        <v>26</v>
      </c>
      <c r="D1578" t="s">
        <v>17</v>
      </c>
      <c r="E1578" t="s">
        <v>27</v>
      </c>
      <c r="F1578" t="s">
        <v>21</v>
      </c>
      <c r="G1578">
        <v>215</v>
      </c>
      <c r="H1578">
        <v>724.03</v>
      </c>
      <c r="I1578">
        <v>66</v>
      </c>
      <c r="J1578" t="s">
        <v>15</v>
      </c>
      <c r="K1578">
        <v>155666.45000000001</v>
      </c>
      <c r="L1578" t="str">
        <f t="shared" si="96"/>
        <v>Jan</v>
      </c>
      <c r="M1578">
        <f t="shared" si="97"/>
        <v>2025</v>
      </c>
      <c r="N1578">
        <f t="shared" si="98"/>
        <v>155666.44999999998</v>
      </c>
      <c r="O1578" t="str">
        <f t="shared" si="99"/>
        <v>Major Delay</v>
      </c>
    </row>
    <row r="1579" spans="1:15" x14ac:dyDescent="0.25">
      <c r="A1579">
        <v>1578</v>
      </c>
      <c r="B1579" s="2">
        <v>45923</v>
      </c>
      <c r="C1579" t="s">
        <v>11</v>
      </c>
      <c r="D1579" t="s">
        <v>13</v>
      </c>
      <c r="E1579" t="s">
        <v>19</v>
      </c>
      <c r="F1579" t="s">
        <v>14</v>
      </c>
      <c r="G1579">
        <v>227</v>
      </c>
      <c r="H1579">
        <v>407.66</v>
      </c>
      <c r="I1579">
        <v>33</v>
      </c>
      <c r="J1579" t="s">
        <v>15</v>
      </c>
      <c r="K1579">
        <v>92538.82</v>
      </c>
      <c r="L1579" t="str">
        <f t="shared" si="96"/>
        <v>Sep</v>
      </c>
      <c r="M1579">
        <f t="shared" si="97"/>
        <v>2025</v>
      </c>
      <c r="N1579">
        <f t="shared" si="98"/>
        <v>92538.82</v>
      </c>
      <c r="O1579" t="str">
        <f t="shared" si="99"/>
        <v>Moderate Delay</v>
      </c>
    </row>
    <row r="1580" spans="1:15" x14ac:dyDescent="0.25">
      <c r="A1580">
        <v>1579</v>
      </c>
      <c r="B1580" s="2">
        <v>45848</v>
      </c>
      <c r="C1580" t="s">
        <v>31</v>
      </c>
      <c r="D1580" t="s">
        <v>19</v>
      </c>
      <c r="E1580" t="s">
        <v>22</v>
      </c>
      <c r="F1580" t="s">
        <v>24</v>
      </c>
      <c r="G1580">
        <v>260</v>
      </c>
      <c r="H1580">
        <v>176.54</v>
      </c>
      <c r="I1580">
        <v>47</v>
      </c>
      <c r="J1580" t="s">
        <v>30</v>
      </c>
      <c r="K1580">
        <v>45900.4</v>
      </c>
      <c r="L1580" t="str">
        <f t="shared" si="96"/>
        <v>Jul</v>
      </c>
      <c r="M1580">
        <f t="shared" si="97"/>
        <v>2025</v>
      </c>
      <c r="N1580">
        <f t="shared" si="98"/>
        <v>45900.4</v>
      </c>
      <c r="O1580" t="str">
        <f t="shared" si="99"/>
        <v>Moderate Delay</v>
      </c>
    </row>
    <row r="1581" spans="1:15" x14ac:dyDescent="0.25">
      <c r="A1581">
        <v>1580</v>
      </c>
      <c r="B1581" s="2">
        <v>45714</v>
      </c>
      <c r="C1581" t="s">
        <v>11</v>
      </c>
      <c r="D1581" t="s">
        <v>29</v>
      </c>
      <c r="E1581" t="s">
        <v>17</v>
      </c>
      <c r="F1581" t="s">
        <v>14</v>
      </c>
      <c r="G1581">
        <v>177</v>
      </c>
      <c r="H1581">
        <v>211.02</v>
      </c>
      <c r="I1581">
        <v>71</v>
      </c>
      <c r="J1581" t="s">
        <v>15</v>
      </c>
      <c r="K1581">
        <v>37350.54</v>
      </c>
      <c r="L1581" t="str">
        <f t="shared" si="96"/>
        <v>Feb</v>
      </c>
      <c r="M1581">
        <f t="shared" si="97"/>
        <v>2025</v>
      </c>
      <c r="N1581">
        <f t="shared" si="98"/>
        <v>37350.54</v>
      </c>
      <c r="O1581" t="str">
        <f t="shared" si="99"/>
        <v>Major Delay</v>
      </c>
    </row>
    <row r="1582" spans="1:15" x14ac:dyDescent="0.25">
      <c r="A1582">
        <v>1581</v>
      </c>
      <c r="B1582" s="2">
        <v>45976</v>
      </c>
      <c r="C1582" t="s">
        <v>26</v>
      </c>
      <c r="D1582" t="s">
        <v>22</v>
      </c>
      <c r="E1582" t="s">
        <v>23</v>
      </c>
      <c r="F1582" t="s">
        <v>14</v>
      </c>
      <c r="G1582">
        <v>250</v>
      </c>
      <c r="H1582">
        <v>79.11</v>
      </c>
      <c r="I1582">
        <v>47</v>
      </c>
      <c r="J1582" t="s">
        <v>15</v>
      </c>
      <c r="K1582">
        <v>19777.5</v>
      </c>
      <c r="L1582" t="str">
        <f t="shared" si="96"/>
        <v>Nov</v>
      </c>
      <c r="M1582">
        <f t="shared" si="97"/>
        <v>2025</v>
      </c>
      <c r="N1582">
        <f t="shared" si="98"/>
        <v>19777.5</v>
      </c>
      <c r="O1582" t="str">
        <f t="shared" si="99"/>
        <v>Moderate Delay</v>
      </c>
    </row>
    <row r="1583" spans="1:15" x14ac:dyDescent="0.25">
      <c r="A1583">
        <v>1582</v>
      </c>
      <c r="B1583" s="2">
        <v>45681</v>
      </c>
      <c r="C1583" t="s">
        <v>31</v>
      </c>
      <c r="D1583" t="s">
        <v>29</v>
      </c>
      <c r="E1583" t="s">
        <v>20</v>
      </c>
      <c r="F1583" t="s">
        <v>24</v>
      </c>
      <c r="G1583">
        <v>245</v>
      </c>
      <c r="H1583">
        <v>502.9</v>
      </c>
      <c r="I1583">
        <v>25</v>
      </c>
      <c r="J1583" t="s">
        <v>15</v>
      </c>
      <c r="K1583">
        <v>123210.5</v>
      </c>
      <c r="L1583" t="str">
        <f t="shared" si="96"/>
        <v>Jan</v>
      </c>
      <c r="M1583">
        <f t="shared" si="97"/>
        <v>2025</v>
      </c>
      <c r="N1583">
        <f t="shared" si="98"/>
        <v>123210.5</v>
      </c>
      <c r="O1583" t="str">
        <f t="shared" si="99"/>
        <v>Minor Delay</v>
      </c>
    </row>
    <row r="1584" spans="1:15" x14ac:dyDescent="0.25">
      <c r="A1584">
        <v>1583</v>
      </c>
      <c r="B1584" s="2">
        <v>45665</v>
      </c>
      <c r="C1584" t="s">
        <v>26</v>
      </c>
      <c r="D1584" t="s">
        <v>29</v>
      </c>
      <c r="E1584" t="s">
        <v>12</v>
      </c>
      <c r="F1584" t="s">
        <v>14</v>
      </c>
      <c r="G1584">
        <v>73</v>
      </c>
      <c r="H1584">
        <v>370.71</v>
      </c>
      <c r="I1584">
        <v>80</v>
      </c>
      <c r="J1584" t="s">
        <v>15</v>
      </c>
      <c r="K1584">
        <v>27061.83</v>
      </c>
      <c r="L1584" t="str">
        <f t="shared" si="96"/>
        <v>Jan</v>
      </c>
      <c r="M1584">
        <f t="shared" si="97"/>
        <v>2025</v>
      </c>
      <c r="N1584">
        <f t="shared" si="98"/>
        <v>27061.829999999998</v>
      </c>
      <c r="O1584" t="str">
        <f t="shared" si="99"/>
        <v>Major Delay</v>
      </c>
    </row>
    <row r="1585" spans="1:15" x14ac:dyDescent="0.25">
      <c r="A1585">
        <v>1584</v>
      </c>
      <c r="B1585" s="2">
        <v>45726</v>
      </c>
      <c r="C1585" t="s">
        <v>31</v>
      </c>
      <c r="D1585" t="s">
        <v>17</v>
      </c>
      <c r="E1585" t="s">
        <v>27</v>
      </c>
      <c r="F1585" t="s">
        <v>21</v>
      </c>
      <c r="G1585">
        <v>50</v>
      </c>
      <c r="H1585">
        <v>290.45999999999998</v>
      </c>
      <c r="I1585">
        <v>46</v>
      </c>
      <c r="J1585" t="s">
        <v>15</v>
      </c>
      <c r="K1585">
        <v>14523</v>
      </c>
      <c r="L1585" t="str">
        <f t="shared" si="96"/>
        <v>Mar</v>
      </c>
      <c r="M1585">
        <f t="shared" si="97"/>
        <v>2025</v>
      </c>
      <c r="N1585">
        <f t="shared" si="98"/>
        <v>14522.999999999998</v>
      </c>
      <c r="O1585" t="str">
        <f t="shared" si="99"/>
        <v>Moderate Delay</v>
      </c>
    </row>
    <row r="1586" spans="1:15" x14ac:dyDescent="0.25">
      <c r="A1586">
        <v>1585</v>
      </c>
      <c r="B1586" s="2">
        <v>45823</v>
      </c>
      <c r="C1586" t="s">
        <v>25</v>
      </c>
      <c r="D1586" t="s">
        <v>23</v>
      </c>
      <c r="E1586" t="s">
        <v>29</v>
      </c>
      <c r="F1586" t="s">
        <v>21</v>
      </c>
      <c r="G1586">
        <v>143</v>
      </c>
      <c r="H1586">
        <v>768.11</v>
      </c>
      <c r="I1586">
        <v>14</v>
      </c>
      <c r="J1586" t="s">
        <v>15</v>
      </c>
      <c r="K1586">
        <v>109839.73</v>
      </c>
      <c r="L1586" t="str">
        <f t="shared" si="96"/>
        <v>Jun</v>
      </c>
      <c r="M1586">
        <f t="shared" si="97"/>
        <v>2025</v>
      </c>
      <c r="N1586">
        <f t="shared" si="98"/>
        <v>109839.73</v>
      </c>
      <c r="O1586" t="str">
        <f t="shared" si="99"/>
        <v>Minor Delay</v>
      </c>
    </row>
    <row r="1587" spans="1:15" x14ac:dyDescent="0.25">
      <c r="A1587">
        <v>1586</v>
      </c>
      <c r="B1587" s="2">
        <v>45770</v>
      </c>
      <c r="C1587" t="s">
        <v>31</v>
      </c>
      <c r="D1587" t="s">
        <v>19</v>
      </c>
      <c r="E1587" t="s">
        <v>29</v>
      </c>
      <c r="F1587" t="s">
        <v>14</v>
      </c>
      <c r="G1587">
        <v>256</v>
      </c>
      <c r="H1587">
        <v>757.29</v>
      </c>
      <c r="I1587">
        <v>10</v>
      </c>
      <c r="J1587" t="s">
        <v>15</v>
      </c>
      <c r="K1587">
        <v>193866.23999999999</v>
      </c>
      <c r="L1587" t="str">
        <f t="shared" si="96"/>
        <v>Apr</v>
      </c>
      <c r="M1587">
        <f t="shared" si="97"/>
        <v>2025</v>
      </c>
      <c r="N1587">
        <f t="shared" si="98"/>
        <v>193866.23999999999</v>
      </c>
      <c r="O1587" t="str">
        <f t="shared" si="99"/>
        <v>Minor Delay</v>
      </c>
    </row>
    <row r="1588" spans="1:15" x14ac:dyDescent="0.25">
      <c r="A1588">
        <v>1587</v>
      </c>
      <c r="B1588" s="2">
        <v>45864</v>
      </c>
      <c r="C1588" t="s">
        <v>26</v>
      </c>
      <c r="D1588" t="s">
        <v>12</v>
      </c>
      <c r="E1588" t="s">
        <v>29</v>
      </c>
      <c r="F1588" t="s">
        <v>21</v>
      </c>
      <c r="G1588">
        <v>76</v>
      </c>
      <c r="H1588">
        <v>244.84</v>
      </c>
      <c r="I1588">
        <v>19</v>
      </c>
      <c r="J1588" t="s">
        <v>15</v>
      </c>
      <c r="K1588">
        <v>18607.84</v>
      </c>
      <c r="L1588" t="str">
        <f t="shared" si="96"/>
        <v>Jul</v>
      </c>
      <c r="M1588">
        <f t="shared" si="97"/>
        <v>2025</v>
      </c>
      <c r="N1588">
        <f t="shared" si="98"/>
        <v>18607.84</v>
      </c>
      <c r="O1588" t="str">
        <f t="shared" si="99"/>
        <v>Minor Delay</v>
      </c>
    </row>
    <row r="1589" spans="1:15" x14ac:dyDescent="0.25">
      <c r="A1589">
        <v>1588</v>
      </c>
      <c r="B1589" s="2">
        <v>45725</v>
      </c>
      <c r="C1589" t="s">
        <v>26</v>
      </c>
      <c r="D1589" t="s">
        <v>20</v>
      </c>
      <c r="E1589" t="s">
        <v>23</v>
      </c>
      <c r="F1589" t="s">
        <v>24</v>
      </c>
      <c r="G1589">
        <v>145</v>
      </c>
      <c r="H1589">
        <v>549.29</v>
      </c>
      <c r="I1589">
        <v>60</v>
      </c>
      <c r="J1589" t="s">
        <v>15</v>
      </c>
      <c r="K1589">
        <v>79647.05</v>
      </c>
      <c r="L1589" t="str">
        <f t="shared" si="96"/>
        <v>Mar</v>
      </c>
      <c r="M1589">
        <f t="shared" si="97"/>
        <v>2025</v>
      </c>
      <c r="N1589">
        <f t="shared" si="98"/>
        <v>79647.049999999988</v>
      </c>
      <c r="O1589" t="str">
        <f t="shared" si="99"/>
        <v>Moderate Delay</v>
      </c>
    </row>
    <row r="1590" spans="1:15" x14ac:dyDescent="0.25">
      <c r="A1590">
        <v>1589</v>
      </c>
      <c r="B1590" s="2">
        <v>45981</v>
      </c>
      <c r="C1590" t="s">
        <v>16</v>
      </c>
      <c r="D1590" t="s">
        <v>13</v>
      </c>
      <c r="E1590" t="s">
        <v>20</v>
      </c>
      <c r="F1590" t="s">
        <v>14</v>
      </c>
      <c r="G1590">
        <v>300</v>
      </c>
      <c r="H1590">
        <v>194.81</v>
      </c>
      <c r="I1590">
        <v>24</v>
      </c>
      <c r="J1590" t="s">
        <v>15</v>
      </c>
      <c r="K1590">
        <v>58443</v>
      </c>
      <c r="L1590" t="str">
        <f t="shared" si="96"/>
        <v>Nov</v>
      </c>
      <c r="M1590">
        <f t="shared" si="97"/>
        <v>2025</v>
      </c>
      <c r="N1590">
        <f t="shared" si="98"/>
        <v>58443</v>
      </c>
      <c r="O1590" t="str">
        <f t="shared" si="99"/>
        <v>Minor Delay</v>
      </c>
    </row>
    <row r="1591" spans="1:15" x14ac:dyDescent="0.25">
      <c r="A1591">
        <v>1590</v>
      </c>
      <c r="B1591" s="2">
        <v>45823</v>
      </c>
      <c r="C1591" t="s">
        <v>16</v>
      </c>
      <c r="D1591" t="s">
        <v>29</v>
      </c>
      <c r="E1591" t="s">
        <v>20</v>
      </c>
      <c r="F1591" t="s">
        <v>21</v>
      </c>
      <c r="G1591">
        <v>173</v>
      </c>
      <c r="H1591">
        <v>418.05</v>
      </c>
      <c r="I1591">
        <v>25</v>
      </c>
      <c r="J1591" t="s">
        <v>15</v>
      </c>
      <c r="K1591">
        <v>72322.649999999994</v>
      </c>
      <c r="L1591" t="str">
        <f t="shared" si="96"/>
        <v>Jun</v>
      </c>
      <c r="M1591">
        <f t="shared" si="97"/>
        <v>2025</v>
      </c>
      <c r="N1591">
        <f t="shared" si="98"/>
        <v>72322.650000000009</v>
      </c>
      <c r="O1591" t="str">
        <f t="shared" si="99"/>
        <v>Minor Delay</v>
      </c>
    </row>
    <row r="1592" spans="1:15" x14ac:dyDescent="0.25">
      <c r="A1592">
        <v>1591</v>
      </c>
      <c r="B1592" s="2">
        <v>45767</v>
      </c>
      <c r="C1592" t="s">
        <v>18</v>
      </c>
      <c r="D1592" t="s">
        <v>17</v>
      </c>
      <c r="E1592" t="s">
        <v>27</v>
      </c>
      <c r="F1592" t="s">
        <v>21</v>
      </c>
      <c r="G1592">
        <v>117</v>
      </c>
      <c r="H1592">
        <v>463.95</v>
      </c>
      <c r="I1592">
        <v>34</v>
      </c>
      <c r="J1592" t="s">
        <v>15</v>
      </c>
      <c r="K1592">
        <v>54282.15</v>
      </c>
      <c r="L1592" t="str">
        <f t="shared" si="96"/>
        <v>Apr</v>
      </c>
      <c r="M1592">
        <f t="shared" si="97"/>
        <v>2025</v>
      </c>
      <c r="N1592">
        <f t="shared" si="98"/>
        <v>54282.15</v>
      </c>
      <c r="O1592" t="str">
        <f t="shared" si="99"/>
        <v>Moderate Delay</v>
      </c>
    </row>
    <row r="1593" spans="1:15" x14ac:dyDescent="0.25">
      <c r="A1593">
        <v>1592</v>
      </c>
      <c r="B1593" s="2">
        <v>45753</v>
      </c>
      <c r="C1593" t="s">
        <v>26</v>
      </c>
      <c r="D1593" t="s">
        <v>22</v>
      </c>
      <c r="E1593" t="s">
        <v>17</v>
      </c>
      <c r="F1593" t="s">
        <v>24</v>
      </c>
      <c r="G1593">
        <v>256</v>
      </c>
      <c r="H1593">
        <v>705.26</v>
      </c>
      <c r="I1593">
        <v>33</v>
      </c>
      <c r="J1593" t="s">
        <v>15</v>
      </c>
      <c r="K1593">
        <v>180546.56</v>
      </c>
      <c r="L1593" t="str">
        <f t="shared" si="96"/>
        <v>Apr</v>
      </c>
      <c r="M1593">
        <f t="shared" si="97"/>
        <v>2025</v>
      </c>
      <c r="N1593">
        <f t="shared" si="98"/>
        <v>180546.56</v>
      </c>
      <c r="O1593" t="str">
        <f t="shared" si="99"/>
        <v>Moderate Delay</v>
      </c>
    </row>
    <row r="1594" spans="1:15" x14ac:dyDescent="0.25">
      <c r="A1594">
        <v>1593</v>
      </c>
      <c r="B1594" s="2">
        <v>46000</v>
      </c>
      <c r="C1594" t="s">
        <v>26</v>
      </c>
      <c r="D1594" t="s">
        <v>20</v>
      </c>
      <c r="E1594" t="s">
        <v>12</v>
      </c>
      <c r="F1594" t="s">
        <v>21</v>
      </c>
      <c r="G1594">
        <v>117</v>
      </c>
      <c r="H1594">
        <v>106.71</v>
      </c>
      <c r="I1594">
        <v>0</v>
      </c>
      <c r="J1594" t="s">
        <v>30</v>
      </c>
      <c r="K1594">
        <v>12485.07</v>
      </c>
      <c r="L1594" t="str">
        <f t="shared" si="96"/>
        <v>Dec</v>
      </c>
      <c r="M1594">
        <f t="shared" si="97"/>
        <v>2025</v>
      </c>
      <c r="N1594">
        <f t="shared" si="98"/>
        <v>12485.07</v>
      </c>
      <c r="O1594" t="str">
        <f t="shared" si="99"/>
        <v>On Time</v>
      </c>
    </row>
    <row r="1595" spans="1:15" x14ac:dyDescent="0.25">
      <c r="A1595">
        <v>1594</v>
      </c>
      <c r="B1595" s="2">
        <v>45774</v>
      </c>
      <c r="C1595" t="s">
        <v>18</v>
      </c>
      <c r="D1595" t="s">
        <v>29</v>
      </c>
      <c r="E1595" t="s">
        <v>12</v>
      </c>
      <c r="F1595" t="s">
        <v>14</v>
      </c>
      <c r="G1595">
        <v>80</v>
      </c>
      <c r="H1595">
        <v>467.34</v>
      </c>
      <c r="I1595">
        <v>46</v>
      </c>
      <c r="J1595" t="s">
        <v>15</v>
      </c>
      <c r="K1595">
        <v>37387.199999999997</v>
      </c>
      <c r="L1595" t="str">
        <f t="shared" si="96"/>
        <v>Apr</v>
      </c>
      <c r="M1595">
        <f t="shared" si="97"/>
        <v>2025</v>
      </c>
      <c r="N1595">
        <f t="shared" si="98"/>
        <v>37387.199999999997</v>
      </c>
      <c r="O1595" t="str">
        <f t="shared" si="99"/>
        <v>Moderate Delay</v>
      </c>
    </row>
    <row r="1596" spans="1:15" x14ac:dyDescent="0.25">
      <c r="A1596">
        <v>1595</v>
      </c>
      <c r="B1596" s="2">
        <v>45889</v>
      </c>
      <c r="C1596" t="s">
        <v>18</v>
      </c>
      <c r="D1596" t="s">
        <v>22</v>
      </c>
      <c r="E1596" t="s">
        <v>23</v>
      </c>
      <c r="F1596" t="s">
        <v>21</v>
      </c>
      <c r="G1596">
        <v>290</v>
      </c>
      <c r="H1596">
        <v>121.4</v>
      </c>
      <c r="I1596">
        <v>39</v>
      </c>
      <c r="J1596" t="s">
        <v>15</v>
      </c>
      <c r="K1596">
        <v>35206</v>
      </c>
      <c r="L1596" t="str">
        <f t="shared" si="96"/>
        <v>Aug</v>
      </c>
      <c r="M1596">
        <f t="shared" si="97"/>
        <v>2025</v>
      </c>
      <c r="N1596">
        <f t="shared" si="98"/>
        <v>35206</v>
      </c>
      <c r="O1596" t="str">
        <f t="shared" si="99"/>
        <v>Moderate Delay</v>
      </c>
    </row>
    <row r="1597" spans="1:15" x14ac:dyDescent="0.25">
      <c r="A1597">
        <v>1596</v>
      </c>
      <c r="B1597" s="2">
        <v>45730</v>
      </c>
      <c r="C1597" t="s">
        <v>25</v>
      </c>
      <c r="D1597" t="s">
        <v>27</v>
      </c>
      <c r="E1597" t="s">
        <v>19</v>
      </c>
      <c r="F1597" t="s">
        <v>14</v>
      </c>
      <c r="G1597">
        <v>248</v>
      </c>
      <c r="H1597">
        <v>72.37</v>
      </c>
      <c r="I1597">
        <v>0</v>
      </c>
      <c r="J1597" t="s">
        <v>15</v>
      </c>
      <c r="K1597">
        <v>17947.759999999998</v>
      </c>
      <c r="L1597" t="str">
        <f t="shared" si="96"/>
        <v>Mar</v>
      </c>
      <c r="M1597">
        <f t="shared" si="97"/>
        <v>2025</v>
      </c>
      <c r="N1597">
        <f t="shared" si="98"/>
        <v>17947.760000000002</v>
      </c>
      <c r="O1597" t="str">
        <f t="shared" si="99"/>
        <v>On Time</v>
      </c>
    </row>
    <row r="1598" spans="1:15" x14ac:dyDescent="0.25">
      <c r="A1598">
        <v>1597</v>
      </c>
      <c r="B1598" s="2">
        <v>45946</v>
      </c>
      <c r="C1598" t="s">
        <v>31</v>
      </c>
      <c r="D1598" t="s">
        <v>22</v>
      </c>
      <c r="E1598" t="s">
        <v>29</v>
      </c>
      <c r="F1598" t="s">
        <v>21</v>
      </c>
      <c r="G1598">
        <v>62</v>
      </c>
      <c r="H1598">
        <v>652.19000000000005</v>
      </c>
      <c r="I1598">
        <v>8</v>
      </c>
      <c r="J1598" t="s">
        <v>30</v>
      </c>
      <c r="K1598">
        <v>40435.78</v>
      </c>
      <c r="L1598" t="str">
        <f t="shared" si="96"/>
        <v>Oct</v>
      </c>
      <c r="M1598">
        <f t="shared" si="97"/>
        <v>2025</v>
      </c>
      <c r="N1598">
        <f t="shared" si="98"/>
        <v>40435.780000000006</v>
      </c>
      <c r="O1598" t="str">
        <f t="shared" si="99"/>
        <v>Minor Delay</v>
      </c>
    </row>
    <row r="1599" spans="1:15" x14ac:dyDescent="0.25">
      <c r="A1599">
        <v>1598</v>
      </c>
      <c r="B1599" s="2">
        <v>45849</v>
      </c>
      <c r="C1599" t="s">
        <v>11</v>
      </c>
      <c r="D1599" t="s">
        <v>27</v>
      </c>
      <c r="E1599" t="s">
        <v>29</v>
      </c>
      <c r="F1599" t="s">
        <v>14</v>
      </c>
      <c r="G1599">
        <v>224</v>
      </c>
      <c r="H1599">
        <v>182.57</v>
      </c>
      <c r="I1599">
        <v>33</v>
      </c>
      <c r="J1599" t="s">
        <v>15</v>
      </c>
      <c r="K1599">
        <v>40895.68</v>
      </c>
      <c r="L1599" t="str">
        <f t="shared" si="96"/>
        <v>Jul</v>
      </c>
      <c r="M1599">
        <f t="shared" si="97"/>
        <v>2025</v>
      </c>
      <c r="N1599">
        <f t="shared" si="98"/>
        <v>40895.68</v>
      </c>
      <c r="O1599" t="str">
        <f t="shared" si="99"/>
        <v>Moderate Delay</v>
      </c>
    </row>
    <row r="1600" spans="1:15" x14ac:dyDescent="0.25">
      <c r="A1600">
        <v>1599</v>
      </c>
      <c r="B1600" s="2">
        <v>45934</v>
      </c>
      <c r="C1600" t="s">
        <v>31</v>
      </c>
      <c r="D1600" t="s">
        <v>19</v>
      </c>
      <c r="E1600" t="s">
        <v>29</v>
      </c>
      <c r="F1600" t="s">
        <v>24</v>
      </c>
      <c r="G1600">
        <v>269</v>
      </c>
      <c r="H1600">
        <v>209.63</v>
      </c>
      <c r="I1600">
        <v>82</v>
      </c>
      <c r="J1600" t="s">
        <v>15</v>
      </c>
      <c r="K1600">
        <v>56390.47</v>
      </c>
      <c r="L1600" t="str">
        <f t="shared" si="96"/>
        <v>Oct</v>
      </c>
      <c r="M1600">
        <f t="shared" si="97"/>
        <v>2025</v>
      </c>
      <c r="N1600">
        <f t="shared" si="98"/>
        <v>56390.47</v>
      </c>
      <c r="O1600" t="str">
        <f t="shared" si="99"/>
        <v>Major Delay</v>
      </c>
    </row>
    <row r="1601" spans="1:15" x14ac:dyDescent="0.25">
      <c r="A1601">
        <v>1600</v>
      </c>
      <c r="B1601" s="2">
        <v>45901</v>
      </c>
      <c r="C1601" t="s">
        <v>18</v>
      </c>
      <c r="D1601" t="s">
        <v>17</v>
      </c>
      <c r="E1601" t="s">
        <v>20</v>
      </c>
      <c r="F1601" t="s">
        <v>24</v>
      </c>
      <c r="G1601">
        <v>84</v>
      </c>
      <c r="H1601">
        <v>593.95000000000005</v>
      </c>
      <c r="I1601">
        <v>39</v>
      </c>
      <c r="J1601" t="s">
        <v>15</v>
      </c>
      <c r="K1601">
        <v>49891.8</v>
      </c>
      <c r="L1601" t="str">
        <f t="shared" si="96"/>
        <v>Sep</v>
      </c>
      <c r="M1601">
        <f t="shared" si="97"/>
        <v>2025</v>
      </c>
      <c r="N1601">
        <f t="shared" si="98"/>
        <v>49891.8</v>
      </c>
      <c r="O1601" t="str">
        <f t="shared" si="99"/>
        <v>Moderate Delay</v>
      </c>
    </row>
    <row r="1602" spans="1:15" x14ac:dyDescent="0.25">
      <c r="A1602">
        <v>1601</v>
      </c>
      <c r="B1602" s="2">
        <v>46020</v>
      </c>
      <c r="C1602" t="s">
        <v>31</v>
      </c>
      <c r="D1602" t="s">
        <v>12</v>
      </c>
      <c r="E1602" t="s">
        <v>22</v>
      </c>
      <c r="F1602" t="s">
        <v>21</v>
      </c>
      <c r="G1602">
        <v>129</v>
      </c>
      <c r="H1602">
        <v>214.48</v>
      </c>
      <c r="I1602">
        <v>16</v>
      </c>
      <c r="J1602" t="s">
        <v>15</v>
      </c>
      <c r="K1602">
        <v>27667.919999999998</v>
      </c>
      <c r="L1602" t="str">
        <f t="shared" si="96"/>
        <v>Dec</v>
      </c>
      <c r="M1602">
        <f t="shared" si="97"/>
        <v>2025</v>
      </c>
      <c r="N1602">
        <f t="shared" si="98"/>
        <v>27667.919999999998</v>
      </c>
      <c r="O1602" t="str">
        <f t="shared" si="99"/>
        <v>Minor Delay</v>
      </c>
    </row>
    <row r="1603" spans="1:15" x14ac:dyDescent="0.25">
      <c r="A1603">
        <v>1602</v>
      </c>
      <c r="B1603" s="2">
        <v>45731</v>
      </c>
      <c r="C1603" t="s">
        <v>18</v>
      </c>
      <c r="D1603" t="s">
        <v>17</v>
      </c>
      <c r="E1603" t="s">
        <v>29</v>
      </c>
      <c r="F1603" t="s">
        <v>14</v>
      </c>
      <c r="G1603">
        <v>245</v>
      </c>
      <c r="H1603">
        <v>779.35</v>
      </c>
      <c r="I1603">
        <v>0</v>
      </c>
      <c r="J1603" t="s">
        <v>30</v>
      </c>
      <c r="K1603">
        <v>190940.75</v>
      </c>
      <c r="L1603" t="str">
        <f t="shared" ref="L1603:L1666" si="100">TEXT(B1603,"MMM")</f>
        <v>Mar</v>
      </c>
      <c r="M1603">
        <f t="shared" ref="M1603:M1666" si="101">YEAR(B1603)</f>
        <v>2025</v>
      </c>
      <c r="N1603">
        <f t="shared" ref="N1603:N1666" si="102">G1603*H1603</f>
        <v>190940.75</v>
      </c>
      <c r="O1603" t="str">
        <f t="shared" ref="O1603:O1666" si="103">IF(I1603=0,"On Time",IF(I1603&lt;=30,"Minor Delay",IF(I1603&lt;=60,"Moderate Delay","Major Delay")))</f>
        <v>On Time</v>
      </c>
    </row>
    <row r="1604" spans="1:15" x14ac:dyDescent="0.25">
      <c r="A1604">
        <v>1603</v>
      </c>
      <c r="B1604" s="2">
        <v>45739</v>
      </c>
      <c r="C1604" t="s">
        <v>25</v>
      </c>
      <c r="D1604" t="s">
        <v>19</v>
      </c>
      <c r="E1604" t="s">
        <v>20</v>
      </c>
      <c r="F1604" t="s">
        <v>24</v>
      </c>
      <c r="G1604">
        <v>150</v>
      </c>
      <c r="H1604">
        <v>497.65</v>
      </c>
      <c r="I1604">
        <v>20</v>
      </c>
      <c r="J1604" t="s">
        <v>15</v>
      </c>
      <c r="K1604">
        <v>74647.5</v>
      </c>
      <c r="L1604" t="str">
        <f t="shared" si="100"/>
        <v>Mar</v>
      </c>
      <c r="M1604">
        <f t="shared" si="101"/>
        <v>2025</v>
      </c>
      <c r="N1604">
        <f t="shared" si="102"/>
        <v>74647.5</v>
      </c>
      <c r="O1604" t="str">
        <f t="shared" si="103"/>
        <v>Minor Delay</v>
      </c>
    </row>
    <row r="1605" spans="1:15" x14ac:dyDescent="0.25">
      <c r="A1605">
        <v>1604</v>
      </c>
      <c r="B1605" s="2">
        <v>45863</v>
      </c>
      <c r="C1605" t="s">
        <v>16</v>
      </c>
      <c r="D1605" t="s">
        <v>23</v>
      </c>
      <c r="E1605" t="s">
        <v>29</v>
      </c>
      <c r="F1605" t="s">
        <v>21</v>
      </c>
      <c r="G1605">
        <v>239</v>
      </c>
      <c r="H1605">
        <v>493.59</v>
      </c>
      <c r="I1605">
        <v>43</v>
      </c>
      <c r="J1605" t="s">
        <v>15</v>
      </c>
      <c r="K1605">
        <v>117968.01</v>
      </c>
      <c r="L1605" t="str">
        <f t="shared" si="100"/>
        <v>Jul</v>
      </c>
      <c r="M1605">
        <f t="shared" si="101"/>
        <v>2025</v>
      </c>
      <c r="N1605">
        <f t="shared" si="102"/>
        <v>117968.01</v>
      </c>
      <c r="O1605" t="str">
        <f t="shared" si="103"/>
        <v>Moderate Delay</v>
      </c>
    </row>
    <row r="1606" spans="1:15" x14ac:dyDescent="0.25">
      <c r="A1606">
        <v>1605</v>
      </c>
      <c r="B1606" s="2">
        <v>45730</v>
      </c>
      <c r="C1606" t="s">
        <v>25</v>
      </c>
      <c r="D1606" t="s">
        <v>19</v>
      </c>
      <c r="E1606" t="s">
        <v>27</v>
      </c>
      <c r="F1606" t="s">
        <v>24</v>
      </c>
      <c r="G1606">
        <v>244</v>
      </c>
      <c r="H1606">
        <v>302.33</v>
      </c>
      <c r="I1606">
        <v>0</v>
      </c>
      <c r="J1606" t="s">
        <v>15</v>
      </c>
      <c r="K1606">
        <v>73768.52</v>
      </c>
      <c r="L1606" t="str">
        <f t="shared" si="100"/>
        <v>Mar</v>
      </c>
      <c r="M1606">
        <f t="shared" si="101"/>
        <v>2025</v>
      </c>
      <c r="N1606">
        <f t="shared" si="102"/>
        <v>73768.51999999999</v>
      </c>
      <c r="O1606" t="str">
        <f t="shared" si="103"/>
        <v>On Time</v>
      </c>
    </row>
    <row r="1607" spans="1:15" x14ac:dyDescent="0.25">
      <c r="A1607">
        <v>1606</v>
      </c>
      <c r="B1607" s="2">
        <v>45996</v>
      </c>
      <c r="C1607" t="s">
        <v>18</v>
      </c>
      <c r="D1607" t="s">
        <v>20</v>
      </c>
      <c r="E1607" t="s">
        <v>19</v>
      </c>
      <c r="F1607" t="s">
        <v>24</v>
      </c>
      <c r="G1607">
        <v>260</v>
      </c>
      <c r="H1607">
        <v>152.4</v>
      </c>
      <c r="I1607">
        <v>0</v>
      </c>
      <c r="J1607" t="s">
        <v>15</v>
      </c>
      <c r="K1607">
        <v>39624</v>
      </c>
      <c r="L1607" t="str">
        <f t="shared" si="100"/>
        <v>Dec</v>
      </c>
      <c r="M1607">
        <f t="shared" si="101"/>
        <v>2025</v>
      </c>
      <c r="N1607">
        <f t="shared" si="102"/>
        <v>39624</v>
      </c>
      <c r="O1607" t="str">
        <f t="shared" si="103"/>
        <v>On Time</v>
      </c>
    </row>
    <row r="1608" spans="1:15" x14ac:dyDescent="0.25">
      <c r="A1608">
        <v>1607</v>
      </c>
      <c r="B1608" s="2">
        <v>45694</v>
      </c>
      <c r="C1608" t="s">
        <v>25</v>
      </c>
      <c r="D1608" t="s">
        <v>20</v>
      </c>
      <c r="E1608" t="s">
        <v>29</v>
      </c>
      <c r="F1608" t="s">
        <v>24</v>
      </c>
      <c r="G1608">
        <v>274</v>
      </c>
      <c r="H1608">
        <v>261.36</v>
      </c>
      <c r="I1608">
        <v>44</v>
      </c>
      <c r="J1608" t="s">
        <v>30</v>
      </c>
      <c r="K1608">
        <v>71612.639999999999</v>
      </c>
      <c r="L1608" t="str">
        <f t="shared" si="100"/>
        <v>Feb</v>
      </c>
      <c r="M1608">
        <f t="shared" si="101"/>
        <v>2025</v>
      </c>
      <c r="N1608">
        <f t="shared" si="102"/>
        <v>71612.639999999999</v>
      </c>
      <c r="O1608" t="str">
        <f t="shared" si="103"/>
        <v>Moderate Delay</v>
      </c>
    </row>
    <row r="1609" spans="1:15" x14ac:dyDescent="0.25">
      <c r="A1609">
        <v>1608</v>
      </c>
      <c r="B1609" s="2">
        <v>45876</v>
      </c>
      <c r="C1609" t="s">
        <v>31</v>
      </c>
      <c r="D1609" t="s">
        <v>12</v>
      </c>
      <c r="E1609" t="s">
        <v>27</v>
      </c>
      <c r="F1609" t="s">
        <v>14</v>
      </c>
      <c r="G1609">
        <v>274</v>
      </c>
      <c r="H1609">
        <v>585.22</v>
      </c>
      <c r="I1609">
        <v>18</v>
      </c>
      <c r="J1609" t="s">
        <v>30</v>
      </c>
      <c r="K1609">
        <v>160350.28</v>
      </c>
      <c r="L1609" t="str">
        <f t="shared" si="100"/>
        <v>Aug</v>
      </c>
      <c r="M1609">
        <f t="shared" si="101"/>
        <v>2025</v>
      </c>
      <c r="N1609">
        <f t="shared" si="102"/>
        <v>160350.28</v>
      </c>
      <c r="O1609" t="str">
        <f t="shared" si="103"/>
        <v>Minor Delay</v>
      </c>
    </row>
    <row r="1610" spans="1:15" x14ac:dyDescent="0.25">
      <c r="A1610">
        <v>1609</v>
      </c>
      <c r="B1610" s="2">
        <v>45773</v>
      </c>
      <c r="C1610" t="s">
        <v>31</v>
      </c>
      <c r="D1610" t="s">
        <v>20</v>
      </c>
      <c r="E1610" t="s">
        <v>23</v>
      </c>
      <c r="F1610" t="s">
        <v>14</v>
      </c>
      <c r="G1610">
        <v>72</v>
      </c>
      <c r="H1610">
        <v>798.23</v>
      </c>
      <c r="I1610">
        <v>0</v>
      </c>
      <c r="J1610" t="s">
        <v>15</v>
      </c>
      <c r="K1610">
        <v>57472.56</v>
      </c>
      <c r="L1610" t="str">
        <f t="shared" si="100"/>
        <v>Apr</v>
      </c>
      <c r="M1610">
        <f t="shared" si="101"/>
        <v>2025</v>
      </c>
      <c r="N1610">
        <f t="shared" si="102"/>
        <v>57472.56</v>
      </c>
      <c r="O1610" t="str">
        <f t="shared" si="103"/>
        <v>On Time</v>
      </c>
    </row>
    <row r="1611" spans="1:15" x14ac:dyDescent="0.25">
      <c r="A1611">
        <v>1610</v>
      </c>
      <c r="B1611" s="2">
        <v>45873</v>
      </c>
      <c r="C1611" t="s">
        <v>16</v>
      </c>
      <c r="D1611" t="s">
        <v>20</v>
      </c>
      <c r="E1611" t="s">
        <v>17</v>
      </c>
      <c r="F1611" t="s">
        <v>21</v>
      </c>
      <c r="G1611">
        <v>76</v>
      </c>
      <c r="H1611">
        <v>700.22</v>
      </c>
      <c r="I1611">
        <v>0</v>
      </c>
      <c r="J1611" t="s">
        <v>15</v>
      </c>
      <c r="K1611">
        <v>53216.72</v>
      </c>
      <c r="L1611" t="str">
        <f t="shared" si="100"/>
        <v>Aug</v>
      </c>
      <c r="M1611">
        <f t="shared" si="101"/>
        <v>2025</v>
      </c>
      <c r="N1611">
        <f t="shared" si="102"/>
        <v>53216.72</v>
      </c>
      <c r="O1611" t="str">
        <f t="shared" si="103"/>
        <v>On Time</v>
      </c>
    </row>
    <row r="1612" spans="1:15" x14ac:dyDescent="0.25">
      <c r="A1612">
        <v>1611</v>
      </c>
      <c r="B1612" s="2">
        <v>45985</v>
      </c>
      <c r="C1612" t="s">
        <v>31</v>
      </c>
      <c r="D1612" t="s">
        <v>23</v>
      </c>
      <c r="E1612" t="s">
        <v>22</v>
      </c>
      <c r="F1612" t="s">
        <v>24</v>
      </c>
      <c r="G1612">
        <v>157</v>
      </c>
      <c r="H1612">
        <v>553.55999999999995</v>
      </c>
      <c r="I1612">
        <v>19</v>
      </c>
      <c r="J1612" t="s">
        <v>15</v>
      </c>
      <c r="K1612">
        <v>86908.92</v>
      </c>
      <c r="L1612" t="str">
        <f t="shared" si="100"/>
        <v>Nov</v>
      </c>
      <c r="M1612">
        <f t="shared" si="101"/>
        <v>2025</v>
      </c>
      <c r="N1612">
        <f t="shared" si="102"/>
        <v>86908.92</v>
      </c>
      <c r="O1612" t="str">
        <f t="shared" si="103"/>
        <v>Minor Delay</v>
      </c>
    </row>
    <row r="1613" spans="1:15" x14ac:dyDescent="0.25">
      <c r="A1613">
        <v>1612</v>
      </c>
      <c r="B1613" s="2">
        <v>45957</v>
      </c>
      <c r="C1613" t="s">
        <v>18</v>
      </c>
      <c r="D1613" t="s">
        <v>20</v>
      </c>
      <c r="E1613" t="s">
        <v>19</v>
      </c>
      <c r="F1613" t="s">
        <v>14</v>
      </c>
      <c r="G1613">
        <v>201</v>
      </c>
      <c r="H1613">
        <v>380.99</v>
      </c>
      <c r="I1613">
        <v>43</v>
      </c>
      <c r="J1613" t="s">
        <v>15</v>
      </c>
      <c r="K1613">
        <v>76578.990000000005</v>
      </c>
      <c r="L1613" t="str">
        <f t="shared" si="100"/>
        <v>Oct</v>
      </c>
      <c r="M1613">
        <f t="shared" si="101"/>
        <v>2025</v>
      </c>
      <c r="N1613">
        <f t="shared" si="102"/>
        <v>76578.990000000005</v>
      </c>
      <c r="O1613" t="str">
        <f t="shared" si="103"/>
        <v>Moderate Delay</v>
      </c>
    </row>
    <row r="1614" spans="1:15" x14ac:dyDescent="0.25">
      <c r="A1614">
        <v>1613</v>
      </c>
      <c r="B1614" s="2">
        <v>45968</v>
      </c>
      <c r="C1614" t="s">
        <v>31</v>
      </c>
      <c r="D1614" t="s">
        <v>20</v>
      </c>
      <c r="E1614" t="s">
        <v>17</v>
      </c>
      <c r="F1614" t="s">
        <v>21</v>
      </c>
      <c r="G1614">
        <v>147</v>
      </c>
      <c r="H1614">
        <v>91.15</v>
      </c>
      <c r="I1614">
        <v>57</v>
      </c>
      <c r="J1614" t="s">
        <v>15</v>
      </c>
      <c r="K1614">
        <v>13399.05</v>
      </c>
      <c r="L1614" t="str">
        <f t="shared" si="100"/>
        <v>Nov</v>
      </c>
      <c r="M1614">
        <f t="shared" si="101"/>
        <v>2025</v>
      </c>
      <c r="N1614">
        <f t="shared" si="102"/>
        <v>13399.050000000001</v>
      </c>
      <c r="O1614" t="str">
        <f t="shared" si="103"/>
        <v>Moderate Delay</v>
      </c>
    </row>
    <row r="1615" spans="1:15" x14ac:dyDescent="0.25">
      <c r="A1615">
        <v>1614</v>
      </c>
      <c r="B1615" s="2">
        <v>45718</v>
      </c>
      <c r="C1615" t="s">
        <v>11</v>
      </c>
      <c r="D1615" t="s">
        <v>12</v>
      </c>
      <c r="E1615" t="s">
        <v>29</v>
      </c>
      <c r="F1615" t="s">
        <v>24</v>
      </c>
      <c r="G1615">
        <v>198</v>
      </c>
      <c r="H1615">
        <v>557.73</v>
      </c>
      <c r="I1615">
        <v>49</v>
      </c>
      <c r="J1615" t="s">
        <v>30</v>
      </c>
      <c r="K1615">
        <v>110430.54</v>
      </c>
      <c r="L1615" t="str">
        <f t="shared" si="100"/>
        <v>Mar</v>
      </c>
      <c r="M1615">
        <f t="shared" si="101"/>
        <v>2025</v>
      </c>
      <c r="N1615">
        <f t="shared" si="102"/>
        <v>110430.54000000001</v>
      </c>
      <c r="O1615" t="str">
        <f t="shared" si="103"/>
        <v>Moderate Delay</v>
      </c>
    </row>
    <row r="1616" spans="1:15" x14ac:dyDescent="0.25">
      <c r="A1616">
        <v>1615</v>
      </c>
      <c r="B1616" s="2">
        <v>45678</v>
      </c>
      <c r="C1616" t="s">
        <v>26</v>
      </c>
      <c r="D1616" t="s">
        <v>17</v>
      </c>
      <c r="E1616" t="s">
        <v>20</v>
      </c>
      <c r="F1616" t="s">
        <v>21</v>
      </c>
      <c r="G1616">
        <v>251</v>
      </c>
      <c r="H1616">
        <v>385.78</v>
      </c>
      <c r="I1616">
        <v>0</v>
      </c>
      <c r="J1616" t="s">
        <v>15</v>
      </c>
      <c r="K1616">
        <v>96830.78</v>
      </c>
      <c r="L1616" t="str">
        <f t="shared" si="100"/>
        <v>Jan</v>
      </c>
      <c r="M1616">
        <f t="shared" si="101"/>
        <v>2025</v>
      </c>
      <c r="N1616">
        <f t="shared" si="102"/>
        <v>96830.78</v>
      </c>
      <c r="O1616" t="str">
        <f t="shared" si="103"/>
        <v>On Time</v>
      </c>
    </row>
    <row r="1617" spans="1:15" x14ac:dyDescent="0.25">
      <c r="A1617">
        <v>1616</v>
      </c>
      <c r="B1617" s="2">
        <v>46000</v>
      </c>
      <c r="C1617" t="s">
        <v>16</v>
      </c>
      <c r="D1617" t="s">
        <v>17</v>
      </c>
      <c r="E1617" t="s">
        <v>20</v>
      </c>
      <c r="F1617" t="s">
        <v>14</v>
      </c>
      <c r="G1617">
        <v>195</v>
      </c>
      <c r="H1617">
        <v>193.75</v>
      </c>
      <c r="I1617">
        <v>32</v>
      </c>
      <c r="J1617" t="s">
        <v>15</v>
      </c>
      <c r="K1617">
        <v>37781.25</v>
      </c>
      <c r="L1617" t="str">
        <f t="shared" si="100"/>
        <v>Dec</v>
      </c>
      <c r="M1617">
        <f t="shared" si="101"/>
        <v>2025</v>
      </c>
      <c r="N1617">
        <f t="shared" si="102"/>
        <v>37781.25</v>
      </c>
      <c r="O1617" t="str">
        <f t="shared" si="103"/>
        <v>Moderate Delay</v>
      </c>
    </row>
    <row r="1618" spans="1:15" x14ac:dyDescent="0.25">
      <c r="A1618">
        <v>1617</v>
      </c>
      <c r="B1618" s="2">
        <v>45807</v>
      </c>
      <c r="C1618" t="s">
        <v>18</v>
      </c>
      <c r="D1618" t="s">
        <v>22</v>
      </c>
      <c r="E1618" t="s">
        <v>12</v>
      </c>
      <c r="F1618" t="s">
        <v>14</v>
      </c>
      <c r="G1618">
        <v>236</v>
      </c>
      <c r="H1618">
        <v>397.9</v>
      </c>
      <c r="I1618">
        <v>38</v>
      </c>
      <c r="J1618" t="s">
        <v>15</v>
      </c>
      <c r="K1618">
        <v>93904.4</v>
      </c>
      <c r="L1618" t="str">
        <f t="shared" si="100"/>
        <v>May</v>
      </c>
      <c r="M1618">
        <f t="shared" si="101"/>
        <v>2025</v>
      </c>
      <c r="N1618">
        <f t="shared" si="102"/>
        <v>93904.4</v>
      </c>
      <c r="O1618" t="str">
        <f t="shared" si="103"/>
        <v>Moderate Delay</v>
      </c>
    </row>
    <row r="1619" spans="1:15" x14ac:dyDescent="0.25">
      <c r="A1619">
        <v>1618</v>
      </c>
      <c r="B1619" s="2">
        <v>45799</v>
      </c>
      <c r="C1619" t="s">
        <v>18</v>
      </c>
      <c r="D1619" t="s">
        <v>22</v>
      </c>
      <c r="E1619" t="s">
        <v>19</v>
      </c>
      <c r="F1619" t="s">
        <v>14</v>
      </c>
      <c r="G1619">
        <v>133</v>
      </c>
      <c r="H1619">
        <v>399.07</v>
      </c>
      <c r="I1619">
        <v>5</v>
      </c>
      <c r="J1619" t="s">
        <v>28</v>
      </c>
      <c r="K1619">
        <v>53076.31</v>
      </c>
      <c r="L1619" t="str">
        <f t="shared" si="100"/>
        <v>May</v>
      </c>
      <c r="M1619">
        <f t="shared" si="101"/>
        <v>2025</v>
      </c>
      <c r="N1619">
        <f t="shared" si="102"/>
        <v>53076.31</v>
      </c>
      <c r="O1619" t="str">
        <f t="shared" si="103"/>
        <v>Minor Delay</v>
      </c>
    </row>
    <row r="1620" spans="1:15" x14ac:dyDescent="0.25">
      <c r="A1620">
        <v>1619</v>
      </c>
      <c r="B1620" s="2">
        <v>45765</v>
      </c>
      <c r="C1620" t="s">
        <v>31</v>
      </c>
      <c r="D1620" t="s">
        <v>23</v>
      </c>
      <c r="E1620" t="s">
        <v>29</v>
      </c>
      <c r="F1620" t="s">
        <v>21</v>
      </c>
      <c r="G1620">
        <v>215</v>
      </c>
      <c r="H1620">
        <v>298.19</v>
      </c>
      <c r="I1620">
        <v>1</v>
      </c>
      <c r="J1620" t="s">
        <v>30</v>
      </c>
      <c r="K1620">
        <v>64110.85</v>
      </c>
      <c r="L1620" t="str">
        <f t="shared" si="100"/>
        <v>Apr</v>
      </c>
      <c r="M1620">
        <f t="shared" si="101"/>
        <v>2025</v>
      </c>
      <c r="N1620">
        <f t="shared" si="102"/>
        <v>64110.85</v>
      </c>
      <c r="O1620" t="str">
        <f t="shared" si="103"/>
        <v>Minor Delay</v>
      </c>
    </row>
    <row r="1621" spans="1:15" x14ac:dyDescent="0.25">
      <c r="A1621">
        <v>1620</v>
      </c>
      <c r="B1621" s="2">
        <v>45828</v>
      </c>
      <c r="C1621" t="s">
        <v>26</v>
      </c>
      <c r="D1621" t="s">
        <v>20</v>
      </c>
      <c r="E1621" t="s">
        <v>12</v>
      </c>
      <c r="F1621" t="s">
        <v>21</v>
      </c>
      <c r="G1621">
        <v>187</v>
      </c>
      <c r="H1621">
        <v>607.5</v>
      </c>
      <c r="I1621">
        <v>33</v>
      </c>
      <c r="J1621" t="s">
        <v>30</v>
      </c>
      <c r="K1621">
        <v>113602.5</v>
      </c>
      <c r="L1621" t="str">
        <f t="shared" si="100"/>
        <v>Jun</v>
      </c>
      <c r="M1621">
        <f t="shared" si="101"/>
        <v>2025</v>
      </c>
      <c r="N1621">
        <f t="shared" si="102"/>
        <v>113602.5</v>
      </c>
      <c r="O1621" t="str">
        <f t="shared" si="103"/>
        <v>Moderate Delay</v>
      </c>
    </row>
    <row r="1622" spans="1:15" x14ac:dyDescent="0.25">
      <c r="A1622">
        <v>1621</v>
      </c>
      <c r="B1622" s="2">
        <v>45814</v>
      </c>
      <c r="C1622" t="s">
        <v>16</v>
      </c>
      <c r="D1622" t="s">
        <v>19</v>
      </c>
      <c r="E1622" t="s">
        <v>17</v>
      </c>
      <c r="F1622" t="s">
        <v>21</v>
      </c>
      <c r="G1622">
        <v>73</v>
      </c>
      <c r="H1622">
        <v>533.19000000000005</v>
      </c>
      <c r="I1622">
        <v>8</v>
      </c>
      <c r="J1622" t="s">
        <v>15</v>
      </c>
      <c r="K1622">
        <v>38922.870000000003</v>
      </c>
      <c r="L1622" t="str">
        <f t="shared" si="100"/>
        <v>Jun</v>
      </c>
      <c r="M1622">
        <f t="shared" si="101"/>
        <v>2025</v>
      </c>
      <c r="N1622">
        <f t="shared" si="102"/>
        <v>38922.870000000003</v>
      </c>
      <c r="O1622" t="str">
        <f t="shared" si="103"/>
        <v>Minor Delay</v>
      </c>
    </row>
    <row r="1623" spans="1:15" x14ac:dyDescent="0.25">
      <c r="A1623">
        <v>1622</v>
      </c>
      <c r="B1623" s="2">
        <v>45793</v>
      </c>
      <c r="C1623" t="s">
        <v>25</v>
      </c>
      <c r="D1623" t="s">
        <v>17</v>
      </c>
      <c r="E1623" t="s">
        <v>19</v>
      </c>
      <c r="F1623" t="s">
        <v>24</v>
      </c>
      <c r="G1623">
        <v>139</v>
      </c>
      <c r="H1623">
        <v>309.38</v>
      </c>
      <c r="I1623">
        <v>47</v>
      </c>
      <c r="J1623" t="s">
        <v>15</v>
      </c>
      <c r="K1623">
        <v>43003.82</v>
      </c>
      <c r="L1623" t="str">
        <f t="shared" si="100"/>
        <v>May</v>
      </c>
      <c r="M1623">
        <f t="shared" si="101"/>
        <v>2025</v>
      </c>
      <c r="N1623">
        <f t="shared" si="102"/>
        <v>43003.82</v>
      </c>
      <c r="O1623" t="str">
        <f t="shared" si="103"/>
        <v>Moderate Delay</v>
      </c>
    </row>
    <row r="1624" spans="1:15" x14ac:dyDescent="0.25">
      <c r="A1624">
        <v>1623</v>
      </c>
      <c r="B1624" s="2">
        <v>45744</v>
      </c>
      <c r="C1624" t="s">
        <v>26</v>
      </c>
      <c r="D1624" t="s">
        <v>22</v>
      </c>
      <c r="E1624" t="s">
        <v>29</v>
      </c>
      <c r="F1624" t="s">
        <v>14</v>
      </c>
      <c r="G1624">
        <v>78</v>
      </c>
      <c r="H1624">
        <v>200.44</v>
      </c>
      <c r="I1624">
        <v>8</v>
      </c>
      <c r="J1624" t="s">
        <v>15</v>
      </c>
      <c r="K1624">
        <v>15634.32</v>
      </c>
      <c r="L1624" t="str">
        <f t="shared" si="100"/>
        <v>Mar</v>
      </c>
      <c r="M1624">
        <f t="shared" si="101"/>
        <v>2025</v>
      </c>
      <c r="N1624">
        <f t="shared" si="102"/>
        <v>15634.32</v>
      </c>
      <c r="O1624" t="str">
        <f t="shared" si="103"/>
        <v>Minor Delay</v>
      </c>
    </row>
    <row r="1625" spans="1:15" x14ac:dyDescent="0.25">
      <c r="A1625">
        <v>1624</v>
      </c>
      <c r="B1625" s="2">
        <v>45861</v>
      </c>
      <c r="C1625" t="s">
        <v>31</v>
      </c>
      <c r="D1625" t="s">
        <v>23</v>
      </c>
      <c r="E1625" t="s">
        <v>29</v>
      </c>
      <c r="F1625" t="s">
        <v>21</v>
      </c>
      <c r="G1625">
        <v>69</v>
      </c>
      <c r="H1625">
        <v>206.98</v>
      </c>
      <c r="I1625">
        <v>47</v>
      </c>
      <c r="J1625" t="s">
        <v>15</v>
      </c>
      <c r="K1625">
        <v>14281.62</v>
      </c>
      <c r="L1625" t="str">
        <f t="shared" si="100"/>
        <v>Jul</v>
      </c>
      <c r="M1625">
        <f t="shared" si="101"/>
        <v>2025</v>
      </c>
      <c r="N1625">
        <f t="shared" si="102"/>
        <v>14281.619999999999</v>
      </c>
      <c r="O1625" t="str">
        <f t="shared" si="103"/>
        <v>Moderate Delay</v>
      </c>
    </row>
    <row r="1626" spans="1:15" x14ac:dyDescent="0.25">
      <c r="A1626">
        <v>1625</v>
      </c>
      <c r="B1626" s="2">
        <v>45732</v>
      </c>
      <c r="C1626" t="s">
        <v>25</v>
      </c>
      <c r="D1626" t="s">
        <v>17</v>
      </c>
      <c r="E1626" t="s">
        <v>23</v>
      </c>
      <c r="F1626" t="s">
        <v>24</v>
      </c>
      <c r="G1626">
        <v>186</v>
      </c>
      <c r="H1626">
        <v>321.81</v>
      </c>
      <c r="I1626">
        <v>36</v>
      </c>
      <c r="J1626" t="s">
        <v>30</v>
      </c>
      <c r="K1626">
        <v>59856.66</v>
      </c>
      <c r="L1626" t="str">
        <f t="shared" si="100"/>
        <v>Mar</v>
      </c>
      <c r="M1626">
        <f t="shared" si="101"/>
        <v>2025</v>
      </c>
      <c r="N1626">
        <f t="shared" si="102"/>
        <v>59856.66</v>
      </c>
      <c r="O1626" t="str">
        <f t="shared" si="103"/>
        <v>Moderate Delay</v>
      </c>
    </row>
    <row r="1627" spans="1:15" x14ac:dyDescent="0.25">
      <c r="A1627">
        <v>1626</v>
      </c>
      <c r="B1627" s="2">
        <v>45823</v>
      </c>
      <c r="C1627" t="s">
        <v>11</v>
      </c>
      <c r="D1627" t="s">
        <v>23</v>
      </c>
      <c r="E1627" t="s">
        <v>12</v>
      </c>
      <c r="F1627" t="s">
        <v>24</v>
      </c>
      <c r="G1627">
        <v>261</v>
      </c>
      <c r="H1627">
        <v>90.17</v>
      </c>
      <c r="I1627">
        <v>38</v>
      </c>
      <c r="J1627" t="s">
        <v>15</v>
      </c>
      <c r="K1627">
        <v>23534.37</v>
      </c>
      <c r="L1627" t="str">
        <f t="shared" si="100"/>
        <v>Jun</v>
      </c>
      <c r="M1627">
        <f t="shared" si="101"/>
        <v>2025</v>
      </c>
      <c r="N1627">
        <f t="shared" si="102"/>
        <v>23534.37</v>
      </c>
      <c r="O1627" t="str">
        <f t="shared" si="103"/>
        <v>Moderate Delay</v>
      </c>
    </row>
    <row r="1628" spans="1:15" x14ac:dyDescent="0.25">
      <c r="A1628">
        <v>1627</v>
      </c>
      <c r="B1628" s="2">
        <v>45911</v>
      </c>
      <c r="C1628" t="s">
        <v>11</v>
      </c>
      <c r="D1628" t="s">
        <v>23</v>
      </c>
      <c r="E1628" t="s">
        <v>13</v>
      </c>
      <c r="F1628" t="s">
        <v>21</v>
      </c>
      <c r="G1628">
        <v>106</v>
      </c>
      <c r="H1628">
        <v>241.56</v>
      </c>
      <c r="I1628">
        <v>25</v>
      </c>
      <c r="J1628" t="s">
        <v>15</v>
      </c>
      <c r="K1628">
        <v>25605.360000000001</v>
      </c>
      <c r="L1628" t="str">
        <f t="shared" si="100"/>
        <v>Sep</v>
      </c>
      <c r="M1628">
        <f t="shared" si="101"/>
        <v>2025</v>
      </c>
      <c r="N1628">
        <f t="shared" si="102"/>
        <v>25605.360000000001</v>
      </c>
      <c r="O1628" t="str">
        <f t="shared" si="103"/>
        <v>Minor Delay</v>
      </c>
    </row>
    <row r="1629" spans="1:15" x14ac:dyDescent="0.25">
      <c r="A1629">
        <v>1628</v>
      </c>
      <c r="B1629" s="2">
        <v>45782</v>
      </c>
      <c r="C1629" t="s">
        <v>16</v>
      </c>
      <c r="D1629" t="s">
        <v>13</v>
      </c>
      <c r="E1629" t="s">
        <v>22</v>
      </c>
      <c r="F1629" t="s">
        <v>21</v>
      </c>
      <c r="G1629">
        <v>173</v>
      </c>
      <c r="H1629">
        <v>680.07</v>
      </c>
      <c r="I1629">
        <v>55</v>
      </c>
      <c r="J1629" t="s">
        <v>15</v>
      </c>
      <c r="K1629">
        <v>117652.11</v>
      </c>
      <c r="L1629" t="str">
        <f t="shared" si="100"/>
        <v>May</v>
      </c>
      <c r="M1629">
        <f t="shared" si="101"/>
        <v>2025</v>
      </c>
      <c r="N1629">
        <f t="shared" si="102"/>
        <v>117652.11000000002</v>
      </c>
      <c r="O1629" t="str">
        <f t="shared" si="103"/>
        <v>Moderate Delay</v>
      </c>
    </row>
    <row r="1630" spans="1:15" x14ac:dyDescent="0.25">
      <c r="A1630">
        <v>1629</v>
      </c>
      <c r="B1630" s="2">
        <v>45869</v>
      </c>
      <c r="C1630" t="s">
        <v>11</v>
      </c>
      <c r="D1630" t="s">
        <v>27</v>
      </c>
      <c r="E1630" t="s">
        <v>19</v>
      </c>
      <c r="F1630" t="s">
        <v>21</v>
      </c>
      <c r="G1630">
        <v>198</v>
      </c>
      <c r="H1630">
        <v>355.72</v>
      </c>
      <c r="I1630">
        <v>0</v>
      </c>
      <c r="J1630" t="s">
        <v>15</v>
      </c>
      <c r="K1630">
        <v>70432.56</v>
      </c>
      <c r="L1630" t="str">
        <f t="shared" si="100"/>
        <v>Jul</v>
      </c>
      <c r="M1630">
        <f t="shared" si="101"/>
        <v>2025</v>
      </c>
      <c r="N1630">
        <f t="shared" si="102"/>
        <v>70432.560000000012</v>
      </c>
      <c r="O1630" t="str">
        <f t="shared" si="103"/>
        <v>On Time</v>
      </c>
    </row>
    <row r="1631" spans="1:15" x14ac:dyDescent="0.25">
      <c r="A1631">
        <v>1630</v>
      </c>
      <c r="B1631" s="2">
        <v>45792</v>
      </c>
      <c r="C1631" t="s">
        <v>18</v>
      </c>
      <c r="D1631" t="s">
        <v>23</v>
      </c>
      <c r="E1631" t="s">
        <v>17</v>
      </c>
      <c r="F1631" t="s">
        <v>24</v>
      </c>
      <c r="G1631">
        <v>143</v>
      </c>
      <c r="H1631">
        <v>726.04</v>
      </c>
      <c r="I1631">
        <v>0</v>
      </c>
      <c r="J1631" t="s">
        <v>30</v>
      </c>
      <c r="K1631">
        <v>103823.72</v>
      </c>
      <c r="L1631" t="str">
        <f t="shared" si="100"/>
        <v>May</v>
      </c>
      <c r="M1631">
        <f t="shared" si="101"/>
        <v>2025</v>
      </c>
      <c r="N1631">
        <f t="shared" si="102"/>
        <v>103823.72</v>
      </c>
      <c r="O1631" t="str">
        <f t="shared" si="103"/>
        <v>On Time</v>
      </c>
    </row>
    <row r="1632" spans="1:15" x14ac:dyDescent="0.25">
      <c r="A1632">
        <v>1631</v>
      </c>
      <c r="B1632" s="2">
        <v>45697</v>
      </c>
      <c r="C1632" t="s">
        <v>25</v>
      </c>
      <c r="D1632" t="s">
        <v>22</v>
      </c>
      <c r="E1632" t="s">
        <v>17</v>
      </c>
      <c r="F1632" t="s">
        <v>14</v>
      </c>
      <c r="G1632">
        <v>132</v>
      </c>
      <c r="H1632">
        <v>696.36</v>
      </c>
      <c r="I1632">
        <v>38</v>
      </c>
      <c r="J1632" t="s">
        <v>15</v>
      </c>
      <c r="K1632">
        <v>91919.52</v>
      </c>
      <c r="L1632" t="str">
        <f t="shared" si="100"/>
        <v>Feb</v>
      </c>
      <c r="M1632">
        <f t="shared" si="101"/>
        <v>2025</v>
      </c>
      <c r="N1632">
        <f t="shared" si="102"/>
        <v>91919.52</v>
      </c>
      <c r="O1632" t="str">
        <f t="shared" si="103"/>
        <v>Moderate Delay</v>
      </c>
    </row>
    <row r="1633" spans="1:15" x14ac:dyDescent="0.25">
      <c r="A1633">
        <v>1632</v>
      </c>
      <c r="B1633" s="2">
        <v>45917</v>
      </c>
      <c r="C1633" t="s">
        <v>25</v>
      </c>
      <c r="D1633" t="s">
        <v>29</v>
      </c>
      <c r="E1633" t="s">
        <v>12</v>
      </c>
      <c r="F1633" t="s">
        <v>24</v>
      </c>
      <c r="G1633">
        <v>187</v>
      </c>
      <c r="H1633">
        <v>291.98</v>
      </c>
      <c r="I1633">
        <v>18</v>
      </c>
      <c r="J1633" t="s">
        <v>30</v>
      </c>
      <c r="K1633">
        <v>54600.26</v>
      </c>
      <c r="L1633" t="str">
        <f t="shared" si="100"/>
        <v>Sep</v>
      </c>
      <c r="M1633">
        <f t="shared" si="101"/>
        <v>2025</v>
      </c>
      <c r="N1633">
        <f t="shared" si="102"/>
        <v>54600.26</v>
      </c>
      <c r="O1633" t="str">
        <f t="shared" si="103"/>
        <v>Minor Delay</v>
      </c>
    </row>
    <row r="1634" spans="1:15" x14ac:dyDescent="0.25">
      <c r="A1634">
        <v>1633</v>
      </c>
      <c r="B1634" s="2">
        <v>46017</v>
      </c>
      <c r="C1634" t="s">
        <v>25</v>
      </c>
      <c r="D1634" t="s">
        <v>19</v>
      </c>
      <c r="E1634" t="s">
        <v>17</v>
      </c>
      <c r="F1634" t="s">
        <v>21</v>
      </c>
      <c r="G1634">
        <v>260</v>
      </c>
      <c r="H1634">
        <v>788.96</v>
      </c>
      <c r="I1634">
        <v>0</v>
      </c>
      <c r="J1634" t="s">
        <v>15</v>
      </c>
      <c r="K1634">
        <v>205129.60000000001</v>
      </c>
      <c r="L1634" t="str">
        <f t="shared" si="100"/>
        <v>Dec</v>
      </c>
      <c r="M1634">
        <f t="shared" si="101"/>
        <v>2025</v>
      </c>
      <c r="N1634">
        <f t="shared" si="102"/>
        <v>205129.60000000001</v>
      </c>
      <c r="O1634" t="str">
        <f t="shared" si="103"/>
        <v>On Time</v>
      </c>
    </row>
    <row r="1635" spans="1:15" x14ac:dyDescent="0.25">
      <c r="A1635">
        <v>1634</v>
      </c>
      <c r="B1635" s="2">
        <v>45960</v>
      </c>
      <c r="C1635" t="s">
        <v>18</v>
      </c>
      <c r="D1635" t="s">
        <v>20</v>
      </c>
      <c r="E1635" t="s">
        <v>27</v>
      </c>
      <c r="F1635" t="s">
        <v>14</v>
      </c>
      <c r="G1635">
        <v>294</v>
      </c>
      <c r="H1635">
        <v>796.88</v>
      </c>
      <c r="I1635">
        <v>27</v>
      </c>
      <c r="J1635" t="s">
        <v>15</v>
      </c>
      <c r="K1635">
        <v>234282.72</v>
      </c>
      <c r="L1635" t="str">
        <f t="shared" si="100"/>
        <v>Oct</v>
      </c>
      <c r="M1635">
        <f t="shared" si="101"/>
        <v>2025</v>
      </c>
      <c r="N1635">
        <f t="shared" si="102"/>
        <v>234282.72</v>
      </c>
      <c r="O1635" t="str">
        <f t="shared" si="103"/>
        <v>Minor Delay</v>
      </c>
    </row>
    <row r="1636" spans="1:15" x14ac:dyDescent="0.25">
      <c r="A1636">
        <v>1635</v>
      </c>
      <c r="B1636" s="2">
        <v>45835</v>
      </c>
      <c r="C1636" t="s">
        <v>18</v>
      </c>
      <c r="D1636" t="s">
        <v>20</v>
      </c>
      <c r="E1636" t="s">
        <v>13</v>
      </c>
      <c r="F1636" t="s">
        <v>21</v>
      </c>
      <c r="G1636">
        <v>87</v>
      </c>
      <c r="H1636">
        <v>107.19</v>
      </c>
      <c r="I1636">
        <v>0</v>
      </c>
      <c r="J1636" t="s">
        <v>15</v>
      </c>
      <c r="K1636">
        <v>9325.5300000000007</v>
      </c>
      <c r="L1636" t="str">
        <f t="shared" si="100"/>
        <v>Jun</v>
      </c>
      <c r="M1636">
        <f t="shared" si="101"/>
        <v>2025</v>
      </c>
      <c r="N1636">
        <f t="shared" si="102"/>
        <v>9325.5300000000007</v>
      </c>
      <c r="O1636" t="str">
        <f t="shared" si="103"/>
        <v>On Time</v>
      </c>
    </row>
    <row r="1637" spans="1:15" x14ac:dyDescent="0.25">
      <c r="A1637">
        <v>1636</v>
      </c>
      <c r="B1637" s="2">
        <v>45964</v>
      </c>
      <c r="C1637" t="s">
        <v>18</v>
      </c>
      <c r="D1637" t="s">
        <v>23</v>
      </c>
      <c r="E1637" t="s">
        <v>13</v>
      </c>
      <c r="F1637" t="s">
        <v>24</v>
      </c>
      <c r="G1637">
        <v>230</v>
      </c>
      <c r="H1637">
        <v>625.63</v>
      </c>
      <c r="I1637">
        <v>69</v>
      </c>
      <c r="J1637" t="s">
        <v>15</v>
      </c>
      <c r="K1637">
        <v>143894.9</v>
      </c>
      <c r="L1637" t="str">
        <f t="shared" si="100"/>
        <v>Nov</v>
      </c>
      <c r="M1637">
        <f t="shared" si="101"/>
        <v>2025</v>
      </c>
      <c r="N1637">
        <f t="shared" si="102"/>
        <v>143894.9</v>
      </c>
      <c r="O1637" t="str">
        <f t="shared" si="103"/>
        <v>Major Delay</v>
      </c>
    </row>
    <row r="1638" spans="1:15" x14ac:dyDescent="0.25">
      <c r="A1638">
        <v>1637</v>
      </c>
      <c r="B1638" s="2">
        <v>45996</v>
      </c>
      <c r="C1638" t="s">
        <v>18</v>
      </c>
      <c r="D1638" t="s">
        <v>17</v>
      </c>
      <c r="E1638" t="s">
        <v>19</v>
      </c>
      <c r="F1638" t="s">
        <v>24</v>
      </c>
      <c r="G1638">
        <v>187</v>
      </c>
      <c r="H1638">
        <v>575.92999999999995</v>
      </c>
      <c r="I1638">
        <v>13</v>
      </c>
      <c r="J1638" t="s">
        <v>15</v>
      </c>
      <c r="K1638">
        <v>107698.91</v>
      </c>
      <c r="L1638" t="str">
        <f t="shared" si="100"/>
        <v>Dec</v>
      </c>
      <c r="M1638">
        <f t="shared" si="101"/>
        <v>2025</v>
      </c>
      <c r="N1638">
        <f t="shared" si="102"/>
        <v>107698.90999999999</v>
      </c>
      <c r="O1638" t="str">
        <f t="shared" si="103"/>
        <v>Minor Delay</v>
      </c>
    </row>
    <row r="1639" spans="1:15" x14ac:dyDescent="0.25">
      <c r="A1639">
        <v>1638</v>
      </c>
      <c r="B1639" s="2">
        <v>45731</v>
      </c>
      <c r="C1639" t="s">
        <v>31</v>
      </c>
      <c r="D1639" t="s">
        <v>27</v>
      </c>
      <c r="E1639" t="s">
        <v>17</v>
      </c>
      <c r="F1639" t="s">
        <v>21</v>
      </c>
      <c r="G1639">
        <v>200</v>
      </c>
      <c r="H1639">
        <v>292.7</v>
      </c>
      <c r="I1639">
        <v>37</v>
      </c>
      <c r="J1639" t="s">
        <v>15</v>
      </c>
      <c r="K1639">
        <v>58540</v>
      </c>
      <c r="L1639" t="str">
        <f t="shared" si="100"/>
        <v>Mar</v>
      </c>
      <c r="M1639">
        <f t="shared" si="101"/>
        <v>2025</v>
      </c>
      <c r="N1639">
        <f t="shared" si="102"/>
        <v>58540</v>
      </c>
      <c r="O1639" t="str">
        <f t="shared" si="103"/>
        <v>Moderate Delay</v>
      </c>
    </row>
    <row r="1640" spans="1:15" x14ac:dyDescent="0.25">
      <c r="A1640">
        <v>1639</v>
      </c>
      <c r="B1640" s="2">
        <v>45958</v>
      </c>
      <c r="C1640" t="s">
        <v>16</v>
      </c>
      <c r="D1640" t="s">
        <v>13</v>
      </c>
      <c r="E1640" t="s">
        <v>17</v>
      </c>
      <c r="F1640" t="s">
        <v>14</v>
      </c>
      <c r="G1640">
        <v>207</v>
      </c>
      <c r="H1640">
        <v>107.09</v>
      </c>
      <c r="I1640">
        <v>7</v>
      </c>
      <c r="J1640" t="s">
        <v>15</v>
      </c>
      <c r="K1640">
        <v>22167.63</v>
      </c>
      <c r="L1640" t="str">
        <f t="shared" si="100"/>
        <v>Oct</v>
      </c>
      <c r="M1640">
        <f t="shared" si="101"/>
        <v>2025</v>
      </c>
      <c r="N1640">
        <f t="shared" si="102"/>
        <v>22167.63</v>
      </c>
      <c r="O1640" t="str">
        <f t="shared" si="103"/>
        <v>Minor Delay</v>
      </c>
    </row>
    <row r="1641" spans="1:15" x14ac:dyDescent="0.25">
      <c r="A1641">
        <v>1640</v>
      </c>
      <c r="B1641" s="2">
        <v>45673</v>
      </c>
      <c r="C1641" t="s">
        <v>25</v>
      </c>
      <c r="D1641" t="s">
        <v>29</v>
      </c>
      <c r="E1641" t="s">
        <v>19</v>
      </c>
      <c r="F1641" t="s">
        <v>24</v>
      </c>
      <c r="G1641">
        <v>236</v>
      </c>
      <c r="H1641">
        <v>148.43</v>
      </c>
      <c r="I1641">
        <v>27</v>
      </c>
      <c r="J1641" t="s">
        <v>15</v>
      </c>
      <c r="K1641">
        <v>35029.480000000003</v>
      </c>
      <c r="L1641" t="str">
        <f t="shared" si="100"/>
        <v>Jan</v>
      </c>
      <c r="M1641">
        <f t="shared" si="101"/>
        <v>2025</v>
      </c>
      <c r="N1641">
        <f t="shared" si="102"/>
        <v>35029.480000000003</v>
      </c>
      <c r="O1641" t="str">
        <f t="shared" si="103"/>
        <v>Minor Delay</v>
      </c>
    </row>
    <row r="1642" spans="1:15" x14ac:dyDescent="0.25">
      <c r="A1642">
        <v>1641</v>
      </c>
      <c r="B1642" s="2">
        <v>45866</v>
      </c>
      <c r="C1642" t="s">
        <v>18</v>
      </c>
      <c r="D1642" t="s">
        <v>17</v>
      </c>
      <c r="E1642" t="s">
        <v>20</v>
      </c>
      <c r="F1642" t="s">
        <v>21</v>
      </c>
      <c r="G1642">
        <v>171</v>
      </c>
      <c r="H1642">
        <v>162.5</v>
      </c>
      <c r="I1642">
        <v>13</v>
      </c>
      <c r="J1642" t="s">
        <v>15</v>
      </c>
      <c r="K1642">
        <v>27787.5</v>
      </c>
      <c r="L1642" t="str">
        <f t="shared" si="100"/>
        <v>Jul</v>
      </c>
      <c r="M1642">
        <f t="shared" si="101"/>
        <v>2025</v>
      </c>
      <c r="N1642">
        <f t="shared" si="102"/>
        <v>27787.5</v>
      </c>
      <c r="O1642" t="str">
        <f t="shared" si="103"/>
        <v>Minor Delay</v>
      </c>
    </row>
    <row r="1643" spans="1:15" x14ac:dyDescent="0.25">
      <c r="A1643">
        <v>1642</v>
      </c>
      <c r="B1643" s="2">
        <v>45913</v>
      </c>
      <c r="C1643" t="s">
        <v>16</v>
      </c>
      <c r="D1643" t="s">
        <v>17</v>
      </c>
      <c r="E1643" t="s">
        <v>23</v>
      </c>
      <c r="F1643" t="s">
        <v>14</v>
      </c>
      <c r="G1643">
        <v>116</v>
      </c>
      <c r="H1643">
        <v>357.06</v>
      </c>
      <c r="I1643">
        <v>29</v>
      </c>
      <c r="J1643" t="s">
        <v>15</v>
      </c>
      <c r="K1643">
        <v>41418.959999999999</v>
      </c>
      <c r="L1643" t="str">
        <f t="shared" si="100"/>
        <v>Sep</v>
      </c>
      <c r="M1643">
        <f t="shared" si="101"/>
        <v>2025</v>
      </c>
      <c r="N1643">
        <f t="shared" si="102"/>
        <v>41418.959999999999</v>
      </c>
      <c r="O1643" t="str">
        <f t="shared" si="103"/>
        <v>Minor Delay</v>
      </c>
    </row>
    <row r="1644" spans="1:15" x14ac:dyDescent="0.25">
      <c r="A1644">
        <v>1643</v>
      </c>
      <c r="B1644" s="2">
        <v>45889</v>
      </c>
      <c r="C1644" t="s">
        <v>16</v>
      </c>
      <c r="D1644" t="s">
        <v>12</v>
      </c>
      <c r="E1644" t="s">
        <v>17</v>
      </c>
      <c r="F1644" t="s">
        <v>21</v>
      </c>
      <c r="G1644">
        <v>115</v>
      </c>
      <c r="H1644">
        <v>75.099999999999994</v>
      </c>
      <c r="I1644">
        <v>0</v>
      </c>
      <c r="J1644" t="s">
        <v>15</v>
      </c>
      <c r="K1644">
        <v>8636.5</v>
      </c>
      <c r="L1644" t="str">
        <f t="shared" si="100"/>
        <v>Aug</v>
      </c>
      <c r="M1644">
        <f t="shared" si="101"/>
        <v>2025</v>
      </c>
      <c r="N1644">
        <f t="shared" si="102"/>
        <v>8636.5</v>
      </c>
      <c r="O1644" t="str">
        <f t="shared" si="103"/>
        <v>On Time</v>
      </c>
    </row>
    <row r="1645" spans="1:15" x14ac:dyDescent="0.25">
      <c r="A1645">
        <v>1644</v>
      </c>
      <c r="B1645" s="2">
        <v>45744</v>
      </c>
      <c r="C1645" t="s">
        <v>16</v>
      </c>
      <c r="D1645" t="s">
        <v>22</v>
      </c>
      <c r="E1645" t="s">
        <v>12</v>
      </c>
      <c r="F1645" t="s">
        <v>21</v>
      </c>
      <c r="G1645">
        <v>53</v>
      </c>
      <c r="H1645">
        <v>63.45</v>
      </c>
      <c r="I1645">
        <v>0</v>
      </c>
      <c r="J1645" t="s">
        <v>15</v>
      </c>
      <c r="K1645">
        <v>3362.85</v>
      </c>
      <c r="L1645" t="str">
        <f t="shared" si="100"/>
        <v>Mar</v>
      </c>
      <c r="M1645">
        <f t="shared" si="101"/>
        <v>2025</v>
      </c>
      <c r="N1645">
        <f t="shared" si="102"/>
        <v>3362.8500000000004</v>
      </c>
      <c r="O1645" t="str">
        <f t="shared" si="103"/>
        <v>On Time</v>
      </c>
    </row>
    <row r="1646" spans="1:15" x14ac:dyDescent="0.25">
      <c r="A1646">
        <v>1645</v>
      </c>
      <c r="B1646" s="2">
        <v>45693</v>
      </c>
      <c r="C1646" t="s">
        <v>11</v>
      </c>
      <c r="D1646" t="s">
        <v>13</v>
      </c>
      <c r="E1646" t="s">
        <v>17</v>
      </c>
      <c r="F1646" t="s">
        <v>14</v>
      </c>
      <c r="G1646">
        <v>212</v>
      </c>
      <c r="H1646">
        <v>519.45000000000005</v>
      </c>
      <c r="I1646">
        <v>27</v>
      </c>
      <c r="J1646" t="s">
        <v>15</v>
      </c>
      <c r="K1646">
        <v>110123.4</v>
      </c>
      <c r="L1646" t="str">
        <f t="shared" si="100"/>
        <v>Feb</v>
      </c>
      <c r="M1646">
        <f t="shared" si="101"/>
        <v>2025</v>
      </c>
      <c r="N1646">
        <f t="shared" si="102"/>
        <v>110123.40000000001</v>
      </c>
      <c r="O1646" t="str">
        <f t="shared" si="103"/>
        <v>Minor Delay</v>
      </c>
    </row>
    <row r="1647" spans="1:15" x14ac:dyDescent="0.25">
      <c r="A1647">
        <v>1646</v>
      </c>
      <c r="B1647" s="2">
        <v>45951</v>
      </c>
      <c r="C1647" t="s">
        <v>11</v>
      </c>
      <c r="D1647" t="s">
        <v>29</v>
      </c>
      <c r="E1647" t="s">
        <v>17</v>
      </c>
      <c r="F1647" t="s">
        <v>24</v>
      </c>
      <c r="G1647">
        <v>230</v>
      </c>
      <c r="H1647">
        <v>686.02</v>
      </c>
      <c r="I1647">
        <v>35</v>
      </c>
      <c r="J1647" t="s">
        <v>15</v>
      </c>
      <c r="K1647">
        <v>157784.6</v>
      </c>
      <c r="L1647" t="str">
        <f t="shared" si="100"/>
        <v>Oct</v>
      </c>
      <c r="M1647">
        <f t="shared" si="101"/>
        <v>2025</v>
      </c>
      <c r="N1647">
        <f t="shared" si="102"/>
        <v>157784.6</v>
      </c>
      <c r="O1647" t="str">
        <f t="shared" si="103"/>
        <v>Moderate Delay</v>
      </c>
    </row>
    <row r="1648" spans="1:15" x14ac:dyDescent="0.25">
      <c r="A1648">
        <v>1647</v>
      </c>
      <c r="B1648" s="2">
        <v>45885</v>
      </c>
      <c r="C1648" t="s">
        <v>16</v>
      </c>
      <c r="D1648" t="s">
        <v>27</v>
      </c>
      <c r="E1648" t="s">
        <v>29</v>
      </c>
      <c r="F1648" t="s">
        <v>21</v>
      </c>
      <c r="G1648">
        <v>59</v>
      </c>
      <c r="H1648">
        <v>752.12</v>
      </c>
      <c r="I1648">
        <v>53</v>
      </c>
      <c r="J1648" t="s">
        <v>15</v>
      </c>
      <c r="K1648">
        <v>44375.08</v>
      </c>
      <c r="L1648" t="str">
        <f t="shared" si="100"/>
        <v>Aug</v>
      </c>
      <c r="M1648">
        <f t="shared" si="101"/>
        <v>2025</v>
      </c>
      <c r="N1648">
        <f t="shared" si="102"/>
        <v>44375.08</v>
      </c>
      <c r="O1648" t="str">
        <f t="shared" si="103"/>
        <v>Moderate Delay</v>
      </c>
    </row>
    <row r="1649" spans="1:15" x14ac:dyDescent="0.25">
      <c r="A1649">
        <v>1648</v>
      </c>
      <c r="B1649" s="2">
        <v>45713</v>
      </c>
      <c r="C1649" t="s">
        <v>26</v>
      </c>
      <c r="D1649" t="s">
        <v>23</v>
      </c>
      <c r="E1649" t="s">
        <v>22</v>
      </c>
      <c r="F1649" t="s">
        <v>21</v>
      </c>
      <c r="G1649">
        <v>96</v>
      </c>
      <c r="H1649">
        <v>496.68</v>
      </c>
      <c r="I1649">
        <v>0</v>
      </c>
      <c r="J1649" t="s">
        <v>15</v>
      </c>
      <c r="K1649">
        <v>47681.279999999999</v>
      </c>
      <c r="L1649" t="str">
        <f t="shared" si="100"/>
        <v>Feb</v>
      </c>
      <c r="M1649">
        <f t="shared" si="101"/>
        <v>2025</v>
      </c>
      <c r="N1649">
        <f t="shared" si="102"/>
        <v>47681.279999999999</v>
      </c>
      <c r="O1649" t="str">
        <f t="shared" si="103"/>
        <v>On Time</v>
      </c>
    </row>
    <row r="1650" spans="1:15" x14ac:dyDescent="0.25">
      <c r="A1650">
        <v>1649</v>
      </c>
      <c r="B1650" s="2">
        <v>45756</v>
      </c>
      <c r="C1650" t="s">
        <v>31</v>
      </c>
      <c r="D1650" t="s">
        <v>12</v>
      </c>
      <c r="E1650" t="s">
        <v>27</v>
      </c>
      <c r="F1650" t="s">
        <v>14</v>
      </c>
      <c r="G1650">
        <v>206</v>
      </c>
      <c r="H1650">
        <v>740.8</v>
      </c>
      <c r="I1650">
        <v>73</v>
      </c>
      <c r="J1650" t="s">
        <v>15</v>
      </c>
      <c r="K1650">
        <v>152604.79999999999</v>
      </c>
      <c r="L1650" t="str">
        <f t="shared" si="100"/>
        <v>Apr</v>
      </c>
      <c r="M1650">
        <f t="shared" si="101"/>
        <v>2025</v>
      </c>
      <c r="N1650">
        <f t="shared" si="102"/>
        <v>152604.79999999999</v>
      </c>
      <c r="O1650" t="str">
        <f t="shared" si="103"/>
        <v>Major Delay</v>
      </c>
    </row>
    <row r="1651" spans="1:15" x14ac:dyDescent="0.25">
      <c r="A1651">
        <v>1650</v>
      </c>
      <c r="B1651" s="2">
        <v>45717</v>
      </c>
      <c r="C1651" t="s">
        <v>25</v>
      </c>
      <c r="D1651" t="s">
        <v>17</v>
      </c>
      <c r="E1651" t="s">
        <v>27</v>
      </c>
      <c r="F1651" t="s">
        <v>21</v>
      </c>
      <c r="G1651">
        <v>66</v>
      </c>
      <c r="H1651">
        <v>310.37</v>
      </c>
      <c r="I1651">
        <v>0</v>
      </c>
      <c r="J1651" t="s">
        <v>15</v>
      </c>
      <c r="K1651">
        <v>20484.419999999998</v>
      </c>
      <c r="L1651" t="str">
        <f t="shared" si="100"/>
        <v>Mar</v>
      </c>
      <c r="M1651">
        <f t="shared" si="101"/>
        <v>2025</v>
      </c>
      <c r="N1651">
        <f t="shared" si="102"/>
        <v>20484.420000000002</v>
      </c>
      <c r="O1651" t="str">
        <f t="shared" si="103"/>
        <v>On Time</v>
      </c>
    </row>
    <row r="1652" spans="1:15" x14ac:dyDescent="0.25">
      <c r="A1652">
        <v>1651</v>
      </c>
      <c r="B1652" s="2">
        <v>45754</v>
      </c>
      <c r="C1652" t="s">
        <v>18</v>
      </c>
      <c r="D1652" t="s">
        <v>19</v>
      </c>
      <c r="E1652" t="s">
        <v>27</v>
      </c>
      <c r="F1652" t="s">
        <v>14</v>
      </c>
      <c r="G1652">
        <v>141</v>
      </c>
      <c r="H1652">
        <v>103.38</v>
      </c>
      <c r="I1652">
        <v>48</v>
      </c>
      <c r="J1652" t="s">
        <v>30</v>
      </c>
      <c r="K1652">
        <v>14576.58</v>
      </c>
      <c r="L1652" t="str">
        <f t="shared" si="100"/>
        <v>Apr</v>
      </c>
      <c r="M1652">
        <f t="shared" si="101"/>
        <v>2025</v>
      </c>
      <c r="N1652">
        <f t="shared" si="102"/>
        <v>14576.58</v>
      </c>
      <c r="O1652" t="str">
        <f t="shared" si="103"/>
        <v>Moderate Delay</v>
      </c>
    </row>
    <row r="1653" spans="1:15" x14ac:dyDescent="0.25">
      <c r="A1653">
        <v>1652</v>
      </c>
      <c r="B1653" s="2">
        <v>45997</v>
      </c>
      <c r="C1653" t="s">
        <v>25</v>
      </c>
      <c r="D1653" t="s">
        <v>12</v>
      </c>
      <c r="E1653" t="s">
        <v>29</v>
      </c>
      <c r="F1653" t="s">
        <v>24</v>
      </c>
      <c r="G1653">
        <v>283</v>
      </c>
      <c r="H1653">
        <v>450.23</v>
      </c>
      <c r="I1653">
        <v>16</v>
      </c>
      <c r="J1653" t="s">
        <v>15</v>
      </c>
      <c r="K1653">
        <v>127415.09</v>
      </c>
      <c r="L1653" t="str">
        <f t="shared" si="100"/>
        <v>Dec</v>
      </c>
      <c r="M1653">
        <f t="shared" si="101"/>
        <v>2025</v>
      </c>
      <c r="N1653">
        <f t="shared" si="102"/>
        <v>127415.09000000001</v>
      </c>
      <c r="O1653" t="str">
        <f t="shared" si="103"/>
        <v>Minor Delay</v>
      </c>
    </row>
    <row r="1654" spans="1:15" x14ac:dyDescent="0.25">
      <c r="A1654">
        <v>1653</v>
      </c>
      <c r="B1654" s="2">
        <v>45937</v>
      </c>
      <c r="C1654" t="s">
        <v>25</v>
      </c>
      <c r="D1654" t="s">
        <v>27</v>
      </c>
      <c r="E1654" t="s">
        <v>17</v>
      </c>
      <c r="F1654" t="s">
        <v>14</v>
      </c>
      <c r="G1654">
        <v>122</v>
      </c>
      <c r="H1654">
        <v>297.02999999999997</v>
      </c>
      <c r="I1654">
        <v>4</v>
      </c>
      <c r="J1654" t="s">
        <v>30</v>
      </c>
      <c r="K1654">
        <v>36237.660000000003</v>
      </c>
      <c r="L1654" t="str">
        <f t="shared" si="100"/>
        <v>Oct</v>
      </c>
      <c r="M1654">
        <f t="shared" si="101"/>
        <v>2025</v>
      </c>
      <c r="N1654">
        <f t="shared" si="102"/>
        <v>36237.659999999996</v>
      </c>
      <c r="O1654" t="str">
        <f t="shared" si="103"/>
        <v>Minor Delay</v>
      </c>
    </row>
    <row r="1655" spans="1:15" x14ac:dyDescent="0.25">
      <c r="A1655">
        <v>1654</v>
      </c>
      <c r="B1655" s="2">
        <v>45880</v>
      </c>
      <c r="C1655" t="s">
        <v>18</v>
      </c>
      <c r="D1655" t="s">
        <v>17</v>
      </c>
      <c r="E1655" t="s">
        <v>20</v>
      </c>
      <c r="F1655" t="s">
        <v>14</v>
      </c>
      <c r="G1655">
        <v>175</v>
      </c>
      <c r="H1655">
        <v>77.64</v>
      </c>
      <c r="I1655">
        <v>25</v>
      </c>
      <c r="J1655" t="s">
        <v>15</v>
      </c>
      <c r="K1655">
        <v>13587</v>
      </c>
      <c r="L1655" t="str">
        <f t="shared" si="100"/>
        <v>Aug</v>
      </c>
      <c r="M1655">
        <f t="shared" si="101"/>
        <v>2025</v>
      </c>
      <c r="N1655">
        <f t="shared" si="102"/>
        <v>13587</v>
      </c>
      <c r="O1655" t="str">
        <f t="shared" si="103"/>
        <v>Minor Delay</v>
      </c>
    </row>
    <row r="1656" spans="1:15" x14ac:dyDescent="0.25">
      <c r="A1656">
        <v>1655</v>
      </c>
      <c r="B1656" s="2">
        <v>45970</v>
      </c>
      <c r="C1656" t="s">
        <v>18</v>
      </c>
      <c r="D1656" t="s">
        <v>27</v>
      </c>
      <c r="E1656" t="s">
        <v>20</v>
      </c>
      <c r="F1656" t="s">
        <v>24</v>
      </c>
      <c r="G1656">
        <v>177</v>
      </c>
      <c r="H1656">
        <v>794.29</v>
      </c>
      <c r="I1656">
        <v>25</v>
      </c>
      <c r="J1656" t="s">
        <v>15</v>
      </c>
      <c r="K1656">
        <v>140589.32999999999</v>
      </c>
      <c r="L1656" t="str">
        <f t="shared" si="100"/>
        <v>Nov</v>
      </c>
      <c r="M1656">
        <f t="shared" si="101"/>
        <v>2025</v>
      </c>
      <c r="N1656">
        <f t="shared" si="102"/>
        <v>140589.32999999999</v>
      </c>
      <c r="O1656" t="str">
        <f t="shared" si="103"/>
        <v>Minor Delay</v>
      </c>
    </row>
    <row r="1657" spans="1:15" x14ac:dyDescent="0.25">
      <c r="A1657">
        <v>1656</v>
      </c>
      <c r="B1657" s="2">
        <v>45754</v>
      </c>
      <c r="C1657" t="s">
        <v>16</v>
      </c>
      <c r="D1657" t="s">
        <v>27</v>
      </c>
      <c r="E1657" t="s">
        <v>13</v>
      </c>
      <c r="F1657" t="s">
        <v>24</v>
      </c>
      <c r="G1657">
        <v>278</v>
      </c>
      <c r="H1657">
        <v>494.73</v>
      </c>
      <c r="I1657">
        <v>0</v>
      </c>
      <c r="J1657" t="s">
        <v>30</v>
      </c>
      <c r="K1657">
        <v>137534.94</v>
      </c>
      <c r="L1657" t="str">
        <f t="shared" si="100"/>
        <v>Apr</v>
      </c>
      <c r="M1657">
        <f t="shared" si="101"/>
        <v>2025</v>
      </c>
      <c r="N1657">
        <f t="shared" si="102"/>
        <v>137534.94</v>
      </c>
      <c r="O1657" t="str">
        <f t="shared" si="103"/>
        <v>On Time</v>
      </c>
    </row>
    <row r="1658" spans="1:15" x14ac:dyDescent="0.25">
      <c r="A1658">
        <v>1657</v>
      </c>
      <c r="B1658" s="2">
        <v>45986</v>
      </c>
      <c r="C1658" t="s">
        <v>26</v>
      </c>
      <c r="D1658" t="s">
        <v>27</v>
      </c>
      <c r="E1658" t="s">
        <v>29</v>
      </c>
      <c r="F1658" t="s">
        <v>21</v>
      </c>
      <c r="G1658">
        <v>62</v>
      </c>
      <c r="H1658">
        <v>455.38</v>
      </c>
      <c r="I1658">
        <v>40</v>
      </c>
      <c r="J1658" t="s">
        <v>15</v>
      </c>
      <c r="K1658">
        <v>28233.56</v>
      </c>
      <c r="L1658" t="str">
        <f t="shared" si="100"/>
        <v>Nov</v>
      </c>
      <c r="M1658">
        <f t="shared" si="101"/>
        <v>2025</v>
      </c>
      <c r="N1658">
        <f t="shared" si="102"/>
        <v>28233.56</v>
      </c>
      <c r="O1658" t="str">
        <f t="shared" si="103"/>
        <v>Moderate Delay</v>
      </c>
    </row>
    <row r="1659" spans="1:15" x14ac:dyDescent="0.25">
      <c r="A1659">
        <v>1658</v>
      </c>
      <c r="B1659" s="2">
        <v>46008</v>
      </c>
      <c r="C1659" t="s">
        <v>18</v>
      </c>
      <c r="D1659" t="s">
        <v>27</v>
      </c>
      <c r="E1659" t="s">
        <v>13</v>
      </c>
      <c r="F1659" t="s">
        <v>21</v>
      </c>
      <c r="G1659">
        <v>180</v>
      </c>
      <c r="H1659">
        <v>447.75</v>
      </c>
      <c r="I1659">
        <v>26</v>
      </c>
      <c r="J1659" t="s">
        <v>15</v>
      </c>
      <c r="K1659">
        <v>80595</v>
      </c>
      <c r="L1659" t="str">
        <f t="shared" si="100"/>
        <v>Dec</v>
      </c>
      <c r="M1659">
        <f t="shared" si="101"/>
        <v>2025</v>
      </c>
      <c r="N1659">
        <f t="shared" si="102"/>
        <v>80595</v>
      </c>
      <c r="O1659" t="str">
        <f t="shared" si="103"/>
        <v>Minor Delay</v>
      </c>
    </row>
    <row r="1660" spans="1:15" x14ac:dyDescent="0.25">
      <c r="A1660">
        <v>1659</v>
      </c>
      <c r="B1660" s="2">
        <v>45767</v>
      </c>
      <c r="C1660" t="s">
        <v>16</v>
      </c>
      <c r="D1660" t="s">
        <v>22</v>
      </c>
      <c r="E1660" t="s">
        <v>13</v>
      </c>
      <c r="F1660" t="s">
        <v>24</v>
      </c>
      <c r="G1660">
        <v>293</v>
      </c>
      <c r="H1660">
        <v>197.42</v>
      </c>
      <c r="I1660">
        <v>23</v>
      </c>
      <c r="J1660" t="s">
        <v>15</v>
      </c>
      <c r="K1660">
        <v>57844.06</v>
      </c>
      <c r="L1660" t="str">
        <f t="shared" si="100"/>
        <v>Apr</v>
      </c>
      <c r="M1660">
        <f t="shared" si="101"/>
        <v>2025</v>
      </c>
      <c r="N1660">
        <f t="shared" si="102"/>
        <v>57844.06</v>
      </c>
      <c r="O1660" t="str">
        <f t="shared" si="103"/>
        <v>Minor Delay</v>
      </c>
    </row>
    <row r="1661" spans="1:15" x14ac:dyDescent="0.25">
      <c r="A1661">
        <v>1660</v>
      </c>
      <c r="B1661" s="2">
        <v>45950</v>
      </c>
      <c r="C1661" t="s">
        <v>25</v>
      </c>
      <c r="D1661" t="s">
        <v>20</v>
      </c>
      <c r="E1661" t="s">
        <v>19</v>
      </c>
      <c r="F1661" t="s">
        <v>21</v>
      </c>
      <c r="G1661">
        <v>53</v>
      </c>
      <c r="H1661">
        <v>93.47</v>
      </c>
      <c r="I1661">
        <v>41</v>
      </c>
      <c r="J1661" t="s">
        <v>15</v>
      </c>
      <c r="K1661">
        <v>4953.91</v>
      </c>
      <c r="L1661" t="str">
        <f t="shared" si="100"/>
        <v>Oct</v>
      </c>
      <c r="M1661">
        <f t="shared" si="101"/>
        <v>2025</v>
      </c>
      <c r="N1661">
        <f t="shared" si="102"/>
        <v>4953.91</v>
      </c>
      <c r="O1661" t="str">
        <f t="shared" si="103"/>
        <v>Moderate Delay</v>
      </c>
    </row>
    <row r="1662" spans="1:15" x14ac:dyDescent="0.25">
      <c r="A1662">
        <v>1661</v>
      </c>
      <c r="B1662" s="2">
        <v>45660</v>
      </c>
      <c r="C1662" t="s">
        <v>11</v>
      </c>
      <c r="D1662" t="s">
        <v>12</v>
      </c>
      <c r="E1662" t="s">
        <v>22</v>
      </c>
      <c r="F1662" t="s">
        <v>21</v>
      </c>
      <c r="G1662">
        <v>258</v>
      </c>
      <c r="H1662">
        <v>737.28</v>
      </c>
      <c r="I1662">
        <v>12</v>
      </c>
      <c r="J1662" t="s">
        <v>15</v>
      </c>
      <c r="K1662">
        <v>190218.23999999999</v>
      </c>
      <c r="L1662" t="str">
        <f t="shared" si="100"/>
        <v>Jan</v>
      </c>
      <c r="M1662">
        <f t="shared" si="101"/>
        <v>2025</v>
      </c>
      <c r="N1662">
        <f t="shared" si="102"/>
        <v>190218.23999999999</v>
      </c>
      <c r="O1662" t="str">
        <f t="shared" si="103"/>
        <v>Minor Delay</v>
      </c>
    </row>
    <row r="1663" spans="1:15" x14ac:dyDescent="0.25">
      <c r="A1663">
        <v>1662</v>
      </c>
      <c r="B1663" s="2">
        <v>45863</v>
      </c>
      <c r="C1663" t="s">
        <v>16</v>
      </c>
      <c r="D1663" t="s">
        <v>19</v>
      </c>
      <c r="E1663" t="s">
        <v>17</v>
      </c>
      <c r="F1663" t="s">
        <v>14</v>
      </c>
      <c r="G1663">
        <v>86</v>
      </c>
      <c r="H1663">
        <v>503.08</v>
      </c>
      <c r="I1663">
        <v>33</v>
      </c>
      <c r="J1663" t="s">
        <v>15</v>
      </c>
      <c r="K1663">
        <v>43264.88</v>
      </c>
      <c r="L1663" t="str">
        <f t="shared" si="100"/>
        <v>Jul</v>
      </c>
      <c r="M1663">
        <f t="shared" si="101"/>
        <v>2025</v>
      </c>
      <c r="N1663">
        <f t="shared" si="102"/>
        <v>43264.88</v>
      </c>
      <c r="O1663" t="str">
        <f t="shared" si="103"/>
        <v>Moderate Delay</v>
      </c>
    </row>
    <row r="1664" spans="1:15" x14ac:dyDescent="0.25">
      <c r="A1664">
        <v>1663</v>
      </c>
      <c r="B1664" s="2">
        <v>46006</v>
      </c>
      <c r="C1664" t="s">
        <v>31</v>
      </c>
      <c r="D1664" t="s">
        <v>23</v>
      </c>
      <c r="E1664" t="s">
        <v>20</v>
      </c>
      <c r="F1664" t="s">
        <v>21</v>
      </c>
      <c r="G1664">
        <v>271</v>
      </c>
      <c r="H1664">
        <v>727.54</v>
      </c>
      <c r="I1664">
        <v>0</v>
      </c>
      <c r="J1664" t="s">
        <v>15</v>
      </c>
      <c r="K1664">
        <v>197163.34</v>
      </c>
      <c r="L1664" t="str">
        <f t="shared" si="100"/>
        <v>Dec</v>
      </c>
      <c r="M1664">
        <f t="shared" si="101"/>
        <v>2025</v>
      </c>
      <c r="N1664">
        <f t="shared" si="102"/>
        <v>197163.34</v>
      </c>
      <c r="O1664" t="str">
        <f t="shared" si="103"/>
        <v>On Time</v>
      </c>
    </row>
    <row r="1665" spans="1:15" x14ac:dyDescent="0.25">
      <c r="A1665">
        <v>1664</v>
      </c>
      <c r="B1665" s="2">
        <v>46011</v>
      </c>
      <c r="C1665" t="s">
        <v>16</v>
      </c>
      <c r="D1665" t="s">
        <v>23</v>
      </c>
      <c r="E1665" t="s">
        <v>20</v>
      </c>
      <c r="F1665" t="s">
        <v>24</v>
      </c>
      <c r="G1665">
        <v>260</v>
      </c>
      <c r="H1665">
        <v>366.09</v>
      </c>
      <c r="I1665">
        <v>75</v>
      </c>
      <c r="J1665" t="s">
        <v>15</v>
      </c>
      <c r="K1665">
        <v>95183.4</v>
      </c>
      <c r="L1665" t="str">
        <f t="shared" si="100"/>
        <v>Dec</v>
      </c>
      <c r="M1665">
        <f t="shared" si="101"/>
        <v>2025</v>
      </c>
      <c r="N1665">
        <f t="shared" si="102"/>
        <v>95183.4</v>
      </c>
      <c r="O1665" t="str">
        <f t="shared" si="103"/>
        <v>Major Delay</v>
      </c>
    </row>
    <row r="1666" spans="1:15" x14ac:dyDescent="0.25">
      <c r="A1666">
        <v>1665</v>
      </c>
      <c r="B1666" s="2">
        <v>45787</v>
      </c>
      <c r="C1666" t="s">
        <v>31</v>
      </c>
      <c r="D1666" t="s">
        <v>19</v>
      </c>
      <c r="E1666" t="s">
        <v>27</v>
      </c>
      <c r="F1666" t="s">
        <v>14</v>
      </c>
      <c r="G1666">
        <v>210</v>
      </c>
      <c r="H1666">
        <v>572.47</v>
      </c>
      <c r="I1666">
        <v>61</v>
      </c>
      <c r="J1666" t="s">
        <v>15</v>
      </c>
      <c r="K1666">
        <v>120218.7</v>
      </c>
      <c r="L1666" t="str">
        <f t="shared" si="100"/>
        <v>May</v>
      </c>
      <c r="M1666">
        <f t="shared" si="101"/>
        <v>2025</v>
      </c>
      <c r="N1666">
        <f t="shared" si="102"/>
        <v>120218.70000000001</v>
      </c>
      <c r="O1666" t="str">
        <f t="shared" si="103"/>
        <v>Major Delay</v>
      </c>
    </row>
    <row r="1667" spans="1:15" x14ac:dyDescent="0.25">
      <c r="A1667">
        <v>1666</v>
      </c>
      <c r="B1667" s="2">
        <v>45984</v>
      </c>
      <c r="C1667" t="s">
        <v>16</v>
      </c>
      <c r="D1667" t="s">
        <v>19</v>
      </c>
      <c r="E1667" t="s">
        <v>12</v>
      </c>
      <c r="F1667" t="s">
        <v>14</v>
      </c>
      <c r="G1667">
        <v>90</v>
      </c>
      <c r="H1667">
        <v>727.64</v>
      </c>
      <c r="I1667">
        <v>31</v>
      </c>
      <c r="J1667" t="s">
        <v>15</v>
      </c>
      <c r="K1667">
        <v>65487.6</v>
      </c>
      <c r="L1667" t="str">
        <f t="shared" ref="L1667:L1730" si="104">TEXT(B1667,"MMM")</f>
        <v>Nov</v>
      </c>
      <c r="M1667">
        <f t="shared" ref="M1667:M1730" si="105">YEAR(B1667)</f>
        <v>2025</v>
      </c>
      <c r="N1667">
        <f t="shared" ref="N1667:N1730" si="106">G1667*H1667</f>
        <v>65487.6</v>
      </c>
      <c r="O1667" t="str">
        <f t="shared" ref="O1667:O1730" si="107">IF(I1667=0,"On Time",IF(I1667&lt;=30,"Minor Delay",IF(I1667&lt;=60,"Moderate Delay","Major Delay")))</f>
        <v>Moderate Delay</v>
      </c>
    </row>
    <row r="1668" spans="1:15" x14ac:dyDescent="0.25">
      <c r="A1668">
        <v>1667</v>
      </c>
      <c r="B1668" s="2">
        <v>45743</v>
      </c>
      <c r="C1668" t="s">
        <v>25</v>
      </c>
      <c r="D1668" t="s">
        <v>29</v>
      </c>
      <c r="E1668" t="s">
        <v>17</v>
      </c>
      <c r="F1668" t="s">
        <v>24</v>
      </c>
      <c r="G1668">
        <v>294</v>
      </c>
      <c r="H1668">
        <v>563.87</v>
      </c>
      <c r="I1668">
        <v>42</v>
      </c>
      <c r="J1668" t="s">
        <v>15</v>
      </c>
      <c r="K1668">
        <v>165777.78</v>
      </c>
      <c r="L1668" t="str">
        <f t="shared" si="104"/>
        <v>Mar</v>
      </c>
      <c r="M1668">
        <f t="shared" si="105"/>
        <v>2025</v>
      </c>
      <c r="N1668">
        <f t="shared" si="106"/>
        <v>165777.78</v>
      </c>
      <c r="O1668" t="str">
        <f t="shared" si="107"/>
        <v>Moderate Delay</v>
      </c>
    </row>
    <row r="1669" spans="1:15" x14ac:dyDescent="0.25">
      <c r="A1669">
        <v>1668</v>
      </c>
      <c r="B1669" s="2">
        <v>45713</v>
      </c>
      <c r="C1669" t="s">
        <v>16</v>
      </c>
      <c r="D1669" t="s">
        <v>23</v>
      </c>
      <c r="E1669" t="s">
        <v>22</v>
      </c>
      <c r="F1669" t="s">
        <v>24</v>
      </c>
      <c r="G1669">
        <v>260</v>
      </c>
      <c r="H1669">
        <v>715.34</v>
      </c>
      <c r="I1669">
        <v>9</v>
      </c>
      <c r="J1669" t="s">
        <v>15</v>
      </c>
      <c r="K1669">
        <v>185988.4</v>
      </c>
      <c r="L1669" t="str">
        <f t="shared" si="104"/>
        <v>Feb</v>
      </c>
      <c r="M1669">
        <f t="shared" si="105"/>
        <v>2025</v>
      </c>
      <c r="N1669">
        <f t="shared" si="106"/>
        <v>185988.4</v>
      </c>
      <c r="O1669" t="str">
        <f t="shared" si="107"/>
        <v>Minor Delay</v>
      </c>
    </row>
    <row r="1670" spans="1:15" x14ac:dyDescent="0.25">
      <c r="A1670">
        <v>1669</v>
      </c>
      <c r="B1670" s="2">
        <v>45760</v>
      </c>
      <c r="C1670" t="s">
        <v>11</v>
      </c>
      <c r="D1670" t="s">
        <v>12</v>
      </c>
      <c r="E1670" t="s">
        <v>27</v>
      </c>
      <c r="F1670" t="s">
        <v>21</v>
      </c>
      <c r="G1670">
        <v>59</v>
      </c>
      <c r="H1670">
        <v>407.03</v>
      </c>
      <c r="I1670">
        <v>33</v>
      </c>
      <c r="J1670" t="s">
        <v>30</v>
      </c>
      <c r="K1670">
        <v>24014.77</v>
      </c>
      <c r="L1670" t="str">
        <f t="shared" si="104"/>
        <v>Apr</v>
      </c>
      <c r="M1670">
        <f t="shared" si="105"/>
        <v>2025</v>
      </c>
      <c r="N1670">
        <f t="shared" si="106"/>
        <v>24014.769999999997</v>
      </c>
      <c r="O1670" t="str">
        <f t="shared" si="107"/>
        <v>Moderate Delay</v>
      </c>
    </row>
    <row r="1671" spans="1:15" x14ac:dyDescent="0.25">
      <c r="A1671">
        <v>1670</v>
      </c>
      <c r="B1671" s="2">
        <v>46013</v>
      </c>
      <c r="C1671" t="s">
        <v>16</v>
      </c>
      <c r="D1671" t="s">
        <v>29</v>
      </c>
      <c r="E1671" t="s">
        <v>12</v>
      </c>
      <c r="F1671" t="s">
        <v>14</v>
      </c>
      <c r="G1671">
        <v>161</v>
      </c>
      <c r="H1671">
        <v>515.34</v>
      </c>
      <c r="I1671">
        <v>31</v>
      </c>
      <c r="J1671" t="s">
        <v>15</v>
      </c>
      <c r="K1671">
        <v>82969.740000000005</v>
      </c>
      <c r="L1671" t="str">
        <f t="shared" si="104"/>
        <v>Dec</v>
      </c>
      <c r="M1671">
        <f t="shared" si="105"/>
        <v>2025</v>
      </c>
      <c r="N1671">
        <f t="shared" si="106"/>
        <v>82969.740000000005</v>
      </c>
      <c r="O1671" t="str">
        <f t="shared" si="107"/>
        <v>Moderate Delay</v>
      </c>
    </row>
    <row r="1672" spans="1:15" x14ac:dyDescent="0.25">
      <c r="A1672">
        <v>1671</v>
      </c>
      <c r="B1672" s="2">
        <v>45963</v>
      </c>
      <c r="C1672" t="s">
        <v>16</v>
      </c>
      <c r="D1672" t="s">
        <v>29</v>
      </c>
      <c r="E1672" t="s">
        <v>27</v>
      </c>
      <c r="F1672" t="s">
        <v>21</v>
      </c>
      <c r="G1672">
        <v>289</v>
      </c>
      <c r="H1672">
        <v>432.68</v>
      </c>
      <c r="I1672">
        <v>62</v>
      </c>
      <c r="J1672" t="s">
        <v>15</v>
      </c>
      <c r="K1672">
        <v>125044.52</v>
      </c>
      <c r="L1672" t="str">
        <f t="shared" si="104"/>
        <v>Nov</v>
      </c>
      <c r="M1672">
        <f t="shared" si="105"/>
        <v>2025</v>
      </c>
      <c r="N1672">
        <f t="shared" si="106"/>
        <v>125044.52</v>
      </c>
      <c r="O1672" t="str">
        <f t="shared" si="107"/>
        <v>Major Delay</v>
      </c>
    </row>
    <row r="1673" spans="1:15" x14ac:dyDescent="0.25">
      <c r="A1673">
        <v>1672</v>
      </c>
      <c r="B1673" s="2">
        <v>45736</v>
      </c>
      <c r="C1673" t="s">
        <v>26</v>
      </c>
      <c r="D1673" t="s">
        <v>13</v>
      </c>
      <c r="E1673" t="s">
        <v>12</v>
      </c>
      <c r="F1673" t="s">
        <v>24</v>
      </c>
      <c r="G1673">
        <v>285</v>
      </c>
      <c r="H1673">
        <v>189.89</v>
      </c>
      <c r="I1673">
        <v>13</v>
      </c>
      <c r="J1673" t="s">
        <v>15</v>
      </c>
      <c r="K1673">
        <v>54118.65</v>
      </c>
      <c r="L1673" t="str">
        <f t="shared" si="104"/>
        <v>Mar</v>
      </c>
      <c r="M1673">
        <f t="shared" si="105"/>
        <v>2025</v>
      </c>
      <c r="N1673">
        <f t="shared" si="106"/>
        <v>54118.649999999994</v>
      </c>
      <c r="O1673" t="str">
        <f t="shared" si="107"/>
        <v>Minor Delay</v>
      </c>
    </row>
    <row r="1674" spans="1:15" x14ac:dyDescent="0.25">
      <c r="A1674">
        <v>1673</v>
      </c>
      <c r="B1674" s="2">
        <v>45852</v>
      </c>
      <c r="C1674" t="s">
        <v>11</v>
      </c>
      <c r="D1674" t="s">
        <v>13</v>
      </c>
      <c r="E1674" t="s">
        <v>20</v>
      </c>
      <c r="F1674" t="s">
        <v>24</v>
      </c>
      <c r="G1674">
        <v>179</v>
      </c>
      <c r="H1674">
        <v>107.1</v>
      </c>
      <c r="I1674">
        <v>26</v>
      </c>
      <c r="J1674" t="s">
        <v>15</v>
      </c>
      <c r="K1674">
        <v>19170.900000000001</v>
      </c>
      <c r="L1674" t="str">
        <f t="shared" si="104"/>
        <v>Jul</v>
      </c>
      <c r="M1674">
        <f t="shared" si="105"/>
        <v>2025</v>
      </c>
      <c r="N1674">
        <f t="shared" si="106"/>
        <v>19170.899999999998</v>
      </c>
      <c r="O1674" t="str">
        <f t="shared" si="107"/>
        <v>Minor Delay</v>
      </c>
    </row>
    <row r="1675" spans="1:15" x14ac:dyDescent="0.25">
      <c r="A1675">
        <v>1674</v>
      </c>
      <c r="B1675" s="2">
        <v>45883</v>
      </c>
      <c r="C1675" t="s">
        <v>16</v>
      </c>
      <c r="D1675" t="s">
        <v>20</v>
      </c>
      <c r="E1675" t="s">
        <v>13</v>
      </c>
      <c r="F1675" t="s">
        <v>14</v>
      </c>
      <c r="G1675">
        <v>204</v>
      </c>
      <c r="H1675">
        <v>451.13</v>
      </c>
      <c r="I1675">
        <v>35</v>
      </c>
      <c r="J1675" t="s">
        <v>15</v>
      </c>
      <c r="K1675">
        <v>92030.52</v>
      </c>
      <c r="L1675" t="str">
        <f t="shared" si="104"/>
        <v>Aug</v>
      </c>
      <c r="M1675">
        <f t="shared" si="105"/>
        <v>2025</v>
      </c>
      <c r="N1675">
        <f t="shared" si="106"/>
        <v>92030.52</v>
      </c>
      <c r="O1675" t="str">
        <f t="shared" si="107"/>
        <v>Moderate Delay</v>
      </c>
    </row>
    <row r="1676" spans="1:15" x14ac:dyDescent="0.25">
      <c r="A1676">
        <v>1675</v>
      </c>
      <c r="B1676" s="2">
        <v>45687</v>
      </c>
      <c r="C1676" t="s">
        <v>16</v>
      </c>
      <c r="D1676" t="s">
        <v>29</v>
      </c>
      <c r="E1676" t="s">
        <v>17</v>
      </c>
      <c r="F1676" t="s">
        <v>21</v>
      </c>
      <c r="G1676">
        <v>66</v>
      </c>
      <c r="H1676">
        <v>363.34</v>
      </c>
      <c r="I1676">
        <v>0</v>
      </c>
      <c r="J1676" t="s">
        <v>15</v>
      </c>
      <c r="K1676">
        <v>23980.44</v>
      </c>
      <c r="L1676" t="str">
        <f t="shared" si="104"/>
        <v>Jan</v>
      </c>
      <c r="M1676">
        <f t="shared" si="105"/>
        <v>2025</v>
      </c>
      <c r="N1676">
        <f t="shared" si="106"/>
        <v>23980.44</v>
      </c>
      <c r="O1676" t="str">
        <f t="shared" si="107"/>
        <v>On Time</v>
      </c>
    </row>
    <row r="1677" spans="1:15" x14ac:dyDescent="0.25">
      <c r="A1677">
        <v>1676</v>
      </c>
      <c r="B1677" s="2">
        <v>45677</v>
      </c>
      <c r="C1677" t="s">
        <v>11</v>
      </c>
      <c r="D1677" t="s">
        <v>22</v>
      </c>
      <c r="E1677" t="s">
        <v>17</v>
      </c>
      <c r="F1677" t="s">
        <v>14</v>
      </c>
      <c r="G1677">
        <v>225</v>
      </c>
      <c r="H1677">
        <v>232.91</v>
      </c>
      <c r="I1677">
        <v>12</v>
      </c>
      <c r="J1677" t="s">
        <v>15</v>
      </c>
      <c r="K1677">
        <v>52404.75</v>
      </c>
      <c r="L1677" t="str">
        <f t="shared" si="104"/>
        <v>Jan</v>
      </c>
      <c r="M1677">
        <f t="shared" si="105"/>
        <v>2025</v>
      </c>
      <c r="N1677">
        <f t="shared" si="106"/>
        <v>52404.75</v>
      </c>
      <c r="O1677" t="str">
        <f t="shared" si="107"/>
        <v>Minor Delay</v>
      </c>
    </row>
    <row r="1678" spans="1:15" x14ac:dyDescent="0.25">
      <c r="A1678">
        <v>1677</v>
      </c>
      <c r="B1678" s="2">
        <v>45948</v>
      </c>
      <c r="C1678" t="s">
        <v>16</v>
      </c>
      <c r="D1678" t="s">
        <v>13</v>
      </c>
      <c r="E1678" t="s">
        <v>20</v>
      </c>
      <c r="F1678" t="s">
        <v>14</v>
      </c>
      <c r="G1678">
        <v>245</v>
      </c>
      <c r="H1678">
        <v>524.92999999999995</v>
      </c>
      <c r="I1678">
        <v>10</v>
      </c>
      <c r="J1678" t="s">
        <v>15</v>
      </c>
      <c r="K1678">
        <v>128607.85</v>
      </c>
      <c r="L1678" t="str">
        <f t="shared" si="104"/>
        <v>Oct</v>
      </c>
      <c r="M1678">
        <f t="shared" si="105"/>
        <v>2025</v>
      </c>
      <c r="N1678">
        <f t="shared" si="106"/>
        <v>128607.84999999999</v>
      </c>
      <c r="O1678" t="str">
        <f t="shared" si="107"/>
        <v>Minor Delay</v>
      </c>
    </row>
    <row r="1679" spans="1:15" x14ac:dyDescent="0.25">
      <c r="A1679">
        <v>1678</v>
      </c>
      <c r="B1679" s="2">
        <v>45802</v>
      </c>
      <c r="C1679" t="s">
        <v>25</v>
      </c>
      <c r="D1679" t="s">
        <v>20</v>
      </c>
      <c r="E1679" t="s">
        <v>17</v>
      </c>
      <c r="F1679" t="s">
        <v>21</v>
      </c>
      <c r="G1679">
        <v>149</v>
      </c>
      <c r="H1679">
        <v>392.76</v>
      </c>
      <c r="I1679">
        <v>16</v>
      </c>
      <c r="J1679" t="s">
        <v>15</v>
      </c>
      <c r="K1679">
        <v>58521.24</v>
      </c>
      <c r="L1679" t="str">
        <f t="shared" si="104"/>
        <v>May</v>
      </c>
      <c r="M1679">
        <f t="shared" si="105"/>
        <v>2025</v>
      </c>
      <c r="N1679">
        <f t="shared" si="106"/>
        <v>58521.24</v>
      </c>
      <c r="O1679" t="str">
        <f t="shared" si="107"/>
        <v>Minor Delay</v>
      </c>
    </row>
    <row r="1680" spans="1:15" x14ac:dyDescent="0.25">
      <c r="A1680">
        <v>1679</v>
      </c>
      <c r="B1680" s="2">
        <v>45834</v>
      </c>
      <c r="C1680" t="s">
        <v>25</v>
      </c>
      <c r="D1680" t="s">
        <v>20</v>
      </c>
      <c r="E1680" t="s">
        <v>23</v>
      </c>
      <c r="F1680" t="s">
        <v>24</v>
      </c>
      <c r="G1680">
        <v>172</v>
      </c>
      <c r="H1680">
        <v>740.38</v>
      </c>
      <c r="I1680">
        <v>37</v>
      </c>
      <c r="J1680" t="s">
        <v>15</v>
      </c>
      <c r="K1680">
        <v>127345.36</v>
      </c>
      <c r="L1680" t="str">
        <f t="shared" si="104"/>
        <v>Jun</v>
      </c>
      <c r="M1680">
        <f t="shared" si="105"/>
        <v>2025</v>
      </c>
      <c r="N1680">
        <f t="shared" si="106"/>
        <v>127345.36</v>
      </c>
      <c r="O1680" t="str">
        <f t="shared" si="107"/>
        <v>Moderate Delay</v>
      </c>
    </row>
    <row r="1681" spans="1:15" x14ac:dyDescent="0.25">
      <c r="A1681">
        <v>1680</v>
      </c>
      <c r="B1681" s="2">
        <v>45984</v>
      </c>
      <c r="C1681" t="s">
        <v>25</v>
      </c>
      <c r="D1681" t="s">
        <v>29</v>
      </c>
      <c r="E1681" t="s">
        <v>22</v>
      </c>
      <c r="F1681" t="s">
        <v>14</v>
      </c>
      <c r="G1681">
        <v>296</v>
      </c>
      <c r="H1681">
        <v>775.85</v>
      </c>
      <c r="I1681">
        <v>45</v>
      </c>
      <c r="J1681" t="s">
        <v>28</v>
      </c>
      <c r="K1681">
        <v>229651.6</v>
      </c>
      <c r="L1681" t="str">
        <f t="shared" si="104"/>
        <v>Nov</v>
      </c>
      <c r="M1681">
        <f t="shared" si="105"/>
        <v>2025</v>
      </c>
      <c r="N1681">
        <f t="shared" si="106"/>
        <v>229651.6</v>
      </c>
      <c r="O1681" t="str">
        <f t="shared" si="107"/>
        <v>Moderate Delay</v>
      </c>
    </row>
    <row r="1682" spans="1:15" x14ac:dyDescent="0.25">
      <c r="A1682">
        <v>1681</v>
      </c>
      <c r="B1682" s="2">
        <v>45668</v>
      </c>
      <c r="C1682" t="s">
        <v>18</v>
      </c>
      <c r="D1682" t="s">
        <v>29</v>
      </c>
      <c r="E1682" t="s">
        <v>17</v>
      </c>
      <c r="F1682" t="s">
        <v>24</v>
      </c>
      <c r="G1682">
        <v>86</v>
      </c>
      <c r="H1682">
        <v>91.49</v>
      </c>
      <c r="I1682">
        <v>0</v>
      </c>
      <c r="J1682" t="s">
        <v>30</v>
      </c>
      <c r="K1682">
        <v>7868.14</v>
      </c>
      <c r="L1682" t="str">
        <f t="shared" si="104"/>
        <v>Jan</v>
      </c>
      <c r="M1682">
        <f t="shared" si="105"/>
        <v>2025</v>
      </c>
      <c r="N1682">
        <f t="shared" si="106"/>
        <v>7868.1399999999994</v>
      </c>
      <c r="O1682" t="str">
        <f t="shared" si="107"/>
        <v>On Time</v>
      </c>
    </row>
    <row r="1683" spans="1:15" x14ac:dyDescent="0.25">
      <c r="A1683">
        <v>1682</v>
      </c>
      <c r="B1683" s="2">
        <v>45978</v>
      </c>
      <c r="C1683" t="s">
        <v>26</v>
      </c>
      <c r="D1683" t="s">
        <v>17</v>
      </c>
      <c r="E1683" t="s">
        <v>29</v>
      </c>
      <c r="F1683" t="s">
        <v>14</v>
      </c>
      <c r="G1683">
        <v>291</v>
      </c>
      <c r="H1683">
        <v>360.29</v>
      </c>
      <c r="I1683">
        <v>47</v>
      </c>
      <c r="J1683" t="s">
        <v>30</v>
      </c>
      <c r="K1683">
        <v>104844.39</v>
      </c>
      <c r="L1683" t="str">
        <f t="shared" si="104"/>
        <v>Nov</v>
      </c>
      <c r="M1683">
        <f t="shared" si="105"/>
        <v>2025</v>
      </c>
      <c r="N1683">
        <f t="shared" si="106"/>
        <v>104844.39</v>
      </c>
      <c r="O1683" t="str">
        <f t="shared" si="107"/>
        <v>Moderate Delay</v>
      </c>
    </row>
    <row r="1684" spans="1:15" x14ac:dyDescent="0.25">
      <c r="A1684">
        <v>1683</v>
      </c>
      <c r="B1684" s="2">
        <v>45885</v>
      </c>
      <c r="C1684" t="s">
        <v>18</v>
      </c>
      <c r="D1684" t="s">
        <v>20</v>
      </c>
      <c r="E1684" t="s">
        <v>27</v>
      </c>
      <c r="F1684" t="s">
        <v>24</v>
      </c>
      <c r="G1684">
        <v>143</v>
      </c>
      <c r="H1684">
        <v>309.97000000000003</v>
      </c>
      <c r="I1684">
        <v>13</v>
      </c>
      <c r="J1684" t="s">
        <v>15</v>
      </c>
      <c r="K1684">
        <v>44325.71</v>
      </c>
      <c r="L1684" t="str">
        <f t="shared" si="104"/>
        <v>Aug</v>
      </c>
      <c r="M1684">
        <f t="shared" si="105"/>
        <v>2025</v>
      </c>
      <c r="N1684">
        <f t="shared" si="106"/>
        <v>44325.710000000006</v>
      </c>
      <c r="O1684" t="str">
        <f t="shared" si="107"/>
        <v>Minor Delay</v>
      </c>
    </row>
    <row r="1685" spans="1:15" x14ac:dyDescent="0.25">
      <c r="A1685">
        <v>1684</v>
      </c>
      <c r="B1685" s="2">
        <v>46022</v>
      </c>
      <c r="C1685" t="s">
        <v>11</v>
      </c>
      <c r="D1685" t="s">
        <v>19</v>
      </c>
      <c r="E1685" t="s">
        <v>23</v>
      </c>
      <c r="F1685" t="s">
        <v>21</v>
      </c>
      <c r="G1685">
        <v>99</v>
      </c>
      <c r="H1685">
        <v>761.52</v>
      </c>
      <c r="I1685">
        <v>8</v>
      </c>
      <c r="J1685" t="s">
        <v>15</v>
      </c>
      <c r="K1685">
        <v>75390.48</v>
      </c>
      <c r="L1685" t="str">
        <f t="shared" si="104"/>
        <v>Dec</v>
      </c>
      <c r="M1685">
        <f t="shared" si="105"/>
        <v>2025</v>
      </c>
      <c r="N1685">
        <f t="shared" si="106"/>
        <v>75390.48</v>
      </c>
      <c r="O1685" t="str">
        <f t="shared" si="107"/>
        <v>Minor Delay</v>
      </c>
    </row>
    <row r="1686" spans="1:15" x14ac:dyDescent="0.25">
      <c r="A1686">
        <v>1685</v>
      </c>
      <c r="B1686" s="2">
        <v>45938</v>
      </c>
      <c r="C1686" t="s">
        <v>18</v>
      </c>
      <c r="D1686" t="s">
        <v>22</v>
      </c>
      <c r="E1686" t="s">
        <v>27</v>
      </c>
      <c r="F1686" t="s">
        <v>24</v>
      </c>
      <c r="G1686">
        <v>214</v>
      </c>
      <c r="H1686">
        <v>287.11</v>
      </c>
      <c r="I1686">
        <v>0</v>
      </c>
      <c r="J1686" t="s">
        <v>15</v>
      </c>
      <c r="K1686">
        <v>61441.54</v>
      </c>
      <c r="L1686" t="str">
        <f t="shared" si="104"/>
        <v>Oct</v>
      </c>
      <c r="M1686">
        <f t="shared" si="105"/>
        <v>2025</v>
      </c>
      <c r="N1686">
        <f t="shared" si="106"/>
        <v>61441.54</v>
      </c>
      <c r="O1686" t="str">
        <f t="shared" si="107"/>
        <v>On Time</v>
      </c>
    </row>
    <row r="1687" spans="1:15" x14ac:dyDescent="0.25">
      <c r="A1687">
        <v>1686</v>
      </c>
      <c r="B1687" s="2">
        <v>45977</v>
      </c>
      <c r="C1687" t="s">
        <v>18</v>
      </c>
      <c r="D1687" t="s">
        <v>20</v>
      </c>
      <c r="E1687" t="s">
        <v>23</v>
      </c>
      <c r="F1687" t="s">
        <v>14</v>
      </c>
      <c r="G1687">
        <v>101</v>
      </c>
      <c r="H1687">
        <v>220.71</v>
      </c>
      <c r="I1687">
        <v>37</v>
      </c>
      <c r="J1687" t="s">
        <v>15</v>
      </c>
      <c r="K1687">
        <v>22291.71</v>
      </c>
      <c r="L1687" t="str">
        <f t="shared" si="104"/>
        <v>Nov</v>
      </c>
      <c r="M1687">
        <f t="shared" si="105"/>
        <v>2025</v>
      </c>
      <c r="N1687">
        <f t="shared" si="106"/>
        <v>22291.71</v>
      </c>
      <c r="O1687" t="str">
        <f t="shared" si="107"/>
        <v>Moderate Delay</v>
      </c>
    </row>
    <row r="1688" spans="1:15" x14ac:dyDescent="0.25">
      <c r="A1688">
        <v>1687</v>
      </c>
      <c r="B1688" s="2">
        <v>45922</v>
      </c>
      <c r="C1688" t="s">
        <v>18</v>
      </c>
      <c r="D1688" t="s">
        <v>29</v>
      </c>
      <c r="E1688" t="s">
        <v>20</v>
      </c>
      <c r="F1688" t="s">
        <v>14</v>
      </c>
      <c r="G1688">
        <v>291</v>
      </c>
      <c r="H1688">
        <v>387.81</v>
      </c>
      <c r="I1688">
        <v>11</v>
      </c>
      <c r="J1688" t="s">
        <v>15</v>
      </c>
      <c r="K1688">
        <v>112852.71</v>
      </c>
      <c r="L1688" t="str">
        <f t="shared" si="104"/>
        <v>Sep</v>
      </c>
      <c r="M1688">
        <f t="shared" si="105"/>
        <v>2025</v>
      </c>
      <c r="N1688">
        <f t="shared" si="106"/>
        <v>112852.71</v>
      </c>
      <c r="O1688" t="str">
        <f t="shared" si="107"/>
        <v>Minor Delay</v>
      </c>
    </row>
    <row r="1689" spans="1:15" x14ac:dyDescent="0.25">
      <c r="A1689">
        <v>1688</v>
      </c>
      <c r="B1689" s="2">
        <v>45986</v>
      </c>
      <c r="C1689" t="s">
        <v>18</v>
      </c>
      <c r="D1689" t="s">
        <v>23</v>
      </c>
      <c r="E1689" t="s">
        <v>29</v>
      </c>
      <c r="F1689" t="s">
        <v>21</v>
      </c>
      <c r="G1689">
        <v>250</v>
      </c>
      <c r="H1689">
        <v>652.62</v>
      </c>
      <c r="I1689">
        <v>0</v>
      </c>
      <c r="J1689" t="s">
        <v>15</v>
      </c>
      <c r="K1689">
        <v>163155</v>
      </c>
      <c r="L1689" t="str">
        <f t="shared" si="104"/>
        <v>Nov</v>
      </c>
      <c r="M1689">
        <f t="shared" si="105"/>
        <v>2025</v>
      </c>
      <c r="N1689">
        <f t="shared" si="106"/>
        <v>163155</v>
      </c>
      <c r="O1689" t="str">
        <f t="shared" si="107"/>
        <v>On Time</v>
      </c>
    </row>
    <row r="1690" spans="1:15" x14ac:dyDescent="0.25">
      <c r="A1690">
        <v>1689</v>
      </c>
      <c r="B1690" s="2">
        <v>45783</v>
      </c>
      <c r="C1690" t="s">
        <v>25</v>
      </c>
      <c r="D1690" t="s">
        <v>22</v>
      </c>
      <c r="E1690" t="s">
        <v>27</v>
      </c>
      <c r="F1690" t="s">
        <v>14</v>
      </c>
      <c r="G1690">
        <v>245</v>
      </c>
      <c r="H1690">
        <v>749.13</v>
      </c>
      <c r="I1690">
        <v>0</v>
      </c>
      <c r="J1690" t="s">
        <v>15</v>
      </c>
      <c r="K1690">
        <v>183536.85</v>
      </c>
      <c r="L1690" t="str">
        <f t="shared" si="104"/>
        <v>May</v>
      </c>
      <c r="M1690">
        <f t="shared" si="105"/>
        <v>2025</v>
      </c>
      <c r="N1690">
        <f t="shared" si="106"/>
        <v>183536.85</v>
      </c>
      <c r="O1690" t="str">
        <f t="shared" si="107"/>
        <v>On Time</v>
      </c>
    </row>
    <row r="1691" spans="1:15" x14ac:dyDescent="0.25">
      <c r="A1691">
        <v>1690</v>
      </c>
      <c r="B1691" s="2">
        <v>45691</v>
      </c>
      <c r="C1691" t="s">
        <v>16</v>
      </c>
      <c r="D1691" t="s">
        <v>13</v>
      </c>
      <c r="E1691" t="s">
        <v>29</v>
      </c>
      <c r="F1691" t="s">
        <v>14</v>
      </c>
      <c r="G1691">
        <v>52</v>
      </c>
      <c r="H1691">
        <v>740.93</v>
      </c>
      <c r="I1691">
        <v>73</v>
      </c>
      <c r="J1691" t="s">
        <v>30</v>
      </c>
      <c r="K1691">
        <v>38528.36</v>
      </c>
      <c r="L1691" t="str">
        <f t="shared" si="104"/>
        <v>Feb</v>
      </c>
      <c r="M1691">
        <f t="shared" si="105"/>
        <v>2025</v>
      </c>
      <c r="N1691">
        <f t="shared" si="106"/>
        <v>38528.36</v>
      </c>
      <c r="O1691" t="str">
        <f t="shared" si="107"/>
        <v>Major Delay</v>
      </c>
    </row>
    <row r="1692" spans="1:15" x14ac:dyDescent="0.25">
      <c r="A1692">
        <v>1691</v>
      </c>
      <c r="B1692" s="2">
        <v>45818</v>
      </c>
      <c r="C1692" t="s">
        <v>26</v>
      </c>
      <c r="D1692" t="s">
        <v>22</v>
      </c>
      <c r="E1692" t="s">
        <v>12</v>
      </c>
      <c r="F1692" t="s">
        <v>14</v>
      </c>
      <c r="G1692">
        <v>240</v>
      </c>
      <c r="H1692">
        <v>171.45</v>
      </c>
      <c r="I1692">
        <v>31</v>
      </c>
      <c r="J1692" t="s">
        <v>15</v>
      </c>
      <c r="K1692">
        <v>41148</v>
      </c>
      <c r="L1692" t="str">
        <f t="shared" si="104"/>
        <v>Jun</v>
      </c>
      <c r="M1692">
        <f t="shared" si="105"/>
        <v>2025</v>
      </c>
      <c r="N1692">
        <f t="shared" si="106"/>
        <v>41148</v>
      </c>
      <c r="O1692" t="str">
        <f t="shared" si="107"/>
        <v>Moderate Delay</v>
      </c>
    </row>
    <row r="1693" spans="1:15" x14ac:dyDescent="0.25">
      <c r="A1693">
        <v>1692</v>
      </c>
      <c r="B1693" s="2">
        <v>45901</v>
      </c>
      <c r="C1693" t="s">
        <v>26</v>
      </c>
      <c r="D1693" t="s">
        <v>22</v>
      </c>
      <c r="E1693" t="s">
        <v>27</v>
      </c>
      <c r="F1693" t="s">
        <v>21</v>
      </c>
      <c r="G1693">
        <v>94</v>
      </c>
      <c r="H1693">
        <v>274.41000000000003</v>
      </c>
      <c r="I1693">
        <v>66</v>
      </c>
      <c r="J1693" t="s">
        <v>15</v>
      </c>
      <c r="K1693">
        <v>25794.54</v>
      </c>
      <c r="L1693" t="str">
        <f t="shared" si="104"/>
        <v>Sep</v>
      </c>
      <c r="M1693">
        <f t="shared" si="105"/>
        <v>2025</v>
      </c>
      <c r="N1693">
        <f t="shared" si="106"/>
        <v>25794.54</v>
      </c>
      <c r="O1693" t="str">
        <f t="shared" si="107"/>
        <v>Major Delay</v>
      </c>
    </row>
    <row r="1694" spans="1:15" x14ac:dyDescent="0.25">
      <c r="A1694">
        <v>1693</v>
      </c>
      <c r="B1694" s="2">
        <v>45735</v>
      </c>
      <c r="C1694" t="s">
        <v>11</v>
      </c>
      <c r="D1694" t="s">
        <v>27</v>
      </c>
      <c r="E1694" t="s">
        <v>29</v>
      </c>
      <c r="F1694" t="s">
        <v>24</v>
      </c>
      <c r="G1694">
        <v>80</v>
      </c>
      <c r="H1694">
        <v>453.91</v>
      </c>
      <c r="I1694">
        <v>9</v>
      </c>
      <c r="J1694" t="s">
        <v>15</v>
      </c>
      <c r="K1694">
        <v>36312.800000000003</v>
      </c>
      <c r="L1694" t="str">
        <f t="shared" si="104"/>
        <v>Mar</v>
      </c>
      <c r="M1694">
        <f t="shared" si="105"/>
        <v>2025</v>
      </c>
      <c r="N1694">
        <f t="shared" si="106"/>
        <v>36312.800000000003</v>
      </c>
      <c r="O1694" t="str">
        <f t="shared" si="107"/>
        <v>Minor Delay</v>
      </c>
    </row>
    <row r="1695" spans="1:15" x14ac:dyDescent="0.25">
      <c r="A1695">
        <v>1694</v>
      </c>
      <c r="B1695" s="2">
        <v>46011</v>
      </c>
      <c r="C1695" t="s">
        <v>11</v>
      </c>
      <c r="D1695" t="s">
        <v>20</v>
      </c>
      <c r="E1695" t="s">
        <v>23</v>
      </c>
      <c r="F1695" t="s">
        <v>14</v>
      </c>
      <c r="G1695">
        <v>219</v>
      </c>
      <c r="H1695">
        <v>759.6</v>
      </c>
      <c r="I1695">
        <v>10</v>
      </c>
      <c r="J1695" t="s">
        <v>30</v>
      </c>
      <c r="K1695">
        <v>166352.4</v>
      </c>
      <c r="L1695" t="str">
        <f t="shared" si="104"/>
        <v>Dec</v>
      </c>
      <c r="M1695">
        <f t="shared" si="105"/>
        <v>2025</v>
      </c>
      <c r="N1695">
        <f t="shared" si="106"/>
        <v>166352.4</v>
      </c>
      <c r="O1695" t="str">
        <f t="shared" si="107"/>
        <v>Minor Delay</v>
      </c>
    </row>
    <row r="1696" spans="1:15" x14ac:dyDescent="0.25">
      <c r="A1696">
        <v>1695</v>
      </c>
      <c r="B1696" s="2">
        <v>45727</v>
      </c>
      <c r="C1696" t="s">
        <v>18</v>
      </c>
      <c r="D1696" t="s">
        <v>12</v>
      </c>
      <c r="E1696" t="s">
        <v>13</v>
      </c>
      <c r="F1696" t="s">
        <v>24</v>
      </c>
      <c r="G1696">
        <v>147</v>
      </c>
      <c r="H1696">
        <v>412.89</v>
      </c>
      <c r="I1696">
        <v>23</v>
      </c>
      <c r="J1696" t="s">
        <v>28</v>
      </c>
      <c r="K1696">
        <v>60694.83</v>
      </c>
      <c r="L1696" t="str">
        <f t="shared" si="104"/>
        <v>Mar</v>
      </c>
      <c r="M1696">
        <f t="shared" si="105"/>
        <v>2025</v>
      </c>
      <c r="N1696">
        <f t="shared" si="106"/>
        <v>60694.829999999994</v>
      </c>
      <c r="O1696" t="str">
        <f t="shared" si="107"/>
        <v>Minor Delay</v>
      </c>
    </row>
    <row r="1697" spans="1:15" x14ac:dyDescent="0.25">
      <c r="A1697">
        <v>1696</v>
      </c>
      <c r="B1697" s="2">
        <v>45957</v>
      </c>
      <c r="C1697" t="s">
        <v>31</v>
      </c>
      <c r="D1697" t="s">
        <v>22</v>
      </c>
      <c r="E1697" t="s">
        <v>27</v>
      </c>
      <c r="F1697" t="s">
        <v>14</v>
      </c>
      <c r="G1697">
        <v>164</v>
      </c>
      <c r="H1697">
        <v>721.55</v>
      </c>
      <c r="I1697">
        <v>0</v>
      </c>
      <c r="J1697" t="s">
        <v>30</v>
      </c>
      <c r="K1697">
        <v>118334.2</v>
      </c>
      <c r="L1697" t="str">
        <f t="shared" si="104"/>
        <v>Oct</v>
      </c>
      <c r="M1697">
        <f t="shared" si="105"/>
        <v>2025</v>
      </c>
      <c r="N1697">
        <f t="shared" si="106"/>
        <v>118334.2</v>
      </c>
      <c r="O1697" t="str">
        <f t="shared" si="107"/>
        <v>On Time</v>
      </c>
    </row>
    <row r="1698" spans="1:15" x14ac:dyDescent="0.25">
      <c r="A1698">
        <v>1697</v>
      </c>
      <c r="B1698" s="2">
        <v>45701</v>
      </c>
      <c r="C1698" t="s">
        <v>26</v>
      </c>
      <c r="D1698" t="s">
        <v>22</v>
      </c>
      <c r="E1698" t="s">
        <v>17</v>
      </c>
      <c r="F1698" t="s">
        <v>14</v>
      </c>
      <c r="G1698">
        <v>95</v>
      </c>
      <c r="H1698">
        <v>159.86000000000001</v>
      </c>
      <c r="I1698">
        <v>12</v>
      </c>
      <c r="J1698" t="s">
        <v>15</v>
      </c>
      <c r="K1698">
        <v>15186.7</v>
      </c>
      <c r="L1698" t="str">
        <f t="shared" si="104"/>
        <v>Feb</v>
      </c>
      <c r="M1698">
        <f t="shared" si="105"/>
        <v>2025</v>
      </c>
      <c r="N1698">
        <f t="shared" si="106"/>
        <v>15186.7</v>
      </c>
      <c r="O1698" t="str">
        <f t="shared" si="107"/>
        <v>Minor Delay</v>
      </c>
    </row>
    <row r="1699" spans="1:15" x14ac:dyDescent="0.25">
      <c r="A1699">
        <v>1698</v>
      </c>
      <c r="B1699" s="2">
        <v>45807</v>
      </c>
      <c r="C1699" t="s">
        <v>25</v>
      </c>
      <c r="D1699" t="s">
        <v>19</v>
      </c>
      <c r="E1699" t="s">
        <v>17</v>
      </c>
      <c r="F1699" t="s">
        <v>14</v>
      </c>
      <c r="G1699">
        <v>140</v>
      </c>
      <c r="H1699">
        <v>506.08</v>
      </c>
      <c r="I1699">
        <v>43</v>
      </c>
      <c r="J1699" t="s">
        <v>15</v>
      </c>
      <c r="K1699">
        <v>70851.199999999997</v>
      </c>
      <c r="L1699" t="str">
        <f t="shared" si="104"/>
        <v>May</v>
      </c>
      <c r="M1699">
        <f t="shared" si="105"/>
        <v>2025</v>
      </c>
      <c r="N1699">
        <f t="shared" si="106"/>
        <v>70851.199999999997</v>
      </c>
      <c r="O1699" t="str">
        <f t="shared" si="107"/>
        <v>Moderate Delay</v>
      </c>
    </row>
    <row r="1700" spans="1:15" x14ac:dyDescent="0.25">
      <c r="A1700">
        <v>1699</v>
      </c>
      <c r="B1700" s="2">
        <v>45744</v>
      </c>
      <c r="C1700" t="s">
        <v>26</v>
      </c>
      <c r="D1700" t="s">
        <v>13</v>
      </c>
      <c r="E1700" t="s">
        <v>20</v>
      </c>
      <c r="F1700" t="s">
        <v>24</v>
      </c>
      <c r="G1700">
        <v>99</v>
      </c>
      <c r="H1700">
        <v>439.93</v>
      </c>
      <c r="I1700">
        <v>73</v>
      </c>
      <c r="J1700" t="s">
        <v>15</v>
      </c>
      <c r="K1700">
        <v>43553.07</v>
      </c>
      <c r="L1700" t="str">
        <f t="shared" si="104"/>
        <v>Mar</v>
      </c>
      <c r="M1700">
        <f t="shared" si="105"/>
        <v>2025</v>
      </c>
      <c r="N1700">
        <f t="shared" si="106"/>
        <v>43553.07</v>
      </c>
      <c r="O1700" t="str">
        <f t="shared" si="107"/>
        <v>Major Delay</v>
      </c>
    </row>
    <row r="1701" spans="1:15" x14ac:dyDescent="0.25">
      <c r="A1701">
        <v>1700</v>
      </c>
      <c r="B1701" s="2">
        <v>45684</v>
      </c>
      <c r="C1701" t="s">
        <v>25</v>
      </c>
      <c r="D1701" t="s">
        <v>22</v>
      </c>
      <c r="E1701" t="s">
        <v>29</v>
      </c>
      <c r="F1701" t="s">
        <v>14</v>
      </c>
      <c r="G1701">
        <v>229</v>
      </c>
      <c r="H1701">
        <v>286.91000000000003</v>
      </c>
      <c r="I1701">
        <v>13</v>
      </c>
      <c r="J1701" t="s">
        <v>15</v>
      </c>
      <c r="K1701">
        <v>65702.39</v>
      </c>
      <c r="L1701" t="str">
        <f t="shared" si="104"/>
        <v>Jan</v>
      </c>
      <c r="M1701">
        <f t="shared" si="105"/>
        <v>2025</v>
      </c>
      <c r="N1701">
        <f t="shared" si="106"/>
        <v>65702.39</v>
      </c>
      <c r="O1701" t="str">
        <f t="shared" si="107"/>
        <v>Minor Delay</v>
      </c>
    </row>
    <row r="1702" spans="1:15" x14ac:dyDescent="0.25">
      <c r="A1702">
        <v>1701</v>
      </c>
      <c r="B1702" s="2">
        <v>45678</v>
      </c>
      <c r="C1702" t="s">
        <v>26</v>
      </c>
      <c r="D1702" t="s">
        <v>17</v>
      </c>
      <c r="E1702" t="s">
        <v>22</v>
      </c>
      <c r="F1702" t="s">
        <v>21</v>
      </c>
      <c r="G1702">
        <v>244</v>
      </c>
      <c r="H1702">
        <v>545.95000000000005</v>
      </c>
      <c r="I1702">
        <v>7</v>
      </c>
      <c r="J1702" t="s">
        <v>15</v>
      </c>
      <c r="K1702">
        <v>133211.79999999999</v>
      </c>
      <c r="L1702" t="str">
        <f t="shared" si="104"/>
        <v>Jan</v>
      </c>
      <c r="M1702">
        <f t="shared" si="105"/>
        <v>2025</v>
      </c>
      <c r="N1702">
        <f t="shared" si="106"/>
        <v>133211.80000000002</v>
      </c>
      <c r="O1702" t="str">
        <f t="shared" si="107"/>
        <v>Minor Delay</v>
      </c>
    </row>
    <row r="1703" spans="1:15" x14ac:dyDescent="0.25">
      <c r="A1703">
        <v>1702</v>
      </c>
      <c r="B1703" s="2">
        <v>45812</v>
      </c>
      <c r="C1703" t="s">
        <v>18</v>
      </c>
      <c r="D1703" t="s">
        <v>13</v>
      </c>
      <c r="E1703" t="s">
        <v>12</v>
      </c>
      <c r="F1703" t="s">
        <v>14</v>
      </c>
      <c r="G1703">
        <v>281</v>
      </c>
      <c r="H1703">
        <v>407.89</v>
      </c>
      <c r="I1703">
        <v>1</v>
      </c>
      <c r="J1703" t="s">
        <v>15</v>
      </c>
      <c r="K1703">
        <v>114617.09</v>
      </c>
      <c r="L1703" t="str">
        <f t="shared" si="104"/>
        <v>Jun</v>
      </c>
      <c r="M1703">
        <f t="shared" si="105"/>
        <v>2025</v>
      </c>
      <c r="N1703">
        <f t="shared" si="106"/>
        <v>114617.09</v>
      </c>
      <c r="O1703" t="str">
        <f t="shared" si="107"/>
        <v>Minor Delay</v>
      </c>
    </row>
    <row r="1704" spans="1:15" x14ac:dyDescent="0.25">
      <c r="A1704">
        <v>1703</v>
      </c>
      <c r="B1704" s="2">
        <v>45829</v>
      </c>
      <c r="C1704" t="s">
        <v>26</v>
      </c>
      <c r="D1704" t="s">
        <v>23</v>
      </c>
      <c r="E1704" t="s">
        <v>20</v>
      </c>
      <c r="F1704" t="s">
        <v>21</v>
      </c>
      <c r="G1704">
        <v>268</v>
      </c>
      <c r="H1704">
        <v>795.3</v>
      </c>
      <c r="I1704">
        <v>0</v>
      </c>
      <c r="J1704" t="s">
        <v>15</v>
      </c>
      <c r="K1704">
        <v>213140.4</v>
      </c>
      <c r="L1704" t="str">
        <f t="shared" si="104"/>
        <v>Jun</v>
      </c>
      <c r="M1704">
        <f t="shared" si="105"/>
        <v>2025</v>
      </c>
      <c r="N1704">
        <f t="shared" si="106"/>
        <v>213140.4</v>
      </c>
      <c r="O1704" t="str">
        <f t="shared" si="107"/>
        <v>On Time</v>
      </c>
    </row>
    <row r="1705" spans="1:15" x14ac:dyDescent="0.25">
      <c r="A1705">
        <v>1704</v>
      </c>
      <c r="B1705" s="2">
        <v>45940</v>
      </c>
      <c r="C1705" t="s">
        <v>11</v>
      </c>
      <c r="D1705" t="s">
        <v>22</v>
      </c>
      <c r="E1705" t="s">
        <v>23</v>
      </c>
      <c r="F1705" t="s">
        <v>24</v>
      </c>
      <c r="G1705">
        <v>122</v>
      </c>
      <c r="H1705">
        <v>257.33999999999997</v>
      </c>
      <c r="I1705">
        <v>37</v>
      </c>
      <c r="J1705" t="s">
        <v>30</v>
      </c>
      <c r="K1705">
        <v>31395.48</v>
      </c>
      <c r="L1705" t="str">
        <f t="shared" si="104"/>
        <v>Oct</v>
      </c>
      <c r="M1705">
        <f t="shared" si="105"/>
        <v>2025</v>
      </c>
      <c r="N1705">
        <f t="shared" si="106"/>
        <v>31395.479999999996</v>
      </c>
      <c r="O1705" t="str">
        <f t="shared" si="107"/>
        <v>Moderate Delay</v>
      </c>
    </row>
    <row r="1706" spans="1:15" x14ac:dyDescent="0.25">
      <c r="A1706">
        <v>1705</v>
      </c>
      <c r="B1706" s="2">
        <v>45918</v>
      </c>
      <c r="C1706" t="s">
        <v>16</v>
      </c>
      <c r="D1706" t="s">
        <v>12</v>
      </c>
      <c r="E1706" t="s">
        <v>17</v>
      </c>
      <c r="F1706" t="s">
        <v>14</v>
      </c>
      <c r="G1706">
        <v>257</v>
      </c>
      <c r="H1706">
        <v>155.11000000000001</v>
      </c>
      <c r="I1706">
        <v>21</v>
      </c>
      <c r="J1706" t="s">
        <v>15</v>
      </c>
      <c r="K1706">
        <v>39863.269999999997</v>
      </c>
      <c r="L1706" t="str">
        <f t="shared" si="104"/>
        <v>Sep</v>
      </c>
      <c r="M1706">
        <f t="shared" si="105"/>
        <v>2025</v>
      </c>
      <c r="N1706">
        <f t="shared" si="106"/>
        <v>39863.270000000004</v>
      </c>
      <c r="O1706" t="str">
        <f t="shared" si="107"/>
        <v>Minor Delay</v>
      </c>
    </row>
    <row r="1707" spans="1:15" x14ac:dyDescent="0.25">
      <c r="A1707">
        <v>1706</v>
      </c>
      <c r="B1707" s="2">
        <v>45950</v>
      </c>
      <c r="C1707" t="s">
        <v>11</v>
      </c>
      <c r="D1707" t="s">
        <v>12</v>
      </c>
      <c r="E1707" t="s">
        <v>19</v>
      </c>
      <c r="F1707" t="s">
        <v>14</v>
      </c>
      <c r="G1707">
        <v>271</v>
      </c>
      <c r="H1707">
        <v>115.8</v>
      </c>
      <c r="I1707">
        <v>1</v>
      </c>
      <c r="J1707" t="s">
        <v>15</v>
      </c>
      <c r="K1707">
        <v>31381.8</v>
      </c>
      <c r="L1707" t="str">
        <f t="shared" si="104"/>
        <v>Oct</v>
      </c>
      <c r="M1707">
        <f t="shared" si="105"/>
        <v>2025</v>
      </c>
      <c r="N1707">
        <f t="shared" si="106"/>
        <v>31381.8</v>
      </c>
      <c r="O1707" t="str">
        <f t="shared" si="107"/>
        <v>Minor Delay</v>
      </c>
    </row>
    <row r="1708" spans="1:15" x14ac:dyDescent="0.25">
      <c r="A1708">
        <v>1707</v>
      </c>
      <c r="B1708" s="2">
        <v>45737</v>
      </c>
      <c r="C1708" t="s">
        <v>31</v>
      </c>
      <c r="D1708" t="s">
        <v>22</v>
      </c>
      <c r="E1708" t="s">
        <v>12</v>
      </c>
      <c r="F1708" t="s">
        <v>21</v>
      </c>
      <c r="G1708">
        <v>297</v>
      </c>
      <c r="H1708">
        <v>704.8</v>
      </c>
      <c r="I1708">
        <v>0</v>
      </c>
      <c r="J1708" t="s">
        <v>15</v>
      </c>
      <c r="K1708">
        <v>209325.6</v>
      </c>
      <c r="L1708" t="str">
        <f t="shared" si="104"/>
        <v>Mar</v>
      </c>
      <c r="M1708">
        <f t="shared" si="105"/>
        <v>2025</v>
      </c>
      <c r="N1708">
        <f t="shared" si="106"/>
        <v>209325.59999999998</v>
      </c>
      <c r="O1708" t="str">
        <f t="shared" si="107"/>
        <v>On Time</v>
      </c>
    </row>
    <row r="1709" spans="1:15" x14ac:dyDescent="0.25">
      <c r="A1709">
        <v>1708</v>
      </c>
      <c r="B1709" s="2">
        <v>45686</v>
      </c>
      <c r="C1709" t="s">
        <v>25</v>
      </c>
      <c r="D1709" t="s">
        <v>12</v>
      </c>
      <c r="E1709" t="s">
        <v>29</v>
      </c>
      <c r="F1709" t="s">
        <v>14</v>
      </c>
      <c r="G1709">
        <v>101</v>
      </c>
      <c r="H1709">
        <v>739.32</v>
      </c>
      <c r="I1709">
        <v>32</v>
      </c>
      <c r="J1709" t="s">
        <v>30</v>
      </c>
      <c r="K1709">
        <v>74671.320000000007</v>
      </c>
      <c r="L1709" t="str">
        <f t="shared" si="104"/>
        <v>Jan</v>
      </c>
      <c r="M1709">
        <f t="shared" si="105"/>
        <v>2025</v>
      </c>
      <c r="N1709">
        <f t="shared" si="106"/>
        <v>74671.320000000007</v>
      </c>
      <c r="O1709" t="str">
        <f t="shared" si="107"/>
        <v>Moderate Delay</v>
      </c>
    </row>
    <row r="1710" spans="1:15" x14ac:dyDescent="0.25">
      <c r="A1710">
        <v>1709</v>
      </c>
      <c r="B1710" s="2">
        <v>45704</v>
      </c>
      <c r="C1710" t="s">
        <v>16</v>
      </c>
      <c r="D1710" t="s">
        <v>29</v>
      </c>
      <c r="E1710" t="s">
        <v>12</v>
      </c>
      <c r="F1710" t="s">
        <v>24</v>
      </c>
      <c r="G1710">
        <v>252</v>
      </c>
      <c r="H1710">
        <v>567.34</v>
      </c>
      <c r="I1710">
        <v>29</v>
      </c>
      <c r="J1710" t="s">
        <v>15</v>
      </c>
      <c r="K1710">
        <v>142969.68</v>
      </c>
      <c r="L1710" t="str">
        <f t="shared" si="104"/>
        <v>Feb</v>
      </c>
      <c r="M1710">
        <f t="shared" si="105"/>
        <v>2025</v>
      </c>
      <c r="N1710">
        <f t="shared" si="106"/>
        <v>142969.68000000002</v>
      </c>
      <c r="O1710" t="str">
        <f t="shared" si="107"/>
        <v>Minor Delay</v>
      </c>
    </row>
    <row r="1711" spans="1:15" x14ac:dyDescent="0.25">
      <c r="A1711">
        <v>1710</v>
      </c>
      <c r="B1711" s="2">
        <v>45901</v>
      </c>
      <c r="C1711" t="s">
        <v>11</v>
      </c>
      <c r="D1711" t="s">
        <v>27</v>
      </c>
      <c r="E1711" t="s">
        <v>19</v>
      </c>
      <c r="F1711" t="s">
        <v>21</v>
      </c>
      <c r="G1711">
        <v>176</v>
      </c>
      <c r="H1711">
        <v>508.04</v>
      </c>
      <c r="I1711">
        <v>58</v>
      </c>
      <c r="J1711" t="s">
        <v>15</v>
      </c>
      <c r="K1711">
        <v>89415.039999999994</v>
      </c>
      <c r="L1711" t="str">
        <f t="shared" si="104"/>
        <v>Sep</v>
      </c>
      <c r="M1711">
        <f t="shared" si="105"/>
        <v>2025</v>
      </c>
      <c r="N1711">
        <f t="shared" si="106"/>
        <v>89415.040000000008</v>
      </c>
      <c r="O1711" t="str">
        <f t="shared" si="107"/>
        <v>Moderate Delay</v>
      </c>
    </row>
    <row r="1712" spans="1:15" x14ac:dyDescent="0.25">
      <c r="A1712">
        <v>1711</v>
      </c>
      <c r="B1712" s="2">
        <v>45884</v>
      </c>
      <c r="C1712" t="s">
        <v>11</v>
      </c>
      <c r="D1712" t="s">
        <v>23</v>
      </c>
      <c r="E1712" t="s">
        <v>13</v>
      </c>
      <c r="F1712" t="s">
        <v>21</v>
      </c>
      <c r="G1712">
        <v>51</v>
      </c>
      <c r="H1712">
        <v>118.87</v>
      </c>
      <c r="I1712">
        <v>39</v>
      </c>
      <c r="J1712" t="s">
        <v>30</v>
      </c>
      <c r="K1712">
        <v>6062.37</v>
      </c>
      <c r="L1712" t="str">
        <f t="shared" si="104"/>
        <v>Aug</v>
      </c>
      <c r="M1712">
        <f t="shared" si="105"/>
        <v>2025</v>
      </c>
      <c r="N1712">
        <f t="shared" si="106"/>
        <v>6062.37</v>
      </c>
      <c r="O1712" t="str">
        <f t="shared" si="107"/>
        <v>Moderate Delay</v>
      </c>
    </row>
    <row r="1713" spans="1:15" x14ac:dyDescent="0.25">
      <c r="A1713">
        <v>1712</v>
      </c>
      <c r="B1713" s="2">
        <v>46017</v>
      </c>
      <c r="C1713" t="s">
        <v>16</v>
      </c>
      <c r="D1713" t="s">
        <v>19</v>
      </c>
      <c r="E1713" t="s">
        <v>12</v>
      </c>
      <c r="F1713" t="s">
        <v>14</v>
      </c>
      <c r="G1713">
        <v>97</v>
      </c>
      <c r="H1713">
        <v>687.98</v>
      </c>
      <c r="I1713">
        <v>16</v>
      </c>
      <c r="J1713" t="s">
        <v>15</v>
      </c>
      <c r="K1713">
        <v>66734.06</v>
      </c>
      <c r="L1713" t="str">
        <f t="shared" si="104"/>
        <v>Dec</v>
      </c>
      <c r="M1713">
        <f t="shared" si="105"/>
        <v>2025</v>
      </c>
      <c r="N1713">
        <f t="shared" si="106"/>
        <v>66734.06</v>
      </c>
      <c r="O1713" t="str">
        <f t="shared" si="107"/>
        <v>Minor Delay</v>
      </c>
    </row>
    <row r="1714" spans="1:15" x14ac:dyDescent="0.25">
      <c r="A1714">
        <v>1713</v>
      </c>
      <c r="B1714" s="2">
        <v>45860</v>
      </c>
      <c r="C1714" t="s">
        <v>25</v>
      </c>
      <c r="D1714" t="s">
        <v>19</v>
      </c>
      <c r="E1714" t="s">
        <v>29</v>
      </c>
      <c r="F1714" t="s">
        <v>21</v>
      </c>
      <c r="G1714">
        <v>125</v>
      </c>
      <c r="H1714">
        <v>505.15</v>
      </c>
      <c r="I1714">
        <v>0</v>
      </c>
      <c r="J1714" t="s">
        <v>15</v>
      </c>
      <c r="K1714">
        <v>63143.75</v>
      </c>
      <c r="L1714" t="str">
        <f t="shared" si="104"/>
        <v>Jul</v>
      </c>
      <c r="M1714">
        <f t="shared" si="105"/>
        <v>2025</v>
      </c>
      <c r="N1714">
        <f t="shared" si="106"/>
        <v>63143.75</v>
      </c>
      <c r="O1714" t="str">
        <f t="shared" si="107"/>
        <v>On Time</v>
      </c>
    </row>
    <row r="1715" spans="1:15" x14ac:dyDescent="0.25">
      <c r="A1715">
        <v>1714</v>
      </c>
      <c r="B1715" s="2">
        <v>45929</v>
      </c>
      <c r="C1715" t="s">
        <v>16</v>
      </c>
      <c r="D1715" t="s">
        <v>22</v>
      </c>
      <c r="E1715" t="s">
        <v>19</v>
      </c>
      <c r="F1715" t="s">
        <v>21</v>
      </c>
      <c r="G1715">
        <v>277</v>
      </c>
      <c r="H1715">
        <v>776.42</v>
      </c>
      <c r="I1715">
        <v>19</v>
      </c>
      <c r="J1715" t="s">
        <v>15</v>
      </c>
      <c r="K1715">
        <v>215068.34</v>
      </c>
      <c r="L1715" t="str">
        <f t="shared" si="104"/>
        <v>Sep</v>
      </c>
      <c r="M1715">
        <f t="shared" si="105"/>
        <v>2025</v>
      </c>
      <c r="N1715">
        <f t="shared" si="106"/>
        <v>215068.34</v>
      </c>
      <c r="O1715" t="str">
        <f t="shared" si="107"/>
        <v>Minor Delay</v>
      </c>
    </row>
    <row r="1716" spans="1:15" x14ac:dyDescent="0.25">
      <c r="A1716">
        <v>1715</v>
      </c>
      <c r="B1716" s="2">
        <v>45689</v>
      </c>
      <c r="C1716" t="s">
        <v>16</v>
      </c>
      <c r="D1716" t="s">
        <v>29</v>
      </c>
      <c r="E1716" t="s">
        <v>12</v>
      </c>
      <c r="F1716" t="s">
        <v>24</v>
      </c>
      <c r="G1716">
        <v>138</v>
      </c>
      <c r="H1716">
        <v>727.99</v>
      </c>
      <c r="I1716">
        <v>58</v>
      </c>
      <c r="J1716" t="s">
        <v>15</v>
      </c>
      <c r="K1716">
        <v>100462.62</v>
      </c>
      <c r="L1716" t="str">
        <f t="shared" si="104"/>
        <v>Feb</v>
      </c>
      <c r="M1716">
        <f t="shared" si="105"/>
        <v>2025</v>
      </c>
      <c r="N1716">
        <f t="shared" si="106"/>
        <v>100462.62</v>
      </c>
      <c r="O1716" t="str">
        <f t="shared" si="107"/>
        <v>Moderate Delay</v>
      </c>
    </row>
    <row r="1717" spans="1:15" x14ac:dyDescent="0.25">
      <c r="A1717">
        <v>1716</v>
      </c>
      <c r="B1717" s="2">
        <v>46003</v>
      </c>
      <c r="C1717" t="s">
        <v>16</v>
      </c>
      <c r="D1717" t="s">
        <v>20</v>
      </c>
      <c r="E1717" t="s">
        <v>13</v>
      </c>
      <c r="F1717" t="s">
        <v>24</v>
      </c>
      <c r="G1717">
        <v>200</v>
      </c>
      <c r="H1717">
        <v>630.83000000000004</v>
      </c>
      <c r="I1717">
        <v>35</v>
      </c>
      <c r="J1717" t="s">
        <v>30</v>
      </c>
      <c r="K1717">
        <v>126166</v>
      </c>
      <c r="L1717" t="str">
        <f t="shared" si="104"/>
        <v>Dec</v>
      </c>
      <c r="M1717">
        <f t="shared" si="105"/>
        <v>2025</v>
      </c>
      <c r="N1717">
        <f t="shared" si="106"/>
        <v>126166.00000000001</v>
      </c>
      <c r="O1717" t="str">
        <f t="shared" si="107"/>
        <v>Moderate Delay</v>
      </c>
    </row>
    <row r="1718" spans="1:15" x14ac:dyDescent="0.25">
      <c r="A1718">
        <v>1717</v>
      </c>
      <c r="B1718" s="2">
        <v>45821</v>
      </c>
      <c r="C1718" t="s">
        <v>18</v>
      </c>
      <c r="D1718" t="s">
        <v>12</v>
      </c>
      <c r="E1718" t="s">
        <v>22</v>
      </c>
      <c r="F1718" t="s">
        <v>24</v>
      </c>
      <c r="G1718">
        <v>240</v>
      </c>
      <c r="H1718">
        <v>660.11</v>
      </c>
      <c r="I1718">
        <v>5</v>
      </c>
      <c r="J1718" t="s">
        <v>15</v>
      </c>
      <c r="K1718">
        <v>158426.4</v>
      </c>
      <c r="L1718" t="str">
        <f t="shared" si="104"/>
        <v>Jun</v>
      </c>
      <c r="M1718">
        <f t="shared" si="105"/>
        <v>2025</v>
      </c>
      <c r="N1718">
        <f t="shared" si="106"/>
        <v>158426.4</v>
      </c>
      <c r="O1718" t="str">
        <f t="shared" si="107"/>
        <v>Minor Delay</v>
      </c>
    </row>
    <row r="1719" spans="1:15" x14ac:dyDescent="0.25">
      <c r="A1719">
        <v>1718</v>
      </c>
      <c r="B1719" s="2">
        <v>45774</v>
      </c>
      <c r="C1719" t="s">
        <v>31</v>
      </c>
      <c r="D1719" t="s">
        <v>27</v>
      </c>
      <c r="E1719" t="s">
        <v>19</v>
      </c>
      <c r="F1719" t="s">
        <v>14</v>
      </c>
      <c r="G1719">
        <v>60</v>
      </c>
      <c r="H1719">
        <v>571.24</v>
      </c>
      <c r="I1719">
        <v>35</v>
      </c>
      <c r="J1719" t="s">
        <v>15</v>
      </c>
      <c r="K1719">
        <v>34274.400000000001</v>
      </c>
      <c r="L1719" t="str">
        <f t="shared" si="104"/>
        <v>Apr</v>
      </c>
      <c r="M1719">
        <f t="shared" si="105"/>
        <v>2025</v>
      </c>
      <c r="N1719">
        <f t="shared" si="106"/>
        <v>34274.400000000001</v>
      </c>
      <c r="O1719" t="str">
        <f t="shared" si="107"/>
        <v>Moderate Delay</v>
      </c>
    </row>
    <row r="1720" spans="1:15" x14ac:dyDescent="0.25">
      <c r="A1720">
        <v>1719</v>
      </c>
      <c r="B1720" s="2">
        <v>45864</v>
      </c>
      <c r="C1720" t="s">
        <v>18</v>
      </c>
      <c r="D1720" t="s">
        <v>20</v>
      </c>
      <c r="E1720" t="s">
        <v>22</v>
      </c>
      <c r="F1720" t="s">
        <v>24</v>
      </c>
      <c r="G1720">
        <v>165</v>
      </c>
      <c r="H1720">
        <v>172.99</v>
      </c>
      <c r="I1720">
        <v>18</v>
      </c>
      <c r="J1720" t="s">
        <v>30</v>
      </c>
      <c r="K1720">
        <v>28543.35</v>
      </c>
      <c r="L1720" t="str">
        <f t="shared" si="104"/>
        <v>Jul</v>
      </c>
      <c r="M1720">
        <f t="shared" si="105"/>
        <v>2025</v>
      </c>
      <c r="N1720">
        <f t="shared" si="106"/>
        <v>28543.350000000002</v>
      </c>
      <c r="O1720" t="str">
        <f t="shared" si="107"/>
        <v>Minor Delay</v>
      </c>
    </row>
    <row r="1721" spans="1:15" x14ac:dyDescent="0.25">
      <c r="A1721">
        <v>1720</v>
      </c>
      <c r="B1721" s="2">
        <v>45853</v>
      </c>
      <c r="C1721" t="s">
        <v>25</v>
      </c>
      <c r="D1721" t="s">
        <v>29</v>
      </c>
      <c r="E1721" t="s">
        <v>17</v>
      </c>
      <c r="F1721" t="s">
        <v>14</v>
      </c>
      <c r="G1721">
        <v>152</v>
      </c>
      <c r="H1721">
        <v>330.63</v>
      </c>
      <c r="I1721">
        <v>0</v>
      </c>
      <c r="J1721" t="s">
        <v>15</v>
      </c>
      <c r="K1721">
        <v>50255.76</v>
      </c>
      <c r="L1721" t="str">
        <f t="shared" si="104"/>
        <v>Jul</v>
      </c>
      <c r="M1721">
        <f t="shared" si="105"/>
        <v>2025</v>
      </c>
      <c r="N1721">
        <f t="shared" si="106"/>
        <v>50255.76</v>
      </c>
      <c r="O1721" t="str">
        <f t="shared" si="107"/>
        <v>On Time</v>
      </c>
    </row>
    <row r="1722" spans="1:15" x14ac:dyDescent="0.25">
      <c r="A1722">
        <v>1721</v>
      </c>
      <c r="B1722" s="2">
        <v>45961</v>
      </c>
      <c r="C1722" t="s">
        <v>11</v>
      </c>
      <c r="D1722" t="s">
        <v>29</v>
      </c>
      <c r="E1722" t="s">
        <v>19</v>
      </c>
      <c r="F1722" t="s">
        <v>14</v>
      </c>
      <c r="G1722">
        <v>74</v>
      </c>
      <c r="H1722">
        <v>72.13</v>
      </c>
      <c r="I1722">
        <v>0</v>
      </c>
      <c r="J1722" t="s">
        <v>15</v>
      </c>
      <c r="K1722">
        <v>5337.62</v>
      </c>
      <c r="L1722" t="str">
        <f t="shared" si="104"/>
        <v>Oct</v>
      </c>
      <c r="M1722">
        <f t="shared" si="105"/>
        <v>2025</v>
      </c>
      <c r="N1722">
        <f t="shared" si="106"/>
        <v>5337.62</v>
      </c>
      <c r="O1722" t="str">
        <f t="shared" si="107"/>
        <v>On Time</v>
      </c>
    </row>
    <row r="1723" spans="1:15" x14ac:dyDescent="0.25">
      <c r="A1723">
        <v>1722</v>
      </c>
      <c r="B1723" s="2">
        <v>45739</v>
      </c>
      <c r="C1723" t="s">
        <v>26</v>
      </c>
      <c r="D1723" t="s">
        <v>20</v>
      </c>
      <c r="E1723" t="s">
        <v>17</v>
      </c>
      <c r="F1723" t="s">
        <v>21</v>
      </c>
      <c r="G1723">
        <v>121</v>
      </c>
      <c r="H1723">
        <v>228.53</v>
      </c>
      <c r="I1723">
        <v>23</v>
      </c>
      <c r="J1723" t="s">
        <v>15</v>
      </c>
      <c r="K1723">
        <v>27652.13</v>
      </c>
      <c r="L1723" t="str">
        <f t="shared" si="104"/>
        <v>Mar</v>
      </c>
      <c r="M1723">
        <f t="shared" si="105"/>
        <v>2025</v>
      </c>
      <c r="N1723">
        <f t="shared" si="106"/>
        <v>27652.13</v>
      </c>
      <c r="O1723" t="str">
        <f t="shared" si="107"/>
        <v>Minor Delay</v>
      </c>
    </row>
    <row r="1724" spans="1:15" x14ac:dyDescent="0.25">
      <c r="A1724">
        <v>1723</v>
      </c>
      <c r="B1724" s="2">
        <v>45880</v>
      </c>
      <c r="C1724" t="s">
        <v>11</v>
      </c>
      <c r="D1724" t="s">
        <v>20</v>
      </c>
      <c r="E1724" t="s">
        <v>17</v>
      </c>
      <c r="F1724" t="s">
        <v>24</v>
      </c>
      <c r="G1724">
        <v>298</v>
      </c>
      <c r="H1724">
        <v>552.67999999999995</v>
      </c>
      <c r="I1724">
        <v>12</v>
      </c>
      <c r="J1724" t="s">
        <v>30</v>
      </c>
      <c r="K1724">
        <v>164698.64000000001</v>
      </c>
      <c r="L1724" t="str">
        <f t="shared" si="104"/>
        <v>Aug</v>
      </c>
      <c r="M1724">
        <f t="shared" si="105"/>
        <v>2025</v>
      </c>
      <c r="N1724">
        <f t="shared" si="106"/>
        <v>164698.63999999998</v>
      </c>
      <c r="O1724" t="str">
        <f t="shared" si="107"/>
        <v>Minor Delay</v>
      </c>
    </row>
    <row r="1725" spans="1:15" x14ac:dyDescent="0.25">
      <c r="A1725">
        <v>1724</v>
      </c>
      <c r="B1725" s="2">
        <v>45730</v>
      </c>
      <c r="C1725" t="s">
        <v>11</v>
      </c>
      <c r="D1725" t="s">
        <v>20</v>
      </c>
      <c r="E1725" t="s">
        <v>23</v>
      </c>
      <c r="F1725" t="s">
        <v>21</v>
      </c>
      <c r="G1725">
        <v>291</v>
      </c>
      <c r="H1725">
        <v>425.73</v>
      </c>
      <c r="I1725">
        <v>29</v>
      </c>
      <c r="J1725" t="s">
        <v>15</v>
      </c>
      <c r="K1725">
        <v>123887.43</v>
      </c>
      <c r="L1725" t="str">
        <f t="shared" si="104"/>
        <v>Mar</v>
      </c>
      <c r="M1725">
        <f t="shared" si="105"/>
        <v>2025</v>
      </c>
      <c r="N1725">
        <f t="shared" si="106"/>
        <v>123887.43000000001</v>
      </c>
      <c r="O1725" t="str">
        <f t="shared" si="107"/>
        <v>Minor Delay</v>
      </c>
    </row>
    <row r="1726" spans="1:15" x14ac:dyDescent="0.25">
      <c r="A1726">
        <v>1725</v>
      </c>
      <c r="B1726" s="2">
        <v>45815</v>
      </c>
      <c r="C1726" t="s">
        <v>25</v>
      </c>
      <c r="D1726" t="s">
        <v>20</v>
      </c>
      <c r="E1726" t="s">
        <v>13</v>
      </c>
      <c r="F1726" t="s">
        <v>14</v>
      </c>
      <c r="G1726">
        <v>136</v>
      </c>
      <c r="H1726">
        <v>526.54</v>
      </c>
      <c r="I1726">
        <v>9</v>
      </c>
      <c r="J1726" t="s">
        <v>15</v>
      </c>
      <c r="K1726">
        <v>71609.440000000002</v>
      </c>
      <c r="L1726" t="str">
        <f t="shared" si="104"/>
        <v>Jun</v>
      </c>
      <c r="M1726">
        <f t="shared" si="105"/>
        <v>2025</v>
      </c>
      <c r="N1726">
        <f t="shared" si="106"/>
        <v>71609.440000000002</v>
      </c>
      <c r="O1726" t="str">
        <f t="shared" si="107"/>
        <v>Minor Delay</v>
      </c>
    </row>
    <row r="1727" spans="1:15" x14ac:dyDescent="0.25">
      <c r="A1727">
        <v>1726</v>
      </c>
      <c r="B1727" s="2">
        <v>45832</v>
      </c>
      <c r="C1727" t="s">
        <v>25</v>
      </c>
      <c r="D1727" t="s">
        <v>29</v>
      </c>
      <c r="E1727" t="s">
        <v>22</v>
      </c>
      <c r="F1727" t="s">
        <v>24</v>
      </c>
      <c r="G1727">
        <v>256</v>
      </c>
      <c r="H1727">
        <v>569.5</v>
      </c>
      <c r="I1727">
        <v>0</v>
      </c>
      <c r="J1727" t="s">
        <v>15</v>
      </c>
      <c r="K1727">
        <v>145792</v>
      </c>
      <c r="L1727" t="str">
        <f t="shared" si="104"/>
        <v>Jun</v>
      </c>
      <c r="M1727">
        <f t="shared" si="105"/>
        <v>2025</v>
      </c>
      <c r="N1727">
        <f t="shared" si="106"/>
        <v>145792</v>
      </c>
      <c r="O1727" t="str">
        <f t="shared" si="107"/>
        <v>On Time</v>
      </c>
    </row>
    <row r="1728" spans="1:15" x14ac:dyDescent="0.25">
      <c r="A1728">
        <v>1727</v>
      </c>
      <c r="B1728" s="2">
        <v>45667</v>
      </c>
      <c r="C1728" t="s">
        <v>18</v>
      </c>
      <c r="D1728" t="s">
        <v>20</v>
      </c>
      <c r="E1728" t="s">
        <v>12</v>
      </c>
      <c r="F1728" t="s">
        <v>24</v>
      </c>
      <c r="G1728">
        <v>156</v>
      </c>
      <c r="H1728">
        <v>242.12</v>
      </c>
      <c r="I1728">
        <v>55</v>
      </c>
      <c r="J1728" t="s">
        <v>30</v>
      </c>
      <c r="K1728">
        <v>37770.720000000001</v>
      </c>
      <c r="L1728" t="str">
        <f t="shared" si="104"/>
        <v>Jan</v>
      </c>
      <c r="M1728">
        <f t="shared" si="105"/>
        <v>2025</v>
      </c>
      <c r="N1728">
        <f t="shared" si="106"/>
        <v>37770.720000000001</v>
      </c>
      <c r="O1728" t="str">
        <f t="shared" si="107"/>
        <v>Moderate Delay</v>
      </c>
    </row>
    <row r="1729" spans="1:15" x14ac:dyDescent="0.25">
      <c r="A1729">
        <v>1728</v>
      </c>
      <c r="B1729" s="2">
        <v>45801</v>
      </c>
      <c r="C1729" t="s">
        <v>31</v>
      </c>
      <c r="D1729" t="s">
        <v>22</v>
      </c>
      <c r="E1729" t="s">
        <v>27</v>
      </c>
      <c r="F1729" t="s">
        <v>24</v>
      </c>
      <c r="G1729">
        <v>197</v>
      </c>
      <c r="H1729">
        <v>647.42999999999995</v>
      </c>
      <c r="I1729">
        <v>6</v>
      </c>
      <c r="J1729" t="s">
        <v>15</v>
      </c>
      <c r="K1729">
        <v>127543.71</v>
      </c>
      <c r="L1729" t="str">
        <f t="shared" si="104"/>
        <v>May</v>
      </c>
      <c r="M1729">
        <f t="shared" si="105"/>
        <v>2025</v>
      </c>
      <c r="N1729">
        <f t="shared" si="106"/>
        <v>127543.70999999999</v>
      </c>
      <c r="O1729" t="str">
        <f t="shared" si="107"/>
        <v>Minor Delay</v>
      </c>
    </row>
    <row r="1730" spans="1:15" x14ac:dyDescent="0.25">
      <c r="A1730">
        <v>1729</v>
      </c>
      <c r="B1730" s="2">
        <v>45981</v>
      </c>
      <c r="C1730" t="s">
        <v>31</v>
      </c>
      <c r="D1730" t="s">
        <v>29</v>
      </c>
      <c r="E1730" t="s">
        <v>17</v>
      </c>
      <c r="F1730" t="s">
        <v>14</v>
      </c>
      <c r="G1730">
        <v>231</v>
      </c>
      <c r="H1730">
        <v>498.7</v>
      </c>
      <c r="I1730">
        <v>23</v>
      </c>
      <c r="J1730" t="s">
        <v>15</v>
      </c>
      <c r="K1730">
        <v>115199.7</v>
      </c>
      <c r="L1730" t="str">
        <f t="shared" si="104"/>
        <v>Nov</v>
      </c>
      <c r="M1730">
        <f t="shared" si="105"/>
        <v>2025</v>
      </c>
      <c r="N1730">
        <f t="shared" si="106"/>
        <v>115199.7</v>
      </c>
      <c r="O1730" t="str">
        <f t="shared" si="107"/>
        <v>Minor Delay</v>
      </c>
    </row>
    <row r="1731" spans="1:15" x14ac:dyDescent="0.25">
      <c r="A1731">
        <v>1730</v>
      </c>
      <c r="B1731" s="2">
        <v>45818</v>
      </c>
      <c r="C1731" t="s">
        <v>31</v>
      </c>
      <c r="D1731" t="s">
        <v>20</v>
      </c>
      <c r="E1731" t="s">
        <v>13</v>
      </c>
      <c r="F1731" t="s">
        <v>14</v>
      </c>
      <c r="G1731">
        <v>148</v>
      </c>
      <c r="H1731">
        <v>615.14</v>
      </c>
      <c r="I1731">
        <v>66</v>
      </c>
      <c r="J1731" t="s">
        <v>15</v>
      </c>
      <c r="K1731">
        <v>91040.72</v>
      </c>
      <c r="L1731" t="str">
        <f t="shared" ref="L1731:L1794" si="108">TEXT(B1731,"MMM")</f>
        <v>Jun</v>
      </c>
      <c r="M1731">
        <f t="shared" ref="M1731:M1794" si="109">YEAR(B1731)</f>
        <v>2025</v>
      </c>
      <c r="N1731">
        <f t="shared" ref="N1731:N1794" si="110">G1731*H1731</f>
        <v>91040.72</v>
      </c>
      <c r="O1731" t="str">
        <f t="shared" ref="O1731:O1794" si="111">IF(I1731=0,"On Time",IF(I1731&lt;=30,"Minor Delay",IF(I1731&lt;=60,"Moderate Delay","Major Delay")))</f>
        <v>Major Delay</v>
      </c>
    </row>
    <row r="1732" spans="1:15" x14ac:dyDescent="0.25">
      <c r="A1732">
        <v>1731</v>
      </c>
      <c r="B1732" s="2">
        <v>45894</v>
      </c>
      <c r="C1732" t="s">
        <v>31</v>
      </c>
      <c r="D1732" t="s">
        <v>12</v>
      </c>
      <c r="E1732" t="s">
        <v>27</v>
      </c>
      <c r="F1732" t="s">
        <v>21</v>
      </c>
      <c r="G1732">
        <v>118</v>
      </c>
      <c r="H1732">
        <v>109.52</v>
      </c>
      <c r="I1732">
        <v>7</v>
      </c>
      <c r="J1732" t="s">
        <v>15</v>
      </c>
      <c r="K1732">
        <v>12923.36</v>
      </c>
      <c r="L1732" t="str">
        <f t="shared" si="108"/>
        <v>Aug</v>
      </c>
      <c r="M1732">
        <f t="shared" si="109"/>
        <v>2025</v>
      </c>
      <c r="N1732">
        <f t="shared" si="110"/>
        <v>12923.359999999999</v>
      </c>
      <c r="O1732" t="str">
        <f t="shared" si="111"/>
        <v>Minor Delay</v>
      </c>
    </row>
    <row r="1733" spans="1:15" x14ac:dyDescent="0.25">
      <c r="A1733">
        <v>1732</v>
      </c>
      <c r="B1733" s="2">
        <v>45688</v>
      </c>
      <c r="C1733" t="s">
        <v>18</v>
      </c>
      <c r="D1733" t="s">
        <v>29</v>
      </c>
      <c r="E1733" t="s">
        <v>17</v>
      </c>
      <c r="F1733" t="s">
        <v>14</v>
      </c>
      <c r="G1733">
        <v>107</v>
      </c>
      <c r="H1733">
        <v>528.47</v>
      </c>
      <c r="I1733">
        <v>30</v>
      </c>
      <c r="J1733" t="s">
        <v>15</v>
      </c>
      <c r="K1733">
        <v>56546.29</v>
      </c>
      <c r="L1733" t="str">
        <f t="shared" si="108"/>
        <v>Jan</v>
      </c>
      <c r="M1733">
        <f t="shared" si="109"/>
        <v>2025</v>
      </c>
      <c r="N1733">
        <f t="shared" si="110"/>
        <v>56546.29</v>
      </c>
      <c r="O1733" t="str">
        <f t="shared" si="111"/>
        <v>Minor Delay</v>
      </c>
    </row>
    <row r="1734" spans="1:15" x14ac:dyDescent="0.25">
      <c r="A1734">
        <v>1733</v>
      </c>
      <c r="B1734" s="2">
        <v>45797</v>
      </c>
      <c r="C1734" t="s">
        <v>26</v>
      </c>
      <c r="D1734" t="s">
        <v>20</v>
      </c>
      <c r="E1734" t="s">
        <v>29</v>
      </c>
      <c r="F1734" t="s">
        <v>24</v>
      </c>
      <c r="G1734">
        <v>130</v>
      </c>
      <c r="H1734">
        <v>507.53</v>
      </c>
      <c r="I1734">
        <v>0</v>
      </c>
      <c r="J1734" t="s">
        <v>15</v>
      </c>
      <c r="K1734">
        <v>65978.899999999994</v>
      </c>
      <c r="L1734" t="str">
        <f t="shared" si="108"/>
        <v>May</v>
      </c>
      <c r="M1734">
        <f t="shared" si="109"/>
        <v>2025</v>
      </c>
      <c r="N1734">
        <f t="shared" si="110"/>
        <v>65978.899999999994</v>
      </c>
      <c r="O1734" t="str">
        <f t="shared" si="111"/>
        <v>On Time</v>
      </c>
    </row>
    <row r="1735" spans="1:15" x14ac:dyDescent="0.25">
      <c r="A1735">
        <v>1734</v>
      </c>
      <c r="B1735" s="2">
        <v>45689</v>
      </c>
      <c r="C1735" t="s">
        <v>25</v>
      </c>
      <c r="D1735" t="s">
        <v>12</v>
      </c>
      <c r="E1735" t="s">
        <v>22</v>
      </c>
      <c r="F1735" t="s">
        <v>14</v>
      </c>
      <c r="G1735">
        <v>184</v>
      </c>
      <c r="H1735">
        <v>651.15</v>
      </c>
      <c r="I1735">
        <v>9</v>
      </c>
      <c r="J1735" t="s">
        <v>15</v>
      </c>
      <c r="K1735">
        <v>119811.6</v>
      </c>
      <c r="L1735" t="str">
        <f t="shared" si="108"/>
        <v>Feb</v>
      </c>
      <c r="M1735">
        <f t="shared" si="109"/>
        <v>2025</v>
      </c>
      <c r="N1735">
        <f t="shared" si="110"/>
        <v>119811.59999999999</v>
      </c>
      <c r="O1735" t="str">
        <f t="shared" si="111"/>
        <v>Minor Delay</v>
      </c>
    </row>
    <row r="1736" spans="1:15" x14ac:dyDescent="0.25">
      <c r="A1736">
        <v>1735</v>
      </c>
      <c r="B1736" s="2">
        <v>46016</v>
      </c>
      <c r="C1736" t="s">
        <v>16</v>
      </c>
      <c r="D1736" t="s">
        <v>17</v>
      </c>
      <c r="E1736" t="s">
        <v>20</v>
      </c>
      <c r="F1736" t="s">
        <v>24</v>
      </c>
      <c r="G1736">
        <v>116</v>
      </c>
      <c r="H1736">
        <v>211.14</v>
      </c>
      <c r="I1736">
        <v>18</v>
      </c>
      <c r="J1736" t="s">
        <v>15</v>
      </c>
      <c r="K1736">
        <v>24492.240000000002</v>
      </c>
      <c r="L1736" t="str">
        <f t="shared" si="108"/>
        <v>Dec</v>
      </c>
      <c r="M1736">
        <f t="shared" si="109"/>
        <v>2025</v>
      </c>
      <c r="N1736">
        <f t="shared" si="110"/>
        <v>24492.239999999998</v>
      </c>
      <c r="O1736" t="str">
        <f t="shared" si="111"/>
        <v>Minor Delay</v>
      </c>
    </row>
    <row r="1737" spans="1:15" x14ac:dyDescent="0.25">
      <c r="A1737">
        <v>1736</v>
      </c>
      <c r="B1737" s="2">
        <v>45846</v>
      </c>
      <c r="C1737" t="s">
        <v>18</v>
      </c>
      <c r="D1737" t="s">
        <v>17</v>
      </c>
      <c r="E1737" t="s">
        <v>12</v>
      </c>
      <c r="F1737" t="s">
        <v>14</v>
      </c>
      <c r="G1737">
        <v>164</v>
      </c>
      <c r="H1737">
        <v>523.16</v>
      </c>
      <c r="I1737">
        <v>25</v>
      </c>
      <c r="J1737" t="s">
        <v>15</v>
      </c>
      <c r="K1737">
        <v>85798.24</v>
      </c>
      <c r="L1737" t="str">
        <f t="shared" si="108"/>
        <v>Jul</v>
      </c>
      <c r="M1737">
        <f t="shared" si="109"/>
        <v>2025</v>
      </c>
      <c r="N1737">
        <f t="shared" si="110"/>
        <v>85798.239999999991</v>
      </c>
      <c r="O1737" t="str">
        <f t="shared" si="111"/>
        <v>Minor Delay</v>
      </c>
    </row>
    <row r="1738" spans="1:15" x14ac:dyDescent="0.25">
      <c r="A1738">
        <v>1737</v>
      </c>
      <c r="B1738" s="2">
        <v>45713</v>
      </c>
      <c r="C1738" t="s">
        <v>26</v>
      </c>
      <c r="D1738" t="s">
        <v>20</v>
      </c>
      <c r="E1738" t="s">
        <v>22</v>
      </c>
      <c r="F1738" t="s">
        <v>24</v>
      </c>
      <c r="G1738">
        <v>120</v>
      </c>
      <c r="H1738">
        <v>206.36</v>
      </c>
      <c r="I1738">
        <v>3</v>
      </c>
      <c r="J1738" t="s">
        <v>15</v>
      </c>
      <c r="K1738">
        <v>24763.200000000001</v>
      </c>
      <c r="L1738" t="str">
        <f t="shared" si="108"/>
        <v>Feb</v>
      </c>
      <c r="M1738">
        <f t="shared" si="109"/>
        <v>2025</v>
      </c>
      <c r="N1738">
        <f t="shared" si="110"/>
        <v>24763.200000000001</v>
      </c>
      <c r="O1738" t="str">
        <f t="shared" si="111"/>
        <v>Minor Delay</v>
      </c>
    </row>
    <row r="1739" spans="1:15" x14ac:dyDescent="0.25">
      <c r="A1739">
        <v>1738</v>
      </c>
      <c r="B1739" s="2">
        <v>45721</v>
      </c>
      <c r="C1739" t="s">
        <v>16</v>
      </c>
      <c r="D1739" t="s">
        <v>22</v>
      </c>
      <c r="E1739" t="s">
        <v>13</v>
      </c>
      <c r="F1739" t="s">
        <v>24</v>
      </c>
      <c r="G1739">
        <v>191</v>
      </c>
      <c r="H1739">
        <v>413.06</v>
      </c>
      <c r="I1739">
        <v>7</v>
      </c>
      <c r="J1739" t="s">
        <v>15</v>
      </c>
      <c r="K1739">
        <v>78894.460000000006</v>
      </c>
      <c r="L1739" t="str">
        <f t="shared" si="108"/>
        <v>Mar</v>
      </c>
      <c r="M1739">
        <f t="shared" si="109"/>
        <v>2025</v>
      </c>
      <c r="N1739">
        <f t="shared" si="110"/>
        <v>78894.460000000006</v>
      </c>
      <c r="O1739" t="str">
        <f t="shared" si="111"/>
        <v>Minor Delay</v>
      </c>
    </row>
    <row r="1740" spans="1:15" x14ac:dyDescent="0.25">
      <c r="A1740">
        <v>1739</v>
      </c>
      <c r="B1740" s="2">
        <v>45979</v>
      </c>
      <c r="C1740" t="s">
        <v>18</v>
      </c>
      <c r="D1740" t="s">
        <v>17</v>
      </c>
      <c r="E1740" t="s">
        <v>13</v>
      </c>
      <c r="F1740" t="s">
        <v>21</v>
      </c>
      <c r="G1740">
        <v>132</v>
      </c>
      <c r="H1740">
        <v>352.7</v>
      </c>
      <c r="I1740">
        <v>0</v>
      </c>
      <c r="J1740" t="s">
        <v>15</v>
      </c>
      <c r="K1740">
        <v>46556.4</v>
      </c>
      <c r="L1740" t="str">
        <f t="shared" si="108"/>
        <v>Nov</v>
      </c>
      <c r="M1740">
        <f t="shared" si="109"/>
        <v>2025</v>
      </c>
      <c r="N1740">
        <f t="shared" si="110"/>
        <v>46556.4</v>
      </c>
      <c r="O1740" t="str">
        <f t="shared" si="111"/>
        <v>On Time</v>
      </c>
    </row>
    <row r="1741" spans="1:15" x14ac:dyDescent="0.25">
      <c r="A1741">
        <v>1740</v>
      </c>
      <c r="B1741" s="2">
        <v>45947</v>
      </c>
      <c r="C1741" t="s">
        <v>31</v>
      </c>
      <c r="D1741" t="s">
        <v>23</v>
      </c>
      <c r="E1741" t="s">
        <v>17</v>
      </c>
      <c r="F1741" t="s">
        <v>14</v>
      </c>
      <c r="G1741">
        <v>276</v>
      </c>
      <c r="H1741">
        <v>438.66</v>
      </c>
      <c r="I1741">
        <v>62</v>
      </c>
      <c r="J1741" t="s">
        <v>15</v>
      </c>
      <c r="K1741">
        <v>121070.16</v>
      </c>
      <c r="L1741" t="str">
        <f t="shared" si="108"/>
        <v>Oct</v>
      </c>
      <c r="M1741">
        <f t="shared" si="109"/>
        <v>2025</v>
      </c>
      <c r="N1741">
        <f t="shared" si="110"/>
        <v>121070.16</v>
      </c>
      <c r="O1741" t="str">
        <f t="shared" si="111"/>
        <v>Major Delay</v>
      </c>
    </row>
    <row r="1742" spans="1:15" x14ac:dyDescent="0.25">
      <c r="A1742">
        <v>1741</v>
      </c>
      <c r="B1742" s="2">
        <v>45690</v>
      </c>
      <c r="C1742" t="s">
        <v>16</v>
      </c>
      <c r="D1742" t="s">
        <v>29</v>
      </c>
      <c r="E1742" t="s">
        <v>27</v>
      </c>
      <c r="F1742" t="s">
        <v>14</v>
      </c>
      <c r="G1742">
        <v>88</v>
      </c>
      <c r="H1742">
        <v>135.66999999999999</v>
      </c>
      <c r="I1742">
        <v>40</v>
      </c>
      <c r="J1742" t="s">
        <v>15</v>
      </c>
      <c r="K1742">
        <v>11938.96</v>
      </c>
      <c r="L1742" t="str">
        <f t="shared" si="108"/>
        <v>Feb</v>
      </c>
      <c r="M1742">
        <f t="shared" si="109"/>
        <v>2025</v>
      </c>
      <c r="N1742">
        <f t="shared" si="110"/>
        <v>11938.96</v>
      </c>
      <c r="O1742" t="str">
        <f t="shared" si="111"/>
        <v>Moderate Delay</v>
      </c>
    </row>
    <row r="1743" spans="1:15" x14ac:dyDescent="0.25">
      <c r="A1743">
        <v>1742</v>
      </c>
      <c r="B1743" s="2">
        <v>45831</v>
      </c>
      <c r="C1743" t="s">
        <v>16</v>
      </c>
      <c r="D1743" t="s">
        <v>22</v>
      </c>
      <c r="E1743" t="s">
        <v>17</v>
      </c>
      <c r="F1743" t="s">
        <v>24</v>
      </c>
      <c r="G1743">
        <v>137</v>
      </c>
      <c r="H1743">
        <v>615.63</v>
      </c>
      <c r="I1743">
        <v>53</v>
      </c>
      <c r="J1743" t="s">
        <v>15</v>
      </c>
      <c r="K1743">
        <v>84341.31</v>
      </c>
      <c r="L1743" t="str">
        <f t="shared" si="108"/>
        <v>Jun</v>
      </c>
      <c r="M1743">
        <f t="shared" si="109"/>
        <v>2025</v>
      </c>
      <c r="N1743">
        <f t="shared" si="110"/>
        <v>84341.31</v>
      </c>
      <c r="O1743" t="str">
        <f t="shared" si="111"/>
        <v>Moderate Delay</v>
      </c>
    </row>
    <row r="1744" spans="1:15" x14ac:dyDescent="0.25">
      <c r="A1744">
        <v>1743</v>
      </c>
      <c r="B1744" s="2">
        <v>45926</v>
      </c>
      <c r="C1744" t="s">
        <v>18</v>
      </c>
      <c r="D1744" t="s">
        <v>27</v>
      </c>
      <c r="E1744" t="s">
        <v>13</v>
      </c>
      <c r="F1744" t="s">
        <v>21</v>
      </c>
      <c r="G1744">
        <v>252</v>
      </c>
      <c r="H1744">
        <v>353.03</v>
      </c>
      <c r="I1744">
        <v>46</v>
      </c>
      <c r="J1744" t="s">
        <v>30</v>
      </c>
      <c r="K1744">
        <v>88963.56</v>
      </c>
      <c r="L1744" t="str">
        <f t="shared" si="108"/>
        <v>Sep</v>
      </c>
      <c r="M1744">
        <f t="shared" si="109"/>
        <v>2025</v>
      </c>
      <c r="N1744">
        <f t="shared" si="110"/>
        <v>88963.56</v>
      </c>
      <c r="O1744" t="str">
        <f t="shared" si="111"/>
        <v>Moderate Delay</v>
      </c>
    </row>
    <row r="1745" spans="1:15" x14ac:dyDescent="0.25">
      <c r="A1745">
        <v>1744</v>
      </c>
      <c r="B1745" s="2">
        <v>45717</v>
      </c>
      <c r="C1745" t="s">
        <v>26</v>
      </c>
      <c r="D1745" t="s">
        <v>20</v>
      </c>
      <c r="E1745" t="s">
        <v>29</v>
      </c>
      <c r="F1745" t="s">
        <v>14</v>
      </c>
      <c r="G1745">
        <v>111</v>
      </c>
      <c r="H1745">
        <v>101.82</v>
      </c>
      <c r="I1745">
        <v>58</v>
      </c>
      <c r="J1745" t="s">
        <v>15</v>
      </c>
      <c r="K1745">
        <v>11302.02</v>
      </c>
      <c r="L1745" t="str">
        <f t="shared" si="108"/>
        <v>Mar</v>
      </c>
      <c r="M1745">
        <f t="shared" si="109"/>
        <v>2025</v>
      </c>
      <c r="N1745">
        <f t="shared" si="110"/>
        <v>11302.019999999999</v>
      </c>
      <c r="O1745" t="str">
        <f t="shared" si="111"/>
        <v>Moderate Delay</v>
      </c>
    </row>
    <row r="1746" spans="1:15" x14ac:dyDescent="0.25">
      <c r="A1746">
        <v>1745</v>
      </c>
      <c r="B1746" s="2">
        <v>45987</v>
      </c>
      <c r="C1746" t="s">
        <v>25</v>
      </c>
      <c r="D1746" t="s">
        <v>13</v>
      </c>
      <c r="E1746" t="s">
        <v>12</v>
      </c>
      <c r="F1746" t="s">
        <v>14</v>
      </c>
      <c r="G1746">
        <v>172</v>
      </c>
      <c r="H1746">
        <v>91.37</v>
      </c>
      <c r="I1746">
        <v>23</v>
      </c>
      <c r="J1746" t="s">
        <v>15</v>
      </c>
      <c r="K1746">
        <v>15715.64</v>
      </c>
      <c r="L1746" t="str">
        <f t="shared" si="108"/>
        <v>Nov</v>
      </c>
      <c r="M1746">
        <f t="shared" si="109"/>
        <v>2025</v>
      </c>
      <c r="N1746">
        <f t="shared" si="110"/>
        <v>15715.640000000001</v>
      </c>
      <c r="O1746" t="str">
        <f t="shared" si="111"/>
        <v>Minor Delay</v>
      </c>
    </row>
    <row r="1747" spans="1:15" x14ac:dyDescent="0.25">
      <c r="A1747">
        <v>1746</v>
      </c>
      <c r="B1747" s="2">
        <v>45823</v>
      </c>
      <c r="C1747" t="s">
        <v>18</v>
      </c>
      <c r="D1747" t="s">
        <v>29</v>
      </c>
      <c r="E1747" t="s">
        <v>17</v>
      </c>
      <c r="F1747" t="s">
        <v>21</v>
      </c>
      <c r="G1747">
        <v>221</v>
      </c>
      <c r="H1747">
        <v>352.9</v>
      </c>
      <c r="I1747">
        <v>37</v>
      </c>
      <c r="J1747" t="s">
        <v>15</v>
      </c>
      <c r="K1747">
        <v>77990.899999999994</v>
      </c>
      <c r="L1747" t="str">
        <f t="shared" si="108"/>
        <v>Jun</v>
      </c>
      <c r="M1747">
        <f t="shared" si="109"/>
        <v>2025</v>
      </c>
      <c r="N1747">
        <f t="shared" si="110"/>
        <v>77990.899999999994</v>
      </c>
      <c r="O1747" t="str">
        <f t="shared" si="111"/>
        <v>Moderate Delay</v>
      </c>
    </row>
    <row r="1748" spans="1:15" x14ac:dyDescent="0.25">
      <c r="A1748">
        <v>1747</v>
      </c>
      <c r="B1748" s="2">
        <v>45670</v>
      </c>
      <c r="C1748" t="s">
        <v>25</v>
      </c>
      <c r="D1748" t="s">
        <v>23</v>
      </c>
      <c r="E1748" t="s">
        <v>27</v>
      </c>
      <c r="F1748" t="s">
        <v>21</v>
      </c>
      <c r="G1748">
        <v>228</v>
      </c>
      <c r="H1748">
        <v>367.05</v>
      </c>
      <c r="I1748">
        <v>35</v>
      </c>
      <c r="J1748" t="s">
        <v>15</v>
      </c>
      <c r="K1748">
        <v>83687.399999999994</v>
      </c>
      <c r="L1748" t="str">
        <f t="shared" si="108"/>
        <v>Jan</v>
      </c>
      <c r="M1748">
        <f t="shared" si="109"/>
        <v>2025</v>
      </c>
      <c r="N1748">
        <f t="shared" si="110"/>
        <v>83687.400000000009</v>
      </c>
      <c r="O1748" t="str">
        <f t="shared" si="111"/>
        <v>Moderate Delay</v>
      </c>
    </row>
    <row r="1749" spans="1:15" x14ac:dyDescent="0.25">
      <c r="A1749">
        <v>1748</v>
      </c>
      <c r="B1749" s="2">
        <v>45661</v>
      </c>
      <c r="C1749" t="s">
        <v>26</v>
      </c>
      <c r="D1749" t="s">
        <v>19</v>
      </c>
      <c r="E1749" t="s">
        <v>27</v>
      </c>
      <c r="F1749" t="s">
        <v>21</v>
      </c>
      <c r="G1749">
        <v>70</v>
      </c>
      <c r="H1749">
        <v>490.37</v>
      </c>
      <c r="I1749">
        <v>26</v>
      </c>
      <c r="J1749" t="s">
        <v>15</v>
      </c>
      <c r="K1749">
        <v>34325.9</v>
      </c>
      <c r="L1749" t="str">
        <f t="shared" si="108"/>
        <v>Jan</v>
      </c>
      <c r="M1749">
        <f t="shared" si="109"/>
        <v>2025</v>
      </c>
      <c r="N1749">
        <f t="shared" si="110"/>
        <v>34325.9</v>
      </c>
      <c r="O1749" t="str">
        <f t="shared" si="111"/>
        <v>Minor Delay</v>
      </c>
    </row>
    <row r="1750" spans="1:15" x14ac:dyDescent="0.25">
      <c r="A1750">
        <v>1749</v>
      </c>
      <c r="B1750" s="2">
        <v>45766</v>
      </c>
      <c r="C1750" t="s">
        <v>11</v>
      </c>
      <c r="D1750" t="s">
        <v>29</v>
      </c>
      <c r="E1750" t="s">
        <v>20</v>
      </c>
      <c r="F1750" t="s">
        <v>21</v>
      </c>
      <c r="G1750">
        <v>51</v>
      </c>
      <c r="H1750">
        <v>737.25</v>
      </c>
      <c r="I1750">
        <v>19</v>
      </c>
      <c r="J1750" t="s">
        <v>15</v>
      </c>
      <c r="K1750">
        <v>37599.75</v>
      </c>
      <c r="L1750" t="str">
        <f t="shared" si="108"/>
        <v>Apr</v>
      </c>
      <c r="M1750">
        <f t="shared" si="109"/>
        <v>2025</v>
      </c>
      <c r="N1750">
        <f t="shared" si="110"/>
        <v>37599.75</v>
      </c>
      <c r="O1750" t="str">
        <f t="shared" si="111"/>
        <v>Minor Delay</v>
      </c>
    </row>
    <row r="1751" spans="1:15" x14ac:dyDescent="0.25">
      <c r="A1751">
        <v>1750</v>
      </c>
      <c r="B1751" s="2">
        <v>45739</v>
      </c>
      <c r="C1751" t="s">
        <v>11</v>
      </c>
      <c r="D1751" t="s">
        <v>27</v>
      </c>
      <c r="E1751" t="s">
        <v>17</v>
      </c>
      <c r="F1751" t="s">
        <v>21</v>
      </c>
      <c r="G1751">
        <v>115</v>
      </c>
      <c r="H1751">
        <v>307.52</v>
      </c>
      <c r="I1751">
        <v>0</v>
      </c>
      <c r="J1751" t="s">
        <v>15</v>
      </c>
      <c r="K1751">
        <v>35364.800000000003</v>
      </c>
      <c r="L1751" t="str">
        <f t="shared" si="108"/>
        <v>Mar</v>
      </c>
      <c r="M1751">
        <f t="shared" si="109"/>
        <v>2025</v>
      </c>
      <c r="N1751">
        <f t="shared" si="110"/>
        <v>35364.799999999996</v>
      </c>
      <c r="O1751" t="str">
        <f t="shared" si="111"/>
        <v>On Time</v>
      </c>
    </row>
    <row r="1752" spans="1:15" x14ac:dyDescent="0.25">
      <c r="A1752">
        <v>1751</v>
      </c>
      <c r="B1752" s="2">
        <v>45719</v>
      </c>
      <c r="C1752" t="s">
        <v>25</v>
      </c>
      <c r="D1752" t="s">
        <v>23</v>
      </c>
      <c r="E1752" t="s">
        <v>20</v>
      </c>
      <c r="F1752" t="s">
        <v>24</v>
      </c>
      <c r="G1752">
        <v>165</v>
      </c>
      <c r="H1752">
        <v>81.319999999999993</v>
      </c>
      <c r="I1752">
        <v>0</v>
      </c>
      <c r="J1752" t="s">
        <v>15</v>
      </c>
      <c r="K1752">
        <v>13417.8</v>
      </c>
      <c r="L1752" t="str">
        <f t="shared" si="108"/>
        <v>Mar</v>
      </c>
      <c r="M1752">
        <f t="shared" si="109"/>
        <v>2025</v>
      </c>
      <c r="N1752">
        <f t="shared" si="110"/>
        <v>13417.8</v>
      </c>
      <c r="O1752" t="str">
        <f t="shared" si="111"/>
        <v>On Time</v>
      </c>
    </row>
    <row r="1753" spans="1:15" x14ac:dyDescent="0.25">
      <c r="A1753">
        <v>1752</v>
      </c>
      <c r="B1753" s="2">
        <v>45752</v>
      </c>
      <c r="C1753" t="s">
        <v>16</v>
      </c>
      <c r="D1753" t="s">
        <v>17</v>
      </c>
      <c r="E1753" t="s">
        <v>19</v>
      </c>
      <c r="F1753" t="s">
        <v>14</v>
      </c>
      <c r="G1753">
        <v>149</v>
      </c>
      <c r="H1753">
        <v>655.43</v>
      </c>
      <c r="I1753">
        <v>0</v>
      </c>
      <c r="J1753" t="s">
        <v>15</v>
      </c>
      <c r="K1753">
        <v>97659.07</v>
      </c>
      <c r="L1753" t="str">
        <f t="shared" si="108"/>
        <v>Apr</v>
      </c>
      <c r="M1753">
        <f t="shared" si="109"/>
        <v>2025</v>
      </c>
      <c r="N1753">
        <f t="shared" si="110"/>
        <v>97659.069999999992</v>
      </c>
      <c r="O1753" t="str">
        <f t="shared" si="111"/>
        <v>On Time</v>
      </c>
    </row>
    <row r="1754" spans="1:15" x14ac:dyDescent="0.25">
      <c r="A1754">
        <v>1753</v>
      </c>
      <c r="B1754" s="2">
        <v>45949</v>
      </c>
      <c r="C1754" t="s">
        <v>25</v>
      </c>
      <c r="D1754" t="s">
        <v>19</v>
      </c>
      <c r="E1754" t="s">
        <v>23</v>
      </c>
      <c r="F1754" t="s">
        <v>21</v>
      </c>
      <c r="G1754">
        <v>126</v>
      </c>
      <c r="H1754">
        <v>676.37</v>
      </c>
      <c r="I1754">
        <v>0</v>
      </c>
      <c r="J1754" t="s">
        <v>30</v>
      </c>
      <c r="K1754">
        <v>85222.62</v>
      </c>
      <c r="L1754" t="str">
        <f t="shared" si="108"/>
        <v>Oct</v>
      </c>
      <c r="M1754">
        <f t="shared" si="109"/>
        <v>2025</v>
      </c>
      <c r="N1754">
        <f t="shared" si="110"/>
        <v>85222.62</v>
      </c>
      <c r="O1754" t="str">
        <f t="shared" si="111"/>
        <v>On Time</v>
      </c>
    </row>
    <row r="1755" spans="1:15" x14ac:dyDescent="0.25">
      <c r="A1755">
        <v>1754</v>
      </c>
      <c r="B1755" s="2">
        <v>45685</v>
      </c>
      <c r="C1755" t="s">
        <v>25</v>
      </c>
      <c r="D1755" t="s">
        <v>22</v>
      </c>
      <c r="E1755" t="s">
        <v>27</v>
      </c>
      <c r="F1755" t="s">
        <v>21</v>
      </c>
      <c r="G1755">
        <v>108</v>
      </c>
      <c r="H1755">
        <v>479.47</v>
      </c>
      <c r="I1755">
        <v>0</v>
      </c>
      <c r="J1755" t="s">
        <v>30</v>
      </c>
      <c r="K1755">
        <v>51782.76</v>
      </c>
      <c r="L1755" t="str">
        <f t="shared" si="108"/>
        <v>Jan</v>
      </c>
      <c r="M1755">
        <f t="shared" si="109"/>
        <v>2025</v>
      </c>
      <c r="N1755">
        <f t="shared" si="110"/>
        <v>51782.76</v>
      </c>
      <c r="O1755" t="str">
        <f t="shared" si="111"/>
        <v>On Time</v>
      </c>
    </row>
    <row r="1756" spans="1:15" x14ac:dyDescent="0.25">
      <c r="A1756">
        <v>1755</v>
      </c>
      <c r="B1756" s="2">
        <v>45919</v>
      </c>
      <c r="C1756" t="s">
        <v>16</v>
      </c>
      <c r="D1756" t="s">
        <v>23</v>
      </c>
      <c r="E1756" t="s">
        <v>19</v>
      </c>
      <c r="F1756" t="s">
        <v>24</v>
      </c>
      <c r="G1756">
        <v>53</v>
      </c>
      <c r="H1756">
        <v>220.15</v>
      </c>
      <c r="I1756">
        <v>29</v>
      </c>
      <c r="J1756" t="s">
        <v>15</v>
      </c>
      <c r="K1756">
        <v>11667.95</v>
      </c>
      <c r="L1756" t="str">
        <f t="shared" si="108"/>
        <v>Sep</v>
      </c>
      <c r="M1756">
        <f t="shared" si="109"/>
        <v>2025</v>
      </c>
      <c r="N1756">
        <f t="shared" si="110"/>
        <v>11667.95</v>
      </c>
      <c r="O1756" t="str">
        <f t="shared" si="111"/>
        <v>Minor Delay</v>
      </c>
    </row>
    <row r="1757" spans="1:15" x14ac:dyDescent="0.25">
      <c r="A1757">
        <v>1756</v>
      </c>
      <c r="B1757" s="2">
        <v>45892</v>
      </c>
      <c r="C1757" t="s">
        <v>18</v>
      </c>
      <c r="D1757" t="s">
        <v>17</v>
      </c>
      <c r="E1757" t="s">
        <v>22</v>
      </c>
      <c r="F1757" t="s">
        <v>21</v>
      </c>
      <c r="G1757">
        <v>242</v>
      </c>
      <c r="H1757">
        <v>182.29</v>
      </c>
      <c r="I1757">
        <v>40</v>
      </c>
      <c r="J1757" t="s">
        <v>15</v>
      </c>
      <c r="K1757">
        <v>44114.18</v>
      </c>
      <c r="L1757" t="str">
        <f t="shared" si="108"/>
        <v>Aug</v>
      </c>
      <c r="M1757">
        <f t="shared" si="109"/>
        <v>2025</v>
      </c>
      <c r="N1757">
        <f t="shared" si="110"/>
        <v>44114.18</v>
      </c>
      <c r="O1757" t="str">
        <f t="shared" si="111"/>
        <v>Moderate Delay</v>
      </c>
    </row>
    <row r="1758" spans="1:15" x14ac:dyDescent="0.25">
      <c r="A1758">
        <v>1757</v>
      </c>
      <c r="B1758" s="2">
        <v>45999</v>
      </c>
      <c r="C1758" t="s">
        <v>11</v>
      </c>
      <c r="D1758" t="s">
        <v>27</v>
      </c>
      <c r="E1758" t="s">
        <v>23</v>
      </c>
      <c r="F1758" t="s">
        <v>14</v>
      </c>
      <c r="G1758">
        <v>207</v>
      </c>
      <c r="H1758">
        <v>139.37</v>
      </c>
      <c r="I1758">
        <v>26</v>
      </c>
      <c r="J1758" t="s">
        <v>15</v>
      </c>
      <c r="K1758">
        <v>28849.59</v>
      </c>
      <c r="L1758" t="str">
        <f t="shared" si="108"/>
        <v>Dec</v>
      </c>
      <c r="M1758">
        <f t="shared" si="109"/>
        <v>2025</v>
      </c>
      <c r="N1758">
        <f t="shared" si="110"/>
        <v>28849.59</v>
      </c>
      <c r="O1758" t="str">
        <f t="shared" si="111"/>
        <v>Minor Delay</v>
      </c>
    </row>
    <row r="1759" spans="1:15" x14ac:dyDescent="0.25">
      <c r="A1759">
        <v>1758</v>
      </c>
      <c r="B1759" s="2">
        <v>45658</v>
      </c>
      <c r="C1759" t="s">
        <v>26</v>
      </c>
      <c r="D1759" t="s">
        <v>13</v>
      </c>
      <c r="E1759" t="s">
        <v>22</v>
      </c>
      <c r="F1759" t="s">
        <v>24</v>
      </c>
      <c r="G1759">
        <v>147</v>
      </c>
      <c r="H1759">
        <v>599.27</v>
      </c>
      <c r="I1759">
        <v>20</v>
      </c>
      <c r="J1759" t="s">
        <v>30</v>
      </c>
      <c r="K1759">
        <v>88092.69</v>
      </c>
      <c r="L1759" t="str">
        <f t="shared" si="108"/>
        <v>Jan</v>
      </c>
      <c r="M1759">
        <f t="shared" si="109"/>
        <v>2025</v>
      </c>
      <c r="N1759">
        <f t="shared" si="110"/>
        <v>88092.69</v>
      </c>
      <c r="O1759" t="str">
        <f t="shared" si="111"/>
        <v>Minor Delay</v>
      </c>
    </row>
    <row r="1760" spans="1:15" x14ac:dyDescent="0.25">
      <c r="A1760">
        <v>1759</v>
      </c>
      <c r="B1760" s="2">
        <v>45846</v>
      </c>
      <c r="C1760" t="s">
        <v>11</v>
      </c>
      <c r="D1760" t="s">
        <v>12</v>
      </c>
      <c r="E1760" t="s">
        <v>13</v>
      </c>
      <c r="F1760" t="s">
        <v>21</v>
      </c>
      <c r="G1760">
        <v>98</v>
      </c>
      <c r="H1760">
        <v>778.5</v>
      </c>
      <c r="I1760">
        <v>18</v>
      </c>
      <c r="J1760" t="s">
        <v>15</v>
      </c>
      <c r="K1760">
        <v>76293</v>
      </c>
      <c r="L1760" t="str">
        <f t="shared" si="108"/>
        <v>Jul</v>
      </c>
      <c r="M1760">
        <f t="shared" si="109"/>
        <v>2025</v>
      </c>
      <c r="N1760">
        <f t="shared" si="110"/>
        <v>76293</v>
      </c>
      <c r="O1760" t="str">
        <f t="shared" si="111"/>
        <v>Minor Delay</v>
      </c>
    </row>
    <row r="1761" spans="1:15" x14ac:dyDescent="0.25">
      <c r="A1761">
        <v>1760</v>
      </c>
      <c r="B1761" s="2">
        <v>45675</v>
      </c>
      <c r="C1761" t="s">
        <v>16</v>
      </c>
      <c r="D1761" t="s">
        <v>13</v>
      </c>
      <c r="E1761" t="s">
        <v>22</v>
      </c>
      <c r="F1761" t="s">
        <v>24</v>
      </c>
      <c r="G1761">
        <v>86</v>
      </c>
      <c r="H1761">
        <v>254.42</v>
      </c>
      <c r="I1761">
        <v>0</v>
      </c>
      <c r="J1761" t="s">
        <v>30</v>
      </c>
      <c r="K1761">
        <v>21880.12</v>
      </c>
      <c r="L1761" t="str">
        <f t="shared" si="108"/>
        <v>Jan</v>
      </c>
      <c r="M1761">
        <f t="shared" si="109"/>
        <v>2025</v>
      </c>
      <c r="N1761">
        <f t="shared" si="110"/>
        <v>21880.12</v>
      </c>
      <c r="O1761" t="str">
        <f t="shared" si="111"/>
        <v>On Time</v>
      </c>
    </row>
    <row r="1762" spans="1:15" x14ac:dyDescent="0.25">
      <c r="A1762">
        <v>1761</v>
      </c>
      <c r="B1762" s="2">
        <v>45983</v>
      </c>
      <c r="C1762" t="s">
        <v>25</v>
      </c>
      <c r="D1762" t="s">
        <v>19</v>
      </c>
      <c r="E1762" t="s">
        <v>12</v>
      </c>
      <c r="F1762" t="s">
        <v>21</v>
      </c>
      <c r="G1762">
        <v>252</v>
      </c>
      <c r="H1762">
        <v>82.47</v>
      </c>
      <c r="I1762">
        <v>45</v>
      </c>
      <c r="J1762" t="s">
        <v>15</v>
      </c>
      <c r="K1762">
        <v>20782.439999999999</v>
      </c>
      <c r="L1762" t="str">
        <f t="shared" si="108"/>
        <v>Nov</v>
      </c>
      <c r="M1762">
        <f t="shared" si="109"/>
        <v>2025</v>
      </c>
      <c r="N1762">
        <f t="shared" si="110"/>
        <v>20782.439999999999</v>
      </c>
      <c r="O1762" t="str">
        <f t="shared" si="111"/>
        <v>Moderate Delay</v>
      </c>
    </row>
    <row r="1763" spans="1:15" x14ac:dyDescent="0.25">
      <c r="A1763">
        <v>1762</v>
      </c>
      <c r="B1763" s="2">
        <v>45891</v>
      </c>
      <c r="C1763" t="s">
        <v>31</v>
      </c>
      <c r="D1763" t="s">
        <v>12</v>
      </c>
      <c r="E1763" t="s">
        <v>23</v>
      </c>
      <c r="F1763" t="s">
        <v>21</v>
      </c>
      <c r="G1763">
        <v>192</v>
      </c>
      <c r="H1763">
        <v>262.12</v>
      </c>
      <c r="I1763">
        <v>8</v>
      </c>
      <c r="J1763" t="s">
        <v>15</v>
      </c>
      <c r="K1763">
        <v>50327.040000000001</v>
      </c>
      <c r="L1763" t="str">
        <f t="shared" si="108"/>
        <v>Aug</v>
      </c>
      <c r="M1763">
        <f t="shared" si="109"/>
        <v>2025</v>
      </c>
      <c r="N1763">
        <f t="shared" si="110"/>
        <v>50327.040000000001</v>
      </c>
      <c r="O1763" t="str">
        <f t="shared" si="111"/>
        <v>Minor Delay</v>
      </c>
    </row>
    <row r="1764" spans="1:15" x14ac:dyDescent="0.25">
      <c r="A1764">
        <v>1763</v>
      </c>
      <c r="B1764" s="2">
        <v>46012</v>
      </c>
      <c r="C1764" t="s">
        <v>11</v>
      </c>
      <c r="D1764" t="s">
        <v>20</v>
      </c>
      <c r="E1764" t="s">
        <v>12</v>
      </c>
      <c r="F1764" t="s">
        <v>14</v>
      </c>
      <c r="G1764">
        <v>66</v>
      </c>
      <c r="H1764">
        <v>354.18</v>
      </c>
      <c r="I1764">
        <v>15</v>
      </c>
      <c r="J1764" t="s">
        <v>15</v>
      </c>
      <c r="K1764">
        <v>23375.88</v>
      </c>
      <c r="L1764" t="str">
        <f t="shared" si="108"/>
        <v>Dec</v>
      </c>
      <c r="M1764">
        <f t="shared" si="109"/>
        <v>2025</v>
      </c>
      <c r="N1764">
        <f t="shared" si="110"/>
        <v>23375.88</v>
      </c>
      <c r="O1764" t="str">
        <f t="shared" si="111"/>
        <v>Minor Delay</v>
      </c>
    </row>
    <row r="1765" spans="1:15" x14ac:dyDescent="0.25">
      <c r="A1765">
        <v>1764</v>
      </c>
      <c r="B1765" s="2">
        <v>45747</v>
      </c>
      <c r="C1765" t="s">
        <v>16</v>
      </c>
      <c r="D1765" t="s">
        <v>20</v>
      </c>
      <c r="E1765" t="s">
        <v>17</v>
      </c>
      <c r="F1765" t="s">
        <v>21</v>
      </c>
      <c r="G1765">
        <v>279</v>
      </c>
      <c r="H1765">
        <v>92.58</v>
      </c>
      <c r="I1765">
        <v>24</v>
      </c>
      <c r="J1765" t="s">
        <v>15</v>
      </c>
      <c r="K1765">
        <v>25829.82</v>
      </c>
      <c r="L1765" t="str">
        <f t="shared" si="108"/>
        <v>Mar</v>
      </c>
      <c r="M1765">
        <f t="shared" si="109"/>
        <v>2025</v>
      </c>
      <c r="N1765">
        <f t="shared" si="110"/>
        <v>25829.82</v>
      </c>
      <c r="O1765" t="str">
        <f t="shared" si="111"/>
        <v>Minor Delay</v>
      </c>
    </row>
    <row r="1766" spans="1:15" x14ac:dyDescent="0.25">
      <c r="A1766">
        <v>1765</v>
      </c>
      <c r="B1766" s="2">
        <v>45903</v>
      </c>
      <c r="C1766" t="s">
        <v>11</v>
      </c>
      <c r="D1766" t="s">
        <v>23</v>
      </c>
      <c r="E1766" t="s">
        <v>22</v>
      </c>
      <c r="F1766" t="s">
        <v>24</v>
      </c>
      <c r="G1766">
        <v>56</v>
      </c>
      <c r="H1766">
        <v>556.72</v>
      </c>
      <c r="I1766">
        <v>35</v>
      </c>
      <c r="J1766" t="s">
        <v>15</v>
      </c>
      <c r="K1766">
        <v>31176.32</v>
      </c>
      <c r="L1766" t="str">
        <f t="shared" si="108"/>
        <v>Sep</v>
      </c>
      <c r="M1766">
        <f t="shared" si="109"/>
        <v>2025</v>
      </c>
      <c r="N1766">
        <f t="shared" si="110"/>
        <v>31176.32</v>
      </c>
      <c r="O1766" t="str">
        <f t="shared" si="111"/>
        <v>Moderate Delay</v>
      </c>
    </row>
    <row r="1767" spans="1:15" x14ac:dyDescent="0.25">
      <c r="A1767">
        <v>1766</v>
      </c>
      <c r="B1767" s="2">
        <v>45946</v>
      </c>
      <c r="C1767" t="s">
        <v>18</v>
      </c>
      <c r="D1767" t="s">
        <v>13</v>
      </c>
      <c r="E1767" t="s">
        <v>12</v>
      </c>
      <c r="F1767" t="s">
        <v>21</v>
      </c>
      <c r="G1767">
        <v>293</v>
      </c>
      <c r="H1767">
        <v>580.17999999999995</v>
      </c>
      <c r="I1767">
        <v>16</v>
      </c>
      <c r="J1767" t="s">
        <v>15</v>
      </c>
      <c r="K1767">
        <v>169992.74</v>
      </c>
      <c r="L1767" t="str">
        <f t="shared" si="108"/>
        <v>Oct</v>
      </c>
      <c r="M1767">
        <f t="shared" si="109"/>
        <v>2025</v>
      </c>
      <c r="N1767">
        <f t="shared" si="110"/>
        <v>169992.74</v>
      </c>
      <c r="O1767" t="str">
        <f t="shared" si="111"/>
        <v>Minor Delay</v>
      </c>
    </row>
    <row r="1768" spans="1:15" x14ac:dyDescent="0.25">
      <c r="A1768">
        <v>1767</v>
      </c>
      <c r="B1768" s="2">
        <v>45844</v>
      </c>
      <c r="C1768" t="s">
        <v>16</v>
      </c>
      <c r="D1768" t="s">
        <v>13</v>
      </c>
      <c r="E1768" t="s">
        <v>22</v>
      </c>
      <c r="F1768" t="s">
        <v>21</v>
      </c>
      <c r="G1768">
        <v>144</v>
      </c>
      <c r="H1768">
        <v>397.63</v>
      </c>
      <c r="I1768">
        <v>5</v>
      </c>
      <c r="J1768" t="s">
        <v>15</v>
      </c>
      <c r="K1768">
        <v>57258.720000000001</v>
      </c>
      <c r="L1768" t="str">
        <f t="shared" si="108"/>
        <v>Jul</v>
      </c>
      <c r="M1768">
        <f t="shared" si="109"/>
        <v>2025</v>
      </c>
      <c r="N1768">
        <f t="shared" si="110"/>
        <v>57258.720000000001</v>
      </c>
      <c r="O1768" t="str">
        <f t="shared" si="111"/>
        <v>Minor Delay</v>
      </c>
    </row>
    <row r="1769" spans="1:15" x14ac:dyDescent="0.25">
      <c r="A1769">
        <v>1768</v>
      </c>
      <c r="B1769" s="2">
        <v>45822</v>
      </c>
      <c r="C1769" t="s">
        <v>25</v>
      </c>
      <c r="D1769" t="s">
        <v>22</v>
      </c>
      <c r="E1769" t="s">
        <v>29</v>
      </c>
      <c r="F1769" t="s">
        <v>21</v>
      </c>
      <c r="G1769">
        <v>138</v>
      </c>
      <c r="H1769">
        <v>361.18</v>
      </c>
      <c r="I1769">
        <v>22</v>
      </c>
      <c r="J1769" t="s">
        <v>15</v>
      </c>
      <c r="K1769">
        <v>49842.84</v>
      </c>
      <c r="L1769" t="str">
        <f t="shared" si="108"/>
        <v>Jun</v>
      </c>
      <c r="M1769">
        <f t="shared" si="109"/>
        <v>2025</v>
      </c>
      <c r="N1769">
        <f t="shared" si="110"/>
        <v>49842.840000000004</v>
      </c>
      <c r="O1769" t="str">
        <f t="shared" si="111"/>
        <v>Minor Delay</v>
      </c>
    </row>
    <row r="1770" spans="1:15" x14ac:dyDescent="0.25">
      <c r="A1770">
        <v>1769</v>
      </c>
      <c r="B1770" s="2">
        <v>45835</v>
      </c>
      <c r="C1770" t="s">
        <v>26</v>
      </c>
      <c r="D1770" t="s">
        <v>22</v>
      </c>
      <c r="E1770" t="s">
        <v>27</v>
      </c>
      <c r="F1770" t="s">
        <v>14</v>
      </c>
      <c r="G1770">
        <v>258</v>
      </c>
      <c r="H1770">
        <v>557.77</v>
      </c>
      <c r="I1770">
        <v>48</v>
      </c>
      <c r="J1770" t="s">
        <v>15</v>
      </c>
      <c r="K1770">
        <v>143904.66</v>
      </c>
      <c r="L1770" t="str">
        <f t="shared" si="108"/>
        <v>Jun</v>
      </c>
      <c r="M1770">
        <f t="shared" si="109"/>
        <v>2025</v>
      </c>
      <c r="N1770">
        <f t="shared" si="110"/>
        <v>143904.66</v>
      </c>
      <c r="O1770" t="str">
        <f t="shared" si="111"/>
        <v>Moderate Delay</v>
      </c>
    </row>
    <row r="1771" spans="1:15" x14ac:dyDescent="0.25">
      <c r="A1771">
        <v>1770</v>
      </c>
      <c r="B1771" s="2">
        <v>45966</v>
      </c>
      <c r="C1771" t="s">
        <v>26</v>
      </c>
      <c r="D1771" t="s">
        <v>17</v>
      </c>
      <c r="E1771" t="s">
        <v>12</v>
      </c>
      <c r="F1771" t="s">
        <v>14</v>
      </c>
      <c r="G1771">
        <v>135</v>
      </c>
      <c r="H1771">
        <v>744.29</v>
      </c>
      <c r="I1771">
        <v>0</v>
      </c>
      <c r="J1771" t="s">
        <v>15</v>
      </c>
      <c r="K1771">
        <v>100479.15</v>
      </c>
      <c r="L1771" t="str">
        <f t="shared" si="108"/>
        <v>Nov</v>
      </c>
      <c r="M1771">
        <f t="shared" si="109"/>
        <v>2025</v>
      </c>
      <c r="N1771">
        <f t="shared" si="110"/>
        <v>100479.15</v>
      </c>
      <c r="O1771" t="str">
        <f t="shared" si="111"/>
        <v>On Time</v>
      </c>
    </row>
    <row r="1772" spans="1:15" x14ac:dyDescent="0.25">
      <c r="A1772">
        <v>1771</v>
      </c>
      <c r="B1772" s="2">
        <v>45679</v>
      </c>
      <c r="C1772" t="s">
        <v>26</v>
      </c>
      <c r="D1772" t="s">
        <v>20</v>
      </c>
      <c r="E1772" t="s">
        <v>29</v>
      </c>
      <c r="F1772" t="s">
        <v>21</v>
      </c>
      <c r="G1772">
        <v>285</v>
      </c>
      <c r="H1772">
        <v>696.19</v>
      </c>
      <c r="I1772">
        <v>0</v>
      </c>
      <c r="J1772" t="s">
        <v>15</v>
      </c>
      <c r="K1772">
        <v>198414.15</v>
      </c>
      <c r="L1772" t="str">
        <f t="shared" si="108"/>
        <v>Jan</v>
      </c>
      <c r="M1772">
        <f t="shared" si="109"/>
        <v>2025</v>
      </c>
      <c r="N1772">
        <f t="shared" si="110"/>
        <v>198414.15000000002</v>
      </c>
      <c r="O1772" t="str">
        <f t="shared" si="111"/>
        <v>On Time</v>
      </c>
    </row>
    <row r="1773" spans="1:15" x14ac:dyDescent="0.25">
      <c r="A1773">
        <v>1772</v>
      </c>
      <c r="B1773" s="2">
        <v>45763</v>
      </c>
      <c r="C1773" t="s">
        <v>25</v>
      </c>
      <c r="D1773" t="s">
        <v>29</v>
      </c>
      <c r="E1773" t="s">
        <v>19</v>
      </c>
      <c r="F1773" t="s">
        <v>24</v>
      </c>
      <c r="G1773">
        <v>70</v>
      </c>
      <c r="H1773">
        <v>669.35</v>
      </c>
      <c r="I1773">
        <v>0</v>
      </c>
      <c r="J1773" t="s">
        <v>30</v>
      </c>
      <c r="K1773">
        <v>46854.5</v>
      </c>
      <c r="L1773" t="str">
        <f t="shared" si="108"/>
        <v>Apr</v>
      </c>
      <c r="M1773">
        <f t="shared" si="109"/>
        <v>2025</v>
      </c>
      <c r="N1773">
        <f t="shared" si="110"/>
        <v>46854.5</v>
      </c>
      <c r="O1773" t="str">
        <f t="shared" si="111"/>
        <v>On Time</v>
      </c>
    </row>
    <row r="1774" spans="1:15" x14ac:dyDescent="0.25">
      <c r="A1774">
        <v>1773</v>
      </c>
      <c r="B1774" s="2">
        <v>45924</v>
      </c>
      <c r="C1774" t="s">
        <v>16</v>
      </c>
      <c r="D1774" t="s">
        <v>27</v>
      </c>
      <c r="E1774" t="s">
        <v>13</v>
      </c>
      <c r="F1774" t="s">
        <v>21</v>
      </c>
      <c r="G1774">
        <v>51</v>
      </c>
      <c r="H1774">
        <v>248.49</v>
      </c>
      <c r="I1774">
        <v>0</v>
      </c>
      <c r="J1774" t="s">
        <v>15</v>
      </c>
      <c r="K1774">
        <v>12672.99</v>
      </c>
      <c r="L1774" t="str">
        <f t="shared" si="108"/>
        <v>Sep</v>
      </c>
      <c r="M1774">
        <f t="shared" si="109"/>
        <v>2025</v>
      </c>
      <c r="N1774">
        <f t="shared" si="110"/>
        <v>12672.99</v>
      </c>
      <c r="O1774" t="str">
        <f t="shared" si="111"/>
        <v>On Time</v>
      </c>
    </row>
    <row r="1775" spans="1:15" x14ac:dyDescent="0.25">
      <c r="A1775">
        <v>1774</v>
      </c>
      <c r="B1775" s="2">
        <v>45717</v>
      </c>
      <c r="C1775" t="s">
        <v>26</v>
      </c>
      <c r="D1775" t="s">
        <v>22</v>
      </c>
      <c r="E1775" t="s">
        <v>27</v>
      </c>
      <c r="F1775" t="s">
        <v>21</v>
      </c>
      <c r="G1775">
        <v>264</v>
      </c>
      <c r="H1775">
        <v>649.72</v>
      </c>
      <c r="I1775">
        <v>1</v>
      </c>
      <c r="J1775" t="s">
        <v>15</v>
      </c>
      <c r="K1775">
        <v>171526.08</v>
      </c>
      <c r="L1775" t="str">
        <f t="shared" si="108"/>
        <v>Mar</v>
      </c>
      <c r="M1775">
        <f t="shared" si="109"/>
        <v>2025</v>
      </c>
      <c r="N1775">
        <f t="shared" si="110"/>
        <v>171526.08000000002</v>
      </c>
      <c r="O1775" t="str">
        <f t="shared" si="111"/>
        <v>Minor Delay</v>
      </c>
    </row>
    <row r="1776" spans="1:15" x14ac:dyDescent="0.25">
      <c r="A1776">
        <v>1775</v>
      </c>
      <c r="B1776" s="2">
        <v>45770</v>
      </c>
      <c r="C1776" t="s">
        <v>31</v>
      </c>
      <c r="D1776" t="s">
        <v>17</v>
      </c>
      <c r="E1776" t="s">
        <v>20</v>
      </c>
      <c r="F1776" t="s">
        <v>24</v>
      </c>
      <c r="G1776">
        <v>241</v>
      </c>
      <c r="H1776">
        <v>361.92</v>
      </c>
      <c r="I1776">
        <v>20</v>
      </c>
      <c r="J1776" t="s">
        <v>15</v>
      </c>
      <c r="K1776">
        <v>87222.720000000001</v>
      </c>
      <c r="L1776" t="str">
        <f t="shared" si="108"/>
        <v>Apr</v>
      </c>
      <c r="M1776">
        <f t="shared" si="109"/>
        <v>2025</v>
      </c>
      <c r="N1776">
        <f t="shared" si="110"/>
        <v>87222.720000000001</v>
      </c>
      <c r="O1776" t="str">
        <f t="shared" si="111"/>
        <v>Minor Delay</v>
      </c>
    </row>
    <row r="1777" spans="1:15" x14ac:dyDescent="0.25">
      <c r="A1777">
        <v>1776</v>
      </c>
      <c r="B1777" s="2">
        <v>46013</v>
      </c>
      <c r="C1777" t="s">
        <v>11</v>
      </c>
      <c r="D1777" t="s">
        <v>20</v>
      </c>
      <c r="E1777" t="s">
        <v>29</v>
      </c>
      <c r="F1777" t="s">
        <v>21</v>
      </c>
      <c r="G1777">
        <v>50</v>
      </c>
      <c r="H1777">
        <v>720.96</v>
      </c>
      <c r="I1777">
        <v>8</v>
      </c>
      <c r="J1777" t="s">
        <v>30</v>
      </c>
      <c r="K1777">
        <v>36048</v>
      </c>
      <c r="L1777" t="str">
        <f t="shared" si="108"/>
        <v>Dec</v>
      </c>
      <c r="M1777">
        <f t="shared" si="109"/>
        <v>2025</v>
      </c>
      <c r="N1777">
        <f t="shared" si="110"/>
        <v>36048</v>
      </c>
      <c r="O1777" t="str">
        <f t="shared" si="111"/>
        <v>Minor Delay</v>
      </c>
    </row>
    <row r="1778" spans="1:15" x14ac:dyDescent="0.25">
      <c r="A1778">
        <v>1777</v>
      </c>
      <c r="B1778" s="2">
        <v>45731</v>
      </c>
      <c r="C1778" t="s">
        <v>16</v>
      </c>
      <c r="D1778" t="s">
        <v>12</v>
      </c>
      <c r="E1778" t="s">
        <v>27</v>
      </c>
      <c r="F1778" t="s">
        <v>21</v>
      </c>
      <c r="G1778">
        <v>293</v>
      </c>
      <c r="H1778">
        <v>286.85000000000002</v>
      </c>
      <c r="I1778">
        <v>20</v>
      </c>
      <c r="J1778" t="s">
        <v>15</v>
      </c>
      <c r="K1778">
        <v>84047.05</v>
      </c>
      <c r="L1778" t="str">
        <f t="shared" si="108"/>
        <v>Mar</v>
      </c>
      <c r="M1778">
        <f t="shared" si="109"/>
        <v>2025</v>
      </c>
      <c r="N1778">
        <f t="shared" si="110"/>
        <v>84047.05</v>
      </c>
      <c r="O1778" t="str">
        <f t="shared" si="111"/>
        <v>Minor Delay</v>
      </c>
    </row>
    <row r="1779" spans="1:15" x14ac:dyDescent="0.25">
      <c r="A1779">
        <v>1778</v>
      </c>
      <c r="B1779" s="2">
        <v>45670</v>
      </c>
      <c r="C1779" t="s">
        <v>16</v>
      </c>
      <c r="D1779" t="s">
        <v>12</v>
      </c>
      <c r="E1779" t="s">
        <v>23</v>
      </c>
      <c r="F1779" t="s">
        <v>14</v>
      </c>
      <c r="G1779">
        <v>125</v>
      </c>
      <c r="H1779">
        <v>149.6</v>
      </c>
      <c r="I1779">
        <v>0</v>
      </c>
      <c r="J1779" t="s">
        <v>15</v>
      </c>
      <c r="K1779">
        <v>18700</v>
      </c>
      <c r="L1779" t="str">
        <f t="shared" si="108"/>
        <v>Jan</v>
      </c>
      <c r="M1779">
        <f t="shared" si="109"/>
        <v>2025</v>
      </c>
      <c r="N1779">
        <f t="shared" si="110"/>
        <v>18700</v>
      </c>
      <c r="O1779" t="str">
        <f t="shared" si="111"/>
        <v>On Time</v>
      </c>
    </row>
    <row r="1780" spans="1:15" x14ac:dyDescent="0.25">
      <c r="A1780">
        <v>1779</v>
      </c>
      <c r="B1780" s="2">
        <v>45787</v>
      </c>
      <c r="C1780" t="s">
        <v>18</v>
      </c>
      <c r="D1780" t="s">
        <v>12</v>
      </c>
      <c r="E1780" t="s">
        <v>29</v>
      </c>
      <c r="F1780" t="s">
        <v>14</v>
      </c>
      <c r="G1780">
        <v>158</v>
      </c>
      <c r="H1780">
        <v>759.21</v>
      </c>
      <c r="I1780">
        <v>18</v>
      </c>
      <c r="J1780" t="s">
        <v>15</v>
      </c>
      <c r="K1780">
        <v>119955.18</v>
      </c>
      <c r="L1780" t="str">
        <f t="shared" si="108"/>
        <v>May</v>
      </c>
      <c r="M1780">
        <f t="shared" si="109"/>
        <v>2025</v>
      </c>
      <c r="N1780">
        <f t="shared" si="110"/>
        <v>119955.18000000001</v>
      </c>
      <c r="O1780" t="str">
        <f t="shared" si="111"/>
        <v>Minor Delay</v>
      </c>
    </row>
    <row r="1781" spans="1:15" x14ac:dyDescent="0.25">
      <c r="A1781">
        <v>1780</v>
      </c>
      <c r="B1781" s="2">
        <v>45849</v>
      </c>
      <c r="C1781" t="s">
        <v>11</v>
      </c>
      <c r="D1781" t="s">
        <v>22</v>
      </c>
      <c r="E1781" t="s">
        <v>20</v>
      </c>
      <c r="F1781" t="s">
        <v>24</v>
      </c>
      <c r="G1781">
        <v>159</v>
      </c>
      <c r="H1781">
        <v>518.25</v>
      </c>
      <c r="I1781">
        <v>16</v>
      </c>
      <c r="J1781" t="s">
        <v>30</v>
      </c>
      <c r="K1781">
        <v>82401.75</v>
      </c>
      <c r="L1781" t="str">
        <f t="shared" si="108"/>
        <v>Jul</v>
      </c>
      <c r="M1781">
        <f t="shared" si="109"/>
        <v>2025</v>
      </c>
      <c r="N1781">
        <f t="shared" si="110"/>
        <v>82401.75</v>
      </c>
      <c r="O1781" t="str">
        <f t="shared" si="111"/>
        <v>Minor Delay</v>
      </c>
    </row>
    <row r="1782" spans="1:15" x14ac:dyDescent="0.25">
      <c r="A1782">
        <v>1781</v>
      </c>
      <c r="B1782" s="2">
        <v>45674</v>
      </c>
      <c r="C1782" t="s">
        <v>18</v>
      </c>
      <c r="D1782" t="s">
        <v>13</v>
      </c>
      <c r="E1782" t="s">
        <v>27</v>
      </c>
      <c r="F1782" t="s">
        <v>24</v>
      </c>
      <c r="G1782">
        <v>139</v>
      </c>
      <c r="H1782">
        <v>82.97</v>
      </c>
      <c r="I1782">
        <v>4</v>
      </c>
      <c r="J1782" t="s">
        <v>15</v>
      </c>
      <c r="K1782">
        <v>11532.83</v>
      </c>
      <c r="L1782" t="str">
        <f t="shared" si="108"/>
        <v>Jan</v>
      </c>
      <c r="M1782">
        <f t="shared" si="109"/>
        <v>2025</v>
      </c>
      <c r="N1782">
        <f t="shared" si="110"/>
        <v>11532.83</v>
      </c>
      <c r="O1782" t="str">
        <f t="shared" si="111"/>
        <v>Minor Delay</v>
      </c>
    </row>
    <row r="1783" spans="1:15" x14ac:dyDescent="0.25">
      <c r="A1783">
        <v>1782</v>
      </c>
      <c r="B1783" s="2">
        <v>45874</v>
      </c>
      <c r="C1783" t="s">
        <v>25</v>
      </c>
      <c r="D1783" t="s">
        <v>27</v>
      </c>
      <c r="E1783" t="s">
        <v>12</v>
      </c>
      <c r="F1783" t="s">
        <v>21</v>
      </c>
      <c r="G1783">
        <v>208</v>
      </c>
      <c r="H1783">
        <v>711.67</v>
      </c>
      <c r="I1783">
        <v>0</v>
      </c>
      <c r="J1783" t="s">
        <v>30</v>
      </c>
      <c r="K1783">
        <v>148027.35999999999</v>
      </c>
      <c r="L1783" t="str">
        <f t="shared" si="108"/>
        <v>Aug</v>
      </c>
      <c r="M1783">
        <f t="shared" si="109"/>
        <v>2025</v>
      </c>
      <c r="N1783">
        <f t="shared" si="110"/>
        <v>148027.35999999999</v>
      </c>
      <c r="O1783" t="str">
        <f t="shared" si="111"/>
        <v>On Time</v>
      </c>
    </row>
    <row r="1784" spans="1:15" x14ac:dyDescent="0.25">
      <c r="A1784">
        <v>1783</v>
      </c>
      <c r="B1784" s="2">
        <v>45852</v>
      </c>
      <c r="C1784" t="s">
        <v>16</v>
      </c>
      <c r="D1784" t="s">
        <v>20</v>
      </c>
      <c r="E1784" t="s">
        <v>13</v>
      </c>
      <c r="F1784" t="s">
        <v>24</v>
      </c>
      <c r="G1784">
        <v>244</v>
      </c>
      <c r="H1784">
        <v>730.35</v>
      </c>
      <c r="I1784">
        <v>0</v>
      </c>
      <c r="J1784" t="s">
        <v>15</v>
      </c>
      <c r="K1784">
        <v>178205.4</v>
      </c>
      <c r="L1784" t="str">
        <f t="shared" si="108"/>
        <v>Jul</v>
      </c>
      <c r="M1784">
        <f t="shared" si="109"/>
        <v>2025</v>
      </c>
      <c r="N1784">
        <f t="shared" si="110"/>
        <v>178205.4</v>
      </c>
      <c r="O1784" t="str">
        <f t="shared" si="111"/>
        <v>On Time</v>
      </c>
    </row>
    <row r="1785" spans="1:15" x14ac:dyDescent="0.25">
      <c r="A1785">
        <v>1784</v>
      </c>
      <c r="B1785" s="2">
        <v>45852</v>
      </c>
      <c r="C1785" t="s">
        <v>25</v>
      </c>
      <c r="D1785" t="s">
        <v>12</v>
      </c>
      <c r="E1785" t="s">
        <v>27</v>
      </c>
      <c r="F1785" t="s">
        <v>24</v>
      </c>
      <c r="G1785">
        <v>111</v>
      </c>
      <c r="H1785">
        <v>506.67</v>
      </c>
      <c r="I1785">
        <v>24</v>
      </c>
      <c r="J1785" t="s">
        <v>15</v>
      </c>
      <c r="K1785">
        <v>56240.37</v>
      </c>
      <c r="L1785" t="str">
        <f t="shared" si="108"/>
        <v>Jul</v>
      </c>
      <c r="M1785">
        <f t="shared" si="109"/>
        <v>2025</v>
      </c>
      <c r="N1785">
        <f t="shared" si="110"/>
        <v>56240.37</v>
      </c>
      <c r="O1785" t="str">
        <f t="shared" si="111"/>
        <v>Minor Delay</v>
      </c>
    </row>
    <row r="1786" spans="1:15" x14ac:dyDescent="0.25">
      <c r="A1786">
        <v>1785</v>
      </c>
      <c r="B1786" s="2">
        <v>45940</v>
      </c>
      <c r="C1786" t="s">
        <v>25</v>
      </c>
      <c r="D1786" t="s">
        <v>22</v>
      </c>
      <c r="E1786" t="s">
        <v>23</v>
      </c>
      <c r="F1786" t="s">
        <v>24</v>
      </c>
      <c r="G1786">
        <v>105</v>
      </c>
      <c r="H1786">
        <v>514.15</v>
      </c>
      <c r="I1786">
        <v>51</v>
      </c>
      <c r="J1786" t="s">
        <v>15</v>
      </c>
      <c r="K1786">
        <v>53985.75</v>
      </c>
      <c r="L1786" t="str">
        <f t="shared" si="108"/>
        <v>Oct</v>
      </c>
      <c r="M1786">
        <f t="shared" si="109"/>
        <v>2025</v>
      </c>
      <c r="N1786">
        <f t="shared" si="110"/>
        <v>53985.75</v>
      </c>
      <c r="O1786" t="str">
        <f t="shared" si="111"/>
        <v>Moderate Delay</v>
      </c>
    </row>
    <row r="1787" spans="1:15" x14ac:dyDescent="0.25">
      <c r="A1787">
        <v>1786</v>
      </c>
      <c r="B1787" s="2">
        <v>45693</v>
      </c>
      <c r="C1787" t="s">
        <v>31</v>
      </c>
      <c r="D1787" t="s">
        <v>13</v>
      </c>
      <c r="E1787" t="s">
        <v>27</v>
      </c>
      <c r="F1787" t="s">
        <v>14</v>
      </c>
      <c r="G1787">
        <v>168</v>
      </c>
      <c r="H1787">
        <v>263.31</v>
      </c>
      <c r="I1787">
        <v>41</v>
      </c>
      <c r="J1787" t="s">
        <v>15</v>
      </c>
      <c r="K1787">
        <v>44236.08</v>
      </c>
      <c r="L1787" t="str">
        <f t="shared" si="108"/>
        <v>Feb</v>
      </c>
      <c r="M1787">
        <f t="shared" si="109"/>
        <v>2025</v>
      </c>
      <c r="N1787">
        <f t="shared" si="110"/>
        <v>44236.08</v>
      </c>
      <c r="O1787" t="str">
        <f t="shared" si="111"/>
        <v>Moderate Delay</v>
      </c>
    </row>
    <row r="1788" spans="1:15" x14ac:dyDescent="0.25">
      <c r="A1788">
        <v>1787</v>
      </c>
      <c r="B1788" s="2">
        <v>45787</v>
      </c>
      <c r="C1788" t="s">
        <v>31</v>
      </c>
      <c r="D1788" t="s">
        <v>27</v>
      </c>
      <c r="E1788" t="s">
        <v>13</v>
      </c>
      <c r="F1788" t="s">
        <v>14</v>
      </c>
      <c r="G1788">
        <v>228</v>
      </c>
      <c r="H1788">
        <v>442.38</v>
      </c>
      <c r="I1788">
        <v>32</v>
      </c>
      <c r="J1788" t="s">
        <v>30</v>
      </c>
      <c r="K1788">
        <v>100862.64</v>
      </c>
      <c r="L1788" t="str">
        <f t="shared" si="108"/>
        <v>May</v>
      </c>
      <c r="M1788">
        <f t="shared" si="109"/>
        <v>2025</v>
      </c>
      <c r="N1788">
        <f t="shared" si="110"/>
        <v>100862.64</v>
      </c>
      <c r="O1788" t="str">
        <f t="shared" si="111"/>
        <v>Moderate Delay</v>
      </c>
    </row>
    <row r="1789" spans="1:15" x14ac:dyDescent="0.25">
      <c r="A1789">
        <v>1788</v>
      </c>
      <c r="B1789" s="2">
        <v>45965</v>
      </c>
      <c r="C1789" t="s">
        <v>26</v>
      </c>
      <c r="D1789" t="s">
        <v>13</v>
      </c>
      <c r="E1789" t="s">
        <v>22</v>
      </c>
      <c r="F1789" t="s">
        <v>24</v>
      </c>
      <c r="G1789">
        <v>78</v>
      </c>
      <c r="H1789">
        <v>568.24</v>
      </c>
      <c r="I1789">
        <v>44</v>
      </c>
      <c r="J1789" t="s">
        <v>30</v>
      </c>
      <c r="K1789">
        <v>44322.720000000001</v>
      </c>
      <c r="L1789" t="str">
        <f t="shared" si="108"/>
        <v>Nov</v>
      </c>
      <c r="M1789">
        <f t="shared" si="109"/>
        <v>2025</v>
      </c>
      <c r="N1789">
        <f t="shared" si="110"/>
        <v>44322.720000000001</v>
      </c>
      <c r="O1789" t="str">
        <f t="shared" si="111"/>
        <v>Moderate Delay</v>
      </c>
    </row>
    <row r="1790" spans="1:15" x14ac:dyDescent="0.25">
      <c r="A1790">
        <v>1789</v>
      </c>
      <c r="B1790" s="2">
        <v>45904</v>
      </c>
      <c r="C1790" t="s">
        <v>18</v>
      </c>
      <c r="D1790" t="s">
        <v>12</v>
      </c>
      <c r="E1790" t="s">
        <v>23</v>
      </c>
      <c r="F1790" t="s">
        <v>14</v>
      </c>
      <c r="G1790">
        <v>51</v>
      </c>
      <c r="H1790">
        <v>346.6</v>
      </c>
      <c r="I1790">
        <v>18</v>
      </c>
      <c r="J1790" t="s">
        <v>15</v>
      </c>
      <c r="K1790">
        <v>17676.599999999999</v>
      </c>
      <c r="L1790" t="str">
        <f t="shared" si="108"/>
        <v>Sep</v>
      </c>
      <c r="M1790">
        <f t="shared" si="109"/>
        <v>2025</v>
      </c>
      <c r="N1790">
        <f t="shared" si="110"/>
        <v>17676.600000000002</v>
      </c>
      <c r="O1790" t="str">
        <f t="shared" si="111"/>
        <v>Minor Delay</v>
      </c>
    </row>
    <row r="1791" spans="1:15" x14ac:dyDescent="0.25">
      <c r="A1791">
        <v>1790</v>
      </c>
      <c r="B1791" s="2">
        <v>45812</v>
      </c>
      <c r="C1791" t="s">
        <v>11</v>
      </c>
      <c r="D1791" t="s">
        <v>17</v>
      </c>
      <c r="E1791" t="s">
        <v>13</v>
      </c>
      <c r="F1791" t="s">
        <v>14</v>
      </c>
      <c r="G1791">
        <v>137</v>
      </c>
      <c r="H1791">
        <v>700.52</v>
      </c>
      <c r="I1791">
        <v>0</v>
      </c>
      <c r="J1791" t="s">
        <v>15</v>
      </c>
      <c r="K1791">
        <v>95971.24</v>
      </c>
      <c r="L1791" t="str">
        <f t="shared" si="108"/>
        <v>Jun</v>
      </c>
      <c r="M1791">
        <f t="shared" si="109"/>
        <v>2025</v>
      </c>
      <c r="N1791">
        <f t="shared" si="110"/>
        <v>95971.239999999991</v>
      </c>
      <c r="O1791" t="str">
        <f t="shared" si="111"/>
        <v>On Time</v>
      </c>
    </row>
    <row r="1792" spans="1:15" x14ac:dyDescent="0.25">
      <c r="A1792">
        <v>1791</v>
      </c>
      <c r="B1792" s="2">
        <v>45885</v>
      </c>
      <c r="C1792" t="s">
        <v>25</v>
      </c>
      <c r="D1792" t="s">
        <v>20</v>
      </c>
      <c r="E1792" t="s">
        <v>19</v>
      </c>
      <c r="F1792" t="s">
        <v>14</v>
      </c>
      <c r="G1792">
        <v>75</v>
      </c>
      <c r="H1792">
        <v>181.68</v>
      </c>
      <c r="I1792">
        <v>66</v>
      </c>
      <c r="J1792" t="s">
        <v>15</v>
      </c>
      <c r="K1792">
        <v>13626</v>
      </c>
      <c r="L1792" t="str">
        <f t="shared" si="108"/>
        <v>Aug</v>
      </c>
      <c r="M1792">
        <f t="shared" si="109"/>
        <v>2025</v>
      </c>
      <c r="N1792">
        <f t="shared" si="110"/>
        <v>13626</v>
      </c>
      <c r="O1792" t="str">
        <f t="shared" si="111"/>
        <v>Major Delay</v>
      </c>
    </row>
    <row r="1793" spans="1:15" x14ac:dyDescent="0.25">
      <c r="A1793">
        <v>1792</v>
      </c>
      <c r="B1793" s="2">
        <v>45912</v>
      </c>
      <c r="C1793" t="s">
        <v>26</v>
      </c>
      <c r="D1793" t="s">
        <v>13</v>
      </c>
      <c r="E1793" t="s">
        <v>27</v>
      </c>
      <c r="F1793" t="s">
        <v>21</v>
      </c>
      <c r="G1793">
        <v>160</v>
      </c>
      <c r="H1793">
        <v>75.2</v>
      </c>
      <c r="I1793">
        <v>71</v>
      </c>
      <c r="J1793" t="s">
        <v>15</v>
      </c>
      <c r="K1793">
        <v>12032</v>
      </c>
      <c r="L1793" t="str">
        <f t="shared" si="108"/>
        <v>Sep</v>
      </c>
      <c r="M1793">
        <f t="shared" si="109"/>
        <v>2025</v>
      </c>
      <c r="N1793">
        <f t="shared" si="110"/>
        <v>12032</v>
      </c>
      <c r="O1793" t="str">
        <f t="shared" si="111"/>
        <v>Major Delay</v>
      </c>
    </row>
    <row r="1794" spans="1:15" x14ac:dyDescent="0.25">
      <c r="A1794">
        <v>1793</v>
      </c>
      <c r="B1794" s="2">
        <v>45872</v>
      </c>
      <c r="C1794" t="s">
        <v>18</v>
      </c>
      <c r="D1794" t="s">
        <v>22</v>
      </c>
      <c r="E1794" t="s">
        <v>12</v>
      </c>
      <c r="F1794" t="s">
        <v>14</v>
      </c>
      <c r="G1794">
        <v>121</v>
      </c>
      <c r="H1794">
        <v>382.86</v>
      </c>
      <c r="I1794">
        <v>17</v>
      </c>
      <c r="J1794" t="s">
        <v>15</v>
      </c>
      <c r="K1794">
        <v>46326.06</v>
      </c>
      <c r="L1794" t="str">
        <f t="shared" si="108"/>
        <v>Aug</v>
      </c>
      <c r="M1794">
        <f t="shared" si="109"/>
        <v>2025</v>
      </c>
      <c r="N1794">
        <f t="shared" si="110"/>
        <v>46326.060000000005</v>
      </c>
      <c r="O1794" t="str">
        <f t="shared" si="111"/>
        <v>Minor Delay</v>
      </c>
    </row>
    <row r="1795" spans="1:15" x14ac:dyDescent="0.25">
      <c r="A1795">
        <v>1794</v>
      </c>
      <c r="B1795" s="2">
        <v>45863</v>
      </c>
      <c r="C1795" t="s">
        <v>31</v>
      </c>
      <c r="D1795" t="s">
        <v>22</v>
      </c>
      <c r="E1795" t="s">
        <v>27</v>
      </c>
      <c r="F1795" t="s">
        <v>14</v>
      </c>
      <c r="G1795">
        <v>282</v>
      </c>
      <c r="H1795">
        <v>746.62</v>
      </c>
      <c r="I1795">
        <v>11</v>
      </c>
      <c r="J1795" t="s">
        <v>15</v>
      </c>
      <c r="K1795">
        <v>210546.84</v>
      </c>
      <c r="L1795" t="str">
        <f t="shared" ref="L1795:L1858" si="112">TEXT(B1795,"MMM")</f>
        <v>Jul</v>
      </c>
      <c r="M1795">
        <f t="shared" ref="M1795:M1858" si="113">YEAR(B1795)</f>
        <v>2025</v>
      </c>
      <c r="N1795">
        <f t="shared" ref="N1795:N1858" si="114">G1795*H1795</f>
        <v>210546.84</v>
      </c>
      <c r="O1795" t="str">
        <f t="shared" ref="O1795:O1858" si="115">IF(I1795=0,"On Time",IF(I1795&lt;=30,"Minor Delay",IF(I1795&lt;=60,"Moderate Delay","Major Delay")))</f>
        <v>Minor Delay</v>
      </c>
    </row>
    <row r="1796" spans="1:15" x14ac:dyDescent="0.25">
      <c r="A1796">
        <v>1795</v>
      </c>
      <c r="B1796" s="2">
        <v>45702</v>
      </c>
      <c r="C1796" t="s">
        <v>31</v>
      </c>
      <c r="D1796" t="s">
        <v>13</v>
      </c>
      <c r="E1796" t="s">
        <v>19</v>
      </c>
      <c r="F1796" t="s">
        <v>14</v>
      </c>
      <c r="G1796">
        <v>220</v>
      </c>
      <c r="H1796">
        <v>205.42</v>
      </c>
      <c r="I1796">
        <v>3</v>
      </c>
      <c r="J1796" t="s">
        <v>15</v>
      </c>
      <c r="K1796">
        <v>45192.4</v>
      </c>
      <c r="L1796" t="str">
        <f t="shared" si="112"/>
        <v>Feb</v>
      </c>
      <c r="M1796">
        <f t="shared" si="113"/>
        <v>2025</v>
      </c>
      <c r="N1796">
        <f t="shared" si="114"/>
        <v>45192.399999999994</v>
      </c>
      <c r="O1796" t="str">
        <f t="shared" si="115"/>
        <v>Minor Delay</v>
      </c>
    </row>
    <row r="1797" spans="1:15" x14ac:dyDescent="0.25">
      <c r="A1797">
        <v>1796</v>
      </c>
      <c r="B1797" s="2">
        <v>45994</v>
      </c>
      <c r="C1797" t="s">
        <v>11</v>
      </c>
      <c r="D1797" t="s">
        <v>20</v>
      </c>
      <c r="E1797" t="s">
        <v>12</v>
      </c>
      <c r="F1797" t="s">
        <v>21</v>
      </c>
      <c r="G1797">
        <v>155</v>
      </c>
      <c r="H1797">
        <v>145.72999999999999</v>
      </c>
      <c r="I1797">
        <v>0</v>
      </c>
      <c r="J1797" t="s">
        <v>15</v>
      </c>
      <c r="K1797">
        <v>22588.15</v>
      </c>
      <c r="L1797" t="str">
        <f t="shared" si="112"/>
        <v>Dec</v>
      </c>
      <c r="M1797">
        <f t="shared" si="113"/>
        <v>2025</v>
      </c>
      <c r="N1797">
        <f t="shared" si="114"/>
        <v>22588.149999999998</v>
      </c>
      <c r="O1797" t="str">
        <f t="shared" si="115"/>
        <v>On Time</v>
      </c>
    </row>
    <row r="1798" spans="1:15" x14ac:dyDescent="0.25">
      <c r="A1798">
        <v>1797</v>
      </c>
      <c r="B1798" s="2">
        <v>45811</v>
      </c>
      <c r="C1798" t="s">
        <v>11</v>
      </c>
      <c r="D1798" t="s">
        <v>19</v>
      </c>
      <c r="E1798" t="s">
        <v>29</v>
      </c>
      <c r="F1798" t="s">
        <v>21</v>
      </c>
      <c r="G1798">
        <v>229</v>
      </c>
      <c r="H1798">
        <v>349.13</v>
      </c>
      <c r="I1798">
        <v>0</v>
      </c>
      <c r="J1798" t="s">
        <v>15</v>
      </c>
      <c r="K1798">
        <v>79950.77</v>
      </c>
      <c r="L1798" t="str">
        <f t="shared" si="112"/>
        <v>Jun</v>
      </c>
      <c r="M1798">
        <f t="shared" si="113"/>
        <v>2025</v>
      </c>
      <c r="N1798">
        <f t="shared" si="114"/>
        <v>79950.77</v>
      </c>
      <c r="O1798" t="str">
        <f t="shared" si="115"/>
        <v>On Time</v>
      </c>
    </row>
    <row r="1799" spans="1:15" x14ac:dyDescent="0.25">
      <c r="A1799">
        <v>1798</v>
      </c>
      <c r="B1799" s="2">
        <v>45957</v>
      </c>
      <c r="C1799" t="s">
        <v>31</v>
      </c>
      <c r="D1799" t="s">
        <v>27</v>
      </c>
      <c r="E1799" t="s">
        <v>23</v>
      </c>
      <c r="F1799" t="s">
        <v>14</v>
      </c>
      <c r="G1799">
        <v>127</v>
      </c>
      <c r="H1799">
        <v>711.48</v>
      </c>
      <c r="I1799">
        <v>41</v>
      </c>
      <c r="J1799" t="s">
        <v>15</v>
      </c>
      <c r="K1799">
        <v>90357.96</v>
      </c>
      <c r="L1799" t="str">
        <f t="shared" si="112"/>
        <v>Oct</v>
      </c>
      <c r="M1799">
        <f t="shared" si="113"/>
        <v>2025</v>
      </c>
      <c r="N1799">
        <f t="shared" si="114"/>
        <v>90357.96</v>
      </c>
      <c r="O1799" t="str">
        <f t="shared" si="115"/>
        <v>Moderate Delay</v>
      </c>
    </row>
    <row r="1800" spans="1:15" x14ac:dyDescent="0.25">
      <c r="A1800">
        <v>1799</v>
      </c>
      <c r="B1800" s="2">
        <v>45767</v>
      </c>
      <c r="C1800" t="s">
        <v>11</v>
      </c>
      <c r="D1800" t="s">
        <v>19</v>
      </c>
      <c r="E1800" t="s">
        <v>27</v>
      </c>
      <c r="F1800" t="s">
        <v>21</v>
      </c>
      <c r="G1800">
        <v>171</v>
      </c>
      <c r="H1800">
        <v>413.92</v>
      </c>
      <c r="I1800">
        <v>23</v>
      </c>
      <c r="J1800" t="s">
        <v>15</v>
      </c>
      <c r="K1800">
        <v>70780.320000000007</v>
      </c>
      <c r="L1800" t="str">
        <f t="shared" si="112"/>
        <v>Apr</v>
      </c>
      <c r="M1800">
        <f t="shared" si="113"/>
        <v>2025</v>
      </c>
      <c r="N1800">
        <f t="shared" si="114"/>
        <v>70780.320000000007</v>
      </c>
      <c r="O1800" t="str">
        <f t="shared" si="115"/>
        <v>Minor Delay</v>
      </c>
    </row>
    <row r="1801" spans="1:15" x14ac:dyDescent="0.25">
      <c r="A1801">
        <v>1800</v>
      </c>
      <c r="B1801" s="2">
        <v>45732</v>
      </c>
      <c r="C1801" t="s">
        <v>25</v>
      </c>
      <c r="D1801" t="s">
        <v>27</v>
      </c>
      <c r="E1801" t="s">
        <v>12</v>
      </c>
      <c r="F1801" t="s">
        <v>14</v>
      </c>
      <c r="G1801">
        <v>269</v>
      </c>
      <c r="H1801">
        <v>437.3</v>
      </c>
      <c r="I1801">
        <v>34</v>
      </c>
      <c r="J1801" t="s">
        <v>30</v>
      </c>
      <c r="K1801">
        <v>117633.7</v>
      </c>
      <c r="L1801" t="str">
        <f t="shared" si="112"/>
        <v>Mar</v>
      </c>
      <c r="M1801">
        <f t="shared" si="113"/>
        <v>2025</v>
      </c>
      <c r="N1801">
        <f t="shared" si="114"/>
        <v>117633.7</v>
      </c>
      <c r="O1801" t="str">
        <f t="shared" si="115"/>
        <v>Moderate Delay</v>
      </c>
    </row>
    <row r="1802" spans="1:15" x14ac:dyDescent="0.25">
      <c r="A1802">
        <v>1801</v>
      </c>
      <c r="B1802" s="2">
        <v>45920</v>
      </c>
      <c r="C1802" t="s">
        <v>16</v>
      </c>
      <c r="D1802" t="s">
        <v>12</v>
      </c>
      <c r="E1802" t="s">
        <v>27</v>
      </c>
      <c r="F1802" t="s">
        <v>21</v>
      </c>
      <c r="G1802">
        <v>92</v>
      </c>
      <c r="H1802">
        <v>242.83</v>
      </c>
      <c r="I1802">
        <v>21</v>
      </c>
      <c r="J1802" t="s">
        <v>15</v>
      </c>
      <c r="K1802">
        <v>22340.36</v>
      </c>
      <c r="L1802" t="str">
        <f t="shared" si="112"/>
        <v>Sep</v>
      </c>
      <c r="M1802">
        <f t="shared" si="113"/>
        <v>2025</v>
      </c>
      <c r="N1802">
        <f t="shared" si="114"/>
        <v>22340.36</v>
      </c>
      <c r="O1802" t="str">
        <f t="shared" si="115"/>
        <v>Minor Delay</v>
      </c>
    </row>
    <row r="1803" spans="1:15" x14ac:dyDescent="0.25">
      <c r="A1803">
        <v>1802</v>
      </c>
      <c r="B1803" s="2">
        <v>45866</v>
      </c>
      <c r="C1803" t="s">
        <v>16</v>
      </c>
      <c r="D1803" t="s">
        <v>19</v>
      </c>
      <c r="E1803" t="s">
        <v>22</v>
      </c>
      <c r="F1803" t="s">
        <v>24</v>
      </c>
      <c r="G1803">
        <v>60</v>
      </c>
      <c r="H1803">
        <v>704.29</v>
      </c>
      <c r="I1803">
        <v>0</v>
      </c>
      <c r="J1803" t="s">
        <v>15</v>
      </c>
      <c r="K1803">
        <v>42257.4</v>
      </c>
      <c r="L1803" t="str">
        <f t="shared" si="112"/>
        <v>Jul</v>
      </c>
      <c r="M1803">
        <f t="shared" si="113"/>
        <v>2025</v>
      </c>
      <c r="N1803">
        <f t="shared" si="114"/>
        <v>42257.399999999994</v>
      </c>
      <c r="O1803" t="str">
        <f t="shared" si="115"/>
        <v>On Time</v>
      </c>
    </row>
    <row r="1804" spans="1:15" x14ac:dyDescent="0.25">
      <c r="A1804">
        <v>1803</v>
      </c>
      <c r="B1804" s="2">
        <v>46001</v>
      </c>
      <c r="C1804" t="s">
        <v>25</v>
      </c>
      <c r="D1804" t="s">
        <v>13</v>
      </c>
      <c r="E1804" t="s">
        <v>23</v>
      </c>
      <c r="F1804" t="s">
        <v>24</v>
      </c>
      <c r="G1804">
        <v>150</v>
      </c>
      <c r="H1804">
        <v>392.87</v>
      </c>
      <c r="I1804">
        <v>29</v>
      </c>
      <c r="J1804" t="s">
        <v>30</v>
      </c>
      <c r="K1804">
        <v>58930.5</v>
      </c>
      <c r="L1804" t="str">
        <f t="shared" si="112"/>
        <v>Dec</v>
      </c>
      <c r="M1804">
        <f t="shared" si="113"/>
        <v>2025</v>
      </c>
      <c r="N1804">
        <f t="shared" si="114"/>
        <v>58930.5</v>
      </c>
      <c r="O1804" t="str">
        <f t="shared" si="115"/>
        <v>Minor Delay</v>
      </c>
    </row>
    <row r="1805" spans="1:15" x14ac:dyDescent="0.25">
      <c r="A1805">
        <v>1804</v>
      </c>
      <c r="B1805" s="2">
        <v>45988</v>
      </c>
      <c r="C1805" t="s">
        <v>25</v>
      </c>
      <c r="D1805" t="s">
        <v>20</v>
      </c>
      <c r="E1805" t="s">
        <v>17</v>
      </c>
      <c r="F1805" t="s">
        <v>14</v>
      </c>
      <c r="G1805">
        <v>111</v>
      </c>
      <c r="H1805">
        <v>503.24</v>
      </c>
      <c r="I1805">
        <v>4</v>
      </c>
      <c r="J1805" t="s">
        <v>15</v>
      </c>
      <c r="K1805">
        <v>55859.64</v>
      </c>
      <c r="L1805" t="str">
        <f t="shared" si="112"/>
        <v>Nov</v>
      </c>
      <c r="M1805">
        <f t="shared" si="113"/>
        <v>2025</v>
      </c>
      <c r="N1805">
        <f t="shared" si="114"/>
        <v>55859.64</v>
      </c>
      <c r="O1805" t="str">
        <f t="shared" si="115"/>
        <v>Minor Delay</v>
      </c>
    </row>
    <row r="1806" spans="1:15" x14ac:dyDescent="0.25">
      <c r="A1806">
        <v>1805</v>
      </c>
      <c r="B1806" s="2">
        <v>45965</v>
      </c>
      <c r="C1806" t="s">
        <v>16</v>
      </c>
      <c r="D1806" t="s">
        <v>12</v>
      </c>
      <c r="E1806" t="s">
        <v>20</v>
      </c>
      <c r="F1806" t="s">
        <v>24</v>
      </c>
      <c r="G1806">
        <v>66</v>
      </c>
      <c r="H1806">
        <v>475.65</v>
      </c>
      <c r="I1806">
        <v>7</v>
      </c>
      <c r="J1806" t="s">
        <v>15</v>
      </c>
      <c r="K1806">
        <v>31392.9</v>
      </c>
      <c r="L1806" t="str">
        <f t="shared" si="112"/>
        <v>Nov</v>
      </c>
      <c r="M1806">
        <f t="shared" si="113"/>
        <v>2025</v>
      </c>
      <c r="N1806">
        <f t="shared" si="114"/>
        <v>31392.899999999998</v>
      </c>
      <c r="O1806" t="str">
        <f t="shared" si="115"/>
        <v>Minor Delay</v>
      </c>
    </row>
    <row r="1807" spans="1:15" x14ac:dyDescent="0.25">
      <c r="A1807">
        <v>1806</v>
      </c>
      <c r="B1807" s="2">
        <v>45800</v>
      </c>
      <c r="C1807" t="s">
        <v>18</v>
      </c>
      <c r="D1807" t="s">
        <v>13</v>
      </c>
      <c r="E1807" t="s">
        <v>17</v>
      </c>
      <c r="F1807" t="s">
        <v>24</v>
      </c>
      <c r="G1807">
        <v>168</v>
      </c>
      <c r="H1807">
        <v>541.12</v>
      </c>
      <c r="I1807">
        <v>0</v>
      </c>
      <c r="J1807" t="s">
        <v>28</v>
      </c>
      <c r="K1807">
        <v>90908.160000000003</v>
      </c>
      <c r="L1807" t="str">
        <f t="shared" si="112"/>
        <v>May</v>
      </c>
      <c r="M1807">
        <f t="shared" si="113"/>
        <v>2025</v>
      </c>
      <c r="N1807">
        <f t="shared" si="114"/>
        <v>90908.160000000003</v>
      </c>
      <c r="O1807" t="str">
        <f t="shared" si="115"/>
        <v>On Time</v>
      </c>
    </row>
    <row r="1808" spans="1:15" x14ac:dyDescent="0.25">
      <c r="A1808">
        <v>1807</v>
      </c>
      <c r="B1808" s="2">
        <v>45932</v>
      </c>
      <c r="C1808" t="s">
        <v>31</v>
      </c>
      <c r="D1808" t="s">
        <v>22</v>
      </c>
      <c r="E1808" t="s">
        <v>23</v>
      </c>
      <c r="F1808" t="s">
        <v>24</v>
      </c>
      <c r="G1808">
        <v>285</v>
      </c>
      <c r="H1808">
        <v>288.02</v>
      </c>
      <c r="I1808">
        <v>48</v>
      </c>
      <c r="J1808" t="s">
        <v>15</v>
      </c>
      <c r="K1808">
        <v>82085.7</v>
      </c>
      <c r="L1808" t="str">
        <f t="shared" si="112"/>
        <v>Oct</v>
      </c>
      <c r="M1808">
        <f t="shared" si="113"/>
        <v>2025</v>
      </c>
      <c r="N1808">
        <f t="shared" si="114"/>
        <v>82085.7</v>
      </c>
      <c r="O1808" t="str">
        <f t="shared" si="115"/>
        <v>Moderate Delay</v>
      </c>
    </row>
    <row r="1809" spans="1:15" x14ac:dyDescent="0.25">
      <c r="A1809">
        <v>1808</v>
      </c>
      <c r="B1809" s="2">
        <v>45898</v>
      </c>
      <c r="C1809" t="s">
        <v>26</v>
      </c>
      <c r="D1809" t="s">
        <v>27</v>
      </c>
      <c r="E1809" t="s">
        <v>29</v>
      </c>
      <c r="F1809" t="s">
        <v>14</v>
      </c>
      <c r="G1809">
        <v>227</v>
      </c>
      <c r="H1809">
        <v>422.36</v>
      </c>
      <c r="I1809">
        <v>10</v>
      </c>
      <c r="J1809" t="s">
        <v>15</v>
      </c>
      <c r="K1809">
        <v>95875.72</v>
      </c>
      <c r="L1809" t="str">
        <f t="shared" si="112"/>
        <v>Aug</v>
      </c>
      <c r="M1809">
        <f t="shared" si="113"/>
        <v>2025</v>
      </c>
      <c r="N1809">
        <f t="shared" si="114"/>
        <v>95875.72</v>
      </c>
      <c r="O1809" t="str">
        <f t="shared" si="115"/>
        <v>Minor Delay</v>
      </c>
    </row>
    <row r="1810" spans="1:15" x14ac:dyDescent="0.25">
      <c r="A1810">
        <v>1809</v>
      </c>
      <c r="B1810" s="2">
        <v>45786</v>
      </c>
      <c r="C1810" t="s">
        <v>25</v>
      </c>
      <c r="D1810" t="s">
        <v>27</v>
      </c>
      <c r="E1810" t="s">
        <v>12</v>
      </c>
      <c r="F1810" t="s">
        <v>24</v>
      </c>
      <c r="G1810">
        <v>289</v>
      </c>
      <c r="H1810">
        <v>260.73</v>
      </c>
      <c r="I1810">
        <v>12</v>
      </c>
      <c r="J1810" t="s">
        <v>15</v>
      </c>
      <c r="K1810">
        <v>75350.97</v>
      </c>
      <c r="L1810" t="str">
        <f t="shared" si="112"/>
        <v>May</v>
      </c>
      <c r="M1810">
        <f t="shared" si="113"/>
        <v>2025</v>
      </c>
      <c r="N1810">
        <f t="shared" si="114"/>
        <v>75350.97</v>
      </c>
      <c r="O1810" t="str">
        <f t="shared" si="115"/>
        <v>Minor Delay</v>
      </c>
    </row>
    <row r="1811" spans="1:15" x14ac:dyDescent="0.25">
      <c r="A1811">
        <v>1810</v>
      </c>
      <c r="B1811" s="2">
        <v>45947</v>
      </c>
      <c r="C1811" t="s">
        <v>11</v>
      </c>
      <c r="D1811" t="s">
        <v>22</v>
      </c>
      <c r="E1811" t="s">
        <v>19</v>
      </c>
      <c r="F1811" t="s">
        <v>24</v>
      </c>
      <c r="G1811">
        <v>298</v>
      </c>
      <c r="H1811">
        <v>286.7</v>
      </c>
      <c r="I1811">
        <v>49</v>
      </c>
      <c r="J1811" t="s">
        <v>30</v>
      </c>
      <c r="K1811">
        <v>85436.6</v>
      </c>
      <c r="L1811" t="str">
        <f t="shared" si="112"/>
        <v>Oct</v>
      </c>
      <c r="M1811">
        <f t="shared" si="113"/>
        <v>2025</v>
      </c>
      <c r="N1811">
        <f t="shared" si="114"/>
        <v>85436.599999999991</v>
      </c>
      <c r="O1811" t="str">
        <f t="shared" si="115"/>
        <v>Moderate Delay</v>
      </c>
    </row>
    <row r="1812" spans="1:15" x14ac:dyDescent="0.25">
      <c r="A1812">
        <v>1811</v>
      </c>
      <c r="B1812" s="2">
        <v>45800</v>
      </c>
      <c r="C1812" t="s">
        <v>26</v>
      </c>
      <c r="D1812" t="s">
        <v>27</v>
      </c>
      <c r="E1812" t="s">
        <v>17</v>
      </c>
      <c r="F1812" t="s">
        <v>21</v>
      </c>
      <c r="G1812">
        <v>158</v>
      </c>
      <c r="H1812">
        <v>555.57000000000005</v>
      </c>
      <c r="I1812">
        <v>33</v>
      </c>
      <c r="J1812" t="s">
        <v>15</v>
      </c>
      <c r="K1812">
        <v>87780.06</v>
      </c>
      <c r="L1812" t="str">
        <f t="shared" si="112"/>
        <v>May</v>
      </c>
      <c r="M1812">
        <f t="shared" si="113"/>
        <v>2025</v>
      </c>
      <c r="N1812">
        <f t="shared" si="114"/>
        <v>87780.060000000012</v>
      </c>
      <c r="O1812" t="str">
        <f t="shared" si="115"/>
        <v>Moderate Delay</v>
      </c>
    </row>
    <row r="1813" spans="1:15" x14ac:dyDescent="0.25">
      <c r="A1813">
        <v>1812</v>
      </c>
      <c r="B1813" s="2">
        <v>46009</v>
      </c>
      <c r="C1813" t="s">
        <v>25</v>
      </c>
      <c r="D1813" t="s">
        <v>23</v>
      </c>
      <c r="E1813" t="s">
        <v>19</v>
      </c>
      <c r="F1813" t="s">
        <v>24</v>
      </c>
      <c r="G1813">
        <v>232</v>
      </c>
      <c r="H1813">
        <v>461.65</v>
      </c>
      <c r="I1813">
        <v>51</v>
      </c>
      <c r="J1813" t="s">
        <v>15</v>
      </c>
      <c r="K1813">
        <v>107102.8</v>
      </c>
      <c r="L1813" t="str">
        <f t="shared" si="112"/>
        <v>Dec</v>
      </c>
      <c r="M1813">
        <f t="shared" si="113"/>
        <v>2025</v>
      </c>
      <c r="N1813">
        <f t="shared" si="114"/>
        <v>107102.79999999999</v>
      </c>
      <c r="O1813" t="str">
        <f t="shared" si="115"/>
        <v>Moderate Delay</v>
      </c>
    </row>
    <row r="1814" spans="1:15" x14ac:dyDescent="0.25">
      <c r="A1814">
        <v>1813</v>
      </c>
      <c r="B1814" s="2">
        <v>45718</v>
      </c>
      <c r="C1814" t="s">
        <v>25</v>
      </c>
      <c r="D1814" t="s">
        <v>20</v>
      </c>
      <c r="E1814" t="s">
        <v>29</v>
      </c>
      <c r="F1814" t="s">
        <v>21</v>
      </c>
      <c r="G1814">
        <v>274</v>
      </c>
      <c r="H1814">
        <v>275.68</v>
      </c>
      <c r="I1814">
        <v>20</v>
      </c>
      <c r="J1814" t="s">
        <v>15</v>
      </c>
      <c r="K1814">
        <v>75536.320000000007</v>
      </c>
      <c r="L1814" t="str">
        <f t="shared" si="112"/>
        <v>Mar</v>
      </c>
      <c r="M1814">
        <f t="shared" si="113"/>
        <v>2025</v>
      </c>
      <c r="N1814">
        <f t="shared" si="114"/>
        <v>75536.320000000007</v>
      </c>
      <c r="O1814" t="str">
        <f t="shared" si="115"/>
        <v>Minor Delay</v>
      </c>
    </row>
    <row r="1815" spans="1:15" x14ac:dyDescent="0.25">
      <c r="A1815">
        <v>1814</v>
      </c>
      <c r="B1815" s="2">
        <v>45989</v>
      </c>
      <c r="C1815" t="s">
        <v>18</v>
      </c>
      <c r="D1815" t="s">
        <v>22</v>
      </c>
      <c r="E1815" t="s">
        <v>29</v>
      </c>
      <c r="F1815" t="s">
        <v>24</v>
      </c>
      <c r="G1815">
        <v>112</v>
      </c>
      <c r="H1815">
        <v>349.81</v>
      </c>
      <c r="I1815">
        <v>53</v>
      </c>
      <c r="J1815" t="s">
        <v>15</v>
      </c>
      <c r="K1815">
        <v>39178.720000000001</v>
      </c>
      <c r="L1815" t="str">
        <f t="shared" si="112"/>
        <v>Nov</v>
      </c>
      <c r="M1815">
        <f t="shared" si="113"/>
        <v>2025</v>
      </c>
      <c r="N1815">
        <f t="shared" si="114"/>
        <v>39178.720000000001</v>
      </c>
      <c r="O1815" t="str">
        <f t="shared" si="115"/>
        <v>Moderate Delay</v>
      </c>
    </row>
    <row r="1816" spans="1:15" x14ac:dyDescent="0.25">
      <c r="A1816">
        <v>1815</v>
      </c>
      <c r="B1816" s="2">
        <v>45732</v>
      </c>
      <c r="C1816" t="s">
        <v>26</v>
      </c>
      <c r="D1816" t="s">
        <v>20</v>
      </c>
      <c r="E1816" t="s">
        <v>22</v>
      </c>
      <c r="F1816" t="s">
        <v>21</v>
      </c>
      <c r="G1816">
        <v>68</v>
      </c>
      <c r="H1816">
        <v>246.88</v>
      </c>
      <c r="I1816">
        <v>64</v>
      </c>
      <c r="J1816" t="s">
        <v>28</v>
      </c>
      <c r="K1816">
        <v>16787.84</v>
      </c>
      <c r="L1816" t="str">
        <f t="shared" si="112"/>
        <v>Mar</v>
      </c>
      <c r="M1816">
        <f t="shared" si="113"/>
        <v>2025</v>
      </c>
      <c r="N1816">
        <f t="shared" si="114"/>
        <v>16787.84</v>
      </c>
      <c r="O1816" t="str">
        <f t="shared" si="115"/>
        <v>Major Delay</v>
      </c>
    </row>
    <row r="1817" spans="1:15" x14ac:dyDescent="0.25">
      <c r="A1817">
        <v>1816</v>
      </c>
      <c r="B1817" s="2">
        <v>45754</v>
      </c>
      <c r="C1817" t="s">
        <v>26</v>
      </c>
      <c r="D1817" t="s">
        <v>13</v>
      </c>
      <c r="E1817" t="s">
        <v>29</v>
      </c>
      <c r="F1817" t="s">
        <v>24</v>
      </c>
      <c r="G1817">
        <v>166</v>
      </c>
      <c r="H1817">
        <v>751.72</v>
      </c>
      <c r="I1817">
        <v>10</v>
      </c>
      <c r="J1817" t="s">
        <v>15</v>
      </c>
      <c r="K1817">
        <v>124785.52</v>
      </c>
      <c r="L1817" t="str">
        <f t="shared" si="112"/>
        <v>Apr</v>
      </c>
      <c r="M1817">
        <f t="shared" si="113"/>
        <v>2025</v>
      </c>
      <c r="N1817">
        <f t="shared" si="114"/>
        <v>124785.52</v>
      </c>
      <c r="O1817" t="str">
        <f t="shared" si="115"/>
        <v>Minor Delay</v>
      </c>
    </row>
    <row r="1818" spans="1:15" x14ac:dyDescent="0.25">
      <c r="A1818">
        <v>1817</v>
      </c>
      <c r="B1818" s="2">
        <v>45759</v>
      </c>
      <c r="C1818" t="s">
        <v>26</v>
      </c>
      <c r="D1818" t="s">
        <v>23</v>
      </c>
      <c r="E1818" t="s">
        <v>20</v>
      </c>
      <c r="F1818" t="s">
        <v>14</v>
      </c>
      <c r="G1818">
        <v>159</v>
      </c>
      <c r="H1818">
        <v>524.79999999999995</v>
      </c>
      <c r="I1818">
        <v>8</v>
      </c>
      <c r="J1818" t="s">
        <v>15</v>
      </c>
      <c r="K1818">
        <v>83443.199999999997</v>
      </c>
      <c r="L1818" t="str">
        <f t="shared" si="112"/>
        <v>Apr</v>
      </c>
      <c r="M1818">
        <f t="shared" si="113"/>
        <v>2025</v>
      </c>
      <c r="N1818">
        <f t="shared" si="114"/>
        <v>83443.199999999997</v>
      </c>
      <c r="O1818" t="str">
        <f t="shared" si="115"/>
        <v>Minor Delay</v>
      </c>
    </row>
    <row r="1819" spans="1:15" x14ac:dyDescent="0.25">
      <c r="A1819">
        <v>1818</v>
      </c>
      <c r="B1819" s="2">
        <v>45729</v>
      </c>
      <c r="C1819" t="s">
        <v>11</v>
      </c>
      <c r="D1819" t="s">
        <v>22</v>
      </c>
      <c r="E1819" t="s">
        <v>12</v>
      </c>
      <c r="F1819" t="s">
        <v>14</v>
      </c>
      <c r="G1819">
        <v>142</v>
      </c>
      <c r="H1819">
        <v>622.49</v>
      </c>
      <c r="I1819">
        <v>20</v>
      </c>
      <c r="J1819" t="s">
        <v>28</v>
      </c>
      <c r="K1819">
        <v>88393.58</v>
      </c>
      <c r="L1819" t="str">
        <f t="shared" si="112"/>
        <v>Mar</v>
      </c>
      <c r="M1819">
        <f t="shared" si="113"/>
        <v>2025</v>
      </c>
      <c r="N1819">
        <f t="shared" si="114"/>
        <v>88393.58</v>
      </c>
      <c r="O1819" t="str">
        <f t="shared" si="115"/>
        <v>Minor Delay</v>
      </c>
    </row>
    <row r="1820" spans="1:15" x14ac:dyDescent="0.25">
      <c r="A1820">
        <v>1819</v>
      </c>
      <c r="B1820" s="2">
        <v>45800</v>
      </c>
      <c r="C1820" t="s">
        <v>16</v>
      </c>
      <c r="D1820" t="s">
        <v>13</v>
      </c>
      <c r="E1820" t="s">
        <v>29</v>
      </c>
      <c r="F1820" t="s">
        <v>21</v>
      </c>
      <c r="G1820">
        <v>187</v>
      </c>
      <c r="H1820">
        <v>258.63</v>
      </c>
      <c r="I1820">
        <v>32</v>
      </c>
      <c r="J1820" t="s">
        <v>15</v>
      </c>
      <c r="K1820">
        <v>48363.81</v>
      </c>
      <c r="L1820" t="str">
        <f t="shared" si="112"/>
        <v>May</v>
      </c>
      <c r="M1820">
        <f t="shared" si="113"/>
        <v>2025</v>
      </c>
      <c r="N1820">
        <f t="shared" si="114"/>
        <v>48363.81</v>
      </c>
      <c r="O1820" t="str">
        <f t="shared" si="115"/>
        <v>Moderate Delay</v>
      </c>
    </row>
    <row r="1821" spans="1:15" x14ac:dyDescent="0.25">
      <c r="A1821">
        <v>1820</v>
      </c>
      <c r="B1821" s="2">
        <v>45996</v>
      </c>
      <c r="C1821" t="s">
        <v>31</v>
      </c>
      <c r="D1821" t="s">
        <v>19</v>
      </c>
      <c r="E1821" t="s">
        <v>13</v>
      </c>
      <c r="F1821" t="s">
        <v>14</v>
      </c>
      <c r="G1821">
        <v>52</v>
      </c>
      <c r="H1821">
        <v>142.46</v>
      </c>
      <c r="I1821">
        <v>0</v>
      </c>
      <c r="J1821" t="s">
        <v>30</v>
      </c>
      <c r="K1821">
        <v>7407.92</v>
      </c>
      <c r="L1821" t="str">
        <f t="shared" si="112"/>
        <v>Dec</v>
      </c>
      <c r="M1821">
        <f t="shared" si="113"/>
        <v>2025</v>
      </c>
      <c r="N1821">
        <f t="shared" si="114"/>
        <v>7407.92</v>
      </c>
      <c r="O1821" t="str">
        <f t="shared" si="115"/>
        <v>On Time</v>
      </c>
    </row>
    <row r="1822" spans="1:15" x14ac:dyDescent="0.25">
      <c r="A1822">
        <v>1821</v>
      </c>
      <c r="B1822" s="2">
        <v>45878</v>
      </c>
      <c r="C1822" t="s">
        <v>11</v>
      </c>
      <c r="D1822" t="s">
        <v>23</v>
      </c>
      <c r="E1822" t="s">
        <v>22</v>
      </c>
      <c r="F1822" t="s">
        <v>14</v>
      </c>
      <c r="G1822">
        <v>106</v>
      </c>
      <c r="H1822">
        <v>517.54999999999995</v>
      </c>
      <c r="I1822">
        <v>2</v>
      </c>
      <c r="J1822" t="s">
        <v>15</v>
      </c>
      <c r="K1822">
        <v>54860.3</v>
      </c>
      <c r="L1822" t="str">
        <f t="shared" si="112"/>
        <v>Aug</v>
      </c>
      <c r="M1822">
        <f t="shared" si="113"/>
        <v>2025</v>
      </c>
      <c r="N1822">
        <f t="shared" si="114"/>
        <v>54860.299999999996</v>
      </c>
      <c r="O1822" t="str">
        <f t="shared" si="115"/>
        <v>Minor Delay</v>
      </c>
    </row>
    <row r="1823" spans="1:15" x14ac:dyDescent="0.25">
      <c r="A1823">
        <v>1822</v>
      </c>
      <c r="B1823" s="2">
        <v>45669</v>
      </c>
      <c r="C1823" t="s">
        <v>31</v>
      </c>
      <c r="D1823" t="s">
        <v>19</v>
      </c>
      <c r="E1823" t="s">
        <v>29</v>
      </c>
      <c r="F1823" t="s">
        <v>21</v>
      </c>
      <c r="G1823">
        <v>131</v>
      </c>
      <c r="H1823">
        <v>624.14</v>
      </c>
      <c r="I1823">
        <v>11</v>
      </c>
      <c r="J1823" t="s">
        <v>15</v>
      </c>
      <c r="K1823">
        <v>81762.34</v>
      </c>
      <c r="L1823" t="str">
        <f t="shared" si="112"/>
        <v>Jan</v>
      </c>
      <c r="M1823">
        <f t="shared" si="113"/>
        <v>2025</v>
      </c>
      <c r="N1823">
        <f t="shared" si="114"/>
        <v>81762.34</v>
      </c>
      <c r="O1823" t="str">
        <f t="shared" si="115"/>
        <v>Minor Delay</v>
      </c>
    </row>
    <row r="1824" spans="1:15" x14ac:dyDescent="0.25">
      <c r="A1824">
        <v>1823</v>
      </c>
      <c r="B1824" s="2">
        <v>45935</v>
      </c>
      <c r="C1824" t="s">
        <v>31</v>
      </c>
      <c r="D1824" t="s">
        <v>17</v>
      </c>
      <c r="E1824" t="s">
        <v>19</v>
      </c>
      <c r="F1824" t="s">
        <v>14</v>
      </c>
      <c r="G1824">
        <v>294</v>
      </c>
      <c r="H1824">
        <v>178.69</v>
      </c>
      <c r="I1824">
        <v>0</v>
      </c>
      <c r="J1824" t="s">
        <v>30</v>
      </c>
      <c r="K1824">
        <v>52534.86</v>
      </c>
      <c r="L1824" t="str">
        <f t="shared" si="112"/>
        <v>Oct</v>
      </c>
      <c r="M1824">
        <f t="shared" si="113"/>
        <v>2025</v>
      </c>
      <c r="N1824">
        <f t="shared" si="114"/>
        <v>52534.86</v>
      </c>
      <c r="O1824" t="str">
        <f t="shared" si="115"/>
        <v>On Time</v>
      </c>
    </row>
    <row r="1825" spans="1:15" x14ac:dyDescent="0.25">
      <c r="A1825">
        <v>1824</v>
      </c>
      <c r="B1825" s="2">
        <v>45706</v>
      </c>
      <c r="C1825" t="s">
        <v>11</v>
      </c>
      <c r="D1825" t="s">
        <v>20</v>
      </c>
      <c r="E1825" t="s">
        <v>12</v>
      </c>
      <c r="F1825" t="s">
        <v>24</v>
      </c>
      <c r="G1825">
        <v>106</v>
      </c>
      <c r="H1825">
        <v>239.1</v>
      </c>
      <c r="I1825">
        <v>5</v>
      </c>
      <c r="J1825" t="s">
        <v>15</v>
      </c>
      <c r="K1825">
        <v>25344.6</v>
      </c>
      <c r="L1825" t="str">
        <f t="shared" si="112"/>
        <v>Feb</v>
      </c>
      <c r="M1825">
        <f t="shared" si="113"/>
        <v>2025</v>
      </c>
      <c r="N1825">
        <f t="shared" si="114"/>
        <v>25344.6</v>
      </c>
      <c r="O1825" t="str">
        <f t="shared" si="115"/>
        <v>Minor Delay</v>
      </c>
    </row>
    <row r="1826" spans="1:15" x14ac:dyDescent="0.25">
      <c r="A1826">
        <v>1825</v>
      </c>
      <c r="B1826" s="2">
        <v>45801</v>
      </c>
      <c r="C1826" t="s">
        <v>16</v>
      </c>
      <c r="D1826" t="s">
        <v>29</v>
      </c>
      <c r="E1826" t="s">
        <v>23</v>
      </c>
      <c r="F1826" t="s">
        <v>14</v>
      </c>
      <c r="G1826">
        <v>111</v>
      </c>
      <c r="H1826">
        <v>556.66</v>
      </c>
      <c r="I1826">
        <v>0</v>
      </c>
      <c r="J1826" t="s">
        <v>30</v>
      </c>
      <c r="K1826">
        <v>61789.26</v>
      </c>
      <c r="L1826" t="str">
        <f t="shared" si="112"/>
        <v>May</v>
      </c>
      <c r="M1826">
        <f t="shared" si="113"/>
        <v>2025</v>
      </c>
      <c r="N1826">
        <f t="shared" si="114"/>
        <v>61789.259999999995</v>
      </c>
      <c r="O1826" t="str">
        <f t="shared" si="115"/>
        <v>On Time</v>
      </c>
    </row>
    <row r="1827" spans="1:15" x14ac:dyDescent="0.25">
      <c r="A1827">
        <v>1826</v>
      </c>
      <c r="B1827" s="2">
        <v>45776</v>
      </c>
      <c r="C1827" t="s">
        <v>16</v>
      </c>
      <c r="D1827" t="s">
        <v>20</v>
      </c>
      <c r="E1827" t="s">
        <v>19</v>
      </c>
      <c r="F1827" t="s">
        <v>14</v>
      </c>
      <c r="G1827">
        <v>154</v>
      </c>
      <c r="H1827">
        <v>587.19000000000005</v>
      </c>
      <c r="I1827">
        <v>39</v>
      </c>
      <c r="J1827" t="s">
        <v>15</v>
      </c>
      <c r="K1827">
        <v>90427.26</v>
      </c>
      <c r="L1827" t="str">
        <f t="shared" si="112"/>
        <v>Apr</v>
      </c>
      <c r="M1827">
        <f t="shared" si="113"/>
        <v>2025</v>
      </c>
      <c r="N1827">
        <f t="shared" si="114"/>
        <v>90427.260000000009</v>
      </c>
      <c r="O1827" t="str">
        <f t="shared" si="115"/>
        <v>Moderate Delay</v>
      </c>
    </row>
    <row r="1828" spans="1:15" x14ac:dyDescent="0.25">
      <c r="A1828">
        <v>1827</v>
      </c>
      <c r="B1828" s="2">
        <v>45669</v>
      </c>
      <c r="C1828" t="s">
        <v>31</v>
      </c>
      <c r="D1828" t="s">
        <v>17</v>
      </c>
      <c r="E1828" t="s">
        <v>20</v>
      </c>
      <c r="F1828" t="s">
        <v>24</v>
      </c>
      <c r="G1828">
        <v>102</v>
      </c>
      <c r="H1828">
        <v>712.54</v>
      </c>
      <c r="I1828">
        <v>0</v>
      </c>
      <c r="J1828" t="s">
        <v>15</v>
      </c>
      <c r="K1828">
        <v>72679.08</v>
      </c>
      <c r="L1828" t="str">
        <f t="shared" si="112"/>
        <v>Jan</v>
      </c>
      <c r="M1828">
        <f t="shared" si="113"/>
        <v>2025</v>
      </c>
      <c r="N1828">
        <f t="shared" si="114"/>
        <v>72679.08</v>
      </c>
      <c r="O1828" t="str">
        <f t="shared" si="115"/>
        <v>On Time</v>
      </c>
    </row>
    <row r="1829" spans="1:15" x14ac:dyDescent="0.25">
      <c r="A1829">
        <v>1828</v>
      </c>
      <c r="B1829" s="2">
        <v>45913</v>
      </c>
      <c r="C1829" t="s">
        <v>31</v>
      </c>
      <c r="D1829" t="s">
        <v>22</v>
      </c>
      <c r="E1829" t="s">
        <v>13</v>
      </c>
      <c r="F1829" t="s">
        <v>21</v>
      </c>
      <c r="G1829">
        <v>149</v>
      </c>
      <c r="H1829">
        <v>680.28</v>
      </c>
      <c r="I1829">
        <v>22</v>
      </c>
      <c r="J1829" t="s">
        <v>15</v>
      </c>
      <c r="K1829">
        <v>101361.72</v>
      </c>
      <c r="L1829" t="str">
        <f t="shared" si="112"/>
        <v>Sep</v>
      </c>
      <c r="M1829">
        <f t="shared" si="113"/>
        <v>2025</v>
      </c>
      <c r="N1829">
        <f t="shared" si="114"/>
        <v>101361.72</v>
      </c>
      <c r="O1829" t="str">
        <f t="shared" si="115"/>
        <v>Minor Delay</v>
      </c>
    </row>
    <row r="1830" spans="1:15" x14ac:dyDescent="0.25">
      <c r="A1830">
        <v>1829</v>
      </c>
      <c r="B1830" s="2">
        <v>46018</v>
      </c>
      <c r="C1830" t="s">
        <v>16</v>
      </c>
      <c r="D1830" t="s">
        <v>22</v>
      </c>
      <c r="E1830" t="s">
        <v>29</v>
      </c>
      <c r="F1830" t="s">
        <v>21</v>
      </c>
      <c r="G1830">
        <v>264</v>
      </c>
      <c r="H1830">
        <v>577.21</v>
      </c>
      <c r="I1830">
        <v>0</v>
      </c>
      <c r="J1830" t="s">
        <v>15</v>
      </c>
      <c r="K1830">
        <v>152383.44</v>
      </c>
      <c r="L1830" t="str">
        <f t="shared" si="112"/>
        <v>Dec</v>
      </c>
      <c r="M1830">
        <f t="shared" si="113"/>
        <v>2025</v>
      </c>
      <c r="N1830">
        <f t="shared" si="114"/>
        <v>152383.44</v>
      </c>
      <c r="O1830" t="str">
        <f t="shared" si="115"/>
        <v>On Time</v>
      </c>
    </row>
    <row r="1831" spans="1:15" x14ac:dyDescent="0.25">
      <c r="A1831">
        <v>1830</v>
      </c>
      <c r="B1831" s="2">
        <v>45865</v>
      </c>
      <c r="C1831" t="s">
        <v>26</v>
      </c>
      <c r="D1831" t="s">
        <v>22</v>
      </c>
      <c r="E1831" t="s">
        <v>17</v>
      </c>
      <c r="F1831" t="s">
        <v>14</v>
      </c>
      <c r="G1831">
        <v>233</v>
      </c>
      <c r="H1831">
        <v>275.10000000000002</v>
      </c>
      <c r="I1831">
        <v>50</v>
      </c>
      <c r="J1831" t="s">
        <v>15</v>
      </c>
      <c r="K1831">
        <v>64098.3</v>
      </c>
      <c r="L1831" t="str">
        <f t="shared" si="112"/>
        <v>Jul</v>
      </c>
      <c r="M1831">
        <f t="shared" si="113"/>
        <v>2025</v>
      </c>
      <c r="N1831">
        <f t="shared" si="114"/>
        <v>64098.3</v>
      </c>
      <c r="O1831" t="str">
        <f t="shared" si="115"/>
        <v>Moderate Delay</v>
      </c>
    </row>
    <row r="1832" spans="1:15" x14ac:dyDescent="0.25">
      <c r="A1832">
        <v>1831</v>
      </c>
      <c r="B1832" s="2">
        <v>46009</v>
      </c>
      <c r="C1832" t="s">
        <v>31</v>
      </c>
      <c r="D1832" t="s">
        <v>20</v>
      </c>
      <c r="E1832" t="s">
        <v>13</v>
      </c>
      <c r="F1832" t="s">
        <v>14</v>
      </c>
      <c r="G1832">
        <v>215</v>
      </c>
      <c r="H1832">
        <v>576.21</v>
      </c>
      <c r="I1832">
        <v>0</v>
      </c>
      <c r="J1832" t="s">
        <v>15</v>
      </c>
      <c r="K1832">
        <v>123885.15</v>
      </c>
      <c r="L1832" t="str">
        <f t="shared" si="112"/>
        <v>Dec</v>
      </c>
      <c r="M1832">
        <f t="shared" si="113"/>
        <v>2025</v>
      </c>
      <c r="N1832">
        <f t="shared" si="114"/>
        <v>123885.15000000001</v>
      </c>
      <c r="O1832" t="str">
        <f t="shared" si="115"/>
        <v>On Time</v>
      </c>
    </row>
    <row r="1833" spans="1:15" x14ac:dyDescent="0.25">
      <c r="A1833">
        <v>1832</v>
      </c>
      <c r="B1833" s="2">
        <v>45853</v>
      </c>
      <c r="C1833" t="s">
        <v>16</v>
      </c>
      <c r="D1833" t="s">
        <v>22</v>
      </c>
      <c r="E1833" t="s">
        <v>17</v>
      </c>
      <c r="F1833" t="s">
        <v>24</v>
      </c>
      <c r="G1833">
        <v>161</v>
      </c>
      <c r="H1833">
        <v>595.89</v>
      </c>
      <c r="I1833">
        <v>33</v>
      </c>
      <c r="J1833" t="s">
        <v>30</v>
      </c>
      <c r="K1833">
        <v>95938.29</v>
      </c>
      <c r="L1833" t="str">
        <f t="shared" si="112"/>
        <v>Jul</v>
      </c>
      <c r="M1833">
        <f t="shared" si="113"/>
        <v>2025</v>
      </c>
      <c r="N1833">
        <f t="shared" si="114"/>
        <v>95938.29</v>
      </c>
      <c r="O1833" t="str">
        <f t="shared" si="115"/>
        <v>Moderate Delay</v>
      </c>
    </row>
    <row r="1834" spans="1:15" x14ac:dyDescent="0.25">
      <c r="A1834">
        <v>1833</v>
      </c>
      <c r="B1834" s="2">
        <v>45788</v>
      </c>
      <c r="C1834" t="s">
        <v>26</v>
      </c>
      <c r="D1834" t="s">
        <v>12</v>
      </c>
      <c r="E1834" t="s">
        <v>20</v>
      </c>
      <c r="F1834" t="s">
        <v>14</v>
      </c>
      <c r="G1834">
        <v>118</v>
      </c>
      <c r="H1834">
        <v>331.28</v>
      </c>
      <c r="I1834">
        <v>48</v>
      </c>
      <c r="J1834" t="s">
        <v>15</v>
      </c>
      <c r="K1834">
        <v>39091.040000000001</v>
      </c>
      <c r="L1834" t="str">
        <f t="shared" si="112"/>
        <v>May</v>
      </c>
      <c r="M1834">
        <f t="shared" si="113"/>
        <v>2025</v>
      </c>
      <c r="N1834">
        <f t="shared" si="114"/>
        <v>39091.039999999994</v>
      </c>
      <c r="O1834" t="str">
        <f t="shared" si="115"/>
        <v>Moderate Delay</v>
      </c>
    </row>
    <row r="1835" spans="1:15" x14ac:dyDescent="0.25">
      <c r="A1835">
        <v>1834</v>
      </c>
      <c r="B1835" s="2">
        <v>45676</v>
      </c>
      <c r="C1835" t="s">
        <v>18</v>
      </c>
      <c r="D1835" t="s">
        <v>27</v>
      </c>
      <c r="E1835" t="s">
        <v>19</v>
      </c>
      <c r="F1835" t="s">
        <v>24</v>
      </c>
      <c r="G1835">
        <v>62</v>
      </c>
      <c r="H1835">
        <v>622.92999999999995</v>
      </c>
      <c r="I1835">
        <v>19</v>
      </c>
      <c r="J1835" t="s">
        <v>15</v>
      </c>
      <c r="K1835">
        <v>38621.660000000003</v>
      </c>
      <c r="L1835" t="str">
        <f t="shared" si="112"/>
        <v>Jan</v>
      </c>
      <c r="M1835">
        <f t="shared" si="113"/>
        <v>2025</v>
      </c>
      <c r="N1835">
        <f t="shared" si="114"/>
        <v>38621.659999999996</v>
      </c>
      <c r="O1835" t="str">
        <f t="shared" si="115"/>
        <v>Minor Delay</v>
      </c>
    </row>
    <row r="1836" spans="1:15" x14ac:dyDescent="0.25">
      <c r="A1836">
        <v>1835</v>
      </c>
      <c r="B1836" s="2">
        <v>45973</v>
      </c>
      <c r="C1836" t="s">
        <v>25</v>
      </c>
      <c r="D1836" t="s">
        <v>29</v>
      </c>
      <c r="E1836" t="s">
        <v>12</v>
      </c>
      <c r="F1836" t="s">
        <v>21</v>
      </c>
      <c r="G1836">
        <v>62</v>
      </c>
      <c r="H1836">
        <v>245.29</v>
      </c>
      <c r="I1836">
        <v>1</v>
      </c>
      <c r="J1836" t="s">
        <v>15</v>
      </c>
      <c r="K1836">
        <v>15207.98</v>
      </c>
      <c r="L1836" t="str">
        <f t="shared" si="112"/>
        <v>Nov</v>
      </c>
      <c r="M1836">
        <f t="shared" si="113"/>
        <v>2025</v>
      </c>
      <c r="N1836">
        <f t="shared" si="114"/>
        <v>15207.98</v>
      </c>
      <c r="O1836" t="str">
        <f t="shared" si="115"/>
        <v>Minor Delay</v>
      </c>
    </row>
    <row r="1837" spans="1:15" x14ac:dyDescent="0.25">
      <c r="A1837">
        <v>1836</v>
      </c>
      <c r="B1837" s="2">
        <v>45800</v>
      </c>
      <c r="C1837" t="s">
        <v>11</v>
      </c>
      <c r="D1837" t="s">
        <v>29</v>
      </c>
      <c r="E1837" t="s">
        <v>20</v>
      </c>
      <c r="F1837" t="s">
        <v>14</v>
      </c>
      <c r="G1837">
        <v>154</v>
      </c>
      <c r="H1837">
        <v>290.58</v>
      </c>
      <c r="I1837">
        <v>16</v>
      </c>
      <c r="J1837" t="s">
        <v>15</v>
      </c>
      <c r="K1837">
        <v>44749.32</v>
      </c>
      <c r="L1837" t="str">
        <f t="shared" si="112"/>
        <v>May</v>
      </c>
      <c r="M1837">
        <f t="shared" si="113"/>
        <v>2025</v>
      </c>
      <c r="N1837">
        <f t="shared" si="114"/>
        <v>44749.32</v>
      </c>
      <c r="O1837" t="str">
        <f t="shared" si="115"/>
        <v>Minor Delay</v>
      </c>
    </row>
    <row r="1838" spans="1:15" x14ac:dyDescent="0.25">
      <c r="A1838">
        <v>1837</v>
      </c>
      <c r="B1838" s="2">
        <v>45975</v>
      </c>
      <c r="C1838" t="s">
        <v>16</v>
      </c>
      <c r="D1838" t="s">
        <v>19</v>
      </c>
      <c r="E1838" t="s">
        <v>12</v>
      </c>
      <c r="F1838" t="s">
        <v>21</v>
      </c>
      <c r="G1838">
        <v>217</v>
      </c>
      <c r="H1838">
        <v>639.49</v>
      </c>
      <c r="I1838">
        <v>54</v>
      </c>
      <c r="J1838" t="s">
        <v>15</v>
      </c>
      <c r="K1838">
        <v>138769.32999999999</v>
      </c>
      <c r="L1838" t="str">
        <f t="shared" si="112"/>
        <v>Nov</v>
      </c>
      <c r="M1838">
        <f t="shared" si="113"/>
        <v>2025</v>
      </c>
      <c r="N1838">
        <f t="shared" si="114"/>
        <v>138769.33000000002</v>
      </c>
      <c r="O1838" t="str">
        <f t="shared" si="115"/>
        <v>Moderate Delay</v>
      </c>
    </row>
    <row r="1839" spans="1:15" x14ac:dyDescent="0.25">
      <c r="A1839">
        <v>1838</v>
      </c>
      <c r="B1839" s="2">
        <v>45874</v>
      </c>
      <c r="C1839" t="s">
        <v>11</v>
      </c>
      <c r="D1839" t="s">
        <v>23</v>
      </c>
      <c r="E1839" t="s">
        <v>27</v>
      </c>
      <c r="F1839" t="s">
        <v>14</v>
      </c>
      <c r="G1839">
        <v>54</v>
      </c>
      <c r="H1839">
        <v>657.72</v>
      </c>
      <c r="I1839">
        <v>0</v>
      </c>
      <c r="J1839" t="s">
        <v>15</v>
      </c>
      <c r="K1839">
        <v>35516.879999999997</v>
      </c>
      <c r="L1839" t="str">
        <f t="shared" si="112"/>
        <v>Aug</v>
      </c>
      <c r="M1839">
        <f t="shared" si="113"/>
        <v>2025</v>
      </c>
      <c r="N1839">
        <f t="shared" si="114"/>
        <v>35516.880000000005</v>
      </c>
      <c r="O1839" t="str">
        <f t="shared" si="115"/>
        <v>On Time</v>
      </c>
    </row>
    <row r="1840" spans="1:15" x14ac:dyDescent="0.25">
      <c r="A1840">
        <v>1839</v>
      </c>
      <c r="B1840" s="2">
        <v>45709</v>
      </c>
      <c r="C1840" t="s">
        <v>26</v>
      </c>
      <c r="D1840" t="s">
        <v>12</v>
      </c>
      <c r="E1840" t="s">
        <v>29</v>
      </c>
      <c r="F1840" t="s">
        <v>14</v>
      </c>
      <c r="G1840">
        <v>186</v>
      </c>
      <c r="H1840">
        <v>151.86000000000001</v>
      </c>
      <c r="I1840">
        <v>0</v>
      </c>
      <c r="J1840" t="s">
        <v>15</v>
      </c>
      <c r="K1840">
        <v>28245.96</v>
      </c>
      <c r="L1840" t="str">
        <f t="shared" si="112"/>
        <v>Feb</v>
      </c>
      <c r="M1840">
        <f t="shared" si="113"/>
        <v>2025</v>
      </c>
      <c r="N1840">
        <f t="shared" si="114"/>
        <v>28245.960000000003</v>
      </c>
      <c r="O1840" t="str">
        <f t="shared" si="115"/>
        <v>On Time</v>
      </c>
    </row>
    <row r="1841" spans="1:15" x14ac:dyDescent="0.25">
      <c r="A1841">
        <v>1840</v>
      </c>
      <c r="B1841" s="2">
        <v>45783</v>
      </c>
      <c r="C1841" t="s">
        <v>16</v>
      </c>
      <c r="D1841" t="s">
        <v>29</v>
      </c>
      <c r="E1841" t="s">
        <v>19</v>
      </c>
      <c r="F1841" t="s">
        <v>24</v>
      </c>
      <c r="G1841">
        <v>268</v>
      </c>
      <c r="H1841">
        <v>187.13</v>
      </c>
      <c r="I1841">
        <v>29</v>
      </c>
      <c r="J1841" t="s">
        <v>15</v>
      </c>
      <c r="K1841">
        <v>50150.84</v>
      </c>
      <c r="L1841" t="str">
        <f t="shared" si="112"/>
        <v>May</v>
      </c>
      <c r="M1841">
        <f t="shared" si="113"/>
        <v>2025</v>
      </c>
      <c r="N1841">
        <f t="shared" si="114"/>
        <v>50150.84</v>
      </c>
      <c r="O1841" t="str">
        <f t="shared" si="115"/>
        <v>Minor Delay</v>
      </c>
    </row>
    <row r="1842" spans="1:15" x14ac:dyDescent="0.25">
      <c r="A1842">
        <v>1841</v>
      </c>
      <c r="B1842" s="2">
        <v>45859</v>
      </c>
      <c r="C1842" t="s">
        <v>11</v>
      </c>
      <c r="D1842" t="s">
        <v>13</v>
      </c>
      <c r="E1842" t="s">
        <v>12</v>
      </c>
      <c r="F1842" t="s">
        <v>14</v>
      </c>
      <c r="G1842">
        <v>62</v>
      </c>
      <c r="H1842">
        <v>407.11</v>
      </c>
      <c r="I1842">
        <v>30</v>
      </c>
      <c r="J1842" t="s">
        <v>15</v>
      </c>
      <c r="K1842">
        <v>25240.82</v>
      </c>
      <c r="L1842" t="str">
        <f t="shared" si="112"/>
        <v>Jul</v>
      </c>
      <c r="M1842">
        <f t="shared" si="113"/>
        <v>2025</v>
      </c>
      <c r="N1842">
        <f t="shared" si="114"/>
        <v>25240.82</v>
      </c>
      <c r="O1842" t="str">
        <f t="shared" si="115"/>
        <v>Minor Delay</v>
      </c>
    </row>
    <row r="1843" spans="1:15" x14ac:dyDescent="0.25">
      <c r="A1843">
        <v>1842</v>
      </c>
      <c r="B1843" s="2">
        <v>45894</v>
      </c>
      <c r="C1843" t="s">
        <v>11</v>
      </c>
      <c r="D1843" t="s">
        <v>22</v>
      </c>
      <c r="E1843" t="s">
        <v>23</v>
      </c>
      <c r="F1843" t="s">
        <v>24</v>
      </c>
      <c r="G1843">
        <v>94</v>
      </c>
      <c r="H1843">
        <v>585.54999999999995</v>
      </c>
      <c r="I1843">
        <v>4</v>
      </c>
      <c r="J1843" t="s">
        <v>15</v>
      </c>
      <c r="K1843">
        <v>55041.7</v>
      </c>
      <c r="L1843" t="str">
        <f t="shared" si="112"/>
        <v>Aug</v>
      </c>
      <c r="M1843">
        <f t="shared" si="113"/>
        <v>2025</v>
      </c>
      <c r="N1843">
        <f t="shared" si="114"/>
        <v>55041.7</v>
      </c>
      <c r="O1843" t="str">
        <f t="shared" si="115"/>
        <v>Minor Delay</v>
      </c>
    </row>
    <row r="1844" spans="1:15" x14ac:dyDescent="0.25">
      <c r="A1844">
        <v>1843</v>
      </c>
      <c r="B1844" s="2">
        <v>45692</v>
      </c>
      <c r="C1844" t="s">
        <v>18</v>
      </c>
      <c r="D1844" t="s">
        <v>29</v>
      </c>
      <c r="E1844" t="s">
        <v>13</v>
      </c>
      <c r="F1844" t="s">
        <v>14</v>
      </c>
      <c r="G1844">
        <v>50</v>
      </c>
      <c r="H1844">
        <v>272.52999999999997</v>
      </c>
      <c r="I1844">
        <v>0</v>
      </c>
      <c r="J1844" t="s">
        <v>15</v>
      </c>
      <c r="K1844">
        <v>13626.5</v>
      </c>
      <c r="L1844" t="str">
        <f t="shared" si="112"/>
        <v>Feb</v>
      </c>
      <c r="M1844">
        <f t="shared" si="113"/>
        <v>2025</v>
      </c>
      <c r="N1844">
        <f t="shared" si="114"/>
        <v>13626.499999999998</v>
      </c>
      <c r="O1844" t="str">
        <f t="shared" si="115"/>
        <v>On Time</v>
      </c>
    </row>
    <row r="1845" spans="1:15" x14ac:dyDescent="0.25">
      <c r="A1845">
        <v>1844</v>
      </c>
      <c r="B1845" s="2">
        <v>45926</v>
      </c>
      <c r="C1845" t="s">
        <v>18</v>
      </c>
      <c r="D1845" t="s">
        <v>27</v>
      </c>
      <c r="E1845" t="s">
        <v>17</v>
      </c>
      <c r="F1845" t="s">
        <v>21</v>
      </c>
      <c r="G1845">
        <v>291</v>
      </c>
      <c r="H1845">
        <v>444.55</v>
      </c>
      <c r="I1845">
        <v>14</v>
      </c>
      <c r="J1845" t="s">
        <v>15</v>
      </c>
      <c r="K1845">
        <v>129364.05</v>
      </c>
      <c r="L1845" t="str">
        <f t="shared" si="112"/>
        <v>Sep</v>
      </c>
      <c r="M1845">
        <f t="shared" si="113"/>
        <v>2025</v>
      </c>
      <c r="N1845">
        <f t="shared" si="114"/>
        <v>129364.05</v>
      </c>
      <c r="O1845" t="str">
        <f t="shared" si="115"/>
        <v>Minor Delay</v>
      </c>
    </row>
    <row r="1846" spans="1:15" x14ac:dyDescent="0.25">
      <c r="A1846">
        <v>1845</v>
      </c>
      <c r="B1846" s="2">
        <v>45926</v>
      </c>
      <c r="C1846" t="s">
        <v>18</v>
      </c>
      <c r="D1846" t="s">
        <v>17</v>
      </c>
      <c r="E1846" t="s">
        <v>23</v>
      </c>
      <c r="F1846" t="s">
        <v>14</v>
      </c>
      <c r="G1846">
        <v>178</v>
      </c>
      <c r="H1846">
        <v>694.87</v>
      </c>
      <c r="I1846">
        <v>24</v>
      </c>
      <c r="J1846" t="s">
        <v>15</v>
      </c>
      <c r="K1846">
        <v>123686.86</v>
      </c>
      <c r="L1846" t="str">
        <f t="shared" si="112"/>
        <v>Sep</v>
      </c>
      <c r="M1846">
        <f t="shared" si="113"/>
        <v>2025</v>
      </c>
      <c r="N1846">
        <f t="shared" si="114"/>
        <v>123686.86</v>
      </c>
      <c r="O1846" t="str">
        <f t="shared" si="115"/>
        <v>Minor Delay</v>
      </c>
    </row>
    <row r="1847" spans="1:15" x14ac:dyDescent="0.25">
      <c r="A1847">
        <v>1846</v>
      </c>
      <c r="B1847" s="2">
        <v>45717</v>
      </c>
      <c r="C1847" t="s">
        <v>31</v>
      </c>
      <c r="D1847" t="s">
        <v>22</v>
      </c>
      <c r="E1847" t="s">
        <v>23</v>
      </c>
      <c r="F1847" t="s">
        <v>24</v>
      </c>
      <c r="G1847">
        <v>147</v>
      </c>
      <c r="H1847">
        <v>338.2</v>
      </c>
      <c r="I1847">
        <v>24</v>
      </c>
      <c r="J1847" t="s">
        <v>15</v>
      </c>
      <c r="K1847">
        <v>49715.4</v>
      </c>
      <c r="L1847" t="str">
        <f t="shared" si="112"/>
        <v>Mar</v>
      </c>
      <c r="M1847">
        <f t="shared" si="113"/>
        <v>2025</v>
      </c>
      <c r="N1847">
        <f t="shared" si="114"/>
        <v>49715.4</v>
      </c>
      <c r="O1847" t="str">
        <f t="shared" si="115"/>
        <v>Minor Delay</v>
      </c>
    </row>
    <row r="1848" spans="1:15" x14ac:dyDescent="0.25">
      <c r="A1848">
        <v>1847</v>
      </c>
      <c r="B1848" s="2">
        <v>45759</v>
      </c>
      <c r="C1848" t="s">
        <v>16</v>
      </c>
      <c r="D1848" t="s">
        <v>22</v>
      </c>
      <c r="E1848" t="s">
        <v>27</v>
      </c>
      <c r="F1848" t="s">
        <v>14</v>
      </c>
      <c r="G1848">
        <v>161</v>
      </c>
      <c r="H1848">
        <v>633.54999999999995</v>
      </c>
      <c r="I1848">
        <v>20</v>
      </c>
      <c r="J1848" t="s">
        <v>15</v>
      </c>
      <c r="K1848">
        <v>102001.55</v>
      </c>
      <c r="L1848" t="str">
        <f t="shared" si="112"/>
        <v>Apr</v>
      </c>
      <c r="M1848">
        <f t="shared" si="113"/>
        <v>2025</v>
      </c>
      <c r="N1848">
        <f t="shared" si="114"/>
        <v>102001.54999999999</v>
      </c>
      <c r="O1848" t="str">
        <f t="shared" si="115"/>
        <v>Minor Delay</v>
      </c>
    </row>
    <row r="1849" spans="1:15" x14ac:dyDescent="0.25">
      <c r="A1849">
        <v>1848</v>
      </c>
      <c r="B1849" s="2">
        <v>45860</v>
      </c>
      <c r="C1849" t="s">
        <v>11</v>
      </c>
      <c r="D1849" t="s">
        <v>29</v>
      </c>
      <c r="E1849" t="s">
        <v>22</v>
      </c>
      <c r="F1849" t="s">
        <v>14</v>
      </c>
      <c r="G1849">
        <v>54</v>
      </c>
      <c r="H1849">
        <v>726.37</v>
      </c>
      <c r="I1849">
        <v>0</v>
      </c>
      <c r="J1849" t="s">
        <v>30</v>
      </c>
      <c r="K1849">
        <v>39223.980000000003</v>
      </c>
      <c r="L1849" t="str">
        <f t="shared" si="112"/>
        <v>Jul</v>
      </c>
      <c r="M1849">
        <f t="shared" si="113"/>
        <v>2025</v>
      </c>
      <c r="N1849">
        <f t="shared" si="114"/>
        <v>39223.980000000003</v>
      </c>
      <c r="O1849" t="str">
        <f t="shared" si="115"/>
        <v>On Time</v>
      </c>
    </row>
    <row r="1850" spans="1:15" x14ac:dyDescent="0.25">
      <c r="A1850">
        <v>1849</v>
      </c>
      <c r="B1850" s="2">
        <v>45862</v>
      </c>
      <c r="C1850" t="s">
        <v>18</v>
      </c>
      <c r="D1850" t="s">
        <v>23</v>
      </c>
      <c r="E1850" t="s">
        <v>27</v>
      </c>
      <c r="F1850" t="s">
        <v>21</v>
      </c>
      <c r="G1850">
        <v>169</v>
      </c>
      <c r="H1850">
        <v>334.96</v>
      </c>
      <c r="I1850">
        <v>23</v>
      </c>
      <c r="J1850" t="s">
        <v>30</v>
      </c>
      <c r="K1850">
        <v>56608.24</v>
      </c>
      <c r="L1850" t="str">
        <f t="shared" si="112"/>
        <v>Jul</v>
      </c>
      <c r="M1850">
        <f t="shared" si="113"/>
        <v>2025</v>
      </c>
      <c r="N1850">
        <f t="shared" si="114"/>
        <v>56608.24</v>
      </c>
      <c r="O1850" t="str">
        <f t="shared" si="115"/>
        <v>Minor Delay</v>
      </c>
    </row>
    <row r="1851" spans="1:15" x14ac:dyDescent="0.25">
      <c r="A1851">
        <v>1850</v>
      </c>
      <c r="B1851" s="2">
        <v>45985</v>
      </c>
      <c r="C1851" t="s">
        <v>16</v>
      </c>
      <c r="D1851" t="s">
        <v>19</v>
      </c>
      <c r="E1851" t="s">
        <v>29</v>
      </c>
      <c r="F1851" t="s">
        <v>24</v>
      </c>
      <c r="G1851">
        <v>145</v>
      </c>
      <c r="H1851">
        <v>99.31</v>
      </c>
      <c r="I1851">
        <v>32</v>
      </c>
      <c r="J1851" t="s">
        <v>15</v>
      </c>
      <c r="K1851">
        <v>14399.95</v>
      </c>
      <c r="L1851" t="str">
        <f t="shared" si="112"/>
        <v>Nov</v>
      </c>
      <c r="M1851">
        <f t="shared" si="113"/>
        <v>2025</v>
      </c>
      <c r="N1851">
        <f t="shared" si="114"/>
        <v>14399.95</v>
      </c>
      <c r="O1851" t="str">
        <f t="shared" si="115"/>
        <v>Moderate Delay</v>
      </c>
    </row>
    <row r="1852" spans="1:15" x14ac:dyDescent="0.25">
      <c r="A1852">
        <v>1851</v>
      </c>
      <c r="B1852" s="2">
        <v>45697</v>
      </c>
      <c r="C1852" t="s">
        <v>31</v>
      </c>
      <c r="D1852" t="s">
        <v>17</v>
      </c>
      <c r="E1852" t="s">
        <v>20</v>
      </c>
      <c r="F1852" t="s">
        <v>24</v>
      </c>
      <c r="G1852">
        <v>140</v>
      </c>
      <c r="H1852">
        <v>667.61</v>
      </c>
      <c r="I1852">
        <v>13</v>
      </c>
      <c r="J1852" t="s">
        <v>28</v>
      </c>
      <c r="K1852">
        <v>93465.4</v>
      </c>
      <c r="L1852" t="str">
        <f t="shared" si="112"/>
        <v>Feb</v>
      </c>
      <c r="M1852">
        <f t="shared" si="113"/>
        <v>2025</v>
      </c>
      <c r="N1852">
        <f t="shared" si="114"/>
        <v>93465.400000000009</v>
      </c>
      <c r="O1852" t="str">
        <f t="shared" si="115"/>
        <v>Minor Delay</v>
      </c>
    </row>
    <row r="1853" spans="1:15" x14ac:dyDescent="0.25">
      <c r="A1853">
        <v>1852</v>
      </c>
      <c r="B1853" s="2">
        <v>45838</v>
      </c>
      <c r="C1853" t="s">
        <v>26</v>
      </c>
      <c r="D1853" t="s">
        <v>20</v>
      </c>
      <c r="E1853" t="s">
        <v>12</v>
      </c>
      <c r="F1853" t="s">
        <v>14</v>
      </c>
      <c r="G1853">
        <v>129</v>
      </c>
      <c r="H1853">
        <v>742.27</v>
      </c>
      <c r="I1853">
        <v>17</v>
      </c>
      <c r="J1853" t="s">
        <v>15</v>
      </c>
      <c r="K1853">
        <v>95752.83</v>
      </c>
      <c r="L1853" t="str">
        <f t="shared" si="112"/>
        <v>Jun</v>
      </c>
      <c r="M1853">
        <f t="shared" si="113"/>
        <v>2025</v>
      </c>
      <c r="N1853">
        <f t="shared" si="114"/>
        <v>95752.83</v>
      </c>
      <c r="O1853" t="str">
        <f t="shared" si="115"/>
        <v>Minor Delay</v>
      </c>
    </row>
    <row r="1854" spans="1:15" x14ac:dyDescent="0.25">
      <c r="A1854">
        <v>1853</v>
      </c>
      <c r="B1854" s="2">
        <v>46022</v>
      </c>
      <c r="C1854" t="s">
        <v>31</v>
      </c>
      <c r="D1854" t="s">
        <v>12</v>
      </c>
      <c r="E1854" t="s">
        <v>19</v>
      </c>
      <c r="F1854" t="s">
        <v>24</v>
      </c>
      <c r="G1854">
        <v>65</v>
      </c>
      <c r="H1854">
        <v>78.27</v>
      </c>
      <c r="I1854">
        <v>25</v>
      </c>
      <c r="J1854" t="s">
        <v>15</v>
      </c>
      <c r="K1854">
        <v>5087.55</v>
      </c>
      <c r="L1854" t="str">
        <f t="shared" si="112"/>
        <v>Dec</v>
      </c>
      <c r="M1854">
        <f t="shared" si="113"/>
        <v>2025</v>
      </c>
      <c r="N1854">
        <f t="shared" si="114"/>
        <v>5087.55</v>
      </c>
      <c r="O1854" t="str">
        <f t="shared" si="115"/>
        <v>Minor Delay</v>
      </c>
    </row>
    <row r="1855" spans="1:15" x14ac:dyDescent="0.25">
      <c r="A1855">
        <v>1854</v>
      </c>
      <c r="B1855" s="2">
        <v>45971</v>
      </c>
      <c r="C1855" t="s">
        <v>18</v>
      </c>
      <c r="D1855" t="s">
        <v>17</v>
      </c>
      <c r="E1855" t="s">
        <v>22</v>
      </c>
      <c r="F1855" t="s">
        <v>24</v>
      </c>
      <c r="G1855">
        <v>209</v>
      </c>
      <c r="H1855">
        <v>301.64</v>
      </c>
      <c r="I1855">
        <v>49</v>
      </c>
      <c r="J1855" t="s">
        <v>15</v>
      </c>
      <c r="K1855">
        <v>63042.76</v>
      </c>
      <c r="L1855" t="str">
        <f t="shared" si="112"/>
        <v>Nov</v>
      </c>
      <c r="M1855">
        <f t="shared" si="113"/>
        <v>2025</v>
      </c>
      <c r="N1855">
        <f t="shared" si="114"/>
        <v>63042.759999999995</v>
      </c>
      <c r="O1855" t="str">
        <f t="shared" si="115"/>
        <v>Moderate Delay</v>
      </c>
    </row>
    <row r="1856" spans="1:15" x14ac:dyDescent="0.25">
      <c r="A1856">
        <v>1855</v>
      </c>
      <c r="B1856" s="2">
        <v>45882</v>
      </c>
      <c r="C1856" t="s">
        <v>18</v>
      </c>
      <c r="D1856" t="s">
        <v>27</v>
      </c>
      <c r="E1856" t="s">
        <v>12</v>
      </c>
      <c r="F1856" t="s">
        <v>24</v>
      </c>
      <c r="G1856">
        <v>245</v>
      </c>
      <c r="H1856">
        <v>440.34</v>
      </c>
      <c r="I1856">
        <v>4</v>
      </c>
      <c r="J1856" t="s">
        <v>15</v>
      </c>
      <c r="K1856">
        <v>107883.3</v>
      </c>
      <c r="L1856" t="str">
        <f t="shared" si="112"/>
        <v>Aug</v>
      </c>
      <c r="M1856">
        <f t="shared" si="113"/>
        <v>2025</v>
      </c>
      <c r="N1856">
        <f t="shared" si="114"/>
        <v>107883.29999999999</v>
      </c>
      <c r="O1856" t="str">
        <f t="shared" si="115"/>
        <v>Minor Delay</v>
      </c>
    </row>
    <row r="1857" spans="1:15" x14ac:dyDescent="0.25">
      <c r="A1857">
        <v>1856</v>
      </c>
      <c r="B1857" s="2">
        <v>45736</v>
      </c>
      <c r="C1857" t="s">
        <v>18</v>
      </c>
      <c r="D1857" t="s">
        <v>27</v>
      </c>
      <c r="E1857" t="s">
        <v>12</v>
      </c>
      <c r="F1857" t="s">
        <v>24</v>
      </c>
      <c r="G1857">
        <v>219</v>
      </c>
      <c r="H1857">
        <v>588.55999999999995</v>
      </c>
      <c r="I1857">
        <v>0</v>
      </c>
      <c r="J1857" t="s">
        <v>15</v>
      </c>
      <c r="K1857">
        <v>128894.64</v>
      </c>
      <c r="L1857" t="str">
        <f t="shared" si="112"/>
        <v>Mar</v>
      </c>
      <c r="M1857">
        <f t="shared" si="113"/>
        <v>2025</v>
      </c>
      <c r="N1857">
        <f t="shared" si="114"/>
        <v>128894.63999999998</v>
      </c>
      <c r="O1857" t="str">
        <f t="shared" si="115"/>
        <v>On Time</v>
      </c>
    </row>
    <row r="1858" spans="1:15" x14ac:dyDescent="0.25">
      <c r="A1858">
        <v>1857</v>
      </c>
      <c r="B1858" s="2">
        <v>45730</v>
      </c>
      <c r="C1858" t="s">
        <v>11</v>
      </c>
      <c r="D1858" t="s">
        <v>23</v>
      </c>
      <c r="E1858" t="s">
        <v>29</v>
      </c>
      <c r="F1858" t="s">
        <v>14</v>
      </c>
      <c r="G1858">
        <v>207</v>
      </c>
      <c r="H1858">
        <v>344.08</v>
      </c>
      <c r="I1858">
        <v>14</v>
      </c>
      <c r="J1858" t="s">
        <v>15</v>
      </c>
      <c r="K1858">
        <v>71224.56</v>
      </c>
      <c r="L1858" t="str">
        <f t="shared" si="112"/>
        <v>Mar</v>
      </c>
      <c r="M1858">
        <f t="shared" si="113"/>
        <v>2025</v>
      </c>
      <c r="N1858">
        <f t="shared" si="114"/>
        <v>71224.56</v>
      </c>
      <c r="O1858" t="str">
        <f t="shared" si="115"/>
        <v>Minor Delay</v>
      </c>
    </row>
    <row r="1859" spans="1:15" x14ac:dyDescent="0.25">
      <c r="A1859">
        <v>1858</v>
      </c>
      <c r="B1859" s="2">
        <v>45872</v>
      </c>
      <c r="C1859" t="s">
        <v>31</v>
      </c>
      <c r="D1859" t="s">
        <v>29</v>
      </c>
      <c r="E1859" t="s">
        <v>23</v>
      </c>
      <c r="F1859" t="s">
        <v>14</v>
      </c>
      <c r="G1859">
        <v>156</v>
      </c>
      <c r="H1859">
        <v>651.61</v>
      </c>
      <c r="I1859">
        <v>24</v>
      </c>
      <c r="J1859" t="s">
        <v>30</v>
      </c>
      <c r="K1859">
        <v>101651.16</v>
      </c>
      <c r="L1859" t="str">
        <f t="shared" ref="L1859:L1922" si="116">TEXT(B1859,"MMM")</f>
        <v>Aug</v>
      </c>
      <c r="M1859">
        <f t="shared" ref="M1859:M1922" si="117">YEAR(B1859)</f>
        <v>2025</v>
      </c>
      <c r="N1859">
        <f t="shared" ref="N1859:N1922" si="118">G1859*H1859</f>
        <v>101651.16</v>
      </c>
      <c r="O1859" t="str">
        <f t="shared" ref="O1859:O1922" si="119">IF(I1859=0,"On Time",IF(I1859&lt;=30,"Minor Delay",IF(I1859&lt;=60,"Moderate Delay","Major Delay")))</f>
        <v>Minor Delay</v>
      </c>
    </row>
    <row r="1860" spans="1:15" x14ac:dyDescent="0.25">
      <c r="A1860">
        <v>1859</v>
      </c>
      <c r="B1860" s="2">
        <v>45765</v>
      </c>
      <c r="C1860" t="s">
        <v>16</v>
      </c>
      <c r="D1860" t="s">
        <v>17</v>
      </c>
      <c r="E1860" t="s">
        <v>23</v>
      </c>
      <c r="F1860" t="s">
        <v>14</v>
      </c>
      <c r="G1860">
        <v>91</v>
      </c>
      <c r="H1860">
        <v>695.54</v>
      </c>
      <c r="I1860">
        <v>17</v>
      </c>
      <c r="J1860" t="s">
        <v>15</v>
      </c>
      <c r="K1860">
        <v>63294.14</v>
      </c>
      <c r="L1860" t="str">
        <f t="shared" si="116"/>
        <v>Apr</v>
      </c>
      <c r="M1860">
        <f t="shared" si="117"/>
        <v>2025</v>
      </c>
      <c r="N1860">
        <f t="shared" si="118"/>
        <v>63294.14</v>
      </c>
      <c r="O1860" t="str">
        <f t="shared" si="119"/>
        <v>Minor Delay</v>
      </c>
    </row>
    <row r="1861" spans="1:15" x14ac:dyDescent="0.25">
      <c r="A1861">
        <v>1860</v>
      </c>
      <c r="B1861" s="2">
        <v>46002</v>
      </c>
      <c r="C1861" t="s">
        <v>18</v>
      </c>
      <c r="D1861" t="s">
        <v>20</v>
      </c>
      <c r="E1861" t="s">
        <v>29</v>
      </c>
      <c r="F1861" t="s">
        <v>14</v>
      </c>
      <c r="G1861">
        <v>70</v>
      </c>
      <c r="H1861">
        <v>555.37</v>
      </c>
      <c r="I1861">
        <v>48</v>
      </c>
      <c r="J1861" t="s">
        <v>30</v>
      </c>
      <c r="K1861">
        <v>38875.9</v>
      </c>
      <c r="L1861" t="str">
        <f t="shared" si="116"/>
        <v>Dec</v>
      </c>
      <c r="M1861">
        <f t="shared" si="117"/>
        <v>2025</v>
      </c>
      <c r="N1861">
        <f t="shared" si="118"/>
        <v>38875.9</v>
      </c>
      <c r="O1861" t="str">
        <f t="shared" si="119"/>
        <v>Moderate Delay</v>
      </c>
    </row>
    <row r="1862" spans="1:15" x14ac:dyDescent="0.25">
      <c r="A1862">
        <v>1861</v>
      </c>
      <c r="B1862" s="2">
        <v>45898</v>
      </c>
      <c r="C1862" t="s">
        <v>26</v>
      </c>
      <c r="D1862" t="s">
        <v>22</v>
      </c>
      <c r="E1862" t="s">
        <v>17</v>
      </c>
      <c r="F1862" t="s">
        <v>21</v>
      </c>
      <c r="G1862">
        <v>192</v>
      </c>
      <c r="H1862">
        <v>465.46</v>
      </c>
      <c r="I1862">
        <v>53</v>
      </c>
      <c r="J1862" t="s">
        <v>15</v>
      </c>
      <c r="K1862">
        <v>89368.320000000007</v>
      </c>
      <c r="L1862" t="str">
        <f t="shared" si="116"/>
        <v>Aug</v>
      </c>
      <c r="M1862">
        <f t="shared" si="117"/>
        <v>2025</v>
      </c>
      <c r="N1862">
        <f t="shared" si="118"/>
        <v>89368.319999999992</v>
      </c>
      <c r="O1862" t="str">
        <f t="shared" si="119"/>
        <v>Moderate Delay</v>
      </c>
    </row>
    <row r="1863" spans="1:15" x14ac:dyDescent="0.25">
      <c r="A1863">
        <v>1862</v>
      </c>
      <c r="B1863" s="2">
        <v>45999</v>
      </c>
      <c r="C1863" t="s">
        <v>25</v>
      </c>
      <c r="D1863" t="s">
        <v>22</v>
      </c>
      <c r="E1863" t="s">
        <v>29</v>
      </c>
      <c r="F1863" t="s">
        <v>21</v>
      </c>
      <c r="G1863">
        <v>200</v>
      </c>
      <c r="H1863">
        <v>444.84</v>
      </c>
      <c r="I1863">
        <v>0</v>
      </c>
      <c r="J1863" t="s">
        <v>15</v>
      </c>
      <c r="K1863">
        <v>88968</v>
      </c>
      <c r="L1863" t="str">
        <f t="shared" si="116"/>
        <v>Dec</v>
      </c>
      <c r="M1863">
        <f t="shared" si="117"/>
        <v>2025</v>
      </c>
      <c r="N1863">
        <f t="shared" si="118"/>
        <v>88968</v>
      </c>
      <c r="O1863" t="str">
        <f t="shared" si="119"/>
        <v>On Time</v>
      </c>
    </row>
    <row r="1864" spans="1:15" x14ac:dyDescent="0.25">
      <c r="A1864">
        <v>1863</v>
      </c>
      <c r="B1864" s="2">
        <v>45669</v>
      </c>
      <c r="C1864" t="s">
        <v>18</v>
      </c>
      <c r="D1864" t="s">
        <v>19</v>
      </c>
      <c r="E1864" t="s">
        <v>23</v>
      </c>
      <c r="F1864" t="s">
        <v>24</v>
      </c>
      <c r="G1864">
        <v>119</v>
      </c>
      <c r="H1864">
        <v>302.83</v>
      </c>
      <c r="I1864">
        <v>0</v>
      </c>
      <c r="J1864" t="s">
        <v>15</v>
      </c>
      <c r="K1864">
        <v>36036.769999999997</v>
      </c>
      <c r="L1864" t="str">
        <f t="shared" si="116"/>
        <v>Jan</v>
      </c>
      <c r="M1864">
        <f t="shared" si="117"/>
        <v>2025</v>
      </c>
      <c r="N1864">
        <f t="shared" si="118"/>
        <v>36036.769999999997</v>
      </c>
      <c r="O1864" t="str">
        <f t="shared" si="119"/>
        <v>On Time</v>
      </c>
    </row>
    <row r="1865" spans="1:15" x14ac:dyDescent="0.25">
      <c r="A1865">
        <v>1864</v>
      </c>
      <c r="B1865" s="2">
        <v>45960</v>
      </c>
      <c r="C1865" t="s">
        <v>26</v>
      </c>
      <c r="D1865" t="s">
        <v>17</v>
      </c>
      <c r="E1865" t="s">
        <v>13</v>
      </c>
      <c r="F1865" t="s">
        <v>24</v>
      </c>
      <c r="G1865">
        <v>77</v>
      </c>
      <c r="H1865">
        <v>669.81</v>
      </c>
      <c r="I1865">
        <v>18</v>
      </c>
      <c r="J1865" t="s">
        <v>15</v>
      </c>
      <c r="K1865">
        <v>51575.37</v>
      </c>
      <c r="L1865" t="str">
        <f t="shared" si="116"/>
        <v>Oct</v>
      </c>
      <c r="M1865">
        <f t="shared" si="117"/>
        <v>2025</v>
      </c>
      <c r="N1865">
        <f t="shared" si="118"/>
        <v>51575.369999999995</v>
      </c>
      <c r="O1865" t="str">
        <f t="shared" si="119"/>
        <v>Minor Delay</v>
      </c>
    </row>
    <row r="1866" spans="1:15" x14ac:dyDescent="0.25">
      <c r="A1866">
        <v>1865</v>
      </c>
      <c r="B1866" s="2">
        <v>45895</v>
      </c>
      <c r="C1866" t="s">
        <v>11</v>
      </c>
      <c r="D1866" t="s">
        <v>19</v>
      </c>
      <c r="E1866" t="s">
        <v>23</v>
      </c>
      <c r="F1866" t="s">
        <v>14</v>
      </c>
      <c r="G1866">
        <v>228</v>
      </c>
      <c r="H1866">
        <v>461.23</v>
      </c>
      <c r="I1866">
        <v>0</v>
      </c>
      <c r="J1866" t="s">
        <v>15</v>
      </c>
      <c r="K1866">
        <v>105160.44</v>
      </c>
      <c r="L1866" t="str">
        <f t="shared" si="116"/>
        <v>Aug</v>
      </c>
      <c r="M1866">
        <f t="shared" si="117"/>
        <v>2025</v>
      </c>
      <c r="N1866">
        <f t="shared" si="118"/>
        <v>105160.44</v>
      </c>
      <c r="O1866" t="str">
        <f t="shared" si="119"/>
        <v>On Time</v>
      </c>
    </row>
    <row r="1867" spans="1:15" x14ac:dyDescent="0.25">
      <c r="A1867">
        <v>1866</v>
      </c>
      <c r="B1867" s="2">
        <v>45699</v>
      </c>
      <c r="C1867" t="s">
        <v>11</v>
      </c>
      <c r="D1867" t="s">
        <v>22</v>
      </c>
      <c r="E1867" t="s">
        <v>23</v>
      </c>
      <c r="F1867" t="s">
        <v>14</v>
      </c>
      <c r="G1867">
        <v>209</v>
      </c>
      <c r="H1867">
        <v>416.07</v>
      </c>
      <c r="I1867">
        <v>51</v>
      </c>
      <c r="J1867" t="s">
        <v>30</v>
      </c>
      <c r="K1867">
        <v>86958.63</v>
      </c>
      <c r="L1867" t="str">
        <f t="shared" si="116"/>
        <v>Feb</v>
      </c>
      <c r="M1867">
        <f t="shared" si="117"/>
        <v>2025</v>
      </c>
      <c r="N1867">
        <f t="shared" si="118"/>
        <v>86958.63</v>
      </c>
      <c r="O1867" t="str">
        <f t="shared" si="119"/>
        <v>Moderate Delay</v>
      </c>
    </row>
    <row r="1868" spans="1:15" x14ac:dyDescent="0.25">
      <c r="A1868">
        <v>1867</v>
      </c>
      <c r="B1868" s="2">
        <v>45687</v>
      </c>
      <c r="C1868" t="s">
        <v>18</v>
      </c>
      <c r="D1868" t="s">
        <v>12</v>
      </c>
      <c r="E1868" t="s">
        <v>17</v>
      </c>
      <c r="F1868" t="s">
        <v>24</v>
      </c>
      <c r="G1868">
        <v>258</v>
      </c>
      <c r="H1868">
        <v>379.8</v>
      </c>
      <c r="I1868">
        <v>0</v>
      </c>
      <c r="J1868" t="s">
        <v>15</v>
      </c>
      <c r="K1868">
        <v>97988.4</v>
      </c>
      <c r="L1868" t="str">
        <f t="shared" si="116"/>
        <v>Jan</v>
      </c>
      <c r="M1868">
        <f t="shared" si="117"/>
        <v>2025</v>
      </c>
      <c r="N1868">
        <f t="shared" si="118"/>
        <v>97988.400000000009</v>
      </c>
      <c r="O1868" t="str">
        <f t="shared" si="119"/>
        <v>On Time</v>
      </c>
    </row>
    <row r="1869" spans="1:15" x14ac:dyDescent="0.25">
      <c r="A1869">
        <v>1868</v>
      </c>
      <c r="B1869" s="2">
        <v>45815</v>
      </c>
      <c r="C1869" t="s">
        <v>11</v>
      </c>
      <c r="D1869" t="s">
        <v>22</v>
      </c>
      <c r="E1869" t="s">
        <v>12</v>
      </c>
      <c r="F1869" t="s">
        <v>24</v>
      </c>
      <c r="G1869">
        <v>275</v>
      </c>
      <c r="H1869">
        <v>798.37</v>
      </c>
      <c r="I1869">
        <v>55</v>
      </c>
      <c r="J1869" t="s">
        <v>30</v>
      </c>
      <c r="K1869">
        <v>219551.75</v>
      </c>
      <c r="L1869" t="str">
        <f t="shared" si="116"/>
        <v>Jun</v>
      </c>
      <c r="M1869">
        <f t="shared" si="117"/>
        <v>2025</v>
      </c>
      <c r="N1869">
        <f t="shared" si="118"/>
        <v>219551.75</v>
      </c>
      <c r="O1869" t="str">
        <f t="shared" si="119"/>
        <v>Moderate Delay</v>
      </c>
    </row>
    <row r="1870" spans="1:15" x14ac:dyDescent="0.25">
      <c r="A1870">
        <v>1869</v>
      </c>
      <c r="B1870" s="2">
        <v>45865</v>
      </c>
      <c r="C1870" t="s">
        <v>18</v>
      </c>
      <c r="D1870" t="s">
        <v>17</v>
      </c>
      <c r="E1870" t="s">
        <v>19</v>
      </c>
      <c r="F1870" t="s">
        <v>14</v>
      </c>
      <c r="G1870">
        <v>123</v>
      </c>
      <c r="H1870">
        <v>239.99</v>
      </c>
      <c r="I1870">
        <v>27</v>
      </c>
      <c r="J1870" t="s">
        <v>15</v>
      </c>
      <c r="K1870">
        <v>29518.77</v>
      </c>
      <c r="L1870" t="str">
        <f t="shared" si="116"/>
        <v>Jul</v>
      </c>
      <c r="M1870">
        <f t="shared" si="117"/>
        <v>2025</v>
      </c>
      <c r="N1870">
        <f t="shared" si="118"/>
        <v>29518.77</v>
      </c>
      <c r="O1870" t="str">
        <f t="shared" si="119"/>
        <v>Minor Delay</v>
      </c>
    </row>
    <row r="1871" spans="1:15" x14ac:dyDescent="0.25">
      <c r="A1871">
        <v>1870</v>
      </c>
      <c r="B1871" s="2">
        <v>45709</v>
      </c>
      <c r="C1871" t="s">
        <v>16</v>
      </c>
      <c r="D1871" t="s">
        <v>17</v>
      </c>
      <c r="E1871" t="s">
        <v>12</v>
      </c>
      <c r="F1871" t="s">
        <v>14</v>
      </c>
      <c r="G1871">
        <v>253</v>
      </c>
      <c r="H1871">
        <v>605.70000000000005</v>
      </c>
      <c r="I1871">
        <v>0</v>
      </c>
      <c r="J1871" t="s">
        <v>15</v>
      </c>
      <c r="K1871">
        <v>153242.1</v>
      </c>
      <c r="L1871" t="str">
        <f t="shared" si="116"/>
        <v>Feb</v>
      </c>
      <c r="M1871">
        <f t="shared" si="117"/>
        <v>2025</v>
      </c>
      <c r="N1871">
        <f t="shared" si="118"/>
        <v>153242.1</v>
      </c>
      <c r="O1871" t="str">
        <f t="shared" si="119"/>
        <v>On Time</v>
      </c>
    </row>
    <row r="1872" spans="1:15" x14ac:dyDescent="0.25">
      <c r="A1872">
        <v>1871</v>
      </c>
      <c r="B1872" s="2">
        <v>45705</v>
      </c>
      <c r="C1872" t="s">
        <v>25</v>
      </c>
      <c r="D1872" t="s">
        <v>17</v>
      </c>
      <c r="E1872" t="s">
        <v>27</v>
      </c>
      <c r="F1872" t="s">
        <v>21</v>
      </c>
      <c r="G1872">
        <v>88</v>
      </c>
      <c r="H1872">
        <v>793.96</v>
      </c>
      <c r="I1872">
        <v>35</v>
      </c>
      <c r="J1872" t="s">
        <v>15</v>
      </c>
      <c r="K1872">
        <v>69868.479999999996</v>
      </c>
      <c r="L1872" t="str">
        <f t="shared" si="116"/>
        <v>Feb</v>
      </c>
      <c r="M1872">
        <f t="shared" si="117"/>
        <v>2025</v>
      </c>
      <c r="N1872">
        <f t="shared" si="118"/>
        <v>69868.48000000001</v>
      </c>
      <c r="O1872" t="str">
        <f t="shared" si="119"/>
        <v>Moderate Delay</v>
      </c>
    </row>
    <row r="1873" spans="1:15" x14ac:dyDescent="0.25">
      <c r="A1873">
        <v>1872</v>
      </c>
      <c r="B1873" s="2">
        <v>45999</v>
      </c>
      <c r="C1873" t="s">
        <v>31</v>
      </c>
      <c r="D1873" t="s">
        <v>22</v>
      </c>
      <c r="E1873" t="s">
        <v>17</v>
      </c>
      <c r="F1873" t="s">
        <v>14</v>
      </c>
      <c r="G1873">
        <v>60</v>
      </c>
      <c r="H1873">
        <v>182.26</v>
      </c>
      <c r="I1873">
        <v>20</v>
      </c>
      <c r="J1873" t="s">
        <v>15</v>
      </c>
      <c r="K1873">
        <v>10935.6</v>
      </c>
      <c r="L1873" t="str">
        <f t="shared" si="116"/>
        <v>Dec</v>
      </c>
      <c r="M1873">
        <f t="shared" si="117"/>
        <v>2025</v>
      </c>
      <c r="N1873">
        <f t="shared" si="118"/>
        <v>10935.599999999999</v>
      </c>
      <c r="O1873" t="str">
        <f t="shared" si="119"/>
        <v>Minor Delay</v>
      </c>
    </row>
    <row r="1874" spans="1:15" x14ac:dyDescent="0.25">
      <c r="A1874">
        <v>1873</v>
      </c>
      <c r="B1874" s="2">
        <v>45956</v>
      </c>
      <c r="C1874" t="s">
        <v>16</v>
      </c>
      <c r="D1874" t="s">
        <v>12</v>
      </c>
      <c r="E1874" t="s">
        <v>13</v>
      </c>
      <c r="F1874" t="s">
        <v>14</v>
      </c>
      <c r="G1874">
        <v>207</v>
      </c>
      <c r="H1874">
        <v>60.16</v>
      </c>
      <c r="I1874">
        <v>59</v>
      </c>
      <c r="J1874" t="s">
        <v>30</v>
      </c>
      <c r="K1874">
        <v>12453.12</v>
      </c>
      <c r="L1874" t="str">
        <f t="shared" si="116"/>
        <v>Oct</v>
      </c>
      <c r="M1874">
        <f t="shared" si="117"/>
        <v>2025</v>
      </c>
      <c r="N1874">
        <f t="shared" si="118"/>
        <v>12453.119999999999</v>
      </c>
      <c r="O1874" t="str">
        <f t="shared" si="119"/>
        <v>Moderate Delay</v>
      </c>
    </row>
    <row r="1875" spans="1:15" x14ac:dyDescent="0.25">
      <c r="A1875">
        <v>1874</v>
      </c>
      <c r="B1875" s="2">
        <v>45794</v>
      </c>
      <c r="C1875" t="s">
        <v>31</v>
      </c>
      <c r="D1875" t="s">
        <v>20</v>
      </c>
      <c r="E1875" t="s">
        <v>12</v>
      </c>
      <c r="F1875" t="s">
        <v>24</v>
      </c>
      <c r="G1875">
        <v>207</v>
      </c>
      <c r="H1875">
        <v>679.27</v>
      </c>
      <c r="I1875">
        <v>0</v>
      </c>
      <c r="J1875" t="s">
        <v>15</v>
      </c>
      <c r="K1875">
        <v>140608.89000000001</v>
      </c>
      <c r="L1875" t="str">
        <f t="shared" si="116"/>
        <v>May</v>
      </c>
      <c r="M1875">
        <f t="shared" si="117"/>
        <v>2025</v>
      </c>
      <c r="N1875">
        <f t="shared" si="118"/>
        <v>140608.88999999998</v>
      </c>
      <c r="O1875" t="str">
        <f t="shared" si="119"/>
        <v>On Time</v>
      </c>
    </row>
    <row r="1876" spans="1:15" x14ac:dyDescent="0.25">
      <c r="A1876">
        <v>1875</v>
      </c>
      <c r="B1876" s="2">
        <v>45691</v>
      </c>
      <c r="C1876" t="s">
        <v>18</v>
      </c>
      <c r="D1876" t="s">
        <v>23</v>
      </c>
      <c r="E1876" t="s">
        <v>29</v>
      </c>
      <c r="F1876" t="s">
        <v>21</v>
      </c>
      <c r="G1876">
        <v>268</v>
      </c>
      <c r="H1876">
        <v>252.39</v>
      </c>
      <c r="I1876">
        <v>0</v>
      </c>
      <c r="J1876" t="s">
        <v>15</v>
      </c>
      <c r="K1876">
        <v>67640.52</v>
      </c>
      <c r="L1876" t="str">
        <f t="shared" si="116"/>
        <v>Feb</v>
      </c>
      <c r="M1876">
        <f t="shared" si="117"/>
        <v>2025</v>
      </c>
      <c r="N1876">
        <f t="shared" si="118"/>
        <v>67640.51999999999</v>
      </c>
      <c r="O1876" t="str">
        <f t="shared" si="119"/>
        <v>On Time</v>
      </c>
    </row>
    <row r="1877" spans="1:15" x14ac:dyDescent="0.25">
      <c r="A1877">
        <v>1876</v>
      </c>
      <c r="B1877" s="2">
        <v>45674</v>
      </c>
      <c r="C1877" t="s">
        <v>18</v>
      </c>
      <c r="D1877" t="s">
        <v>19</v>
      </c>
      <c r="E1877" t="s">
        <v>22</v>
      </c>
      <c r="F1877" t="s">
        <v>24</v>
      </c>
      <c r="G1877">
        <v>220</v>
      </c>
      <c r="H1877">
        <v>180.48</v>
      </c>
      <c r="I1877">
        <v>0</v>
      </c>
      <c r="J1877" t="s">
        <v>15</v>
      </c>
      <c r="K1877">
        <v>39705.599999999999</v>
      </c>
      <c r="L1877" t="str">
        <f t="shared" si="116"/>
        <v>Jan</v>
      </c>
      <c r="M1877">
        <f t="shared" si="117"/>
        <v>2025</v>
      </c>
      <c r="N1877">
        <f t="shared" si="118"/>
        <v>39705.599999999999</v>
      </c>
      <c r="O1877" t="str">
        <f t="shared" si="119"/>
        <v>On Time</v>
      </c>
    </row>
    <row r="1878" spans="1:15" x14ac:dyDescent="0.25">
      <c r="A1878">
        <v>1877</v>
      </c>
      <c r="B1878" s="2">
        <v>45918</v>
      </c>
      <c r="C1878" t="s">
        <v>26</v>
      </c>
      <c r="D1878" t="s">
        <v>20</v>
      </c>
      <c r="E1878" t="s">
        <v>22</v>
      </c>
      <c r="F1878" t="s">
        <v>24</v>
      </c>
      <c r="G1878">
        <v>217</v>
      </c>
      <c r="H1878">
        <v>582.19000000000005</v>
      </c>
      <c r="I1878">
        <v>0</v>
      </c>
      <c r="J1878" t="s">
        <v>15</v>
      </c>
      <c r="K1878">
        <v>126335.23</v>
      </c>
      <c r="L1878" t="str">
        <f t="shared" si="116"/>
        <v>Sep</v>
      </c>
      <c r="M1878">
        <f t="shared" si="117"/>
        <v>2025</v>
      </c>
      <c r="N1878">
        <f t="shared" si="118"/>
        <v>126335.23000000001</v>
      </c>
      <c r="O1878" t="str">
        <f t="shared" si="119"/>
        <v>On Time</v>
      </c>
    </row>
    <row r="1879" spans="1:15" x14ac:dyDescent="0.25">
      <c r="A1879">
        <v>1878</v>
      </c>
      <c r="B1879" s="2">
        <v>45765</v>
      </c>
      <c r="C1879" t="s">
        <v>11</v>
      </c>
      <c r="D1879" t="s">
        <v>23</v>
      </c>
      <c r="E1879" t="s">
        <v>17</v>
      </c>
      <c r="F1879" t="s">
        <v>24</v>
      </c>
      <c r="G1879">
        <v>88</v>
      </c>
      <c r="H1879">
        <v>580.39</v>
      </c>
      <c r="I1879">
        <v>46</v>
      </c>
      <c r="J1879" t="s">
        <v>15</v>
      </c>
      <c r="K1879">
        <v>51074.32</v>
      </c>
      <c r="L1879" t="str">
        <f t="shared" si="116"/>
        <v>Apr</v>
      </c>
      <c r="M1879">
        <f t="shared" si="117"/>
        <v>2025</v>
      </c>
      <c r="N1879">
        <f t="shared" si="118"/>
        <v>51074.32</v>
      </c>
      <c r="O1879" t="str">
        <f t="shared" si="119"/>
        <v>Moderate Delay</v>
      </c>
    </row>
    <row r="1880" spans="1:15" x14ac:dyDescent="0.25">
      <c r="A1880">
        <v>1879</v>
      </c>
      <c r="B1880" s="2">
        <v>45733</v>
      </c>
      <c r="C1880" t="s">
        <v>16</v>
      </c>
      <c r="D1880" t="s">
        <v>13</v>
      </c>
      <c r="E1880" t="s">
        <v>29</v>
      </c>
      <c r="F1880" t="s">
        <v>24</v>
      </c>
      <c r="G1880">
        <v>82</v>
      </c>
      <c r="H1880">
        <v>170.5</v>
      </c>
      <c r="I1880">
        <v>58</v>
      </c>
      <c r="J1880" t="s">
        <v>15</v>
      </c>
      <c r="K1880">
        <v>13981</v>
      </c>
      <c r="L1880" t="str">
        <f t="shared" si="116"/>
        <v>Mar</v>
      </c>
      <c r="M1880">
        <f t="shared" si="117"/>
        <v>2025</v>
      </c>
      <c r="N1880">
        <f t="shared" si="118"/>
        <v>13981</v>
      </c>
      <c r="O1880" t="str">
        <f t="shared" si="119"/>
        <v>Moderate Delay</v>
      </c>
    </row>
    <row r="1881" spans="1:15" x14ac:dyDescent="0.25">
      <c r="A1881">
        <v>1880</v>
      </c>
      <c r="B1881" s="2">
        <v>45880</v>
      </c>
      <c r="C1881" t="s">
        <v>18</v>
      </c>
      <c r="D1881" t="s">
        <v>19</v>
      </c>
      <c r="E1881" t="s">
        <v>27</v>
      </c>
      <c r="F1881" t="s">
        <v>14</v>
      </c>
      <c r="G1881">
        <v>288</v>
      </c>
      <c r="H1881">
        <v>536.79</v>
      </c>
      <c r="I1881">
        <v>39</v>
      </c>
      <c r="J1881" t="s">
        <v>30</v>
      </c>
      <c r="K1881">
        <v>154595.51999999999</v>
      </c>
      <c r="L1881" t="str">
        <f t="shared" si="116"/>
        <v>Aug</v>
      </c>
      <c r="M1881">
        <f t="shared" si="117"/>
        <v>2025</v>
      </c>
      <c r="N1881">
        <f t="shared" si="118"/>
        <v>154595.51999999999</v>
      </c>
      <c r="O1881" t="str">
        <f t="shared" si="119"/>
        <v>Moderate Delay</v>
      </c>
    </row>
    <row r="1882" spans="1:15" x14ac:dyDescent="0.25">
      <c r="A1882">
        <v>1881</v>
      </c>
      <c r="B1882" s="2">
        <v>46021</v>
      </c>
      <c r="C1882" t="s">
        <v>11</v>
      </c>
      <c r="D1882" t="s">
        <v>27</v>
      </c>
      <c r="E1882" t="s">
        <v>23</v>
      </c>
      <c r="F1882" t="s">
        <v>24</v>
      </c>
      <c r="G1882">
        <v>217</v>
      </c>
      <c r="H1882">
        <v>85.04</v>
      </c>
      <c r="I1882">
        <v>29</v>
      </c>
      <c r="J1882" t="s">
        <v>15</v>
      </c>
      <c r="K1882">
        <v>18453.68</v>
      </c>
      <c r="L1882" t="str">
        <f t="shared" si="116"/>
        <v>Dec</v>
      </c>
      <c r="M1882">
        <f t="shared" si="117"/>
        <v>2025</v>
      </c>
      <c r="N1882">
        <f t="shared" si="118"/>
        <v>18453.68</v>
      </c>
      <c r="O1882" t="str">
        <f t="shared" si="119"/>
        <v>Minor Delay</v>
      </c>
    </row>
    <row r="1883" spans="1:15" x14ac:dyDescent="0.25">
      <c r="A1883">
        <v>1882</v>
      </c>
      <c r="B1883" s="2">
        <v>45857</v>
      </c>
      <c r="C1883" t="s">
        <v>11</v>
      </c>
      <c r="D1883" t="s">
        <v>13</v>
      </c>
      <c r="E1883" t="s">
        <v>22</v>
      </c>
      <c r="F1883" t="s">
        <v>24</v>
      </c>
      <c r="G1883">
        <v>168</v>
      </c>
      <c r="H1883">
        <v>547.16</v>
      </c>
      <c r="I1883">
        <v>33</v>
      </c>
      <c r="J1883" t="s">
        <v>15</v>
      </c>
      <c r="K1883">
        <v>91922.880000000005</v>
      </c>
      <c r="L1883" t="str">
        <f t="shared" si="116"/>
        <v>Jul</v>
      </c>
      <c r="M1883">
        <f t="shared" si="117"/>
        <v>2025</v>
      </c>
      <c r="N1883">
        <f t="shared" si="118"/>
        <v>91922.87999999999</v>
      </c>
      <c r="O1883" t="str">
        <f t="shared" si="119"/>
        <v>Moderate Delay</v>
      </c>
    </row>
    <row r="1884" spans="1:15" x14ac:dyDescent="0.25">
      <c r="A1884">
        <v>1883</v>
      </c>
      <c r="B1884" s="2">
        <v>45726</v>
      </c>
      <c r="C1884" t="s">
        <v>26</v>
      </c>
      <c r="D1884" t="s">
        <v>22</v>
      </c>
      <c r="E1884" t="s">
        <v>27</v>
      </c>
      <c r="F1884" t="s">
        <v>21</v>
      </c>
      <c r="G1884">
        <v>297</v>
      </c>
      <c r="H1884">
        <v>583.46</v>
      </c>
      <c r="I1884">
        <v>0</v>
      </c>
      <c r="J1884" t="s">
        <v>15</v>
      </c>
      <c r="K1884">
        <v>173287.62</v>
      </c>
      <c r="L1884" t="str">
        <f t="shared" si="116"/>
        <v>Mar</v>
      </c>
      <c r="M1884">
        <f t="shared" si="117"/>
        <v>2025</v>
      </c>
      <c r="N1884">
        <f t="shared" si="118"/>
        <v>173287.62000000002</v>
      </c>
      <c r="O1884" t="str">
        <f t="shared" si="119"/>
        <v>On Time</v>
      </c>
    </row>
    <row r="1885" spans="1:15" x14ac:dyDescent="0.25">
      <c r="A1885">
        <v>1884</v>
      </c>
      <c r="B1885" s="2">
        <v>45742</v>
      </c>
      <c r="C1885" t="s">
        <v>26</v>
      </c>
      <c r="D1885" t="s">
        <v>29</v>
      </c>
      <c r="E1885" t="s">
        <v>13</v>
      </c>
      <c r="F1885" t="s">
        <v>24</v>
      </c>
      <c r="G1885">
        <v>73</v>
      </c>
      <c r="H1885">
        <v>420.3</v>
      </c>
      <c r="I1885">
        <v>0</v>
      </c>
      <c r="J1885" t="s">
        <v>28</v>
      </c>
      <c r="K1885">
        <v>30681.9</v>
      </c>
      <c r="L1885" t="str">
        <f t="shared" si="116"/>
        <v>Mar</v>
      </c>
      <c r="M1885">
        <f t="shared" si="117"/>
        <v>2025</v>
      </c>
      <c r="N1885">
        <f t="shared" si="118"/>
        <v>30681.9</v>
      </c>
      <c r="O1885" t="str">
        <f t="shared" si="119"/>
        <v>On Time</v>
      </c>
    </row>
    <row r="1886" spans="1:15" x14ac:dyDescent="0.25">
      <c r="A1886">
        <v>1885</v>
      </c>
      <c r="B1886" s="2">
        <v>45729</v>
      </c>
      <c r="C1886" t="s">
        <v>11</v>
      </c>
      <c r="D1886" t="s">
        <v>29</v>
      </c>
      <c r="E1886" t="s">
        <v>13</v>
      </c>
      <c r="F1886" t="s">
        <v>21</v>
      </c>
      <c r="G1886">
        <v>204</v>
      </c>
      <c r="H1886">
        <v>426.56</v>
      </c>
      <c r="I1886">
        <v>17</v>
      </c>
      <c r="J1886" t="s">
        <v>15</v>
      </c>
      <c r="K1886">
        <v>87018.240000000005</v>
      </c>
      <c r="L1886" t="str">
        <f t="shared" si="116"/>
        <v>Mar</v>
      </c>
      <c r="M1886">
        <f t="shared" si="117"/>
        <v>2025</v>
      </c>
      <c r="N1886">
        <f t="shared" si="118"/>
        <v>87018.240000000005</v>
      </c>
      <c r="O1886" t="str">
        <f t="shared" si="119"/>
        <v>Minor Delay</v>
      </c>
    </row>
    <row r="1887" spans="1:15" x14ac:dyDescent="0.25">
      <c r="A1887">
        <v>1886</v>
      </c>
      <c r="B1887" s="2">
        <v>45981</v>
      </c>
      <c r="C1887" t="s">
        <v>26</v>
      </c>
      <c r="D1887" t="s">
        <v>13</v>
      </c>
      <c r="E1887" t="s">
        <v>12</v>
      </c>
      <c r="F1887" t="s">
        <v>21</v>
      </c>
      <c r="G1887">
        <v>137</v>
      </c>
      <c r="H1887">
        <v>652.15</v>
      </c>
      <c r="I1887">
        <v>36</v>
      </c>
      <c r="J1887" t="s">
        <v>15</v>
      </c>
      <c r="K1887">
        <v>89344.55</v>
      </c>
      <c r="L1887" t="str">
        <f t="shared" si="116"/>
        <v>Nov</v>
      </c>
      <c r="M1887">
        <f t="shared" si="117"/>
        <v>2025</v>
      </c>
      <c r="N1887">
        <f t="shared" si="118"/>
        <v>89344.55</v>
      </c>
      <c r="O1887" t="str">
        <f t="shared" si="119"/>
        <v>Moderate Delay</v>
      </c>
    </row>
    <row r="1888" spans="1:15" x14ac:dyDescent="0.25">
      <c r="A1888">
        <v>1887</v>
      </c>
      <c r="B1888" s="2">
        <v>45905</v>
      </c>
      <c r="C1888" t="s">
        <v>31</v>
      </c>
      <c r="D1888" t="s">
        <v>13</v>
      </c>
      <c r="E1888" t="s">
        <v>29</v>
      </c>
      <c r="F1888" t="s">
        <v>14</v>
      </c>
      <c r="G1888">
        <v>104</v>
      </c>
      <c r="H1888">
        <v>169.38</v>
      </c>
      <c r="I1888">
        <v>0</v>
      </c>
      <c r="J1888" t="s">
        <v>15</v>
      </c>
      <c r="K1888">
        <v>17615.52</v>
      </c>
      <c r="L1888" t="str">
        <f t="shared" si="116"/>
        <v>Sep</v>
      </c>
      <c r="M1888">
        <f t="shared" si="117"/>
        <v>2025</v>
      </c>
      <c r="N1888">
        <f t="shared" si="118"/>
        <v>17615.52</v>
      </c>
      <c r="O1888" t="str">
        <f t="shared" si="119"/>
        <v>On Time</v>
      </c>
    </row>
    <row r="1889" spans="1:15" x14ac:dyDescent="0.25">
      <c r="A1889">
        <v>1888</v>
      </c>
      <c r="B1889" s="2">
        <v>45928</v>
      </c>
      <c r="C1889" t="s">
        <v>31</v>
      </c>
      <c r="D1889" t="s">
        <v>23</v>
      </c>
      <c r="E1889" t="s">
        <v>20</v>
      </c>
      <c r="F1889" t="s">
        <v>21</v>
      </c>
      <c r="G1889">
        <v>287</v>
      </c>
      <c r="H1889">
        <v>513.04999999999995</v>
      </c>
      <c r="I1889">
        <v>0</v>
      </c>
      <c r="J1889" t="s">
        <v>15</v>
      </c>
      <c r="K1889">
        <v>147245.35</v>
      </c>
      <c r="L1889" t="str">
        <f t="shared" si="116"/>
        <v>Sep</v>
      </c>
      <c r="M1889">
        <f t="shared" si="117"/>
        <v>2025</v>
      </c>
      <c r="N1889">
        <f t="shared" si="118"/>
        <v>147245.34999999998</v>
      </c>
      <c r="O1889" t="str">
        <f t="shared" si="119"/>
        <v>On Time</v>
      </c>
    </row>
    <row r="1890" spans="1:15" x14ac:dyDescent="0.25">
      <c r="A1890">
        <v>1889</v>
      </c>
      <c r="B1890" s="2">
        <v>45960</v>
      </c>
      <c r="C1890" t="s">
        <v>31</v>
      </c>
      <c r="D1890" t="s">
        <v>13</v>
      </c>
      <c r="E1890" t="s">
        <v>27</v>
      </c>
      <c r="F1890" t="s">
        <v>24</v>
      </c>
      <c r="G1890">
        <v>187</v>
      </c>
      <c r="H1890">
        <v>797.62</v>
      </c>
      <c r="I1890">
        <v>0</v>
      </c>
      <c r="J1890" t="s">
        <v>15</v>
      </c>
      <c r="K1890">
        <v>149154.94</v>
      </c>
      <c r="L1890" t="str">
        <f t="shared" si="116"/>
        <v>Oct</v>
      </c>
      <c r="M1890">
        <f t="shared" si="117"/>
        <v>2025</v>
      </c>
      <c r="N1890">
        <f t="shared" si="118"/>
        <v>149154.94</v>
      </c>
      <c r="O1890" t="str">
        <f t="shared" si="119"/>
        <v>On Time</v>
      </c>
    </row>
    <row r="1891" spans="1:15" x14ac:dyDescent="0.25">
      <c r="A1891">
        <v>1890</v>
      </c>
      <c r="B1891" s="2">
        <v>45871</v>
      </c>
      <c r="C1891" t="s">
        <v>18</v>
      </c>
      <c r="D1891" t="s">
        <v>12</v>
      </c>
      <c r="E1891" t="s">
        <v>27</v>
      </c>
      <c r="F1891" t="s">
        <v>21</v>
      </c>
      <c r="G1891">
        <v>196</v>
      </c>
      <c r="H1891">
        <v>230.9</v>
      </c>
      <c r="I1891">
        <v>25</v>
      </c>
      <c r="J1891" t="s">
        <v>15</v>
      </c>
      <c r="K1891">
        <v>45256.4</v>
      </c>
      <c r="L1891" t="str">
        <f t="shared" si="116"/>
        <v>Aug</v>
      </c>
      <c r="M1891">
        <f t="shared" si="117"/>
        <v>2025</v>
      </c>
      <c r="N1891">
        <f t="shared" si="118"/>
        <v>45256.4</v>
      </c>
      <c r="O1891" t="str">
        <f t="shared" si="119"/>
        <v>Minor Delay</v>
      </c>
    </row>
    <row r="1892" spans="1:15" x14ac:dyDescent="0.25">
      <c r="A1892">
        <v>1891</v>
      </c>
      <c r="B1892" s="2">
        <v>45793</v>
      </c>
      <c r="C1892" t="s">
        <v>26</v>
      </c>
      <c r="D1892" t="s">
        <v>19</v>
      </c>
      <c r="E1892" t="s">
        <v>27</v>
      </c>
      <c r="F1892" t="s">
        <v>21</v>
      </c>
      <c r="G1892">
        <v>268</v>
      </c>
      <c r="H1892">
        <v>88.65</v>
      </c>
      <c r="I1892">
        <v>26</v>
      </c>
      <c r="J1892" t="s">
        <v>15</v>
      </c>
      <c r="K1892">
        <v>23758.2</v>
      </c>
      <c r="L1892" t="str">
        <f t="shared" si="116"/>
        <v>May</v>
      </c>
      <c r="M1892">
        <f t="shared" si="117"/>
        <v>2025</v>
      </c>
      <c r="N1892">
        <f t="shared" si="118"/>
        <v>23758.2</v>
      </c>
      <c r="O1892" t="str">
        <f t="shared" si="119"/>
        <v>Minor Delay</v>
      </c>
    </row>
    <row r="1893" spans="1:15" x14ac:dyDescent="0.25">
      <c r="A1893">
        <v>1892</v>
      </c>
      <c r="B1893" s="2">
        <v>45929</v>
      </c>
      <c r="C1893" t="s">
        <v>11</v>
      </c>
      <c r="D1893" t="s">
        <v>23</v>
      </c>
      <c r="E1893" t="s">
        <v>13</v>
      </c>
      <c r="F1893" t="s">
        <v>14</v>
      </c>
      <c r="G1893">
        <v>106</v>
      </c>
      <c r="H1893">
        <v>764.49</v>
      </c>
      <c r="I1893">
        <v>73</v>
      </c>
      <c r="J1893" t="s">
        <v>15</v>
      </c>
      <c r="K1893">
        <v>81035.94</v>
      </c>
      <c r="L1893" t="str">
        <f t="shared" si="116"/>
        <v>Sep</v>
      </c>
      <c r="M1893">
        <f t="shared" si="117"/>
        <v>2025</v>
      </c>
      <c r="N1893">
        <f t="shared" si="118"/>
        <v>81035.94</v>
      </c>
      <c r="O1893" t="str">
        <f t="shared" si="119"/>
        <v>Major Delay</v>
      </c>
    </row>
    <row r="1894" spans="1:15" x14ac:dyDescent="0.25">
      <c r="A1894">
        <v>1893</v>
      </c>
      <c r="B1894" s="2">
        <v>45878</v>
      </c>
      <c r="C1894" t="s">
        <v>16</v>
      </c>
      <c r="D1894" t="s">
        <v>17</v>
      </c>
      <c r="E1894" t="s">
        <v>13</v>
      </c>
      <c r="F1894" t="s">
        <v>14</v>
      </c>
      <c r="G1894">
        <v>255</v>
      </c>
      <c r="H1894">
        <v>654.42999999999995</v>
      </c>
      <c r="I1894">
        <v>0</v>
      </c>
      <c r="J1894" t="s">
        <v>30</v>
      </c>
      <c r="K1894">
        <v>166879.65</v>
      </c>
      <c r="L1894" t="str">
        <f t="shared" si="116"/>
        <v>Aug</v>
      </c>
      <c r="M1894">
        <f t="shared" si="117"/>
        <v>2025</v>
      </c>
      <c r="N1894">
        <f t="shared" si="118"/>
        <v>166879.65</v>
      </c>
      <c r="O1894" t="str">
        <f t="shared" si="119"/>
        <v>On Time</v>
      </c>
    </row>
    <row r="1895" spans="1:15" x14ac:dyDescent="0.25">
      <c r="A1895">
        <v>1894</v>
      </c>
      <c r="B1895" s="2">
        <v>45965</v>
      </c>
      <c r="C1895" t="s">
        <v>25</v>
      </c>
      <c r="D1895" t="s">
        <v>13</v>
      </c>
      <c r="E1895" t="s">
        <v>22</v>
      </c>
      <c r="F1895" t="s">
        <v>14</v>
      </c>
      <c r="G1895">
        <v>177</v>
      </c>
      <c r="H1895">
        <v>791.76</v>
      </c>
      <c r="I1895">
        <v>8</v>
      </c>
      <c r="J1895" t="s">
        <v>15</v>
      </c>
      <c r="K1895">
        <v>140141.51999999999</v>
      </c>
      <c r="L1895" t="str">
        <f t="shared" si="116"/>
        <v>Nov</v>
      </c>
      <c r="M1895">
        <f t="shared" si="117"/>
        <v>2025</v>
      </c>
      <c r="N1895">
        <f t="shared" si="118"/>
        <v>140141.51999999999</v>
      </c>
      <c r="O1895" t="str">
        <f t="shared" si="119"/>
        <v>Minor Delay</v>
      </c>
    </row>
    <row r="1896" spans="1:15" x14ac:dyDescent="0.25">
      <c r="A1896">
        <v>1895</v>
      </c>
      <c r="B1896" s="2">
        <v>45717</v>
      </c>
      <c r="C1896" t="s">
        <v>11</v>
      </c>
      <c r="D1896" t="s">
        <v>27</v>
      </c>
      <c r="E1896" t="s">
        <v>23</v>
      </c>
      <c r="F1896" t="s">
        <v>24</v>
      </c>
      <c r="G1896">
        <v>193</v>
      </c>
      <c r="H1896">
        <v>597.03</v>
      </c>
      <c r="I1896">
        <v>36</v>
      </c>
      <c r="J1896" t="s">
        <v>15</v>
      </c>
      <c r="K1896">
        <v>115226.79</v>
      </c>
      <c r="L1896" t="str">
        <f t="shared" si="116"/>
        <v>Mar</v>
      </c>
      <c r="M1896">
        <f t="shared" si="117"/>
        <v>2025</v>
      </c>
      <c r="N1896">
        <f t="shared" si="118"/>
        <v>115226.79</v>
      </c>
      <c r="O1896" t="str">
        <f t="shared" si="119"/>
        <v>Moderate Delay</v>
      </c>
    </row>
    <row r="1897" spans="1:15" x14ac:dyDescent="0.25">
      <c r="A1897">
        <v>1896</v>
      </c>
      <c r="B1897" s="2">
        <v>45826</v>
      </c>
      <c r="C1897" t="s">
        <v>25</v>
      </c>
      <c r="D1897" t="s">
        <v>17</v>
      </c>
      <c r="E1897" t="s">
        <v>12</v>
      </c>
      <c r="F1897" t="s">
        <v>14</v>
      </c>
      <c r="G1897">
        <v>292</v>
      </c>
      <c r="H1897">
        <v>415.1</v>
      </c>
      <c r="I1897">
        <v>52</v>
      </c>
      <c r="J1897" t="s">
        <v>15</v>
      </c>
      <c r="K1897">
        <v>121209.2</v>
      </c>
      <c r="L1897" t="str">
        <f t="shared" si="116"/>
        <v>Jun</v>
      </c>
      <c r="M1897">
        <f t="shared" si="117"/>
        <v>2025</v>
      </c>
      <c r="N1897">
        <f t="shared" si="118"/>
        <v>121209.20000000001</v>
      </c>
      <c r="O1897" t="str">
        <f t="shared" si="119"/>
        <v>Moderate Delay</v>
      </c>
    </row>
    <row r="1898" spans="1:15" x14ac:dyDescent="0.25">
      <c r="A1898">
        <v>1897</v>
      </c>
      <c r="B1898" s="2">
        <v>45994</v>
      </c>
      <c r="C1898" t="s">
        <v>26</v>
      </c>
      <c r="D1898" t="s">
        <v>23</v>
      </c>
      <c r="E1898" t="s">
        <v>29</v>
      </c>
      <c r="F1898" t="s">
        <v>21</v>
      </c>
      <c r="G1898">
        <v>115</v>
      </c>
      <c r="H1898">
        <v>367.53</v>
      </c>
      <c r="I1898">
        <v>34</v>
      </c>
      <c r="J1898" t="s">
        <v>15</v>
      </c>
      <c r="K1898">
        <v>42265.95</v>
      </c>
      <c r="L1898" t="str">
        <f t="shared" si="116"/>
        <v>Dec</v>
      </c>
      <c r="M1898">
        <f t="shared" si="117"/>
        <v>2025</v>
      </c>
      <c r="N1898">
        <f t="shared" si="118"/>
        <v>42265.95</v>
      </c>
      <c r="O1898" t="str">
        <f t="shared" si="119"/>
        <v>Moderate Delay</v>
      </c>
    </row>
    <row r="1899" spans="1:15" x14ac:dyDescent="0.25">
      <c r="A1899">
        <v>1898</v>
      </c>
      <c r="B1899" s="2">
        <v>45816</v>
      </c>
      <c r="C1899" t="s">
        <v>31</v>
      </c>
      <c r="D1899" t="s">
        <v>12</v>
      </c>
      <c r="E1899" t="s">
        <v>22</v>
      </c>
      <c r="F1899" t="s">
        <v>21</v>
      </c>
      <c r="G1899">
        <v>190</v>
      </c>
      <c r="H1899">
        <v>532.88</v>
      </c>
      <c r="I1899">
        <v>10</v>
      </c>
      <c r="J1899" t="s">
        <v>15</v>
      </c>
      <c r="K1899">
        <v>101247.2</v>
      </c>
      <c r="L1899" t="str">
        <f t="shared" si="116"/>
        <v>Jun</v>
      </c>
      <c r="M1899">
        <f t="shared" si="117"/>
        <v>2025</v>
      </c>
      <c r="N1899">
        <f t="shared" si="118"/>
        <v>101247.2</v>
      </c>
      <c r="O1899" t="str">
        <f t="shared" si="119"/>
        <v>Minor Delay</v>
      </c>
    </row>
    <row r="1900" spans="1:15" x14ac:dyDescent="0.25">
      <c r="A1900">
        <v>1899</v>
      </c>
      <c r="B1900" s="2">
        <v>45659</v>
      </c>
      <c r="C1900" t="s">
        <v>11</v>
      </c>
      <c r="D1900" t="s">
        <v>29</v>
      </c>
      <c r="E1900" t="s">
        <v>12</v>
      </c>
      <c r="F1900" t="s">
        <v>14</v>
      </c>
      <c r="G1900">
        <v>249</v>
      </c>
      <c r="H1900">
        <v>630.04999999999995</v>
      </c>
      <c r="I1900">
        <v>21</v>
      </c>
      <c r="J1900" t="s">
        <v>15</v>
      </c>
      <c r="K1900">
        <v>156882.45000000001</v>
      </c>
      <c r="L1900" t="str">
        <f t="shared" si="116"/>
        <v>Jan</v>
      </c>
      <c r="M1900">
        <f t="shared" si="117"/>
        <v>2025</v>
      </c>
      <c r="N1900">
        <f t="shared" si="118"/>
        <v>156882.44999999998</v>
      </c>
      <c r="O1900" t="str">
        <f t="shared" si="119"/>
        <v>Minor Delay</v>
      </c>
    </row>
    <row r="1901" spans="1:15" x14ac:dyDescent="0.25">
      <c r="A1901">
        <v>1900</v>
      </c>
      <c r="B1901" s="2">
        <v>45720</v>
      </c>
      <c r="C1901" t="s">
        <v>31</v>
      </c>
      <c r="D1901" t="s">
        <v>20</v>
      </c>
      <c r="E1901" t="s">
        <v>22</v>
      </c>
      <c r="F1901" t="s">
        <v>21</v>
      </c>
      <c r="G1901">
        <v>169</v>
      </c>
      <c r="H1901">
        <v>437.98</v>
      </c>
      <c r="I1901">
        <v>0</v>
      </c>
      <c r="J1901" t="s">
        <v>15</v>
      </c>
      <c r="K1901">
        <v>74018.62</v>
      </c>
      <c r="L1901" t="str">
        <f t="shared" si="116"/>
        <v>Mar</v>
      </c>
      <c r="M1901">
        <f t="shared" si="117"/>
        <v>2025</v>
      </c>
      <c r="N1901">
        <f t="shared" si="118"/>
        <v>74018.62000000001</v>
      </c>
      <c r="O1901" t="str">
        <f t="shared" si="119"/>
        <v>On Time</v>
      </c>
    </row>
    <row r="1902" spans="1:15" x14ac:dyDescent="0.25">
      <c r="A1902">
        <v>1901</v>
      </c>
      <c r="B1902" s="2">
        <v>45840</v>
      </c>
      <c r="C1902" t="s">
        <v>16</v>
      </c>
      <c r="D1902" t="s">
        <v>23</v>
      </c>
      <c r="E1902" t="s">
        <v>12</v>
      </c>
      <c r="F1902" t="s">
        <v>24</v>
      </c>
      <c r="G1902">
        <v>95</v>
      </c>
      <c r="H1902">
        <v>347.03</v>
      </c>
      <c r="I1902">
        <v>42</v>
      </c>
      <c r="J1902" t="s">
        <v>15</v>
      </c>
      <c r="K1902">
        <v>32967.85</v>
      </c>
      <c r="L1902" t="str">
        <f t="shared" si="116"/>
        <v>Jul</v>
      </c>
      <c r="M1902">
        <f t="shared" si="117"/>
        <v>2025</v>
      </c>
      <c r="N1902">
        <f t="shared" si="118"/>
        <v>32967.85</v>
      </c>
      <c r="O1902" t="str">
        <f t="shared" si="119"/>
        <v>Moderate Delay</v>
      </c>
    </row>
    <row r="1903" spans="1:15" x14ac:dyDescent="0.25">
      <c r="A1903">
        <v>1902</v>
      </c>
      <c r="B1903" s="2">
        <v>45741</v>
      </c>
      <c r="C1903" t="s">
        <v>11</v>
      </c>
      <c r="D1903" t="s">
        <v>12</v>
      </c>
      <c r="E1903" t="s">
        <v>29</v>
      </c>
      <c r="F1903" t="s">
        <v>24</v>
      </c>
      <c r="G1903">
        <v>91</v>
      </c>
      <c r="H1903">
        <v>446.34</v>
      </c>
      <c r="I1903">
        <v>75</v>
      </c>
      <c r="J1903" t="s">
        <v>15</v>
      </c>
      <c r="K1903">
        <v>40616.94</v>
      </c>
      <c r="L1903" t="str">
        <f t="shared" si="116"/>
        <v>Mar</v>
      </c>
      <c r="M1903">
        <f t="shared" si="117"/>
        <v>2025</v>
      </c>
      <c r="N1903">
        <f t="shared" si="118"/>
        <v>40616.939999999995</v>
      </c>
      <c r="O1903" t="str">
        <f t="shared" si="119"/>
        <v>Major Delay</v>
      </c>
    </row>
    <row r="1904" spans="1:15" x14ac:dyDescent="0.25">
      <c r="A1904">
        <v>1903</v>
      </c>
      <c r="B1904" s="2">
        <v>45981</v>
      </c>
      <c r="C1904" t="s">
        <v>26</v>
      </c>
      <c r="D1904" t="s">
        <v>19</v>
      </c>
      <c r="E1904" t="s">
        <v>27</v>
      </c>
      <c r="F1904" t="s">
        <v>14</v>
      </c>
      <c r="G1904">
        <v>137</v>
      </c>
      <c r="H1904">
        <v>691.59</v>
      </c>
      <c r="I1904">
        <v>27</v>
      </c>
      <c r="J1904" t="s">
        <v>30</v>
      </c>
      <c r="K1904">
        <v>94747.83</v>
      </c>
      <c r="L1904" t="str">
        <f t="shared" si="116"/>
        <v>Nov</v>
      </c>
      <c r="M1904">
        <f t="shared" si="117"/>
        <v>2025</v>
      </c>
      <c r="N1904">
        <f t="shared" si="118"/>
        <v>94747.83</v>
      </c>
      <c r="O1904" t="str">
        <f t="shared" si="119"/>
        <v>Minor Delay</v>
      </c>
    </row>
    <row r="1905" spans="1:15" x14ac:dyDescent="0.25">
      <c r="A1905">
        <v>1904</v>
      </c>
      <c r="B1905" s="2">
        <v>45743</v>
      </c>
      <c r="C1905" t="s">
        <v>11</v>
      </c>
      <c r="D1905" t="s">
        <v>17</v>
      </c>
      <c r="E1905" t="s">
        <v>19</v>
      </c>
      <c r="F1905" t="s">
        <v>21</v>
      </c>
      <c r="G1905">
        <v>213</v>
      </c>
      <c r="H1905">
        <v>417.73</v>
      </c>
      <c r="I1905">
        <v>0</v>
      </c>
      <c r="J1905" t="s">
        <v>15</v>
      </c>
      <c r="K1905">
        <v>88976.49</v>
      </c>
      <c r="L1905" t="str">
        <f t="shared" si="116"/>
        <v>Mar</v>
      </c>
      <c r="M1905">
        <f t="shared" si="117"/>
        <v>2025</v>
      </c>
      <c r="N1905">
        <f t="shared" si="118"/>
        <v>88976.49</v>
      </c>
      <c r="O1905" t="str">
        <f t="shared" si="119"/>
        <v>On Time</v>
      </c>
    </row>
    <row r="1906" spans="1:15" x14ac:dyDescent="0.25">
      <c r="A1906">
        <v>1905</v>
      </c>
      <c r="B1906" s="2">
        <v>45994</v>
      </c>
      <c r="C1906" t="s">
        <v>18</v>
      </c>
      <c r="D1906" t="s">
        <v>12</v>
      </c>
      <c r="E1906" t="s">
        <v>23</v>
      </c>
      <c r="F1906" t="s">
        <v>21</v>
      </c>
      <c r="G1906">
        <v>247</v>
      </c>
      <c r="H1906">
        <v>398.81</v>
      </c>
      <c r="I1906">
        <v>9</v>
      </c>
      <c r="J1906" t="s">
        <v>30</v>
      </c>
      <c r="K1906">
        <v>98506.07</v>
      </c>
      <c r="L1906" t="str">
        <f t="shared" si="116"/>
        <v>Dec</v>
      </c>
      <c r="M1906">
        <f t="shared" si="117"/>
        <v>2025</v>
      </c>
      <c r="N1906">
        <f t="shared" si="118"/>
        <v>98506.07</v>
      </c>
      <c r="O1906" t="str">
        <f t="shared" si="119"/>
        <v>Minor Delay</v>
      </c>
    </row>
    <row r="1907" spans="1:15" x14ac:dyDescent="0.25">
      <c r="A1907">
        <v>1906</v>
      </c>
      <c r="B1907" s="2">
        <v>45754</v>
      </c>
      <c r="C1907" t="s">
        <v>16</v>
      </c>
      <c r="D1907" t="s">
        <v>13</v>
      </c>
      <c r="E1907" t="s">
        <v>27</v>
      </c>
      <c r="F1907" t="s">
        <v>21</v>
      </c>
      <c r="G1907">
        <v>140</v>
      </c>
      <c r="H1907">
        <v>72.67</v>
      </c>
      <c r="I1907">
        <v>41</v>
      </c>
      <c r="J1907" t="s">
        <v>15</v>
      </c>
      <c r="K1907">
        <v>10173.799999999999</v>
      </c>
      <c r="L1907" t="str">
        <f t="shared" si="116"/>
        <v>Apr</v>
      </c>
      <c r="M1907">
        <f t="shared" si="117"/>
        <v>2025</v>
      </c>
      <c r="N1907">
        <f t="shared" si="118"/>
        <v>10173.800000000001</v>
      </c>
      <c r="O1907" t="str">
        <f t="shared" si="119"/>
        <v>Moderate Delay</v>
      </c>
    </row>
    <row r="1908" spans="1:15" x14ac:dyDescent="0.25">
      <c r="A1908">
        <v>1907</v>
      </c>
      <c r="B1908" s="2">
        <v>45870</v>
      </c>
      <c r="C1908" t="s">
        <v>25</v>
      </c>
      <c r="D1908" t="s">
        <v>22</v>
      </c>
      <c r="E1908" t="s">
        <v>17</v>
      </c>
      <c r="F1908" t="s">
        <v>14</v>
      </c>
      <c r="G1908">
        <v>298</v>
      </c>
      <c r="H1908">
        <v>293.23</v>
      </c>
      <c r="I1908">
        <v>6</v>
      </c>
      <c r="J1908" t="s">
        <v>15</v>
      </c>
      <c r="K1908">
        <v>87382.54</v>
      </c>
      <c r="L1908" t="str">
        <f t="shared" si="116"/>
        <v>Aug</v>
      </c>
      <c r="M1908">
        <f t="shared" si="117"/>
        <v>2025</v>
      </c>
      <c r="N1908">
        <f t="shared" si="118"/>
        <v>87382.540000000008</v>
      </c>
      <c r="O1908" t="str">
        <f t="shared" si="119"/>
        <v>Minor Delay</v>
      </c>
    </row>
    <row r="1909" spans="1:15" x14ac:dyDescent="0.25">
      <c r="A1909">
        <v>1908</v>
      </c>
      <c r="B1909" s="2">
        <v>45961</v>
      </c>
      <c r="C1909" t="s">
        <v>11</v>
      </c>
      <c r="D1909" t="s">
        <v>27</v>
      </c>
      <c r="E1909" t="s">
        <v>12</v>
      </c>
      <c r="F1909" t="s">
        <v>24</v>
      </c>
      <c r="G1909">
        <v>176</v>
      </c>
      <c r="H1909">
        <v>469.65</v>
      </c>
      <c r="I1909">
        <v>23</v>
      </c>
      <c r="J1909" t="s">
        <v>15</v>
      </c>
      <c r="K1909">
        <v>82658.399999999994</v>
      </c>
      <c r="L1909" t="str">
        <f t="shared" si="116"/>
        <v>Oct</v>
      </c>
      <c r="M1909">
        <f t="shared" si="117"/>
        <v>2025</v>
      </c>
      <c r="N1909">
        <f t="shared" si="118"/>
        <v>82658.399999999994</v>
      </c>
      <c r="O1909" t="str">
        <f t="shared" si="119"/>
        <v>Minor Delay</v>
      </c>
    </row>
    <row r="1910" spans="1:15" x14ac:dyDescent="0.25">
      <c r="A1910">
        <v>1909</v>
      </c>
      <c r="B1910" s="2">
        <v>45977</v>
      </c>
      <c r="C1910" t="s">
        <v>16</v>
      </c>
      <c r="D1910" t="s">
        <v>22</v>
      </c>
      <c r="E1910" t="s">
        <v>12</v>
      </c>
      <c r="F1910" t="s">
        <v>21</v>
      </c>
      <c r="G1910">
        <v>131</v>
      </c>
      <c r="H1910">
        <v>242.07</v>
      </c>
      <c r="I1910">
        <v>0</v>
      </c>
      <c r="J1910" t="s">
        <v>15</v>
      </c>
      <c r="K1910">
        <v>31711.17</v>
      </c>
      <c r="L1910" t="str">
        <f t="shared" si="116"/>
        <v>Nov</v>
      </c>
      <c r="M1910">
        <f t="shared" si="117"/>
        <v>2025</v>
      </c>
      <c r="N1910">
        <f t="shared" si="118"/>
        <v>31711.17</v>
      </c>
      <c r="O1910" t="str">
        <f t="shared" si="119"/>
        <v>On Time</v>
      </c>
    </row>
    <row r="1911" spans="1:15" x14ac:dyDescent="0.25">
      <c r="A1911">
        <v>1910</v>
      </c>
      <c r="B1911" s="2">
        <v>45811</v>
      </c>
      <c r="C1911" t="s">
        <v>25</v>
      </c>
      <c r="D1911" t="s">
        <v>12</v>
      </c>
      <c r="E1911" t="s">
        <v>13</v>
      </c>
      <c r="F1911" t="s">
        <v>14</v>
      </c>
      <c r="G1911">
        <v>228</v>
      </c>
      <c r="H1911">
        <v>251.13</v>
      </c>
      <c r="I1911">
        <v>13</v>
      </c>
      <c r="J1911" t="s">
        <v>15</v>
      </c>
      <c r="K1911">
        <v>57257.64</v>
      </c>
      <c r="L1911" t="str">
        <f t="shared" si="116"/>
        <v>Jun</v>
      </c>
      <c r="M1911">
        <f t="shared" si="117"/>
        <v>2025</v>
      </c>
      <c r="N1911">
        <f t="shared" si="118"/>
        <v>57257.64</v>
      </c>
      <c r="O1911" t="str">
        <f t="shared" si="119"/>
        <v>Minor Delay</v>
      </c>
    </row>
    <row r="1912" spans="1:15" x14ac:dyDescent="0.25">
      <c r="A1912">
        <v>1911</v>
      </c>
      <c r="B1912" s="2">
        <v>45832</v>
      </c>
      <c r="C1912" t="s">
        <v>18</v>
      </c>
      <c r="D1912" t="s">
        <v>29</v>
      </c>
      <c r="E1912" t="s">
        <v>22</v>
      </c>
      <c r="F1912" t="s">
        <v>14</v>
      </c>
      <c r="G1912">
        <v>299</v>
      </c>
      <c r="H1912">
        <v>452.91</v>
      </c>
      <c r="I1912">
        <v>39</v>
      </c>
      <c r="J1912" t="s">
        <v>15</v>
      </c>
      <c r="K1912">
        <v>135420.09</v>
      </c>
      <c r="L1912" t="str">
        <f t="shared" si="116"/>
        <v>Jun</v>
      </c>
      <c r="M1912">
        <f t="shared" si="117"/>
        <v>2025</v>
      </c>
      <c r="N1912">
        <f t="shared" si="118"/>
        <v>135420.09</v>
      </c>
      <c r="O1912" t="str">
        <f t="shared" si="119"/>
        <v>Moderate Delay</v>
      </c>
    </row>
    <row r="1913" spans="1:15" x14ac:dyDescent="0.25">
      <c r="A1913">
        <v>1912</v>
      </c>
      <c r="B1913" s="2">
        <v>45803</v>
      </c>
      <c r="C1913" t="s">
        <v>26</v>
      </c>
      <c r="D1913" t="s">
        <v>13</v>
      </c>
      <c r="E1913" t="s">
        <v>12</v>
      </c>
      <c r="F1913" t="s">
        <v>14</v>
      </c>
      <c r="G1913">
        <v>232</v>
      </c>
      <c r="H1913">
        <v>128.88</v>
      </c>
      <c r="I1913">
        <v>29</v>
      </c>
      <c r="J1913" t="s">
        <v>15</v>
      </c>
      <c r="K1913">
        <v>29900.16</v>
      </c>
      <c r="L1913" t="str">
        <f t="shared" si="116"/>
        <v>May</v>
      </c>
      <c r="M1913">
        <f t="shared" si="117"/>
        <v>2025</v>
      </c>
      <c r="N1913">
        <f t="shared" si="118"/>
        <v>29900.16</v>
      </c>
      <c r="O1913" t="str">
        <f t="shared" si="119"/>
        <v>Minor Delay</v>
      </c>
    </row>
    <row r="1914" spans="1:15" x14ac:dyDescent="0.25">
      <c r="A1914">
        <v>1913</v>
      </c>
      <c r="B1914" s="2">
        <v>45843</v>
      </c>
      <c r="C1914" t="s">
        <v>16</v>
      </c>
      <c r="D1914" t="s">
        <v>27</v>
      </c>
      <c r="E1914" t="s">
        <v>12</v>
      </c>
      <c r="F1914" t="s">
        <v>14</v>
      </c>
      <c r="G1914">
        <v>299</v>
      </c>
      <c r="H1914">
        <v>255.51</v>
      </c>
      <c r="I1914">
        <v>0</v>
      </c>
      <c r="J1914" t="s">
        <v>15</v>
      </c>
      <c r="K1914">
        <v>76397.490000000005</v>
      </c>
      <c r="L1914" t="str">
        <f t="shared" si="116"/>
        <v>Jul</v>
      </c>
      <c r="M1914">
        <f t="shared" si="117"/>
        <v>2025</v>
      </c>
      <c r="N1914">
        <f t="shared" si="118"/>
        <v>76397.489999999991</v>
      </c>
      <c r="O1914" t="str">
        <f t="shared" si="119"/>
        <v>On Time</v>
      </c>
    </row>
    <row r="1915" spans="1:15" x14ac:dyDescent="0.25">
      <c r="A1915">
        <v>1914</v>
      </c>
      <c r="B1915" s="2">
        <v>45776</v>
      </c>
      <c r="C1915" t="s">
        <v>16</v>
      </c>
      <c r="D1915" t="s">
        <v>19</v>
      </c>
      <c r="E1915" t="s">
        <v>12</v>
      </c>
      <c r="F1915" t="s">
        <v>24</v>
      </c>
      <c r="G1915">
        <v>129</v>
      </c>
      <c r="H1915">
        <v>682.69</v>
      </c>
      <c r="I1915">
        <v>65</v>
      </c>
      <c r="J1915" t="s">
        <v>15</v>
      </c>
      <c r="K1915">
        <v>88067.01</v>
      </c>
      <c r="L1915" t="str">
        <f t="shared" si="116"/>
        <v>Apr</v>
      </c>
      <c r="M1915">
        <f t="shared" si="117"/>
        <v>2025</v>
      </c>
      <c r="N1915">
        <f t="shared" si="118"/>
        <v>88067.010000000009</v>
      </c>
      <c r="O1915" t="str">
        <f t="shared" si="119"/>
        <v>Major Delay</v>
      </c>
    </row>
    <row r="1916" spans="1:15" x14ac:dyDescent="0.25">
      <c r="A1916">
        <v>1915</v>
      </c>
      <c r="B1916" s="2">
        <v>46022</v>
      </c>
      <c r="C1916" t="s">
        <v>31</v>
      </c>
      <c r="D1916" t="s">
        <v>27</v>
      </c>
      <c r="E1916" t="s">
        <v>12</v>
      </c>
      <c r="F1916" t="s">
        <v>21</v>
      </c>
      <c r="G1916">
        <v>272</v>
      </c>
      <c r="H1916">
        <v>570.96</v>
      </c>
      <c r="I1916">
        <v>10</v>
      </c>
      <c r="J1916" t="s">
        <v>15</v>
      </c>
      <c r="K1916">
        <v>155301.12</v>
      </c>
      <c r="L1916" t="str">
        <f t="shared" si="116"/>
        <v>Dec</v>
      </c>
      <c r="M1916">
        <f t="shared" si="117"/>
        <v>2025</v>
      </c>
      <c r="N1916">
        <f t="shared" si="118"/>
        <v>155301.12</v>
      </c>
      <c r="O1916" t="str">
        <f t="shared" si="119"/>
        <v>Minor Delay</v>
      </c>
    </row>
    <row r="1917" spans="1:15" x14ac:dyDescent="0.25">
      <c r="A1917">
        <v>1916</v>
      </c>
      <c r="B1917" s="2">
        <v>45817</v>
      </c>
      <c r="C1917" t="s">
        <v>18</v>
      </c>
      <c r="D1917" t="s">
        <v>17</v>
      </c>
      <c r="E1917" t="s">
        <v>13</v>
      </c>
      <c r="F1917" t="s">
        <v>14</v>
      </c>
      <c r="G1917">
        <v>218</v>
      </c>
      <c r="H1917">
        <v>306.62</v>
      </c>
      <c r="I1917">
        <v>50</v>
      </c>
      <c r="J1917" t="s">
        <v>15</v>
      </c>
      <c r="K1917">
        <v>66843.16</v>
      </c>
      <c r="L1917" t="str">
        <f t="shared" si="116"/>
        <v>Jun</v>
      </c>
      <c r="M1917">
        <f t="shared" si="117"/>
        <v>2025</v>
      </c>
      <c r="N1917">
        <f t="shared" si="118"/>
        <v>66843.16</v>
      </c>
      <c r="O1917" t="str">
        <f t="shared" si="119"/>
        <v>Moderate Delay</v>
      </c>
    </row>
    <row r="1918" spans="1:15" x14ac:dyDescent="0.25">
      <c r="A1918">
        <v>1917</v>
      </c>
      <c r="B1918" s="2">
        <v>45706</v>
      </c>
      <c r="C1918" t="s">
        <v>31</v>
      </c>
      <c r="D1918" t="s">
        <v>29</v>
      </c>
      <c r="E1918" t="s">
        <v>12</v>
      </c>
      <c r="F1918" t="s">
        <v>14</v>
      </c>
      <c r="G1918">
        <v>77</v>
      </c>
      <c r="H1918">
        <v>719.64</v>
      </c>
      <c r="I1918">
        <v>63</v>
      </c>
      <c r="J1918" t="s">
        <v>15</v>
      </c>
      <c r="K1918">
        <v>55412.28</v>
      </c>
      <c r="L1918" t="str">
        <f t="shared" si="116"/>
        <v>Feb</v>
      </c>
      <c r="M1918">
        <f t="shared" si="117"/>
        <v>2025</v>
      </c>
      <c r="N1918">
        <f t="shared" si="118"/>
        <v>55412.28</v>
      </c>
      <c r="O1918" t="str">
        <f t="shared" si="119"/>
        <v>Major Delay</v>
      </c>
    </row>
    <row r="1919" spans="1:15" x14ac:dyDescent="0.25">
      <c r="A1919">
        <v>1918</v>
      </c>
      <c r="B1919" s="2">
        <v>45739</v>
      </c>
      <c r="C1919" t="s">
        <v>31</v>
      </c>
      <c r="D1919" t="s">
        <v>12</v>
      </c>
      <c r="E1919" t="s">
        <v>22</v>
      </c>
      <c r="F1919" t="s">
        <v>21</v>
      </c>
      <c r="G1919">
        <v>279</v>
      </c>
      <c r="H1919">
        <v>647.64</v>
      </c>
      <c r="I1919">
        <v>32</v>
      </c>
      <c r="J1919" t="s">
        <v>15</v>
      </c>
      <c r="K1919">
        <v>180691.56</v>
      </c>
      <c r="L1919" t="str">
        <f t="shared" si="116"/>
        <v>Mar</v>
      </c>
      <c r="M1919">
        <f t="shared" si="117"/>
        <v>2025</v>
      </c>
      <c r="N1919">
        <f t="shared" si="118"/>
        <v>180691.56</v>
      </c>
      <c r="O1919" t="str">
        <f t="shared" si="119"/>
        <v>Moderate Delay</v>
      </c>
    </row>
    <row r="1920" spans="1:15" x14ac:dyDescent="0.25">
      <c r="A1920">
        <v>1919</v>
      </c>
      <c r="B1920" s="2">
        <v>45990</v>
      </c>
      <c r="C1920" t="s">
        <v>31</v>
      </c>
      <c r="D1920" t="s">
        <v>29</v>
      </c>
      <c r="E1920" t="s">
        <v>19</v>
      </c>
      <c r="F1920" t="s">
        <v>21</v>
      </c>
      <c r="G1920">
        <v>271</v>
      </c>
      <c r="H1920">
        <v>136.87</v>
      </c>
      <c r="I1920">
        <v>30</v>
      </c>
      <c r="J1920" t="s">
        <v>15</v>
      </c>
      <c r="K1920">
        <v>37091.769999999997</v>
      </c>
      <c r="L1920" t="str">
        <f t="shared" si="116"/>
        <v>Nov</v>
      </c>
      <c r="M1920">
        <f t="shared" si="117"/>
        <v>2025</v>
      </c>
      <c r="N1920">
        <f t="shared" si="118"/>
        <v>37091.770000000004</v>
      </c>
      <c r="O1920" t="str">
        <f t="shared" si="119"/>
        <v>Minor Delay</v>
      </c>
    </row>
    <row r="1921" spans="1:15" x14ac:dyDescent="0.25">
      <c r="A1921">
        <v>1920</v>
      </c>
      <c r="B1921" s="2">
        <v>46007</v>
      </c>
      <c r="C1921" t="s">
        <v>31</v>
      </c>
      <c r="D1921" t="s">
        <v>29</v>
      </c>
      <c r="E1921" t="s">
        <v>19</v>
      </c>
      <c r="F1921" t="s">
        <v>14</v>
      </c>
      <c r="G1921">
        <v>154</v>
      </c>
      <c r="H1921">
        <v>63.91</v>
      </c>
      <c r="I1921">
        <v>0</v>
      </c>
      <c r="J1921" t="s">
        <v>15</v>
      </c>
      <c r="K1921">
        <v>9842.14</v>
      </c>
      <c r="L1921" t="str">
        <f t="shared" si="116"/>
        <v>Dec</v>
      </c>
      <c r="M1921">
        <f t="shared" si="117"/>
        <v>2025</v>
      </c>
      <c r="N1921">
        <f t="shared" si="118"/>
        <v>9842.14</v>
      </c>
      <c r="O1921" t="str">
        <f t="shared" si="119"/>
        <v>On Time</v>
      </c>
    </row>
    <row r="1922" spans="1:15" x14ac:dyDescent="0.25">
      <c r="A1922">
        <v>1921</v>
      </c>
      <c r="B1922" s="2">
        <v>45910</v>
      </c>
      <c r="C1922" t="s">
        <v>31</v>
      </c>
      <c r="D1922" t="s">
        <v>23</v>
      </c>
      <c r="E1922" t="s">
        <v>19</v>
      </c>
      <c r="F1922" t="s">
        <v>14</v>
      </c>
      <c r="G1922">
        <v>65</v>
      </c>
      <c r="H1922">
        <v>378</v>
      </c>
      <c r="I1922">
        <v>1</v>
      </c>
      <c r="J1922" t="s">
        <v>30</v>
      </c>
      <c r="K1922">
        <v>24570</v>
      </c>
      <c r="L1922" t="str">
        <f t="shared" si="116"/>
        <v>Sep</v>
      </c>
      <c r="M1922">
        <f t="shared" si="117"/>
        <v>2025</v>
      </c>
      <c r="N1922">
        <f t="shared" si="118"/>
        <v>24570</v>
      </c>
      <c r="O1922" t="str">
        <f t="shared" si="119"/>
        <v>Minor Delay</v>
      </c>
    </row>
    <row r="1923" spans="1:15" x14ac:dyDescent="0.25">
      <c r="A1923">
        <v>1922</v>
      </c>
      <c r="B1923" s="2">
        <v>45727</v>
      </c>
      <c r="C1923" t="s">
        <v>18</v>
      </c>
      <c r="D1923" t="s">
        <v>23</v>
      </c>
      <c r="E1923" t="s">
        <v>17</v>
      </c>
      <c r="F1923" t="s">
        <v>21</v>
      </c>
      <c r="G1923">
        <v>155</v>
      </c>
      <c r="H1923">
        <v>733.95</v>
      </c>
      <c r="I1923">
        <v>3</v>
      </c>
      <c r="J1923" t="s">
        <v>15</v>
      </c>
      <c r="K1923">
        <v>113762.25</v>
      </c>
      <c r="L1923" t="str">
        <f t="shared" ref="L1923:L1986" si="120">TEXT(B1923,"MMM")</f>
        <v>Mar</v>
      </c>
      <c r="M1923">
        <f t="shared" ref="M1923:M1986" si="121">YEAR(B1923)</f>
        <v>2025</v>
      </c>
      <c r="N1923">
        <f t="shared" ref="N1923:N1986" si="122">G1923*H1923</f>
        <v>113762.25</v>
      </c>
      <c r="O1923" t="str">
        <f t="shared" ref="O1923:O1986" si="123">IF(I1923=0,"On Time",IF(I1923&lt;=30,"Minor Delay",IF(I1923&lt;=60,"Moderate Delay","Major Delay")))</f>
        <v>Minor Delay</v>
      </c>
    </row>
    <row r="1924" spans="1:15" x14ac:dyDescent="0.25">
      <c r="A1924">
        <v>1923</v>
      </c>
      <c r="B1924" s="2">
        <v>46019</v>
      </c>
      <c r="C1924" t="s">
        <v>18</v>
      </c>
      <c r="D1924" t="s">
        <v>19</v>
      </c>
      <c r="E1924" t="s">
        <v>12</v>
      </c>
      <c r="F1924" t="s">
        <v>24</v>
      </c>
      <c r="G1924">
        <v>215</v>
      </c>
      <c r="H1924">
        <v>507.89</v>
      </c>
      <c r="I1924">
        <v>32</v>
      </c>
      <c r="J1924" t="s">
        <v>15</v>
      </c>
      <c r="K1924">
        <v>109196.35</v>
      </c>
      <c r="L1924" t="str">
        <f t="shared" si="120"/>
        <v>Dec</v>
      </c>
      <c r="M1924">
        <f t="shared" si="121"/>
        <v>2025</v>
      </c>
      <c r="N1924">
        <f t="shared" si="122"/>
        <v>109196.34999999999</v>
      </c>
      <c r="O1924" t="str">
        <f t="shared" si="123"/>
        <v>Moderate Delay</v>
      </c>
    </row>
    <row r="1925" spans="1:15" x14ac:dyDescent="0.25">
      <c r="A1925">
        <v>1924</v>
      </c>
      <c r="B1925" s="2">
        <v>45953</v>
      </c>
      <c r="C1925" t="s">
        <v>11</v>
      </c>
      <c r="D1925" t="s">
        <v>23</v>
      </c>
      <c r="E1925" t="s">
        <v>29</v>
      </c>
      <c r="F1925" t="s">
        <v>21</v>
      </c>
      <c r="G1925">
        <v>198</v>
      </c>
      <c r="H1925">
        <v>148.78</v>
      </c>
      <c r="I1925">
        <v>20</v>
      </c>
      <c r="J1925" t="s">
        <v>15</v>
      </c>
      <c r="K1925">
        <v>29458.44</v>
      </c>
      <c r="L1925" t="str">
        <f t="shared" si="120"/>
        <v>Oct</v>
      </c>
      <c r="M1925">
        <f t="shared" si="121"/>
        <v>2025</v>
      </c>
      <c r="N1925">
        <f t="shared" si="122"/>
        <v>29458.44</v>
      </c>
      <c r="O1925" t="str">
        <f t="shared" si="123"/>
        <v>Minor Delay</v>
      </c>
    </row>
    <row r="1926" spans="1:15" x14ac:dyDescent="0.25">
      <c r="A1926">
        <v>1925</v>
      </c>
      <c r="B1926" s="2">
        <v>45776</v>
      </c>
      <c r="C1926" t="s">
        <v>11</v>
      </c>
      <c r="D1926" t="s">
        <v>29</v>
      </c>
      <c r="E1926" t="s">
        <v>13</v>
      </c>
      <c r="F1926" t="s">
        <v>21</v>
      </c>
      <c r="G1926">
        <v>61</v>
      </c>
      <c r="H1926">
        <v>601.13</v>
      </c>
      <c r="I1926">
        <v>14</v>
      </c>
      <c r="J1926" t="s">
        <v>15</v>
      </c>
      <c r="K1926">
        <v>36668.93</v>
      </c>
      <c r="L1926" t="str">
        <f t="shared" si="120"/>
        <v>Apr</v>
      </c>
      <c r="M1926">
        <f t="shared" si="121"/>
        <v>2025</v>
      </c>
      <c r="N1926">
        <f t="shared" si="122"/>
        <v>36668.93</v>
      </c>
      <c r="O1926" t="str">
        <f t="shared" si="123"/>
        <v>Minor Delay</v>
      </c>
    </row>
    <row r="1927" spans="1:15" x14ac:dyDescent="0.25">
      <c r="A1927">
        <v>1926</v>
      </c>
      <c r="B1927" s="2">
        <v>45991</v>
      </c>
      <c r="C1927" t="s">
        <v>11</v>
      </c>
      <c r="D1927" t="s">
        <v>12</v>
      </c>
      <c r="E1927" t="s">
        <v>13</v>
      </c>
      <c r="F1927" t="s">
        <v>21</v>
      </c>
      <c r="G1927">
        <v>78</v>
      </c>
      <c r="H1927">
        <v>674.18</v>
      </c>
      <c r="I1927">
        <v>7</v>
      </c>
      <c r="J1927" t="s">
        <v>15</v>
      </c>
      <c r="K1927">
        <v>52586.04</v>
      </c>
      <c r="L1927" t="str">
        <f t="shared" si="120"/>
        <v>Nov</v>
      </c>
      <c r="M1927">
        <f t="shared" si="121"/>
        <v>2025</v>
      </c>
      <c r="N1927">
        <f t="shared" si="122"/>
        <v>52586.039999999994</v>
      </c>
      <c r="O1927" t="str">
        <f t="shared" si="123"/>
        <v>Minor Delay</v>
      </c>
    </row>
    <row r="1928" spans="1:15" x14ac:dyDescent="0.25">
      <c r="A1928">
        <v>1927</v>
      </c>
      <c r="B1928" s="2">
        <v>45763</v>
      </c>
      <c r="C1928" t="s">
        <v>18</v>
      </c>
      <c r="D1928" t="s">
        <v>12</v>
      </c>
      <c r="E1928" t="s">
        <v>17</v>
      </c>
      <c r="F1928" t="s">
        <v>14</v>
      </c>
      <c r="G1928">
        <v>87</v>
      </c>
      <c r="H1928">
        <v>595.99</v>
      </c>
      <c r="I1928">
        <v>31</v>
      </c>
      <c r="J1928" t="s">
        <v>15</v>
      </c>
      <c r="K1928">
        <v>51851.13</v>
      </c>
      <c r="L1928" t="str">
        <f t="shared" si="120"/>
        <v>Apr</v>
      </c>
      <c r="M1928">
        <f t="shared" si="121"/>
        <v>2025</v>
      </c>
      <c r="N1928">
        <f t="shared" si="122"/>
        <v>51851.13</v>
      </c>
      <c r="O1928" t="str">
        <f t="shared" si="123"/>
        <v>Moderate Delay</v>
      </c>
    </row>
    <row r="1929" spans="1:15" x14ac:dyDescent="0.25">
      <c r="A1929">
        <v>1928</v>
      </c>
      <c r="B1929" s="2">
        <v>45995</v>
      </c>
      <c r="C1929" t="s">
        <v>31</v>
      </c>
      <c r="D1929" t="s">
        <v>17</v>
      </c>
      <c r="E1929" t="s">
        <v>20</v>
      </c>
      <c r="F1929" t="s">
        <v>21</v>
      </c>
      <c r="G1929">
        <v>120</v>
      </c>
      <c r="H1929">
        <v>388.12</v>
      </c>
      <c r="I1929">
        <v>0</v>
      </c>
      <c r="J1929" t="s">
        <v>15</v>
      </c>
      <c r="K1929">
        <v>46574.400000000001</v>
      </c>
      <c r="L1929" t="str">
        <f t="shared" si="120"/>
        <v>Dec</v>
      </c>
      <c r="M1929">
        <f t="shared" si="121"/>
        <v>2025</v>
      </c>
      <c r="N1929">
        <f t="shared" si="122"/>
        <v>46574.400000000001</v>
      </c>
      <c r="O1929" t="str">
        <f t="shared" si="123"/>
        <v>On Time</v>
      </c>
    </row>
    <row r="1930" spans="1:15" x14ac:dyDescent="0.25">
      <c r="A1930">
        <v>1929</v>
      </c>
      <c r="B1930" s="2">
        <v>45857</v>
      </c>
      <c r="C1930" t="s">
        <v>26</v>
      </c>
      <c r="D1930" t="s">
        <v>29</v>
      </c>
      <c r="E1930" t="s">
        <v>23</v>
      </c>
      <c r="F1930" t="s">
        <v>14</v>
      </c>
      <c r="G1930">
        <v>272</v>
      </c>
      <c r="H1930">
        <v>552.73</v>
      </c>
      <c r="I1930">
        <v>37</v>
      </c>
      <c r="J1930" t="s">
        <v>15</v>
      </c>
      <c r="K1930">
        <v>150342.56</v>
      </c>
      <c r="L1930" t="str">
        <f t="shared" si="120"/>
        <v>Jul</v>
      </c>
      <c r="M1930">
        <f t="shared" si="121"/>
        <v>2025</v>
      </c>
      <c r="N1930">
        <f t="shared" si="122"/>
        <v>150342.56</v>
      </c>
      <c r="O1930" t="str">
        <f t="shared" si="123"/>
        <v>Moderate Delay</v>
      </c>
    </row>
    <row r="1931" spans="1:15" x14ac:dyDescent="0.25">
      <c r="A1931">
        <v>1930</v>
      </c>
      <c r="B1931" s="2">
        <v>45683</v>
      </c>
      <c r="C1931" t="s">
        <v>26</v>
      </c>
      <c r="D1931" t="s">
        <v>23</v>
      </c>
      <c r="E1931" t="s">
        <v>20</v>
      </c>
      <c r="F1931" t="s">
        <v>14</v>
      </c>
      <c r="G1931">
        <v>160</v>
      </c>
      <c r="H1931">
        <v>403.05</v>
      </c>
      <c r="I1931">
        <v>13</v>
      </c>
      <c r="J1931" t="s">
        <v>15</v>
      </c>
      <c r="K1931">
        <v>64488</v>
      </c>
      <c r="L1931" t="str">
        <f t="shared" si="120"/>
        <v>Jan</v>
      </c>
      <c r="M1931">
        <f t="shared" si="121"/>
        <v>2025</v>
      </c>
      <c r="N1931">
        <f t="shared" si="122"/>
        <v>64488</v>
      </c>
      <c r="O1931" t="str">
        <f t="shared" si="123"/>
        <v>Minor Delay</v>
      </c>
    </row>
    <row r="1932" spans="1:15" x14ac:dyDescent="0.25">
      <c r="A1932">
        <v>1931</v>
      </c>
      <c r="B1932" s="2">
        <v>45926</v>
      </c>
      <c r="C1932" t="s">
        <v>26</v>
      </c>
      <c r="D1932" t="s">
        <v>13</v>
      </c>
      <c r="E1932" t="s">
        <v>27</v>
      </c>
      <c r="F1932" t="s">
        <v>14</v>
      </c>
      <c r="G1932">
        <v>155</v>
      </c>
      <c r="H1932">
        <v>141.71</v>
      </c>
      <c r="I1932">
        <v>15</v>
      </c>
      <c r="J1932" t="s">
        <v>15</v>
      </c>
      <c r="K1932">
        <v>21965.05</v>
      </c>
      <c r="L1932" t="str">
        <f t="shared" si="120"/>
        <v>Sep</v>
      </c>
      <c r="M1932">
        <f t="shared" si="121"/>
        <v>2025</v>
      </c>
      <c r="N1932">
        <f t="shared" si="122"/>
        <v>21965.050000000003</v>
      </c>
      <c r="O1932" t="str">
        <f t="shared" si="123"/>
        <v>Minor Delay</v>
      </c>
    </row>
    <row r="1933" spans="1:15" x14ac:dyDescent="0.25">
      <c r="A1933">
        <v>1932</v>
      </c>
      <c r="B1933" s="2">
        <v>45929</v>
      </c>
      <c r="C1933" t="s">
        <v>16</v>
      </c>
      <c r="D1933" t="s">
        <v>13</v>
      </c>
      <c r="E1933" t="s">
        <v>27</v>
      </c>
      <c r="F1933" t="s">
        <v>21</v>
      </c>
      <c r="G1933">
        <v>166</v>
      </c>
      <c r="H1933">
        <v>317.39999999999998</v>
      </c>
      <c r="I1933">
        <v>39</v>
      </c>
      <c r="J1933" t="s">
        <v>15</v>
      </c>
      <c r="K1933">
        <v>52688.4</v>
      </c>
      <c r="L1933" t="str">
        <f t="shared" si="120"/>
        <v>Sep</v>
      </c>
      <c r="M1933">
        <f t="shared" si="121"/>
        <v>2025</v>
      </c>
      <c r="N1933">
        <f t="shared" si="122"/>
        <v>52688.399999999994</v>
      </c>
      <c r="O1933" t="str">
        <f t="shared" si="123"/>
        <v>Moderate Delay</v>
      </c>
    </row>
    <row r="1934" spans="1:15" x14ac:dyDescent="0.25">
      <c r="A1934">
        <v>1933</v>
      </c>
      <c r="B1934" s="2">
        <v>46010</v>
      </c>
      <c r="C1934" t="s">
        <v>26</v>
      </c>
      <c r="D1934" t="s">
        <v>20</v>
      </c>
      <c r="E1934" t="s">
        <v>19</v>
      </c>
      <c r="F1934" t="s">
        <v>24</v>
      </c>
      <c r="G1934">
        <v>296</v>
      </c>
      <c r="H1934">
        <v>349.04</v>
      </c>
      <c r="I1934">
        <v>29</v>
      </c>
      <c r="J1934" t="s">
        <v>30</v>
      </c>
      <c r="K1934">
        <v>103315.84</v>
      </c>
      <c r="L1934" t="str">
        <f t="shared" si="120"/>
        <v>Dec</v>
      </c>
      <c r="M1934">
        <f t="shared" si="121"/>
        <v>2025</v>
      </c>
      <c r="N1934">
        <f t="shared" si="122"/>
        <v>103315.84000000001</v>
      </c>
      <c r="O1934" t="str">
        <f t="shared" si="123"/>
        <v>Minor Delay</v>
      </c>
    </row>
    <row r="1935" spans="1:15" x14ac:dyDescent="0.25">
      <c r="A1935">
        <v>1934</v>
      </c>
      <c r="B1935" s="2">
        <v>45988</v>
      </c>
      <c r="C1935" t="s">
        <v>18</v>
      </c>
      <c r="D1935" t="s">
        <v>13</v>
      </c>
      <c r="E1935" t="s">
        <v>23</v>
      </c>
      <c r="F1935" t="s">
        <v>24</v>
      </c>
      <c r="G1935">
        <v>106</v>
      </c>
      <c r="H1935">
        <v>790</v>
      </c>
      <c r="I1935">
        <v>34</v>
      </c>
      <c r="J1935" t="s">
        <v>15</v>
      </c>
      <c r="K1935">
        <v>83740</v>
      </c>
      <c r="L1935" t="str">
        <f t="shared" si="120"/>
        <v>Nov</v>
      </c>
      <c r="M1935">
        <f t="shared" si="121"/>
        <v>2025</v>
      </c>
      <c r="N1935">
        <f t="shared" si="122"/>
        <v>83740</v>
      </c>
      <c r="O1935" t="str">
        <f t="shared" si="123"/>
        <v>Moderate Delay</v>
      </c>
    </row>
    <row r="1936" spans="1:15" x14ac:dyDescent="0.25">
      <c r="A1936">
        <v>1935</v>
      </c>
      <c r="B1936" s="2">
        <v>45795</v>
      </c>
      <c r="C1936" t="s">
        <v>25</v>
      </c>
      <c r="D1936" t="s">
        <v>29</v>
      </c>
      <c r="E1936" t="s">
        <v>12</v>
      </c>
      <c r="F1936" t="s">
        <v>24</v>
      </c>
      <c r="G1936">
        <v>183</v>
      </c>
      <c r="H1936">
        <v>248.56</v>
      </c>
      <c r="I1936">
        <v>60</v>
      </c>
      <c r="J1936" t="s">
        <v>15</v>
      </c>
      <c r="K1936">
        <v>45486.48</v>
      </c>
      <c r="L1936" t="str">
        <f t="shared" si="120"/>
        <v>May</v>
      </c>
      <c r="M1936">
        <f t="shared" si="121"/>
        <v>2025</v>
      </c>
      <c r="N1936">
        <f t="shared" si="122"/>
        <v>45486.48</v>
      </c>
      <c r="O1936" t="str">
        <f t="shared" si="123"/>
        <v>Moderate Delay</v>
      </c>
    </row>
    <row r="1937" spans="1:15" x14ac:dyDescent="0.25">
      <c r="A1937">
        <v>1936</v>
      </c>
      <c r="B1937" s="2">
        <v>45668</v>
      </c>
      <c r="C1937" t="s">
        <v>16</v>
      </c>
      <c r="D1937" t="s">
        <v>23</v>
      </c>
      <c r="E1937" t="s">
        <v>20</v>
      </c>
      <c r="F1937" t="s">
        <v>21</v>
      </c>
      <c r="G1937">
        <v>295</v>
      </c>
      <c r="H1937">
        <v>714.76</v>
      </c>
      <c r="I1937">
        <v>48</v>
      </c>
      <c r="J1937" t="s">
        <v>15</v>
      </c>
      <c r="K1937">
        <v>210854.2</v>
      </c>
      <c r="L1937" t="str">
        <f t="shared" si="120"/>
        <v>Jan</v>
      </c>
      <c r="M1937">
        <f t="shared" si="121"/>
        <v>2025</v>
      </c>
      <c r="N1937">
        <f t="shared" si="122"/>
        <v>210854.2</v>
      </c>
      <c r="O1937" t="str">
        <f t="shared" si="123"/>
        <v>Moderate Delay</v>
      </c>
    </row>
    <row r="1938" spans="1:15" x14ac:dyDescent="0.25">
      <c r="A1938">
        <v>1937</v>
      </c>
      <c r="B1938" s="2">
        <v>45783</v>
      </c>
      <c r="C1938" t="s">
        <v>25</v>
      </c>
      <c r="D1938" t="s">
        <v>23</v>
      </c>
      <c r="E1938" t="s">
        <v>22</v>
      </c>
      <c r="F1938" t="s">
        <v>21</v>
      </c>
      <c r="G1938">
        <v>269</v>
      </c>
      <c r="H1938">
        <v>514.05999999999995</v>
      </c>
      <c r="I1938">
        <v>29</v>
      </c>
      <c r="J1938" t="s">
        <v>15</v>
      </c>
      <c r="K1938">
        <v>138282.14000000001</v>
      </c>
      <c r="L1938" t="str">
        <f t="shared" si="120"/>
        <v>May</v>
      </c>
      <c r="M1938">
        <f t="shared" si="121"/>
        <v>2025</v>
      </c>
      <c r="N1938">
        <f t="shared" si="122"/>
        <v>138282.13999999998</v>
      </c>
      <c r="O1938" t="str">
        <f t="shared" si="123"/>
        <v>Minor Delay</v>
      </c>
    </row>
    <row r="1939" spans="1:15" x14ac:dyDescent="0.25">
      <c r="A1939">
        <v>1938</v>
      </c>
      <c r="B1939" s="2">
        <v>45734</v>
      </c>
      <c r="C1939" t="s">
        <v>16</v>
      </c>
      <c r="D1939" t="s">
        <v>20</v>
      </c>
      <c r="E1939" t="s">
        <v>13</v>
      </c>
      <c r="F1939" t="s">
        <v>24</v>
      </c>
      <c r="G1939">
        <v>246</v>
      </c>
      <c r="H1939">
        <v>570.33000000000004</v>
      </c>
      <c r="I1939">
        <v>0</v>
      </c>
      <c r="J1939" t="s">
        <v>15</v>
      </c>
      <c r="K1939">
        <v>140301.18</v>
      </c>
      <c r="L1939" t="str">
        <f t="shared" si="120"/>
        <v>Mar</v>
      </c>
      <c r="M1939">
        <f t="shared" si="121"/>
        <v>2025</v>
      </c>
      <c r="N1939">
        <f t="shared" si="122"/>
        <v>140301.18000000002</v>
      </c>
      <c r="O1939" t="str">
        <f t="shared" si="123"/>
        <v>On Time</v>
      </c>
    </row>
    <row r="1940" spans="1:15" x14ac:dyDescent="0.25">
      <c r="A1940">
        <v>1939</v>
      </c>
      <c r="B1940" s="2">
        <v>45904</v>
      </c>
      <c r="C1940" t="s">
        <v>11</v>
      </c>
      <c r="D1940" t="s">
        <v>22</v>
      </c>
      <c r="E1940" t="s">
        <v>13</v>
      </c>
      <c r="F1940" t="s">
        <v>14</v>
      </c>
      <c r="G1940">
        <v>77</v>
      </c>
      <c r="H1940">
        <v>602.14</v>
      </c>
      <c r="I1940">
        <v>15</v>
      </c>
      <c r="J1940" t="s">
        <v>15</v>
      </c>
      <c r="K1940">
        <v>46364.78</v>
      </c>
      <c r="L1940" t="str">
        <f t="shared" si="120"/>
        <v>Sep</v>
      </c>
      <c r="M1940">
        <f t="shared" si="121"/>
        <v>2025</v>
      </c>
      <c r="N1940">
        <f t="shared" si="122"/>
        <v>46364.78</v>
      </c>
      <c r="O1940" t="str">
        <f t="shared" si="123"/>
        <v>Minor Delay</v>
      </c>
    </row>
    <row r="1941" spans="1:15" x14ac:dyDescent="0.25">
      <c r="A1941">
        <v>1940</v>
      </c>
      <c r="B1941" s="2">
        <v>45979</v>
      </c>
      <c r="C1941" t="s">
        <v>18</v>
      </c>
      <c r="D1941" t="s">
        <v>23</v>
      </c>
      <c r="E1941" t="s">
        <v>19</v>
      </c>
      <c r="F1941" t="s">
        <v>21</v>
      </c>
      <c r="G1941">
        <v>265</v>
      </c>
      <c r="H1941">
        <v>770.88</v>
      </c>
      <c r="I1941">
        <v>0</v>
      </c>
      <c r="J1941" t="s">
        <v>15</v>
      </c>
      <c r="K1941">
        <v>204283.2</v>
      </c>
      <c r="L1941" t="str">
        <f t="shared" si="120"/>
        <v>Nov</v>
      </c>
      <c r="M1941">
        <f t="shared" si="121"/>
        <v>2025</v>
      </c>
      <c r="N1941">
        <f t="shared" si="122"/>
        <v>204283.2</v>
      </c>
      <c r="O1941" t="str">
        <f t="shared" si="123"/>
        <v>On Time</v>
      </c>
    </row>
    <row r="1942" spans="1:15" x14ac:dyDescent="0.25">
      <c r="A1942">
        <v>1941</v>
      </c>
      <c r="B1942" s="2">
        <v>45852</v>
      </c>
      <c r="C1942" t="s">
        <v>18</v>
      </c>
      <c r="D1942" t="s">
        <v>22</v>
      </c>
      <c r="E1942" t="s">
        <v>12</v>
      </c>
      <c r="F1942" t="s">
        <v>21</v>
      </c>
      <c r="G1942">
        <v>100</v>
      </c>
      <c r="H1942">
        <v>718.79</v>
      </c>
      <c r="I1942">
        <v>0</v>
      </c>
      <c r="J1942" t="s">
        <v>15</v>
      </c>
      <c r="K1942">
        <v>71879</v>
      </c>
      <c r="L1942" t="str">
        <f t="shared" si="120"/>
        <v>Jul</v>
      </c>
      <c r="M1942">
        <f t="shared" si="121"/>
        <v>2025</v>
      </c>
      <c r="N1942">
        <f t="shared" si="122"/>
        <v>71879</v>
      </c>
      <c r="O1942" t="str">
        <f t="shared" si="123"/>
        <v>On Time</v>
      </c>
    </row>
    <row r="1943" spans="1:15" x14ac:dyDescent="0.25">
      <c r="A1943">
        <v>1942</v>
      </c>
      <c r="B1943" s="2">
        <v>45910</v>
      </c>
      <c r="C1943" t="s">
        <v>11</v>
      </c>
      <c r="D1943" t="s">
        <v>19</v>
      </c>
      <c r="E1943" t="s">
        <v>17</v>
      </c>
      <c r="F1943" t="s">
        <v>24</v>
      </c>
      <c r="G1943">
        <v>295</v>
      </c>
      <c r="H1943">
        <v>476.2</v>
      </c>
      <c r="I1943">
        <v>64</v>
      </c>
      <c r="J1943" t="s">
        <v>15</v>
      </c>
      <c r="K1943">
        <v>140479</v>
      </c>
      <c r="L1943" t="str">
        <f t="shared" si="120"/>
        <v>Sep</v>
      </c>
      <c r="M1943">
        <f t="shared" si="121"/>
        <v>2025</v>
      </c>
      <c r="N1943">
        <f t="shared" si="122"/>
        <v>140479</v>
      </c>
      <c r="O1943" t="str">
        <f t="shared" si="123"/>
        <v>Major Delay</v>
      </c>
    </row>
    <row r="1944" spans="1:15" x14ac:dyDescent="0.25">
      <c r="A1944">
        <v>1943</v>
      </c>
      <c r="B1944" s="2">
        <v>45776</v>
      </c>
      <c r="C1944" t="s">
        <v>18</v>
      </c>
      <c r="D1944" t="s">
        <v>12</v>
      </c>
      <c r="E1944" t="s">
        <v>19</v>
      </c>
      <c r="F1944" t="s">
        <v>14</v>
      </c>
      <c r="G1944">
        <v>102</v>
      </c>
      <c r="H1944">
        <v>405.64</v>
      </c>
      <c r="I1944">
        <v>0</v>
      </c>
      <c r="J1944" t="s">
        <v>15</v>
      </c>
      <c r="K1944">
        <v>41375.279999999999</v>
      </c>
      <c r="L1944" t="str">
        <f t="shared" si="120"/>
        <v>Apr</v>
      </c>
      <c r="M1944">
        <f t="shared" si="121"/>
        <v>2025</v>
      </c>
      <c r="N1944">
        <f t="shared" si="122"/>
        <v>41375.279999999999</v>
      </c>
      <c r="O1944" t="str">
        <f t="shared" si="123"/>
        <v>On Time</v>
      </c>
    </row>
    <row r="1945" spans="1:15" x14ac:dyDescent="0.25">
      <c r="A1945">
        <v>1944</v>
      </c>
      <c r="B1945" s="2">
        <v>45727</v>
      </c>
      <c r="C1945" t="s">
        <v>11</v>
      </c>
      <c r="D1945" t="s">
        <v>27</v>
      </c>
      <c r="E1945" t="s">
        <v>20</v>
      </c>
      <c r="F1945" t="s">
        <v>21</v>
      </c>
      <c r="G1945">
        <v>104</v>
      </c>
      <c r="H1945">
        <v>221.67</v>
      </c>
      <c r="I1945">
        <v>11</v>
      </c>
      <c r="J1945" t="s">
        <v>15</v>
      </c>
      <c r="K1945">
        <v>23053.68</v>
      </c>
      <c r="L1945" t="str">
        <f t="shared" si="120"/>
        <v>Mar</v>
      </c>
      <c r="M1945">
        <f t="shared" si="121"/>
        <v>2025</v>
      </c>
      <c r="N1945">
        <f t="shared" si="122"/>
        <v>23053.68</v>
      </c>
      <c r="O1945" t="str">
        <f t="shared" si="123"/>
        <v>Minor Delay</v>
      </c>
    </row>
    <row r="1946" spans="1:15" x14ac:dyDescent="0.25">
      <c r="A1946">
        <v>1945</v>
      </c>
      <c r="B1946" s="2">
        <v>45958</v>
      </c>
      <c r="C1946" t="s">
        <v>18</v>
      </c>
      <c r="D1946" t="s">
        <v>23</v>
      </c>
      <c r="E1946" t="s">
        <v>13</v>
      </c>
      <c r="F1946" t="s">
        <v>14</v>
      </c>
      <c r="G1946">
        <v>121</v>
      </c>
      <c r="H1946">
        <v>535.83000000000004</v>
      </c>
      <c r="I1946">
        <v>60</v>
      </c>
      <c r="J1946" t="s">
        <v>15</v>
      </c>
      <c r="K1946">
        <v>64835.43</v>
      </c>
      <c r="L1946" t="str">
        <f t="shared" si="120"/>
        <v>Oct</v>
      </c>
      <c r="M1946">
        <f t="shared" si="121"/>
        <v>2025</v>
      </c>
      <c r="N1946">
        <f t="shared" si="122"/>
        <v>64835.430000000008</v>
      </c>
      <c r="O1946" t="str">
        <f t="shared" si="123"/>
        <v>Moderate Delay</v>
      </c>
    </row>
    <row r="1947" spans="1:15" x14ac:dyDescent="0.25">
      <c r="A1947">
        <v>1946</v>
      </c>
      <c r="B1947" s="2">
        <v>45705</v>
      </c>
      <c r="C1947" t="s">
        <v>26</v>
      </c>
      <c r="D1947" t="s">
        <v>19</v>
      </c>
      <c r="E1947" t="s">
        <v>12</v>
      </c>
      <c r="F1947" t="s">
        <v>21</v>
      </c>
      <c r="G1947">
        <v>187</v>
      </c>
      <c r="H1947">
        <v>612.35</v>
      </c>
      <c r="I1947">
        <v>0</v>
      </c>
      <c r="J1947" t="s">
        <v>30</v>
      </c>
      <c r="K1947">
        <v>114509.45</v>
      </c>
      <c r="L1947" t="str">
        <f t="shared" si="120"/>
        <v>Feb</v>
      </c>
      <c r="M1947">
        <f t="shared" si="121"/>
        <v>2025</v>
      </c>
      <c r="N1947">
        <f t="shared" si="122"/>
        <v>114509.45</v>
      </c>
      <c r="O1947" t="str">
        <f t="shared" si="123"/>
        <v>On Time</v>
      </c>
    </row>
    <row r="1948" spans="1:15" x14ac:dyDescent="0.25">
      <c r="A1948">
        <v>1947</v>
      </c>
      <c r="B1948" s="2">
        <v>45901</v>
      </c>
      <c r="C1948" t="s">
        <v>25</v>
      </c>
      <c r="D1948" t="s">
        <v>19</v>
      </c>
      <c r="E1948" t="s">
        <v>13</v>
      </c>
      <c r="F1948" t="s">
        <v>24</v>
      </c>
      <c r="G1948">
        <v>188</v>
      </c>
      <c r="H1948">
        <v>183.61</v>
      </c>
      <c r="I1948">
        <v>21</v>
      </c>
      <c r="J1948" t="s">
        <v>30</v>
      </c>
      <c r="K1948">
        <v>34518.68</v>
      </c>
      <c r="L1948" t="str">
        <f t="shared" si="120"/>
        <v>Sep</v>
      </c>
      <c r="M1948">
        <f t="shared" si="121"/>
        <v>2025</v>
      </c>
      <c r="N1948">
        <f t="shared" si="122"/>
        <v>34518.68</v>
      </c>
      <c r="O1948" t="str">
        <f t="shared" si="123"/>
        <v>Minor Delay</v>
      </c>
    </row>
    <row r="1949" spans="1:15" x14ac:dyDescent="0.25">
      <c r="A1949">
        <v>1948</v>
      </c>
      <c r="B1949" s="2">
        <v>45868</v>
      </c>
      <c r="C1949" t="s">
        <v>26</v>
      </c>
      <c r="D1949" t="s">
        <v>20</v>
      </c>
      <c r="E1949" t="s">
        <v>19</v>
      </c>
      <c r="F1949" t="s">
        <v>14</v>
      </c>
      <c r="G1949">
        <v>72</v>
      </c>
      <c r="H1949">
        <v>432.74</v>
      </c>
      <c r="I1949">
        <v>0</v>
      </c>
      <c r="J1949" t="s">
        <v>15</v>
      </c>
      <c r="K1949">
        <v>31157.279999999999</v>
      </c>
      <c r="L1949" t="str">
        <f t="shared" si="120"/>
        <v>Jul</v>
      </c>
      <c r="M1949">
        <f t="shared" si="121"/>
        <v>2025</v>
      </c>
      <c r="N1949">
        <f t="shared" si="122"/>
        <v>31157.279999999999</v>
      </c>
      <c r="O1949" t="str">
        <f t="shared" si="123"/>
        <v>On Time</v>
      </c>
    </row>
    <row r="1950" spans="1:15" x14ac:dyDescent="0.25">
      <c r="A1950">
        <v>1949</v>
      </c>
      <c r="B1950" s="2">
        <v>45876</v>
      </c>
      <c r="C1950" t="s">
        <v>25</v>
      </c>
      <c r="D1950" t="s">
        <v>23</v>
      </c>
      <c r="E1950" t="s">
        <v>13</v>
      </c>
      <c r="F1950" t="s">
        <v>24</v>
      </c>
      <c r="G1950">
        <v>289</v>
      </c>
      <c r="H1950">
        <v>324.11</v>
      </c>
      <c r="I1950">
        <v>0</v>
      </c>
      <c r="J1950" t="s">
        <v>15</v>
      </c>
      <c r="K1950">
        <v>93667.79</v>
      </c>
      <c r="L1950" t="str">
        <f t="shared" si="120"/>
        <v>Aug</v>
      </c>
      <c r="M1950">
        <f t="shared" si="121"/>
        <v>2025</v>
      </c>
      <c r="N1950">
        <f t="shared" si="122"/>
        <v>93667.790000000008</v>
      </c>
      <c r="O1950" t="str">
        <f t="shared" si="123"/>
        <v>On Time</v>
      </c>
    </row>
    <row r="1951" spans="1:15" x14ac:dyDescent="0.25">
      <c r="A1951">
        <v>1950</v>
      </c>
      <c r="B1951" s="2">
        <v>45999</v>
      </c>
      <c r="C1951" t="s">
        <v>26</v>
      </c>
      <c r="D1951" t="s">
        <v>12</v>
      </c>
      <c r="E1951" t="s">
        <v>13</v>
      </c>
      <c r="F1951" t="s">
        <v>14</v>
      </c>
      <c r="G1951">
        <v>94</v>
      </c>
      <c r="H1951">
        <v>668.51</v>
      </c>
      <c r="I1951">
        <v>31</v>
      </c>
      <c r="J1951" t="s">
        <v>15</v>
      </c>
      <c r="K1951">
        <v>62839.94</v>
      </c>
      <c r="L1951" t="str">
        <f t="shared" si="120"/>
        <v>Dec</v>
      </c>
      <c r="M1951">
        <f t="shared" si="121"/>
        <v>2025</v>
      </c>
      <c r="N1951">
        <f t="shared" si="122"/>
        <v>62839.94</v>
      </c>
      <c r="O1951" t="str">
        <f t="shared" si="123"/>
        <v>Moderate Delay</v>
      </c>
    </row>
    <row r="1952" spans="1:15" x14ac:dyDescent="0.25">
      <c r="A1952">
        <v>1951</v>
      </c>
      <c r="B1952" s="2">
        <v>45758</v>
      </c>
      <c r="C1952" t="s">
        <v>11</v>
      </c>
      <c r="D1952" t="s">
        <v>13</v>
      </c>
      <c r="E1952" t="s">
        <v>19</v>
      </c>
      <c r="F1952" t="s">
        <v>14</v>
      </c>
      <c r="G1952">
        <v>83</v>
      </c>
      <c r="H1952">
        <v>278.3</v>
      </c>
      <c r="I1952">
        <v>45</v>
      </c>
      <c r="J1952" t="s">
        <v>15</v>
      </c>
      <c r="K1952">
        <v>23098.9</v>
      </c>
      <c r="L1952" t="str">
        <f t="shared" si="120"/>
        <v>Apr</v>
      </c>
      <c r="M1952">
        <f t="shared" si="121"/>
        <v>2025</v>
      </c>
      <c r="N1952">
        <f t="shared" si="122"/>
        <v>23098.9</v>
      </c>
      <c r="O1952" t="str">
        <f t="shared" si="123"/>
        <v>Moderate Delay</v>
      </c>
    </row>
    <row r="1953" spans="1:15" x14ac:dyDescent="0.25">
      <c r="A1953">
        <v>1952</v>
      </c>
      <c r="B1953" s="2">
        <v>45762</v>
      </c>
      <c r="C1953" t="s">
        <v>26</v>
      </c>
      <c r="D1953" t="s">
        <v>13</v>
      </c>
      <c r="E1953" t="s">
        <v>29</v>
      </c>
      <c r="F1953" t="s">
        <v>21</v>
      </c>
      <c r="G1953">
        <v>243</v>
      </c>
      <c r="H1953">
        <v>711.32</v>
      </c>
      <c r="I1953">
        <v>30</v>
      </c>
      <c r="J1953" t="s">
        <v>15</v>
      </c>
      <c r="K1953">
        <v>172850.76</v>
      </c>
      <c r="L1953" t="str">
        <f t="shared" si="120"/>
        <v>Apr</v>
      </c>
      <c r="M1953">
        <f t="shared" si="121"/>
        <v>2025</v>
      </c>
      <c r="N1953">
        <f t="shared" si="122"/>
        <v>172850.76</v>
      </c>
      <c r="O1953" t="str">
        <f t="shared" si="123"/>
        <v>Minor Delay</v>
      </c>
    </row>
    <row r="1954" spans="1:15" x14ac:dyDescent="0.25">
      <c r="A1954">
        <v>1953</v>
      </c>
      <c r="B1954" s="2">
        <v>46010</v>
      </c>
      <c r="C1954" t="s">
        <v>16</v>
      </c>
      <c r="D1954" t="s">
        <v>17</v>
      </c>
      <c r="E1954" t="s">
        <v>29</v>
      </c>
      <c r="F1954" t="s">
        <v>14</v>
      </c>
      <c r="G1954">
        <v>171</v>
      </c>
      <c r="H1954">
        <v>339.78</v>
      </c>
      <c r="I1954">
        <v>23</v>
      </c>
      <c r="J1954" t="s">
        <v>15</v>
      </c>
      <c r="K1954">
        <v>58102.38</v>
      </c>
      <c r="L1954" t="str">
        <f t="shared" si="120"/>
        <v>Dec</v>
      </c>
      <c r="M1954">
        <f t="shared" si="121"/>
        <v>2025</v>
      </c>
      <c r="N1954">
        <f t="shared" si="122"/>
        <v>58102.38</v>
      </c>
      <c r="O1954" t="str">
        <f t="shared" si="123"/>
        <v>Minor Delay</v>
      </c>
    </row>
    <row r="1955" spans="1:15" x14ac:dyDescent="0.25">
      <c r="A1955">
        <v>1954</v>
      </c>
      <c r="B1955" s="2">
        <v>45701</v>
      </c>
      <c r="C1955" t="s">
        <v>11</v>
      </c>
      <c r="D1955" t="s">
        <v>17</v>
      </c>
      <c r="E1955" t="s">
        <v>12</v>
      </c>
      <c r="F1955" t="s">
        <v>14</v>
      </c>
      <c r="G1955">
        <v>68</v>
      </c>
      <c r="H1955">
        <v>173.77</v>
      </c>
      <c r="I1955">
        <v>25</v>
      </c>
      <c r="J1955" t="s">
        <v>15</v>
      </c>
      <c r="K1955">
        <v>11816.36</v>
      </c>
      <c r="L1955" t="str">
        <f t="shared" si="120"/>
        <v>Feb</v>
      </c>
      <c r="M1955">
        <f t="shared" si="121"/>
        <v>2025</v>
      </c>
      <c r="N1955">
        <f t="shared" si="122"/>
        <v>11816.36</v>
      </c>
      <c r="O1955" t="str">
        <f t="shared" si="123"/>
        <v>Minor Delay</v>
      </c>
    </row>
    <row r="1956" spans="1:15" x14ac:dyDescent="0.25">
      <c r="A1956">
        <v>1955</v>
      </c>
      <c r="B1956" s="2">
        <v>45794</v>
      </c>
      <c r="C1956" t="s">
        <v>25</v>
      </c>
      <c r="D1956" t="s">
        <v>19</v>
      </c>
      <c r="E1956" t="s">
        <v>29</v>
      </c>
      <c r="F1956" t="s">
        <v>21</v>
      </c>
      <c r="G1956">
        <v>232</v>
      </c>
      <c r="H1956">
        <v>470.7</v>
      </c>
      <c r="I1956">
        <v>0</v>
      </c>
      <c r="J1956" t="s">
        <v>30</v>
      </c>
      <c r="K1956">
        <v>109202.4</v>
      </c>
      <c r="L1956" t="str">
        <f t="shared" si="120"/>
        <v>May</v>
      </c>
      <c r="M1956">
        <f t="shared" si="121"/>
        <v>2025</v>
      </c>
      <c r="N1956">
        <f t="shared" si="122"/>
        <v>109202.4</v>
      </c>
      <c r="O1956" t="str">
        <f t="shared" si="123"/>
        <v>On Time</v>
      </c>
    </row>
    <row r="1957" spans="1:15" x14ac:dyDescent="0.25">
      <c r="A1957">
        <v>1956</v>
      </c>
      <c r="B1957" s="2">
        <v>45738</v>
      </c>
      <c r="C1957" t="s">
        <v>31</v>
      </c>
      <c r="D1957" t="s">
        <v>22</v>
      </c>
      <c r="E1957" t="s">
        <v>27</v>
      </c>
      <c r="F1957" t="s">
        <v>21</v>
      </c>
      <c r="G1957">
        <v>219</v>
      </c>
      <c r="H1957">
        <v>479.8</v>
      </c>
      <c r="I1957">
        <v>0</v>
      </c>
      <c r="J1957" t="s">
        <v>30</v>
      </c>
      <c r="K1957">
        <v>105076.2</v>
      </c>
      <c r="L1957" t="str">
        <f t="shared" si="120"/>
        <v>Mar</v>
      </c>
      <c r="M1957">
        <f t="shared" si="121"/>
        <v>2025</v>
      </c>
      <c r="N1957">
        <f t="shared" si="122"/>
        <v>105076.2</v>
      </c>
      <c r="O1957" t="str">
        <f t="shared" si="123"/>
        <v>On Time</v>
      </c>
    </row>
    <row r="1958" spans="1:15" x14ac:dyDescent="0.25">
      <c r="A1958">
        <v>1957</v>
      </c>
      <c r="B1958" s="2">
        <v>45970</v>
      </c>
      <c r="C1958" t="s">
        <v>18</v>
      </c>
      <c r="D1958" t="s">
        <v>17</v>
      </c>
      <c r="E1958" t="s">
        <v>29</v>
      </c>
      <c r="F1958" t="s">
        <v>24</v>
      </c>
      <c r="G1958">
        <v>130</v>
      </c>
      <c r="H1958">
        <v>252.57</v>
      </c>
      <c r="I1958">
        <v>29</v>
      </c>
      <c r="J1958" t="s">
        <v>15</v>
      </c>
      <c r="K1958">
        <v>32834.1</v>
      </c>
      <c r="L1958" t="str">
        <f t="shared" si="120"/>
        <v>Nov</v>
      </c>
      <c r="M1958">
        <f t="shared" si="121"/>
        <v>2025</v>
      </c>
      <c r="N1958">
        <f t="shared" si="122"/>
        <v>32834.1</v>
      </c>
      <c r="O1958" t="str">
        <f t="shared" si="123"/>
        <v>Minor Delay</v>
      </c>
    </row>
    <row r="1959" spans="1:15" x14ac:dyDescent="0.25">
      <c r="A1959">
        <v>1958</v>
      </c>
      <c r="B1959" s="2">
        <v>45865</v>
      </c>
      <c r="C1959" t="s">
        <v>26</v>
      </c>
      <c r="D1959" t="s">
        <v>13</v>
      </c>
      <c r="E1959" t="s">
        <v>23</v>
      </c>
      <c r="F1959" t="s">
        <v>24</v>
      </c>
      <c r="G1959">
        <v>247</v>
      </c>
      <c r="H1959">
        <v>456.23</v>
      </c>
      <c r="I1959">
        <v>59</v>
      </c>
      <c r="J1959" t="s">
        <v>30</v>
      </c>
      <c r="K1959">
        <v>112688.81</v>
      </c>
      <c r="L1959" t="str">
        <f t="shared" si="120"/>
        <v>Jul</v>
      </c>
      <c r="M1959">
        <f t="shared" si="121"/>
        <v>2025</v>
      </c>
      <c r="N1959">
        <f t="shared" si="122"/>
        <v>112688.81</v>
      </c>
      <c r="O1959" t="str">
        <f t="shared" si="123"/>
        <v>Moderate Delay</v>
      </c>
    </row>
    <row r="1960" spans="1:15" x14ac:dyDescent="0.25">
      <c r="A1960">
        <v>1959</v>
      </c>
      <c r="B1960" s="2">
        <v>45685</v>
      </c>
      <c r="C1960" t="s">
        <v>11</v>
      </c>
      <c r="D1960" t="s">
        <v>12</v>
      </c>
      <c r="E1960" t="s">
        <v>19</v>
      </c>
      <c r="F1960" t="s">
        <v>21</v>
      </c>
      <c r="G1960">
        <v>229</v>
      </c>
      <c r="H1960">
        <v>454.82</v>
      </c>
      <c r="I1960">
        <v>39</v>
      </c>
      <c r="J1960" t="s">
        <v>15</v>
      </c>
      <c r="K1960">
        <v>104153.78</v>
      </c>
      <c r="L1960" t="str">
        <f t="shared" si="120"/>
        <v>Jan</v>
      </c>
      <c r="M1960">
        <f t="shared" si="121"/>
        <v>2025</v>
      </c>
      <c r="N1960">
        <f t="shared" si="122"/>
        <v>104153.78</v>
      </c>
      <c r="O1960" t="str">
        <f t="shared" si="123"/>
        <v>Moderate Delay</v>
      </c>
    </row>
    <row r="1961" spans="1:15" x14ac:dyDescent="0.25">
      <c r="A1961">
        <v>1960</v>
      </c>
      <c r="B1961" s="2">
        <v>45923</v>
      </c>
      <c r="C1961" t="s">
        <v>11</v>
      </c>
      <c r="D1961" t="s">
        <v>29</v>
      </c>
      <c r="E1961" t="s">
        <v>13</v>
      </c>
      <c r="F1961" t="s">
        <v>21</v>
      </c>
      <c r="G1961">
        <v>274</v>
      </c>
      <c r="H1961">
        <v>231.53</v>
      </c>
      <c r="I1961">
        <v>0</v>
      </c>
      <c r="J1961" t="s">
        <v>15</v>
      </c>
      <c r="K1961">
        <v>63439.22</v>
      </c>
      <c r="L1961" t="str">
        <f t="shared" si="120"/>
        <v>Sep</v>
      </c>
      <c r="M1961">
        <f t="shared" si="121"/>
        <v>2025</v>
      </c>
      <c r="N1961">
        <f t="shared" si="122"/>
        <v>63439.22</v>
      </c>
      <c r="O1961" t="str">
        <f t="shared" si="123"/>
        <v>On Time</v>
      </c>
    </row>
    <row r="1962" spans="1:15" x14ac:dyDescent="0.25">
      <c r="A1962">
        <v>1961</v>
      </c>
      <c r="B1962" s="2">
        <v>45781</v>
      </c>
      <c r="C1962" t="s">
        <v>31</v>
      </c>
      <c r="D1962" t="s">
        <v>13</v>
      </c>
      <c r="E1962" t="s">
        <v>29</v>
      </c>
      <c r="F1962" t="s">
        <v>21</v>
      </c>
      <c r="G1962">
        <v>71</v>
      </c>
      <c r="H1962">
        <v>310.94</v>
      </c>
      <c r="I1962">
        <v>1</v>
      </c>
      <c r="J1962" t="s">
        <v>15</v>
      </c>
      <c r="K1962">
        <v>22076.74</v>
      </c>
      <c r="L1962" t="str">
        <f t="shared" si="120"/>
        <v>May</v>
      </c>
      <c r="M1962">
        <f t="shared" si="121"/>
        <v>2025</v>
      </c>
      <c r="N1962">
        <f t="shared" si="122"/>
        <v>22076.74</v>
      </c>
      <c r="O1962" t="str">
        <f t="shared" si="123"/>
        <v>Minor Delay</v>
      </c>
    </row>
    <row r="1963" spans="1:15" x14ac:dyDescent="0.25">
      <c r="A1963">
        <v>1962</v>
      </c>
      <c r="B1963" s="2">
        <v>45680</v>
      </c>
      <c r="C1963" t="s">
        <v>18</v>
      </c>
      <c r="D1963" t="s">
        <v>29</v>
      </c>
      <c r="E1963" t="s">
        <v>19</v>
      </c>
      <c r="F1963" t="s">
        <v>24</v>
      </c>
      <c r="G1963">
        <v>267</v>
      </c>
      <c r="H1963">
        <v>680.05</v>
      </c>
      <c r="I1963">
        <v>15</v>
      </c>
      <c r="J1963" t="s">
        <v>15</v>
      </c>
      <c r="K1963">
        <v>181573.35</v>
      </c>
      <c r="L1963" t="str">
        <f t="shared" si="120"/>
        <v>Jan</v>
      </c>
      <c r="M1963">
        <f t="shared" si="121"/>
        <v>2025</v>
      </c>
      <c r="N1963">
        <f t="shared" si="122"/>
        <v>181573.34999999998</v>
      </c>
      <c r="O1963" t="str">
        <f t="shared" si="123"/>
        <v>Minor Delay</v>
      </c>
    </row>
    <row r="1964" spans="1:15" x14ac:dyDescent="0.25">
      <c r="A1964">
        <v>1963</v>
      </c>
      <c r="B1964" s="2">
        <v>45923</v>
      </c>
      <c r="C1964" t="s">
        <v>11</v>
      </c>
      <c r="D1964" t="s">
        <v>19</v>
      </c>
      <c r="E1964" t="s">
        <v>12</v>
      </c>
      <c r="F1964" t="s">
        <v>21</v>
      </c>
      <c r="G1964">
        <v>163</v>
      </c>
      <c r="H1964">
        <v>112.86</v>
      </c>
      <c r="I1964">
        <v>14</v>
      </c>
      <c r="J1964" t="s">
        <v>15</v>
      </c>
      <c r="K1964">
        <v>18396.18</v>
      </c>
      <c r="L1964" t="str">
        <f t="shared" si="120"/>
        <v>Sep</v>
      </c>
      <c r="M1964">
        <f t="shared" si="121"/>
        <v>2025</v>
      </c>
      <c r="N1964">
        <f t="shared" si="122"/>
        <v>18396.18</v>
      </c>
      <c r="O1964" t="str">
        <f t="shared" si="123"/>
        <v>Minor Delay</v>
      </c>
    </row>
    <row r="1965" spans="1:15" x14ac:dyDescent="0.25">
      <c r="A1965">
        <v>1964</v>
      </c>
      <c r="B1965" s="2">
        <v>45742</v>
      </c>
      <c r="C1965" t="s">
        <v>25</v>
      </c>
      <c r="D1965" t="s">
        <v>22</v>
      </c>
      <c r="E1965" t="s">
        <v>27</v>
      </c>
      <c r="F1965" t="s">
        <v>24</v>
      </c>
      <c r="G1965">
        <v>266</v>
      </c>
      <c r="H1965">
        <v>309.88</v>
      </c>
      <c r="I1965">
        <v>0</v>
      </c>
      <c r="J1965" t="s">
        <v>15</v>
      </c>
      <c r="K1965">
        <v>82428.08</v>
      </c>
      <c r="L1965" t="str">
        <f t="shared" si="120"/>
        <v>Mar</v>
      </c>
      <c r="M1965">
        <f t="shared" si="121"/>
        <v>2025</v>
      </c>
      <c r="N1965">
        <f t="shared" si="122"/>
        <v>82428.08</v>
      </c>
      <c r="O1965" t="str">
        <f t="shared" si="123"/>
        <v>On Time</v>
      </c>
    </row>
    <row r="1966" spans="1:15" x14ac:dyDescent="0.25">
      <c r="A1966">
        <v>1965</v>
      </c>
      <c r="B1966" s="2">
        <v>45998</v>
      </c>
      <c r="C1966" t="s">
        <v>25</v>
      </c>
      <c r="D1966" t="s">
        <v>13</v>
      </c>
      <c r="E1966" t="s">
        <v>12</v>
      </c>
      <c r="F1966" t="s">
        <v>14</v>
      </c>
      <c r="G1966">
        <v>270</v>
      </c>
      <c r="H1966">
        <v>659.1</v>
      </c>
      <c r="I1966">
        <v>41</v>
      </c>
      <c r="J1966" t="s">
        <v>15</v>
      </c>
      <c r="K1966">
        <v>177957</v>
      </c>
      <c r="L1966" t="str">
        <f t="shared" si="120"/>
        <v>Dec</v>
      </c>
      <c r="M1966">
        <f t="shared" si="121"/>
        <v>2025</v>
      </c>
      <c r="N1966">
        <f t="shared" si="122"/>
        <v>177957</v>
      </c>
      <c r="O1966" t="str">
        <f t="shared" si="123"/>
        <v>Moderate Delay</v>
      </c>
    </row>
    <row r="1967" spans="1:15" x14ac:dyDescent="0.25">
      <c r="A1967">
        <v>1966</v>
      </c>
      <c r="B1967" s="2">
        <v>46010</v>
      </c>
      <c r="C1967" t="s">
        <v>11</v>
      </c>
      <c r="D1967" t="s">
        <v>12</v>
      </c>
      <c r="E1967" t="s">
        <v>29</v>
      </c>
      <c r="F1967" t="s">
        <v>24</v>
      </c>
      <c r="G1967">
        <v>293</v>
      </c>
      <c r="H1967">
        <v>655.98</v>
      </c>
      <c r="I1967">
        <v>24</v>
      </c>
      <c r="J1967" t="s">
        <v>15</v>
      </c>
      <c r="K1967">
        <v>192202.14</v>
      </c>
      <c r="L1967" t="str">
        <f t="shared" si="120"/>
        <v>Dec</v>
      </c>
      <c r="M1967">
        <f t="shared" si="121"/>
        <v>2025</v>
      </c>
      <c r="N1967">
        <f t="shared" si="122"/>
        <v>192202.14</v>
      </c>
      <c r="O1967" t="str">
        <f t="shared" si="123"/>
        <v>Minor Delay</v>
      </c>
    </row>
    <row r="1968" spans="1:15" x14ac:dyDescent="0.25">
      <c r="A1968">
        <v>1967</v>
      </c>
      <c r="B1968" s="2">
        <v>45687</v>
      </c>
      <c r="C1968" t="s">
        <v>25</v>
      </c>
      <c r="D1968" t="s">
        <v>27</v>
      </c>
      <c r="E1968" t="s">
        <v>22</v>
      </c>
      <c r="F1968" t="s">
        <v>21</v>
      </c>
      <c r="G1968">
        <v>297</v>
      </c>
      <c r="H1968">
        <v>507.6</v>
      </c>
      <c r="I1968">
        <v>5</v>
      </c>
      <c r="J1968" t="s">
        <v>15</v>
      </c>
      <c r="K1968">
        <v>150757.20000000001</v>
      </c>
      <c r="L1968" t="str">
        <f t="shared" si="120"/>
        <v>Jan</v>
      </c>
      <c r="M1968">
        <f t="shared" si="121"/>
        <v>2025</v>
      </c>
      <c r="N1968">
        <f t="shared" si="122"/>
        <v>150757.20000000001</v>
      </c>
      <c r="O1968" t="str">
        <f t="shared" si="123"/>
        <v>Minor Delay</v>
      </c>
    </row>
    <row r="1969" spans="1:15" x14ac:dyDescent="0.25">
      <c r="A1969">
        <v>1968</v>
      </c>
      <c r="B1969" s="2">
        <v>45807</v>
      </c>
      <c r="C1969" t="s">
        <v>26</v>
      </c>
      <c r="D1969" t="s">
        <v>12</v>
      </c>
      <c r="E1969" t="s">
        <v>22</v>
      </c>
      <c r="F1969" t="s">
        <v>14</v>
      </c>
      <c r="G1969">
        <v>71</v>
      </c>
      <c r="H1969">
        <v>463.87</v>
      </c>
      <c r="I1969">
        <v>0</v>
      </c>
      <c r="J1969" t="s">
        <v>15</v>
      </c>
      <c r="K1969">
        <v>32934.769999999997</v>
      </c>
      <c r="L1969" t="str">
        <f t="shared" si="120"/>
        <v>May</v>
      </c>
      <c r="M1969">
        <f t="shared" si="121"/>
        <v>2025</v>
      </c>
      <c r="N1969">
        <f t="shared" si="122"/>
        <v>32934.769999999997</v>
      </c>
      <c r="O1969" t="str">
        <f t="shared" si="123"/>
        <v>On Time</v>
      </c>
    </row>
    <row r="1970" spans="1:15" x14ac:dyDescent="0.25">
      <c r="A1970">
        <v>1969</v>
      </c>
      <c r="B1970" s="2">
        <v>45805</v>
      </c>
      <c r="C1970" t="s">
        <v>18</v>
      </c>
      <c r="D1970" t="s">
        <v>27</v>
      </c>
      <c r="E1970" t="s">
        <v>20</v>
      </c>
      <c r="F1970" t="s">
        <v>21</v>
      </c>
      <c r="G1970">
        <v>283</v>
      </c>
      <c r="H1970">
        <v>628.30999999999995</v>
      </c>
      <c r="I1970">
        <v>47</v>
      </c>
      <c r="J1970" t="s">
        <v>15</v>
      </c>
      <c r="K1970">
        <v>177811.73</v>
      </c>
      <c r="L1970" t="str">
        <f t="shared" si="120"/>
        <v>May</v>
      </c>
      <c r="M1970">
        <f t="shared" si="121"/>
        <v>2025</v>
      </c>
      <c r="N1970">
        <f t="shared" si="122"/>
        <v>177811.72999999998</v>
      </c>
      <c r="O1970" t="str">
        <f t="shared" si="123"/>
        <v>Moderate Delay</v>
      </c>
    </row>
    <row r="1971" spans="1:15" x14ac:dyDescent="0.25">
      <c r="A1971">
        <v>1970</v>
      </c>
      <c r="B1971" s="2">
        <v>45852</v>
      </c>
      <c r="C1971" t="s">
        <v>18</v>
      </c>
      <c r="D1971" t="s">
        <v>13</v>
      </c>
      <c r="E1971" t="s">
        <v>17</v>
      </c>
      <c r="F1971" t="s">
        <v>14</v>
      </c>
      <c r="G1971">
        <v>179</v>
      </c>
      <c r="H1971">
        <v>381.67</v>
      </c>
      <c r="I1971">
        <v>57</v>
      </c>
      <c r="J1971" t="s">
        <v>15</v>
      </c>
      <c r="K1971">
        <v>68318.929999999993</v>
      </c>
      <c r="L1971" t="str">
        <f t="shared" si="120"/>
        <v>Jul</v>
      </c>
      <c r="M1971">
        <f t="shared" si="121"/>
        <v>2025</v>
      </c>
      <c r="N1971">
        <f t="shared" si="122"/>
        <v>68318.930000000008</v>
      </c>
      <c r="O1971" t="str">
        <f t="shared" si="123"/>
        <v>Moderate Delay</v>
      </c>
    </row>
    <row r="1972" spans="1:15" x14ac:dyDescent="0.25">
      <c r="A1972">
        <v>1971</v>
      </c>
      <c r="B1972" s="2">
        <v>45996</v>
      </c>
      <c r="C1972" t="s">
        <v>26</v>
      </c>
      <c r="D1972" t="s">
        <v>13</v>
      </c>
      <c r="E1972" t="s">
        <v>12</v>
      </c>
      <c r="F1972" t="s">
        <v>14</v>
      </c>
      <c r="G1972">
        <v>146</v>
      </c>
      <c r="H1972">
        <v>315.56</v>
      </c>
      <c r="I1972">
        <v>7</v>
      </c>
      <c r="J1972" t="s">
        <v>15</v>
      </c>
      <c r="K1972">
        <v>46071.76</v>
      </c>
      <c r="L1972" t="str">
        <f t="shared" si="120"/>
        <v>Dec</v>
      </c>
      <c r="M1972">
        <f t="shared" si="121"/>
        <v>2025</v>
      </c>
      <c r="N1972">
        <f t="shared" si="122"/>
        <v>46071.76</v>
      </c>
      <c r="O1972" t="str">
        <f t="shared" si="123"/>
        <v>Minor Delay</v>
      </c>
    </row>
    <row r="1973" spans="1:15" x14ac:dyDescent="0.25">
      <c r="A1973">
        <v>1972</v>
      </c>
      <c r="B1973" s="2">
        <v>45865</v>
      </c>
      <c r="C1973" t="s">
        <v>18</v>
      </c>
      <c r="D1973" t="s">
        <v>27</v>
      </c>
      <c r="E1973" t="s">
        <v>29</v>
      </c>
      <c r="F1973" t="s">
        <v>21</v>
      </c>
      <c r="G1973">
        <v>81</v>
      </c>
      <c r="H1973">
        <v>234.49</v>
      </c>
      <c r="I1973">
        <v>39</v>
      </c>
      <c r="J1973" t="s">
        <v>15</v>
      </c>
      <c r="K1973">
        <v>18993.689999999999</v>
      </c>
      <c r="L1973" t="str">
        <f t="shared" si="120"/>
        <v>Jul</v>
      </c>
      <c r="M1973">
        <f t="shared" si="121"/>
        <v>2025</v>
      </c>
      <c r="N1973">
        <f t="shared" si="122"/>
        <v>18993.690000000002</v>
      </c>
      <c r="O1973" t="str">
        <f t="shared" si="123"/>
        <v>Moderate Delay</v>
      </c>
    </row>
    <row r="1974" spans="1:15" x14ac:dyDescent="0.25">
      <c r="A1974">
        <v>1973</v>
      </c>
      <c r="B1974" s="2">
        <v>45822</v>
      </c>
      <c r="C1974" t="s">
        <v>26</v>
      </c>
      <c r="D1974" t="s">
        <v>23</v>
      </c>
      <c r="E1974" t="s">
        <v>19</v>
      </c>
      <c r="F1974" t="s">
        <v>21</v>
      </c>
      <c r="G1974">
        <v>62</v>
      </c>
      <c r="H1974">
        <v>331</v>
      </c>
      <c r="I1974">
        <v>39</v>
      </c>
      <c r="J1974" t="s">
        <v>15</v>
      </c>
      <c r="K1974">
        <v>20522</v>
      </c>
      <c r="L1974" t="str">
        <f t="shared" si="120"/>
        <v>Jun</v>
      </c>
      <c r="M1974">
        <f t="shared" si="121"/>
        <v>2025</v>
      </c>
      <c r="N1974">
        <f t="shared" si="122"/>
        <v>20522</v>
      </c>
      <c r="O1974" t="str">
        <f t="shared" si="123"/>
        <v>Moderate Delay</v>
      </c>
    </row>
    <row r="1975" spans="1:15" x14ac:dyDescent="0.25">
      <c r="A1975">
        <v>1974</v>
      </c>
      <c r="B1975" s="2">
        <v>45978</v>
      </c>
      <c r="C1975" t="s">
        <v>18</v>
      </c>
      <c r="D1975" t="s">
        <v>13</v>
      </c>
      <c r="E1975" t="s">
        <v>12</v>
      </c>
      <c r="F1975" t="s">
        <v>14</v>
      </c>
      <c r="G1975">
        <v>154</v>
      </c>
      <c r="H1975">
        <v>213.86</v>
      </c>
      <c r="I1975">
        <v>0</v>
      </c>
      <c r="J1975" t="s">
        <v>15</v>
      </c>
      <c r="K1975">
        <v>32934.44</v>
      </c>
      <c r="L1975" t="str">
        <f t="shared" si="120"/>
        <v>Nov</v>
      </c>
      <c r="M1975">
        <f t="shared" si="121"/>
        <v>2025</v>
      </c>
      <c r="N1975">
        <f t="shared" si="122"/>
        <v>32934.44</v>
      </c>
      <c r="O1975" t="str">
        <f t="shared" si="123"/>
        <v>On Time</v>
      </c>
    </row>
    <row r="1976" spans="1:15" x14ac:dyDescent="0.25">
      <c r="A1976">
        <v>1975</v>
      </c>
      <c r="B1976" s="2">
        <v>45974</v>
      </c>
      <c r="C1976" t="s">
        <v>26</v>
      </c>
      <c r="D1976" t="s">
        <v>27</v>
      </c>
      <c r="E1976" t="s">
        <v>20</v>
      </c>
      <c r="F1976" t="s">
        <v>14</v>
      </c>
      <c r="G1976">
        <v>247</v>
      </c>
      <c r="H1976">
        <v>522.04999999999995</v>
      </c>
      <c r="I1976">
        <v>0</v>
      </c>
      <c r="J1976" t="s">
        <v>30</v>
      </c>
      <c r="K1976">
        <v>128946.35</v>
      </c>
      <c r="L1976" t="str">
        <f t="shared" si="120"/>
        <v>Nov</v>
      </c>
      <c r="M1976">
        <f t="shared" si="121"/>
        <v>2025</v>
      </c>
      <c r="N1976">
        <f t="shared" si="122"/>
        <v>128946.34999999999</v>
      </c>
      <c r="O1976" t="str">
        <f t="shared" si="123"/>
        <v>On Time</v>
      </c>
    </row>
    <row r="1977" spans="1:15" x14ac:dyDescent="0.25">
      <c r="A1977">
        <v>1976</v>
      </c>
      <c r="B1977" s="2">
        <v>45691</v>
      </c>
      <c r="C1977" t="s">
        <v>16</v>
      </c>
      <c r="D1977" t="s">
        <v>29</v>
      </c>
      <c r="E1977" t="s">
        <v>19</v>
      </c>
      <c r="F1977" t="s">
        <v>24</v>
      </c>
      <c r="G1977">
        <v>255</v>
      </c>
      <c r="H1977">
        <v>94.77</v>
      </c>
      <c r="I1977">
        <v>0</v>
      </c>
      <c r="J1977" t="s">
        <v>15</v>
      </c>
      <c r="K1977">
        <v>24166.35</v>
      </c>
      <c r="L1977" t="str">
        <f t="shared" si="120"/>
        <v>Feb</v>
      </c>
      <c r="M1977">
        <f t="shared" si="121"/>
        <v>2025</v>
      </c>
      <c r="N1977">
        <f t="shared" si="122"/>
        <v>24166.35</v>
      </c>
      <c r="O1977" t="str">
        <f t="shared" si="123"/>
        <v>On Time</v>
      </c>
    </row>
    <row r="1978" spans="1:15" x14ac:dyDescent="0.25">
      <c r="A1978">
        <v>1977</v>
      </c>
      <c r="B1978" s="2">
        <v>45928</v>
      </c>
      <c r="C1978" t="s">
        <v>16</v>
      </c>
      <c r="D1978" t="s">
        <v>17</v>
      </c>
      <c r="E1978" t="s">
        <v>23</v>
      </c>
      <c r="F1978" t="s">
        <v>21</v>
      </c>
      <c r="G1978">
        <v>284</v>
      </c>
      <c r="H1978">
        <v>451.67</v>
      </c>
      <c r="I1978">
        <v>55</v>
      </c>
      <c r="J1978" t="s">
        <v>15</v>
      </c>
      <c r="K1978">
        <v>128274.28</v>
      </c>
      <c r="L1978" t="str">
        <f t="shared" si="120"/>
        <v>Sep</v>
      </c>
      <c r="M1978">
        <f t="shared" si="121"/>
        <v>2025</v>
      </c>
      <c r="N1978">
        <f t="shared" si="122"/>
        <v>128274.28</v>
      </c>
      <c r="O1978" t="str">
        <f t="shared" si="123"/>
        <v>Moderate Delay</v>
      </c>
    </row>
    <row r="1979" spans="1:15" x14ac:dyDescent="0.25">
      <c r="A1979">
        <v>1978</v>
      </c>
      <c r="B1979" s="2">
        <v>45913</v>
      </c>
      <c r="C1979" t="s">
        <v>11</v>
      </c>
      <c r="D1979" t="s">
        <v>29</v>
      </c>
      <c r="E1979" t="s">
        <v>27</v>
      </c>
      <c r="F1979" t="s">
        <v>21</v>
      </c>
      <c r="G1979">
        <v>99</v>
      </c>
      <c r="H1979">
        <v>339.79</v>
      </c>
      <c r="I1979">
        <v>21</v>
      </c>
      <c r="J1979" t="s">
        <v>15</v>
      </c>
      <c r="K1979">
        <v>33639.21</v>
      </c>
      <c r="L1979" t="str">
        <f t="shared" si="120"/>
        <v>Sep</v>
      </c>
      <c r="M1979">
        <f t="shared" si="121"/>
        <v>2025</v>
      </c>
      <c r="N1979">
        <f t="shared" si="122"/>
        <v>33639.21</v>
      </c>
      <c r="O1979" t="str">
        <f t="shared" si="123"/>
        <v>Minor Delay</v>
      </c>
    </row>
    <row r="1980" spans="1:15" x14ac:dyDescent="0.25">
      <c r="A1980">
        <v>1979</v>
      </c>
      <c r="B1980" s="2">
        <v>45862</v>
      </c>
      <c r="C1980" t="s">
        <v>26</v>
      </c>
      <c r="D1980" t="s">
        <v>27</v>
      </c>
      <c r="E1980" t="s">
        <v>12</v>
      </c>
      <c r="F1980" t="s">
        <v>14</v>
      </c>
      <c r="G1980">
        <v>89</v>
      </c>
      <c r="H1980">
        <v>558.02</v>
      </c>
      <c r="I1980">
        <v>35</v>
      </c>
      <c r="J1980" t="s">
        <v>15</v>
      </c>
      <c r="K1980">
        <v>49663.78</v>
      </c>
      <c r="L1980" t="str">
        <f t="shared" si="120"/>
        <v>Jul</v>
      </c>
      <c r="M1980">
        <f t="shared" si="121"/>
        <v>2025</v>
      </c>
      <c r="N1980">
        <f t="shared" si="122"/>
        <v>49663.78</v>
      </c>
      <c r="O1980" t="str">
        <f t="shared" si="123"/>
        <v>Moderate Delay</v>
      </c>
    </row>
    <row r="1981" spans="1:15" x14ac:dyDescent="0.25">
      <c r="A1981">
        <v>1980</v>
      </c>
      <c r="B1981" s="2">
        <v>45866</v>
      </c>
      <c r="C1981" t="s">
        <v>26</v>
      </c>
      <c r="D1981" t="s">
        <v>29</v>
      </c>
      <c r="E1981" t="s">
        <v>22</v>
      </c>
      <c r="F1981" t="s">
        <v>14</v>
      </c>
      <c r="G1981">
        <v>55</v>
      </c>
      <c r="H1981">
        <v>239.61</v>
      </c>
      <c r="I1981">
        <v>39</v>
      </c>
      <c r="J1981" t="s">
        <v>15</v>
      </c>
      <c r="K1981">
        <v>13178.55</v>
      </c>
      <c r="L1981" t="str">
        <f t="shared" si="120"/>
        <v>Jul</v>
      </c>
      <c r="M1981">
        <f t="shared" si="121"/>
        <v>2025</v>
      </c>
      <c r="N1981">
        <f t="shared" si="122"/>
        <v>13178.550000000001</v>
      </c>
      <c r="O1981" t="str">
        <f t="shared" si="123"/>
        <v>Moderate Delay</v>
      </c>
    </row>
    <row r="1982" spans="1:15" x14ac:dyDescent="0.25">
      <c r="A1982">
        <v>1981</v>
      </c>
      <c r="B1982" s="2">
        <v>45928</v>
      </c>
      <c r="C1982" t="s">
        <v>18</v>
      </c>
      <c r="D1982" t="s">
        <v>29</v>
      </c>
      <c r="E1982" t="s">
        <v>17</v>
      </c>
      <c r="F1982" t="s">
        <v>14</v>
      </c>
      <c r="G1982">
        <v>76</v>
      </c>
      <c r="H1982">
        <v>289.08999999999997</v>
      </c>
      <c r="I1982">
        <v>21</v>
      </c>
      <c r="J1982" t="s">
        <v>30</v>
      </c>
      <c r="K1982">
        <v>21970.84</v>
      </c>
      <c r="L1982" t="str">
        <f t="shared" si="120"/>
        <v>Sep</v>
      </c>
      <c r="M1982">
        <f t="shared" si="121"/>
        <v>2025</v>
      </c>
      <c r="N1982">
        <f t="shared" si="122"/>
        <v>21970.839999999997</v>
      </c>
      <c r="O1982" t="str">
        <f t="shared" si="123"/>
        <v>Minor Delay</v>
      </c>
    </row>
    <row r="1983" spans="1:15" x14ac:dyDescent="0.25">
      <c r="A1983">
        <v>1982</v>
      </c>
      <c r="B1983" s="2">
        <v>45981</v>
      </c>
      <c r="C1983" t="s">
        <v>18</v>
      </c>
      <c r="D1983" t="s">
        <v>17</v>
      </c>
      <c r="E1983" t="s">
        <v>23</v>
      </c>
      <c r="F1983" t="s">
        <v>14</v>
      </c>
      <c r="G1983">
        <v>140</v>
      </c>
      <c r="H1983">
        <v>760.14</v>
      </c>
      <c r="I1983">
        <v>9</v>
      </c>
      <c r="J1983" t="s">
        <v>15</v>
      </c>
      <c r="K1983">
        <v>106419.6</v>
      </c>
      <c r="L1983" t="str">
        <f t="shared" si="120"/>
        <v>Nov</v>
      </c>
      <c r="M1983">
        <f t="shared" si="121"/>
        <v>2025</v>
      </c>
      <c r="N1983">
        <f t="shared" si="122"/>
        <v>106419.59999999999</v>
      </c>
      <c r="O1983" t="str">
        <f t="shared" si="123"/>
        <v>Minor Delay</v>
      </c>
    </row>
    <row r="1984" spans="1:15" x14ac:dyDescent="0.25">
      <c r="A1984">
        <v>1983</v>
      </c>
      <c r="B1984" s="2">
        <v>45753</v>
      </c>
      <c r="C1984" t="s">
        <v>18</v>
      </c>
      <c r="D1984" t="s">
        <v>23</v>
      </c>
      <c r="E1984" t="s">
        <v>13</v>
      </c>
      <c r="F1984" t="s">
        <v>14</v>
      </c>
      <c r="G1984">
        <v>234</v>
      </c>
      <c r="H1984">
        <v>560.05999999999995</v>
      </c>
      <c r="I1984">
        <v>0</v>
      </c>
      <c r="J1984" t="s">
        <v>15</v>
      </c>
      <c r="K1984">
        <v>131054.04</v>
      </c>
      <c r="L1984" t="str">
        <f t="shared" si="120"/>
        <v>Apr</v>
      </c>
      <c r="M1984">
        <f t="shared" si="121"/>
        <v>2025</v>
      </c>
      <c r="N1984">
        <f t="shared" si="122"/>
        <v>131054.04</v>
      </c>
      <c r="O1984" t="str">
        <f t="shared" si="123"/>
        <v>On Time</v>
      </c>
    </row>
    <row r="1985" spans="1:15" x14ac:dyDescent="0.25">
      <c r="A1985">
        <v>1984</v>
      </c>
      <c r="B1985" s="2">
        <v>45898</v>
      </c>
      <c r="C1985" t="s">
        <v>18</v>
      </c>
      <c r="D1985" t="s">
        <v>13</v>
      </c>
      <c r="E1985" t="s">
        <v>29</v>
      </c>
      <c r="F1985" t="s">
        <v>24</v>
      </c>
      <c r="G1985">
        <v>155</v>
      </c>
      <c r="H1985">
        <v>646.15</v>
      </c>
      <c r="I1985">
        <v>52</v>
      </c>
      <c r="J1985" t="s">
        <v>30</v>
      </c>
      <c r="K1985">
        <v>100153.25</v>
      </c>
      <c r="L1985" t="str">
        <f t="shared" si="120"/>
        <v>Aug</v>
      </c>
      <c r="M1985">
        <f t="shared" si="121"/>
        <v>2025</v>
      </c>
      <c r="N1985">
        <f t="shared" si="122"/>
        <v>100153.25</v>
      </c>
      <c r="O1985" t="str">
        <f t="shared" si="123"/>
        <v>Moderate Delay</v>
      </c>
    </row>
    <row r="1986" spans="1:15" x14ac:dyDescent="0.25">
      <c r="A1986">
        <v>1985</v>
      </c>
      <c r="B1986" s="2">
        <v>45773</v>
      </c>
      <c r="C1986" t="s">
        <v>25</v>
      </c>
      <c r="D1986" t="s">
        <v>27</v>
      </c>
      <c r="E1986" t="s">
        <v>13</v>
      </c>
      <c r="F1986" t="s">
        <v>14</v>
      </c>
      <c r="G1986">
        <v>144</v>
      </c>
      <c r="H1986">
        <v>238.67</v>
      </c>
      <c r="I1986">
        <v>10</v>
      </c>
      <c r="J1986" t="s">
        <v>30</v>
      </c>
      <c r="K1986">
        <v>34368.480000000003</v>
      </c>
      <c r="L1986" t="str">
        <f t="shared" si="120"/>
        <v>Apr</v>
      </c>
      <c r="M1986">
        <f t="shared" si="121"/>
        <v>2025</v>
      </c>
      <c r="N1986">
        <f t="shared" si="122"/>
        <v>34368.479999999996</v>
      </c>
      <c r="O1986" t="str">
        <f t="shared" si="123"/>
        <v>Minor Delay</v>
      </c>
    </row>
    <row r="1987" spans="1:15" x14ac:dyDescent="0.25">
      <c r="A1987">
        <v>1986</v>
      </c>
      <c r="B1987" s="2">
        <v>45726</v>
      </c>
      <c r="C1987" t="s">
        <v>18</v>
      </c>
      <c r="D1987" t="s">
        <v>23</v>
      </c>
      <c r="E1987" t="s">
        <v>17</v>
      </c>
      <c r="F1987" t="s">
        <v>21</v>
      </c>
      <c r="G1987">
        <v>262</v>
      </c>
      <c r="H1987">
        <v>575.91999999999996</v>
      </c>
      <c r="I1987">
        <v>0</v>
      </c>
      <c r="J1987" t="s">
        <v>15</v>
      </c>
      <c r="K1987">
        <v>150891.04</v>
      </c>
      <c r="L1987" t="str">
        <f t="shared" ref="L1987:L2050" si="124">TEXT(B1987,"MMM")</f>
        <v>Mar</v>
      </c>
      <c r="M1987">
        <f t="shared" ref="M1987:M2050" si="125">YEAR(B1987)</f>
        <v>2025</v>
      </c>
      <c r="N1987">
        <f t="shared" ref="N1987:N2050" si="126">G1987*H1987</f>
        <v>150891.03999999998</v>
      </c>
      <c r="O1987" t="str">
        <f t="shared" ref="O1987:O2050" si="127">IF(I1987=0,"On Time",IF(I1987&lt;=30,"Minor Delay",IF(I1987&lt;=60,"Moderate Delay","Major Delay")))</f>
        <v>On Time</v>
      </c>
    </row>
    <row r="1988" spans="1:15" x14ac:dyDescent="0.25">
      <c r="A1988">
        <v>1987</v>
      </c>
      <c r="B1988" s="2">
        <v>45806</v>
      </c>
      <c r="C1988" t="s">
        <v>25</v>
      </c>
      <c r="D1988" t="s">
        <v>22</v>
      </c>
      <c r="E1988" t="s">
        <v>13</v>
      </c>
      <c r="F1988" t="s">
        <v>21</v>
      </c>
      <c r="G1988">
        <v>64</v>
      </c>
      <c r="H1988">
        <v>794.91</v>
      </c>
      <c r="I1988">
        <v>15</v>
      </c>
      <c r="J1988" t="s">
        <v>15</v>
      </c>
      <c r="K1988">
        <v>50874.239999999998</v>
      </c>
      <c r="L1988" t="str">
        <f t="shared" si="124"/>
        <v>May</v>
      </c>
      <c r="M1988">
        <f t="shared" si="125"/>
        <v>2025</v>
      </c>
      <c r="N1988">
        <f t="shared" si="126"/>
        <v>50874.239999999998</v>
      </c>
      <c r="O1988" t="str">
        <f t="shared" si="127"/>
        <v>Minor Delay</v>
      </c>
    </row>
    <row r="1989" spans="1:15" x14ac:dyDescent="0.25">
      <c r="A1989">
        <v>1988</v>
      </c>
      <c r="B1989" s="2">
        <v>45927</v>
      </c>
      <c r="C1989" t="s">
        <v>26</v>
      </c>
      <c r="D1989" t="s">
        <v>22</v>
      </c>
      <c r="E1989" t="s">
        <v>19</v>
      </c>
      <c r="F1989" t="s">
        <v>21</v>
      </c>
      <c r="G1989">
        <v>130</v>
      </c>
      <c r="H1989">
        <v>713.78</v>
      </c>
      <c r="I1989">
        <v>36</v>
      </c>
      <c r="J1989" t="s">
        <v>15</v>
      </c>
      <c r="K1989">
        <v>92791.4</v>
      </c>
      <c r="L1989" t="str">
        <f t="shared" si="124"/>
        <v>Sep</v>
      </c>
      <c r="M1989">
        <f t="shared" si="125"/>
        <v>2025</v>
      </c>
      <c r="N1989">
        <f t="shared" si="126"/>
        <v>92791.4</v>
      </c>
      <c r="O1989" t="str">
        <f t="shared" si="127"/>
        <v>Moderate Delay</v>
      </c>
    </row>
    <row r="1990" spans="1:15" x14ac:dyDescent="0.25">
      <c r="A1990">
        <v>1989</v>
      </c>
      <c r="B1990" s="2">
        <v>45710</v>
      </c>
      <c r="C1990" t="s">
        <v>16</v>
      </c>
      <c r="D1990" t="s">
        <v>19</v>
      </c>
      <c r="E1990" t="s">
        <v>29</v>
      </c>
      <c r="F1990" t="s">
        <v>14</v>
      </c>
      <c r="G1990">
        <v>232</v>
      </c>
      <c r="H1990">
        <v>503.89</v>
      </c>
      <c r="I1990">
        <v>0</v>
      </c>
      <c r="J1990" t="s">
        <v>15</v>
      </c>
      <c r="K1990">
        <v>116902.48</v>
      </c>
      <c r="L1990" t="str">
        <f t="shared" si="124"/>
        <v>Feb</v>
      </c>
      <c r="M1990">
        <f t="shared" si="125"/>
        <v>2025</v>
      </c>
      <c r="N1990">
        <f t="shared" si="126"/>
        <v>116902.48</v>
      </c>
      <c r="O1990" t="str">
        <f t="shared" si="127"/>
        <v>On Time</v>
      </c>
    </row>
    <row r="1991" spans="1:15" x14ac:dyDescent="0.25">
      <c r="A1991">
        <v>1990</v>
      </c>
      <c r="B1991" s="2">
        <v>45968</v>
      </c>
      <c r="C1991" t="s">
        <v>11</v>
      </c>
      <c r="D1991" t="s">
        <v>27</v>
      </c>
      <c r="E1991" t="s">
        <v>13</v>
      </c>
      <c r="F1991" t="s">
        <v>14</v>
      </c>
      <c r="G1991">
        <v>201</v>
      </c>
      <c r="H1991">
        <v>127.65</v>
      </c>
      <c r="I1991">
        <v>13</v>
      </c>
      <c r="J1991" t="s">
        <v>15</v>
      </c>
      <c r="K1991">
        <v>25657.65</v>
      </c>
      <c r="L1991" t="str">
        <f t="shared" si="124"/>
        <v>Nov</v>
      </c>
      <c r="M1991">
        <f t="shared" si="125"/>
        <v>2025</v>
      </c>
      <c r="N1991">
        <f t="shared" si="126"/>
        <v>25657.65</v>
      </c>
      <c r="O1991" t="str">
        <f t="shared" si="127"/>
        <v>Minor Delay</v>
      </c>
    </row>
    <row r="1992" spans="1:15" x14ac:dyDescent="0.25">
      <c r="A1992">
        <v>1991</v>
      </c>
      <c r="B1992" s="2">
        <v>45726</v>
      </c>
      <c r="C1992" t="s">
        <v>18</v>
      </c>
      <c r="D1992" t="s">
        <v>20</v>
      </c>
      <c r="E1992" t="s">
        <v>19</v>
      </c>
      <c r="F1992" t="s">
        <v>21</v>
      </c>
      <c r="G1992">
        <v>132</v>
      </c>
      <c r="H1992">
        <v>799.59</v>
      </c>
      <c r="I1992">
        <v>44</v>
      </c>
      <c r="J1992" t="s">
        <v>15</v>
      </c>
      <c r="K1992">
        <v>105545.88</v>
      </c>
      <c r="L1992" t="str">
        <f t="shared" si="124"/>
        <v>Mar</v>
      </c>
      <c r="M1992">
        <f t="shared" si="125"/>
        <v>2025</v>
      </c>
      <c r="N1992">
        <f t="shared" si="126"/>
        <v>105545.88</v>
      </c>
      <c r="O1992" t="str">
        <f t="shared" si="127"/>
        <v>Moderate Delay</v>
      </c>
    </row>
    <row r="1993" spans="1:15" x14ac:dyDescent="0.25">
      <c r="A1993">
        <v>1992</v>
      </c>
      <c r="B1993" s="2">
        <v>45971</v>
      </c>
      <c r="C1993" t="s">
        <v>31</v>
      </c>
      <c r="D1993" t="s">
        <v>12</v>
      </c>
      <c r="E1993" t="s">
        <v>29</v>
      </c>
      <c r="F1993" t="s">
        <v>24</v>
      </c>
      <c r="G1993">
        <v>244</v>
      </c>
      <c r="H1993">
        <v>771.66</v>
      </c>
      <c r="I1993">
        <v>26</v>
      </c>
      <c r="J1993" t="s">
        <v>28</v>
      </c>
      <c r="K1993">
        <v>188285.04</v>
      </c>
      <c r="L1993" t="str">
        <f t="shared" si="124"/>
        <v>Nov</v>
      </c>
      <c r="M1993">
        <f t="shared" si="125"/>
        <v>2025</v>
      </c>
      <c r="N1993">
        <f t="shared" si="126"/>
        <v>188285.03999999998</v>
      </c>
      <c r="O1993" t="str">
        <f t="shared" si="127"/>
        <v>Minor Delay</v>
      </c>
    </row>
    <row r="1994" spans="1:15" x14ac:dyDescent="0.25">
      <c r="A1994">
        <v>1993</v>
      </c>
      <c r="B1994" s="2">
        <v>45914</v>
      </c>
      <c r="C1994" t="s">
        <v>18</v>
      </c>
      <c r="D1994" t="s">
        <v>12</v>
      </c>
      <c r="E1994" t="s">
        <v>27</v>
      </c>
      <c r="F1994" t="s">
        <v>21</v>
      </c>
      <c r="G1994">
        <v>234</v>
      </c>
      <c r="H1994">
        <v>699.37</v>
      </c>
      <c r="I1994">
        <v>22</v>
      </c>
      <c r="J1994" t="s">
        <v>15</v>
      </c>
      <c r="K1994">
        <v>163652.57999999999</v>
      </c>
      <c r="L1994" t="str">
        <f t="shared" si="124"/>
        <v>Sep</v>
      </c>
      <c r="M1994">
        <f t="shared" si="125"/>
        <v>2025</v>
      </c>
      <c r="N1994">
        <f t="shared" si="126"/>
        <v>163652.57999999999</v>
      </c>
      <c r="O1994" t="str">
        <f t="shared" si="127"/>
        <v>Minor Delay</v>
      </c>
    </row>
    <row r="1995" spans="1:15" x14ac:dyDescent="0.25">
      <c r="A1995">
        <v>1994</v>
      </c>
      <c r="B1995" s="2">
        <v>45958</v>
      </c>
      <c r="C1995" t="s">
        <v>16</v>
      </c>
      <c r="D1995" t="s">
        <v>13</v>
      </c>
      <c r="E1995" t="s">
        <v>12</v>
      </c>
      <c r="F1995" t="s">
        <v>24</v>
      </c>
      <c r="G1995">
        <v>249</v>
      </c>
      <c r="H1995">
        <v>367.12</v>
      </c>
      <c r="I1995">
        <v>17</v>
      </c>
      <c r="J1995" t="s">
        <v>15</v>
      </c>
      <c r="K1995">
        <v>91412.88</v>
      </c>
      <c r="L1995" t="str">
        <f t="shared" si="124"/>
        <v>Oct</v>
      </c>
      <c r="M1995">
        <f t="shared" si="125"/>
        <v>2025</v>
      </c>
      <c r="N1995">
        <f t="shared" si="126"/>
        <v>91412.88</v>
      </c>
      <c r="O1995" t="str">
        <f t="shared" si="127"/>
        <v>Minor Delay</v>
      </c>
    </row>
    <row r="1996" spans="1:15" x14ac:dyDescent="0.25">
      <c r="A1996">
        <v>1995</v>
      </c>
      <c r="B1996" s="2">
        <v>45783</v>
      </c>
      <c r="C1996" t="s">
        <v>25</v>
      </c>
      <c r="D1996" t="s">
        <v>27</v>
      </c>
      <c r="E1996" t="s">
        <v>13</v>
      </c>
      <c r="F1996" t="s">
        <v>24</v>
      </c>
      <c r="G1996">
        <v>135</v>
      </c>
      <c r="H1996">
        <v>409.48</v>
      </c>
      <c r="I1996">
        <v>14</v>
      </c>
      <c r="J1996" t="s">
        <v>15</v>
      </c>
      <c r="K1996">
        <v>55279.8</v>
      </c>
      <c r="L1996" t="str">
        <f t="shared" si="124"/>
        <v>May</v>
      </c>
      <c r="M1996">
        <f t="shared" si="125"/>
        <v>2025</v>
      </c>
      <c r="N1996">
        <f t="shared" si="126"/>
        <v>55279.8</v>
      </c>
      <c r="O1996" t="str">
        <f t="shared" si="127"/>
        <v>Minor Delay</v>
      </c>
    </row>
    <row r="1997" spans="1:15" x14ac:dyDescent="0.25">
      <c r="A1997">
        <v>1996</v>
      </c>
      <c r="B1997" s="2">
        <v>45659</v>
      </c>
      <c r="C1997" t="s">
        <v>31</v>
      </c>
      <c r="D1997" t="s">
        <v>12</v>
      </c>
      <c r="E1997" t="s">
        <v>20</v>
      </c>
      <c r="F1997" t="s">
        <v>21</v>
      </c>
      <c r="G1997">
        <v>104</v>
      </c>
      <c r="H1997">
        <v>349.9</v>
      </c>
      <c r="I1997">
        <v>1</v>
      </c>
      <c r="J1997" t="s">
        <v>15</v>
      </c>
      <c r="K1997">
        <v>36389.599999999999</v>
      </c>
      <c r="L1997" t="str">
        <f t="shared" si="124"/>
        <v>Jan</v>
      </c>
      <c r="M1997">
        <f t="shared" si="125"/>
        <v>2025</v>
      </c>
      <c r="N1997">
        <f t="shared" si="126"/>
        <v>36389.599999999999</v>
      </c>
      <c r="O1997" t="str">
        <f t="shared" si="127"/>
        <v>Minor Delay</v>
      </c>
    </row>
    <row r="1998" spans="1:15" x14ac:dyDescent="0.25">
      <c r="A1998">
        <v>1997</v>
      </c>
      <c r="B1998" s="2">
        <v>45687</v>
      </c>
      <c r="C1998" t="s">
        <v>16</v>
      </c>
      <c r="D1998" t="s">
        <v>22</v>
      </c>
      <c r="E1998" t="s">
        <v>29</v>
      </c>
      <c r="F1998" t="s">
        <v>24</v>
      </c>
      <c r="G1998">
        <v>204</v>
      </c>
      <c r="H1998">
        <v>112.48</v>
      </c>
      <c r="I1998">
        <v>41</v>
      </c>
      <c r="J1998" t="s">
        <v>15</v>
      </c>
      <c r="K1998">
        <v>22945.919999999998</v>
      </c>
      <c r="L1998" t="str">
        <f t="shared" si="124"/>
        <v>Jan</v>
      </c>
      <c r="M1998">
        <f t="shared" si="125"/>
        <v>2025</v>
      </c>
      <c r="N1998">
        <f t="shared" si="126"/>
        <v>22945.920000000002</v>
      </c>
      <c r="O1998" t="str">
        <f t="shared" si="127"/>
        <v>Moderate Delay</v>
      </c>
    </row>
    <row r="1999" spans="1:15" x14ac:dyDescent="0.25">
      <c r="A1999">
        <v>1998</v>
      </c>
      <c r="B1999" s="2">
        <v>45934</v>
      </c>
      <c r="C1999" t="s">
        <v>26</v>
      </c>
      <c r="D1999" t="s">
        <v>23</v>
      </c>
      <c r="E1999" t="s">
        <v>12</v>
      </c>
      <c r="F1999" t="s">
        <v>14</v>
      </c>
      <c r="G1999">
        <v>109</v>
      </c>
      <c r="H1999">
        <v>353.78</v>
      </c>
      <c r="I1999">
        <v>41</v>
      </c>
      <c r="J1999" t="s">
        <v>15</v>
      </c>
      <c r="K1999">
        <v>38562.019999999997</v>
      </c>
      <c r="L1999" t="str">
        <f t="shared" si="124"/>
        <v>Oct</v>
      </c>
      <c r="M1999">
        <f t="shared" si="125"/>
        <v>2025</v>
      </c>
      <c r="N1999">
        <f t="shared" si="126"/>
        <v>38562.019999999997</v>
      </c>
      <c r="O1999" t="str">
        <f t="shared" si="127"/>
        <v>Moderate Delay</v>
      </c>
    </row>
    <row r="2000" spans="1:15" x14ac:dyDescent="0.25">
      <c r="A2000">
        <v>1999</v>
      </c>
      <c r="B2000" s="2">
        <v>45866</v>
      </c>
      <c r="C2000" t="s">
        <v>11</v>
      </c>
      <c r="D2000" t="s">
        <v>13</v>
      </c>
      <c r="E2000" t="s">
        <v>19</v>
      </c>
      <c r="F2000" t="s">
        <v>14</v>
      </c>
      <c r="G2000">
        <v>258</v>
      </c>
      <c r="H2000">
        <v>594.99</v>
      </c>
      <c r="I2000">
        <v>51</v>
      </c>
      <c r="J2000" t="s">
        <v>15</v>
      </c>
      <c r="K2000">
        <v>153507.42000000001</v>
      </c>
      <c r="L2000" t="str">
        <f t="shared" si="124"/>
        <v>Jul</v>
      </c>
      <c r="M2000">
        <f t="shared" si="125"/>
        <v>2025</v>
      </c>
      <c r="N2000">
        <f t="shared" si="126"/>
        <v>153507.42000000001</v>
      </c>
      <c r="O2000" t="str">
        <f t="shared" si="127"/>
        <v>Moderate Delay</v>
      </c>
    </row>
    <row r="2001" spans="1:15" x14ac:dyDescent="0.25">
      <c r="A2001">
        <v>2000</v>
      </c>
      <c r="B2001" s="2">
        <v>45889</v>
      </c>
      <c r="C2001" t="s">
        <v>26</v>
      </c>
      <c r="D2001" t="s">
        <v>12</v>
      </c>
      <c r="E2001" t="s">
        <v>23</v>
      </c>
      <c r="F2001" t="s">
        <v>24</v>
      </c>
      <c r="G2001">
        <v>136</v>
      </c>
      <c r="H2001">
        <v>369.52</v>
      </c>
      <c r="I2001">
        <v>7</v>
      </c>
      <c r="J2001" t="s">
        <v>15</v>
      </c>
      <c r="K2001">
        <v>50254.720000000001</v>
      </c>
      <c r="L2001" t="str">
        <f t="shared" si="124"/>
        <v>Aug</v>
      </c>
      <c r="M2001">
        <f t="shared" si="125"/>
        <v>2025</v>
      </c>
      <c r="N2001">
        <f t="shared" si="126"/>
        <v>50254.720000000001</v>
      </c>
      <c r="O2001" t="str">
        <f t="shared" si="127"/>
        <v>Minor Delay</v>
      </c>
    </row>
    <row r="2002" spans="1:15" x14ac:dyDescent="0.25">
      <c r="A2002">
        <v>2001</v>
      </c>
      <c r="B2002" s="2">
        <v>45724</v>
      </c>
      <c r="C2002" t="s">
        <v>31</v>
      </c>
      <c r="D2002" t="s">
        <v>13</v>
      </c>
      <c r="E2002" t="s">
        <v>22</v>
      </c>
      <c r="F2002" t="s">
        <v>21</v>
      </c>
      <c r="G2002">
        <v>154</v>
      </c>
      <c r="H2002">
        <v>756.09</v>
      </c>
      <c r="I2002">
        <v>43</v>
      </c>
      <c r="J2002" t="s">
        <v>15</v>
      </c>
      <c r="K2002">
        <v>116437.86</v>
      </c>
      <c r="L2002" t="str">
        <f t="shared" si="124"/>
        <v>Mar</v>
      </c>
      <c r="M2002">
        <f t="shared" si="125"/>
        <v>2025</v>
      </c>
      <c r="N2002">
        <f t="shared" si="126"/>
        <v>116437.86</v>
      </c>
      <c r="O2002" t="str">
        <f t="shared" si="127"/>
        <v>Moderate Delay</v>
      </c>
    </row>
    <row r="2003" spans="1:15" x14ac:dyDescent="0.25">
      <c r="A2003">
        <v>2002</v>
      </c>
      <c r="B2003" s="2">
        <v>45910</v>
      </c>
      <c r="C2003" t="s">
        <v>18</v>
      </c>
      <c r="D2003" t="s">
        <v>22</v>
      </c>
      <c r="E2003" t="s">
        <v>19</v>
      </c>
      <c r="F2003" t="s">
        <v>24</v>
      </c>
      <c r="G2003">
        <v>161</v>
      </c>
      <c r="H2003">
        <v>775.05</v>
      </c>
      <c r="I2003">
        <v>26</v>
      </c>
      <c r="J2003" t="s">
        <v>15</v>
      </c>
      <c r="K2003">
        <v>124783.05</v>
      </c>
      <c r="L2003" t="str">
        <f t="shared" si="124"/>
        <v>Sep</v>
      </c>
      <c r="M2003">
        <f t="shared" si="125"/>
        <v>2025</v>
      </c>
      <c r="N2003">
        <f t="shared" si="126"/>
        <v>124783.04999999999</v>
      </c>
      <c r="O2003" t="str">
        <f t="shared" si="127"/>
        <v>Minor Delay</v>
      </c>
    </row>
    <row r="2004" spans="1:15" x14ac:dyDescent="0.25">
      <c r="A2004">
        <v>2003</v>
      </c>
      <c r="B2004" s="2">
        <v>45717</v>
      </c>
      <c r="C2004" t="s">
        <v>25</v>
      </c>
      <c r="D2004" t="s">
        <v>27</v>
      </c>
      <c r="E2004" t="s">
        <v>12</v>
      </c>
      <c r="F2004" t="s">
        <v>14</v>
      </c>
      <c r="G2004">
        <v>159</v>
      </c>
      <c r="H2004">
        <v>637.42999999999995</v>
      </c>
      <c r="I2004">
        <v>27</v>
      </c>
      <c r="J2004" t="s">
        <v>15</v>
      </c>
      <c r="K2004">
        <v>101351.37</v>
      </c>
      <c r="L2004" t="str">
        <f t="shared" si="124"/>
        <v>Mar</v>
      </c>
      <c r="M2004">
        <f t="shared" si="125"/>
        <v>2025</v>
      </c>
      <c r="N2004">
        <f t="shared" si="126"/>
        <v>101351.37</v>
      </c>
      <c r="O2004" t="str">
        <f t="shared" si="127"/>
        <v>Minor Delay</v>
      </c>
    </row>
    <row r="2005" spans="1:15" x14ac:dyDescent="0.25">
      <c r="A2005">
        <v>2004</v>
      </c>
      <c r="B2005" s="2">
        <v>45842</v>
      </c>
      <c r="C2005" t="s">
        <v>18</v>
      </c>
      <c r="D2005" t="s">
        <v>13</v>
      </c>
      <c r="E2005" t="s">
        <v>23</v>
      </c>
      <c r="F2005" t="s">
        <v>24</v>
      </c>
      <c r="G2005">
        <v>276</v>
      </c>
      <c r="H2005">
        <v>509.5</v>
      </c>
      <c r="I2005">
        <v>20</v>
      </c>
      <c r="J2005" t="s">
        <v>30</v>
      </c>
      <c r="K2005">
        <v>140622</v>
      </c>
      <c r="L2005" t="str">
        <f t="shared" si="124"/>
        <v>Jul</v>
      </c>
      <c r="M2005">
        <f t="shared" si="125"/>
        <v>2025</v>
      </c>
      <c r="N2005">
        <f t="shared" si="126"/>
        <v>140622</v>
      </c>
      <c r="O2005" t="str">
        <f t="shared" si="127"/>
        <v>Minor Delay</v>
      </c>
    </row>
    <row r="2006" spans="1:15" x14ac:dyDescent="0.25">
      <c r="A2006">
        <v>2005</v>
      </c>
      <c r="B2006" s="2">
        <v>45736</v>
      </c>
      <c r="C2006" t="s">
        <v>25</v>
      </c>
      <c r="D2006" t="s">
        <v>13</v>
      </c>
      <c r="E2006" t="s">
        <v>20</v>
      </c>
      <c r="F2006" t="s">
        <v>24</v>
      </c>
      <c r="G2006">
        <v>68</v>
      </c>
      <c r="H2006">
        <v>297.08</v>
      </c>
      <c r="I2006">
        <v>19</v>
      </c>
      <c r="J2006" t="s">
        <v>15</v>
      </c>
      <c r="K2006">
        <v>20201.439999999999</v>
      </c>
      <c r="L2006" t="str">
        <f t="shared" si="124"/>
        <v>Mar</v>
      </c>
      <c r="M2006">
        <f t="shared" si="125"/>
        <v>2025</v>
      </c>
      <c r="N2006">
        <f t="shared" si="126"/>
        <v>20201.439999999999</v>
      </c>
      <c r="O2006" t="str">
        <f t="shared" si="127"/>
        <v>Minor Delay</v>
      </c>
    </row>
    <row r="2007" spans="1:15" x14ac:dyDescent="0.25">
      <c r="A2007">
        <v>2006</v>
      </c>
      <c r="B2007" s="2">
        <v>45832</v>
      </c>
      <c r="C2007" t="s">
        <v>26</v>
      </c>
      <c r="D2007" t="s">
        <v>19</v>
      </c>
      <c r="E2007" t="s">
        <v>22</v>
      </c>
      <c r="F2007" t="s">
        <v>14</v>
      </c>
      <c r="G2007">
        <v>259</v>
      </c>
      <c r="H2007">
        <v>378.05</v>
      </c>
      <c r="I2007">
        <v>8</v>
      </c>
      <c r="J2007" t="s">
        <v>15</v>
      </c>
      <c r="K2007">
        <v>97914.95</v>
      </c>
      <c r="L2007" t="str">
        <f t="shared" si="124"/>
        <v>Jun</v>
      </c>
      <c r="M2007">
        <f t="shared" si="125"/>
        <v>2025</v>
      </c>
      <c r="N2007">
        <f t="shared" si="126"/>
        <v>97914.95</v>
      </c>
      <c r="O2007" t="str">
        <f t="shared" si="127"/>
        <v>Minor Delay</v>
      </c>
    </row>
    <row r="2008" spans="1:15" x14ac:dyDescent="0.25">
      <c r="A2008">
        <v>2007</v>
      </c>
      <c r="B2008" s="2">
        <v>45906</v>
      </c>
      <c r="C2008" t="s">
        <v>25</v>
      </c>
      <c r="D2008" t="s">
        <v>17</v>
      </c>
      <c r="E2008" t="s">
        <v>12</v>
      </c>
      <c r="F2008" t="s">
        <v>24</v>
      </c>
      <c r="G2008">
        <v>158</v>
      </c>
      <c r="H2008">
        <v>624.66</v>
      </c>
      <c r="I2008">
        <v>11</v>
      </c>
      <c r="J2008" t="s">
        <v>15</v>
      </c>
      <c r="K2008">
        <v>98696.28</v>
      </c>
      <c r="L2008" t="str">
        <f t="shared" si="124"/>
        <v>Sep</v>
      </c>
      <c r="M2008">
        <f t="shared" si="125"/>
        <v>2025</v>
      </c>
      <c r="N2008">
        <f t="shared" si="126"/>
        <v>98696.28</v>
      </c>
      <c r="O2008" t="str">
        <f t="shared" si="127"/>
        <v>Minor Delay</v>
      </c>
    </row>
    <row r="2009" spans="1:15" x14ac:dyDescent="0.25">
      <c r="A2009">
        <v>2008</v>
      </c>
      <c r="B2009" s="2">
        <v>45806</v>
      </c>
      <c r="C2009" t="s">
        <v>25</v>
      </c>
      <c r="D2009" t="s">
        <v>27</v>
      </c>
      <c r="E2009" t="s">
        <v>23</v>
      </c>
      <c r="F2009" t="s">
        <v>14</v>
      </c>
      <c r="G2009">
        <v>79</v>
      </c>
      <c r="H2009">
        <v>239.15</v>
      </c>
      <c r="I2009">
        <v>9</v>
      </c>
      <c r="J2009" t="s">
        <v>30</v>
      </c>
      <c r="K2009">
        <v>18892.849999999999</v>
      </c>
      <c r="L2009" t="str">
        <f t="shared" si="124"/>
        <v>May</v>
      </c>
      <c r="M2009">
        <f t="shared" si="125"/>
        <v>2025</v>
      </c>
      <c r="N2009">
        <f t="shared" si="126"/>
        <v>18892.850000000002</v>
      </c>
      <c r="O2009" t="str">
        <f t="shared" si="127"/>
        <v>Minor Delay</v>
      </c>
    </row>
    <row r="2010" spans="1:15" x14ac:dyDescent="0.25">
      <c r="A2010">
        <v>2009</v>
      </c>
      <c r="B2010" s="2">
        <v>45757</v>
      </c>
      <c r="C2010" t="s">
        <v>26</v>
      </c>
      <c r="D2010" t="s">
        <v>13</v>
      </c>
      <c r="E2010" t="s">
        <v>27</v>
      </c>
      <c r="F2010" t="s">
        <v>24</v>
      </c>
      <c r="G2010">
        <v>110</v>
      </c>
      <c r="H2010">
        <v>412.9</v>
      </c>
      <c r="I2010">
        <v>4</v>
      </c>
      <c r="J2010" t="s">
        <v>30</v>
      </c>
      <c r="K2010">
        <v>45419</v>
      </c>
      <c r="L2010" t="str">
        <f t="shared" si="124"/>
        <v>Apr</v>
      </c>
      <c r="M2010">
        <f t="shared" si="125"/>
        <v>2025</v>
      </c>
      <c r="N2010">
        <f t="shared" si="126"/>
        <v>45419</v>
      </c>
      <c r="O2010" t="str">
        <f t="shared" si="127"/>
        <v>Minor Delay</v>
      </c>
    </row>
    <row r="2011" spans="1:15" x14ac:dyDescent="0.25">
      <c r="A2011">
        <v>2010</v>
      </c>
      <c r="B2011" s="2">
        <v>45681</v>
      </c>
      <c r="C2011" t="s">
        <v>11</v>
      </c>
      <c r="D2011" t="s">
        <v>29</v>
      </c>
      <c r="E2011" t="s">
        <v>20</v>
      </c>
      <c r="F2011" t="s">
        <v>14</v>
      </c>
      <c r="G2011">
        <v>215</v>
      </c>
      <c r="H2011">
        <v>336.98</v>
      </c>
      <c r="I2011">
        <v>0</v>
      </c>
      <c r="J2011" t="s">
        <v>15</v>
      </c>
      <c r="K2011">
        <v>72450.7</v>
      </c>
      <c r="L2011" t="str">
        <f t="shared" si="124"/>
        <v>Jan</v>
      </c>
      <c r="M2011">
        <f t="shared" si="125"/>
        <v>2025</v>
      </c>
      <c r="N2011">
        <f t="shared" si="126"/>
        <v>72450.7</v>
      </c>
      <c r="O2011" t="str">
        <f t="shared" si="127"/>
        <v>On Time</v>
      </c>
    </row>
    <row r="2012" spans="1:15" x14ac:dyDescent="0.25">
      <c r="A2012">
        <v>2011</v>
      </c>
      <c r="B2012" s="2">
        <v>45999</v>
      </c>
      <c r="C2012" t="s">
        <v>26</v>
      </c>
      <c r="D2012" t="s">
        <v>13</v>
      </c>
      <c r="E2012" t="s">
        <v>29</v>
      </c>
      <c r="F2012" t="s">
        <v>24</v>
      </c>
      <c r="G2012">
        <v>226</v>
      </c>
      <c r="H2012">
        <v>573.54</v>
      </c>
      <c r="I2012">
        <v>13</v>
      </c>
      <c r="J2012" t="s">
        <v>15</v>
      </c>
      <c r="K2012">
        <v>129620.04</v>
      </c>
      <c r="L2012" t="str">
        <f t="shared" si="124"/>
        <v>Dec</v>
      </c>
      <c r="M2012">
        <f t="shared" si="125"/>
        <v>2025</v>
      </c>
      <c r="N2012">
        <f t="shared" si="126"/>
        <v>129620.04</v>
      </c>
      <c r="O2012" t="str">
        <f t="shared" si="127"/>
        <v>Minor Delay</v>
      </c>
    </row>
    <row r="2013" spans="1:15" x14ac:dyDescent="0.25">
      <c r="A2013">
        <v>2012</v>
      </c>
      <c r="B2013" s="2">
        <v>45804</v>
      </c>
      <c r="C2013" t="s">
        <v>31</v>
      </c>
      <c r="D2013" t="s">
        <v>12</v>
      </c>
      <c r="E2013" t="s">
        <v>22</v>
      </c>
      <c r="F2013" t="s">
        <v>14</v>
      </c>
      <c r="G2013">
        <v>289</v>
      </c>
      <c r="H2013">
        <v>71.67</v>
      </c>
      <c r="I2013">
        <v>15</v>
      </c>
      <c r="J2013" t="s">
        <v>28</v>
      </c>
      <c r="K2013">
        <v>20712.63</v>
      </c>
      <c r="L2013" t="str">
        <f t="shared" si="124"/>
        <v>May</v>
      </c>
      <c r="M2013">
        <f t="shared" si="125"/>
        <v>2025</v>
      </c>
      <c r="N2013">
        <f t="shared" si="126"/>
        <v>20712.63</v>
      </c>
      <c r="O2013" t="str">
        <f t="shared" si="127"/>
        <v>Minor Delay</v>
      </c>
    </row>
    <row r="2014" spans="1:15" x14ac:dyDescent="0.25">
      <c r="A2014">
        <v>2013</v>
      </c>
      <c r="B2014" s="2">
        <v>45864</v>
      </c>
      <c r="C2014" t="s">
        <v>31</v>
      </c>
      <c r="D2014" t="s">
        <v>23</v>
      </c>
      <c r="E2014" t="s">
        <v>29</v>
      </c>
      <c r="F2014" t="s">
        <v>21</v>
      </c>
      <c r="G2014">
        <v>196</v>
      </c>
      <c r="H2014">
        <v>521.59</v>
      </c>
      <c r="I2014">
        <v>0</v>
      </c>
      <c r="J2014" t="s">
        <v>15</v>
      </c>
      <c r="K2014">
        <v>102231.64</v>
      </c>
      <c r="L2014" t="str">
        <f t="shared" si="124"/>
        <v>Jul</v>
      </c>
      <c r="M2014">
        <f t="shared" si="125"/>
        <v>2025</v>
      </c>
      <c r="N2014">
        <f t="shared" si="126"/>
        <v>102231.64</v>
      </c>
      <c r="O2014" t="str">
        <f t="shared" si="127"/>
        <v>On Time</v>
      </c>
    </row>
    <row r="2015" spans="1:15" x14ac:dyDescent="0.25">
      <c r="A2015">
        <v>2014</v>
      </c>
      <c r="B2015" s="2">
        <v>45940</v>
      </c>
      <c r="C2015" t="s">
        <v>25</v>
      </c>
      <c r="D2015" t="s">
        <v>17</v>
      </c>
      <c r="E2015" t="s">
        <v>23</v>
      </c>
      <c r="F2015" t="s">
        <v>21</v>
      </c>
      <c r="G2015">
        <v>244</v>
      </c>
      <c r="H2015">
        <v>504.23</v>
      </c>
      <c r="I2015">
        <v>0</v>
      </c>
      <c r="J2015" t="s">
        <v>15</v>
      </c>
      <c r="K2015">
        <v>123032.12</v>
      </c>
      <c r="L2015" t="str">
        <f t="shared" si="124"/>
        <v>Oct</v>
      </c>
      <c r="M2015">
        <f t="shared" si="125"/>
        <v>2025</v>
      </c>
      <c r="N2015">
        <f t="shared" si="126"/>
        <v>123032.12000000001</v>
      </c>
      <c r="O2015" t="str">
        <f t="shared" si="127"/>
        <v>On Time</v>
      </c>
    </row>
    <row r="2016" spans="1:15" x14ac:dyDescent="0.25">
      <c r="A2016">
        <v>2015</v>
      </c>
      <c r="B2016" s="2">
        <v>45925</v>
      </c>
      <c r="C2016" t="s">
        <v>26</v>
      </c>
      <c r="D2016" t="s">
        <v>20</v>
      </c>
      <c r="E2016" t="s">
        <v>12</v>
      </c>
      <c r="F2016" t="s">
        <v>14</v>
      </c>
      <c r="G2016">
        <v>187</v>
      </c>
      <c r="H2016">
        <v>639.80999999999995</v>
      </c>
      <c r="I2016">
        <v>0</v>
      </c>
      <c r="J2016" t="s">
        <v>15</v>
      </c>
      <c r="K2016">
        <v>119644.47</v>
      </c>
      <c r="L2016" t="str">
        <f t="shared" si="124"/>
        <v>Sep</v>
      </c>
      <c r="M2016">
        <f t="shared" si="125"/>
        <v>2025</v>
      </c>
      <c r="N2016">
        <f t="shared" si="126"/>
        <v>119644.46999999999</v>
      </c>
      <c r="O2016" t="str">
        <f t="shared" si="127"/>
        <v>On Time</v>
      </c>
    </row>
    <row r="2017" spans="1:15" x14ac:dyDescent="0.25">
      <c r="A2017">
        <v>2016</v>
      </c>
      <c r="B2017" s="2">
        <v>45947</v>
      </c>
      <c r="C2017" t="s">
        <v>16</v>
      </c>
      <c r="D2017" t="s">
        <v>29</v>
      </c>
      <c r="E2017" t="s">
        <v>17</v>
      </c>
      <c r="F2017" t="s">
        <v>24</v>
      </c>
      <c r="G2017">
        <v>55</v>
      </c>
      <c r="H2017">
        <v>631.5</v>
      </c>
      <c r="I2017">
        <v>3</v>
      </c>
      <c r="J2017" t="s">
        <v>30</v>
      </c>
      <c r="K2017">
        <v>34732.5</v>
      </c>
      <c r="L2017" t="str">
        <f t="shared" si="124"/>
        <v>Oct</v>
      </c>
      <c r="M2017">
        <f t="shared" si="125"/>
        <v>2025</v>
      </c>
      <c r="N2017">
        <f t="shared" si="126"/>
        <v>34732.5</v>
      </c>
      <c r="O2017" t="str">
        <f t="shared" si="127"/>
        <v>Minor Delay</v>
      </c>
    </row>
    <row r="2018" spans="1:15" x14ac:dyDescent="0.25">
      <c r="A2018">
        <v>2017</v>
      </c>
      <c r="B2018" s="2">
        <v>45755</v>
      </c>
      <c r="C2018" t="s">
        <v>16</v>
      </c>
      <c r="D2018" t="s">
        <v>19</v>
      </c>
      <c r="E2018" t="s">
        <v>29</v>
      </c>
      <c r="F2018" t="s">
        <v>14</v>
      </c>
      <c r="G2018">
        <v>264</v>
      </c>
      <c r="H2018">
        <v>637.45000000000005</v>
      </c>
      <c r="I2018">
        <v>28</v>
      </c>
      <c r="J2018" t="s">
        <v>15</v>
      </c>
      <c r="K2018">
        <v>168286.8</v>
      </c>
      <c r="L2018" t="str">
        <f t="shared" si="124"/>
        <v>Apr</v>
      </c>
      <c r="M2018">
        <f t="shared" si="125"/>
        <v>2025</v>
      </c>
      <c r="N2018">
        <f t="shared" si="126"/>
        <v>168286.80000000002</v>
      </c>
      <c r="O2018" t="str">
        <f t="shared" si="127"/>
        <v>Minor Delay</v>
      </c>
    </row>
    <row r="2019" spans="1:15" x14ac:dyDescent="0.25">
      <c r="A2019">
        <v>2018</v>
      </c>
      <c r="B2019" s="2">
        <v>45946</v>
      </c>
      <c r="C2019" t="s">
        <v>31</v>
      </c>
      <c r="D2019" t="s">
        <v>17</v>
      </c>
      <c r="E2019" t="s">
        <v>20</v>
      </c>
      <c r="F2019" t="s">
        <v>14</v>
      </c>
      <c r="G2019">
        <v>154</v>
      </c>
      <c r="H2019">
        <v>520.44000000000005</v>
      </c>
      <c r="I2019">
        <v>1</v>
      </c>
      <c r="J2019" t="s">
        <v>15</v>
      </c>
      <c r="K2019">
        <v>80147.759999999995</v>
      </c>
      <c r="L2019" t="str">
        <f t="shared" si="124"/>
        <v>Oct</v>
      </c>
      <c r="M2019">
        <f t="shared" si="125"/>
        <v>2025</v>
      </c>
      <c r="N2019">
        <f t="shared" si="126"/>
        <v>80147.760000000009</v>
      </c>
      <c r="O2019" t="str">
        <f t="shared" si="127"/>
        <v>Minor Delay</v>
      </c>
    </row>
    <row r="2020" spans="1:15" x14ac:dyDescent="0.25">
      <c r="A2020">
        <v>2019</v>
      </c>
      <c r="B2020" s="2">
        <v>45737</v>
      </c>
      <c r="C2020" t="s">
        <v>18</v>
      </c>
      <c r="D2020" t="s">
        <v>27</v>
      </c>
      <c r="E2020" t="s">
        <v>20</v>
      </c>
      <c r="F2020" t="s">
        <v>21</v>
      </c>
      <c r="G2020">
        <v>80</v>
      </c>
      <c r="H2020">
        <v>398.31</v>
      </c>
      <c r="I2020">
        <v>0</v>
      </c>
      <c r="J2020" t="s">
        <v>15</v>
      </c>
      <c r="K2020">
        <v>31864.799999999999</v>
      </c>
      <c r="L2020" t="str">
        <f t="shared" si="124"/>
        <v>Mar</v>
      </c>
      <c r="M2020">
        <f t="shared" si="125"/>
        <v>2025</v>
      </c>
      <c r="N2020">
        <f t="shared" si="126"/>
        <v>31864.799999999999</v>
      </c>
      <c r="O2020" t="str">
        <f t="shared" si="127"/>
        <v>On Time</v>
      </c>
    </row>
    <row r="2021" spans="1:15" x14ac:dyDescent="0.25">
      <c r="A2021">
        <v>2020</v>
      </c>
      <c r="B2021" s="2">
        <v>45816</v>
      </c>
      <c r="C2021" t="s">
        <v>31</v>
      </c>
      <c r="D2021" t="s">
        <v>29</v>
      </c>
      <c r="E2021" t="s">
        <v>23</v>
      </c>
      <c r="F2021" t="s">
        <v>21</v>
      </c>
      <c r="G2021">
        <v>108</v>
      </c>
      <c r="H2021">
        <v>444.8</v>
      </c>
      <c r="I2021">
        <v>46</v>
      </c>
      <c r="J2021" t="s">
        <v>15</v>
      </c>
      <c r="K2021">
        <v>48038.400000000001</v>
      </c>
      <c r="L2021" t="str">
        <f t="shared" si="124"/>
        <v>Jun</v>
      </c>
      <c r="M2021">
        <f t="shared" si="125"/>
        <v>2025</v>
      </c>
      <c r="N2021">
        <f t="shared" si="126"/>
        <v>48038.400000000001</v>
      </c>
      <c r="O2021" t="str">
        <f t="shared" si="127"/>
        <v>Moderate Delay</v>
      </c>
    </row>
    <row r="2022" spans="1:15" x14ac:dyDescent="0.25">
      <c r="A2022">
        <v>2021</v>
      </c>
      <c r="B2022" s="2">
        <v>45924</v>
      </c>
      <c r="C2022" t="s">
        <v>11</v>
      </c>
      <c r="D2022" t="s">
        <v>22</v>
      </c>
      <c r="E2022" t="s">
        <v>19</v>
      </c>
      <c r="F2022" t="s">
        <v>21</v>
      </c>
      <c r="G2022">
        <v>279</v>
      </c>
      <c r="H2022">
        <v>475.25</v>
      </c>
      <c r="I2022">
        <v>65</v>
      </c>
      <c r="J2022" t="s">
        <v>15</v>
      </c>
      <c r="K2022">
        <v>132594.75</v>
      </c>
      <c r="L2022" t="str">
        <f t="shared" si="124"/>
        <v>Sep</v>
      </c>
      <c r="M2022">
        <f t="shared" si="125"/>
        <v>2025</v>
      </c>
      <c r="N2022">
        <f t="shared" si="126"/>
        <v>132594.75</v>
      </c>
      <c r="O2022" t="str">
        <f t="shared" si="127"/>
        <v>Major Delay</v>
      </c>
    </row>
    <row r="2023" spans="1:15" x14ac:dyDescent="0.25">
      <c r="A2023">
        <v>2022</v>
      </c>
      <c r="B2023" s="2">
        <v>45866</v>
      </c>
      <c r="C2023" t="s">
        <v>25</v>
      </c>
      <c r="D2023" t="s">
        <v>13</v>
      </c>
      <c r="E2023" t="s">
        <v>17</v>
      </c>
      <c r="F2023" t="s">
        <v>14</v>
      </c>
      <c r="G2023">
        <v>86</v>
      </c>
      <c r="H2023">
        <v>727.66</v>
      </c>
      <c r="I2023">
        <v>25</v>
      </c>
      <c r="J2023" t="s">
        <v>15</v>
      </c>
      <c r="K2023">
        <v>62578.76</v>
      </c>
      <c r="L2023" t="str">
        <f t="shared" si="124"/>
        <v>Jul</v>
      </c>
      <c r="M2023">
        <f t="shared" si="125"/>
        <v>2025</v>
      </c>
      <c r="N2023">
        <f t="shared" si="126"/>
        <v>62578.759999999995</v>
      </c>
      <c r="O2023" t="str">
        <f t="shared" si="127"/>
        <v>Minor Delay</v>
      </c>
    </row>
    <row r="2024" spans="1:15" x14ac:dyDescent="0.25">
      <c r="A2024">
        <v>2023</v>
      </c>
      <c r="B2024" s="2">
        <v>45673</v>
      </c>
      <c r="C2024" t="s">
        <v>31</v>
      </c>
      <c r="D2024" t="s">
        <v>17</v>
      </c>
      <c r="E2024" t="s">
        <v>22</v>
      </c>
      <c r="F2024" t="s">
        <v>14</v>
      </c>
      <c r="G2024">
        <v>153</v>
      </c>
      <c r="H2024">
        <v>496.98</v>
      </c>
      <c r="I2024">
        <v>0</v>
      </c>
      <c r="J2024" t="s">
        <v>15</v>
      </c>
      <c r="K2024">
        <v>76037.94</v>
      </c>
      <c r="L2024" t="str">
        <f t="shared" si="124"/>
        <v>Jan</v>
      </c>
      <c r="M2024">
        <f t="shared" si="125"/>
        <v>2025</v>
      </c>
      <c r="N2024">
        <f t="shared" si="126"/>
        <v>76037.94</v>
      </c>
      <c r="O2024" t="str">
        <f t="shared" si="127"/>
        <v>On Time</v>
      </c>
    </row>
    <row r="2025" spans="1:15" x14ac:dyDescent="0.25">
      <c r="A2025">
        <v>2024</v>
      </c>
      <c r="B2025" s="2">
        <v>45939</v>
      </c>
      <c r="C2025" t="s">
        <v>18</v>
      </c>
      <c r="D2025" t="s">
        <v>23</v>
      </c>
      <c r="E2025" t="s">
        <v>12</v>
      </c>
      <c r="F2025" t="s">
        <v>21</v>
      </c>
      <c r="G2025">
        <v>146</v>
      </c>
      <c r="H2025">
        <v>315.08999999999997</v>
      </c>
      <c r="I2025">
        <v>49</v>
      </c>
      <c r="J2025" t="s">
        <v>15</v>
      </c>
      <c r="K2025">
        <v>46003.14</v>
      </c>
      <c r="L2025" t="str">
        <f t="shared" si="124"/>
        <v>Oct</v>
      </c>
      <c r="M2025">
        <f t="shared" si="125"/>
        <v>2025</v>
      </c>
      <c r="N2025">
        <f t="shared" si="126"/>
        <v>46003.14</v>
      </c>
      <c r="O2025" t="str">
        <f t="shared" si="127"/>
        <v>Moderate Delay</v>
      </c>
    </row>
    <row r="2026" spans="1:15" x14ac:dyDescent="0.25">
      <c r="A2026">
        <v>2025</v>
      </c>
      <c r="B2026" s="2">
        <v>45945</v>
      </c>
      <c r="C2026" t="s">
        <v>18</v>
      </c>
      <c r="D2026" t="s">
        <v>19</v>
      </c>
      <c r="E2026" t="s">
        <v>13</v>
      </c>
      <c r="F2026" t="s">
        <v>24</v>
      </c>
      <c r="G2026">
        <v>75</v>
      </c>
      <c r="H2026">
        <v>557.29</v>
      </c>
      <c r="I2026">
        <v>14</v>
      </c>
      <c r="J2026" t="s">
        <v>15</v>
      </c>
      <c r="K2026">
        <v>41796.75</v>
      </c>
      <c r="L2026" t="str">
        <f t="shared" si="124"/>
        <v>Oct</v>
      </c>
      <c r="M2026">
        <f t="shared" si="125"/>
        <v>2025</v>
      </c>
      <c r="N2026">
        <f t="shared" si="126"/>
        <v>41796.75</v>
      </c>
      <c r="O2026" t="str">
        <f t="shared" si="127"/>
        <v>Minor Delay</v>
      </c>
    </row>
    <row r="2027" spans="1:15" x14ac:dyDescent="0.25">
      <c r="A2027">
        <v>2026</v>
      </c>
      <c r="B2027" s="2">
        <v>45950</v>
      </c>
      <c r="C2027" t="s">
        <v>26</v>
      </c>
      <c r="D2027" t="s">
        <v>27</v>
      </c>
      <c r="E2027" t="s">
        <v>22</v>
      </c>
      <c r="F2027" t="s">
        <v>14</v>
      </c>
      <c r="G2027">
        <v>114</v>
      </c>
      <c r="H2027">
        <v>684.05</v>
      </c>
      <c r="I2027">
        <v>7</v>
      </c>
      <c r="J2027" t="s">
        <v>15</v>
      </c>
      <c r="K2027">
        <v>77981.7</v>
      </c>
      <c r="L2027" t="str">
        <f t="shared" si="124"/>
        <v>Oct</v>
      </c>
      <c r="M2027">
        <f t="shared" si="125"/>
        <v>2025</v>
      </c>
      <c r="N2027">
        <f t="shared" si="126"/>
        <v>77981.7</v>
      </c>
      <c r="O2027" t="str">
        <f t="shared" si="127"/>
        <v>Minor Delay</v>
      </c>
    </row>
    <row r="2028" spans="1:15" x14ac:dyDescent="0.25">
      <c r="A2028">
        <v>2027</v>
      </c>
      <c r="B2028" s="2">
        <v>45781</v>
      </c>
      <c r="C2028" t="s">
        <v>31</v>
      </c>
      <c r="D2028" t="s">
        <v>17</v>
      </c>
      <c r="E2028" t="s">
        <v>29</v>
      </c>
      <c r="F2028" t="s">
        <v>24</v>
      </c>
      <c r="G2028">
        <v>267</v>
      </c>
      <c r="H2028">
        <v>436.68</v>
      </c>
      <c r="I2028">
        <v>14</v>
      </c>
      <c r="J2028" t="s">
        <v>15</v>
      </c>
      <c r="K2028">
        <v>116593.56</v>
      </c>
      <c r="L2028" t="str">
        <f t="shared" si="124"/>
        <v>May</v>
      </c>
      <c r="M2028">
        <f t="shared" si="125"/>
        <v>2025</v>
      </c>
      <c r="N2028">
        <f t="shared" si="126"/>
        <v>116593.56</v>
      </c>
      <c r="O2028" t="str">
        <f t="shared" si="127"/>
        <v>Minor Delay</v>
      </c>
    </row>
    <row r="2029" spans="1:15" x14ac:dyDescent="0.25">
      <c r="A2029">
        <v>2028</v>
      </c>
      <c r="B2029" s="2">
        <v>45772</v>
      </c>
      <c r="C2029" t="s">
        <v>16</v>
      </c>
      <c r="D2029" t="s">
        <v>29</v>
      </c>
      <c r="E2029" t="s">
        <v>27</v>
      </c>
      <c r="F2029" t="s">
        <v>14</v>
      </c>
      <c r="G2029">
        <v>220</v>
      </c>
      <c r="H2029">
        <v>690.63</v>
      </c>
      <c r="I2029">
        <v>14</v>
      </c>
      <c r="J2029" t="s">
        <v>15</v>
      </c>
      <c r="K2029">
        <v>151938.6</v>
      </c>
      <c r="L2029" t="str">
        <f t="shared" si="124"/>
        <v>Apr</v>
      </c>
      <c r="M2029">
        <f t="shared" si="125"/>
        <v>2025</v>
      </c>
      <c r="N2029">
        <f t="shared" si="126"/>
        <v>151938.6</v>
      </c>
      <c r="O2029" t="str">
        <f t="shared" si="127"/>
        <v>Minor Delay</v>
      </c>
    </row>
    <row r="2030" spans="1:15" x14ac:dyDescent="0.25">
      <c r="A2030">
        <v>2029</v>
      </c>
      <c r="B2030" s="2">
        <v>45690</v>
      </c>
      <c r="C2030" t="s">
        <v>16</v>
      </c>
      <c r="D2030" t="s">
        <v>17</v>
      </c>
      <c r="E2030" t="s">
        <v>20</v>
      </c>
      <c r="F2030" t="s">
        <v>14</v>
      </c>
      <c r="G2030">
        <v>263</v>
      </c>
      <c r="H2030">
        <v>784.94</v>
      </c>
      <c r="I2030">
        <v>7</v>
      </c>
      <c r="J2030" t="s">
        <v>15</v>
      </c>
      <c r="K2030">
        <v>206439.22</v>
      </c>
      <c r="L2030" t="str">
        <f t="shared" si="124"/>
        <v>Feb</v>
      </c>
      <c r="M2030">
        <f t="shared" si="125"/>
        <v>2025</v>
      </c>
      <c r="N2030">
        <f t="shared" si="126"/>
        <v>206439.22</v>
      </c>
      <c r="O2030" t="str">
        <f t="shared" si="127"/>
        <v>Minor Delay</v>
      </c>
    </row>
    <row r="2031" spans="1:15" x14ac:dyDescent="0.25">
      <c r="A2031">
        <v>2030</v>
      </c>
      <c r="B2031" s="2">
        <v>45671</v>
      </c>
      <c r="C2031" t="s">
        <v>16</v>
      </c>
      <c r="D2031" t="s">
        <v>19</v>
      </c>
      <c r="E2031" t="s">
        <v>17</v>
      </c>
      <c r="F2031" t="s">
        <v>14</v>
      </c>
      <c r="G2031">
        <v>146</v>
      </c>
      <c r="H2031">
        <v>450.58</v>
      </c>
      <c r="I2031">
        <v>30</v>
      </c>
      <c r="J2031" t="s">
        <v>15</v>
      </c>
      <c r="K2031">
        <v>65784.679999999993</v>
      </c>
      <c r="L2031" t="str">
        <f t="shared" si="124"/>
        <v>Jan</v>
      </c>
      <c r="M2031">
        <f t="shared" si="125"/>
        <v>2025</v>
      </c>
      <c r="N2031">
        <f t="shared" si="126"/>
        <v>65784.679999999993</v>
      </c>
      <c r="O2031" t="str">
        <f t="shared" si="127"/>
        <v>Minor Delay</v>
      </c>
    </row>
    <row r="2032" spans="1:15" x14ac:dyDescent="0.25">
      <c r="A2032">
        <v>2031</v>
      </c>
      <c r="B2032" s="2">
        <v>45808</v>
      </c>
      <c r="C2032" t="s">
        <v>25</v>
      </c>
      <c r="D2032" t="s">
        <v>23</v>
      </c>
      <c r="E2032" t="s">
        <v>12</v>
      </c>
      <c r="F2032" t="s">
        <v>21</v>
      </c>
      <c r="G2032">
        <v>68</v>
      </c>
      <c r="H2032">
        <v>694.8</v>
      </c>
      <c r="I2032">
        <v>8</v>
      </c>
      <c r="J2032" t="s">
        <v>15</v>
      </c>
      <c r="K2032">
        <v>47246.400000000001</v>
      </c>
      <c r="L2032" t="str">
        <f t="shared" si="124"/>
        <v>May</v>
      </c>
      <c r="M2032">
        <f t="shared" si="125"/>
        <v>2025</v>
      </c>
      <c r="N2032">
        <f t="shared" si="126"/>
        <v>47246.399999999994</v>
      </c>
      <c r="O2032" t="str">
        <f t="shared" si="127"/>
        <v>Minor Delay</v>
      </c>
    </row>
    <row r="2033" spans="1:15" x14ac:dyDescent="0.25">
      <c r="A2033">
        <v>2032</v>
      </c>
      <c r="B2033" s="2">
        <v>45956</v>
      </c>
      <c r="C2033" t="s">
        <v>18</v>
      </c>
      <c r="D2033" t="s">
        <v>27</v>
      </c>
      <c r="E2033" t="s">
        <v>19</v>
      </c>
      <c r="F2033" t="s">
        <v>21</v>
      </c>
      <c r="G2033">
        <v>155</v>
      </c>
      <c r="H2033">
        <v>523.96</v>
      </c>
      <c r="I2033">
        <v>44</v>
      </c>
      <c r="J2033" t="s">
        <v>15</v>
      </c>
      <c r="K2033">
        <v>81213.8</v>
      </c>
      <c r="L2033" t="str">
        <f t="shared" si="124"/>
        <v>Oct</v>
      </c>
      <c r="M2033">
        <f t="shared" si="125"/>
        <v>2025</v>
      </c>
      <c r="N2033">
        <f t="shared" si="126"/>
        <v>81213.8</v>
      </c>
      <c r="O2033" t="str">
        <f t="shared" si="127"/>
        <v>Moderate Delay</v>
      </c>
    </row>
    <row r="2034" spans="1:15" x14ac:dyDescent="0.25">
      <c r="A2034">
        <v>2033</v>
      </c>
      <c r="B2034" s="2">
        <v>45984</v>
      </c>
      <c r="C2034" t="s">
        <v>26</v>
      </c>
      <c r="D2034" t="s">
        <v>22</v>
      </c>
      <c r="E2034" t="s">
        <v>19</v>
      </c>
      <c r="F2034" t="s">
        <v>24</v>
      </c>
      <c r="G2034">
        <v>54</v>
      </c>
      <c r="H2034">
        <v>722.83</v>
      </c>
      <c r="I2034">
        <v>0</v>
      </c>
      <c r="J2034" t="s">
        <v>15</v>
      </c>
      <c r="K2034">
        <v>39032.82</v>
      </c>
      <c r="L2034" t="str">
        <f t="shared" si="124"/>
        <v>Nov</v>
      </c>
      <c r="M2034">
        <f t="shared" si="125"/>
        <v>2025</v>
      </c>
      <c r="N2034">
        <f t="shared" si="126"/>
        <v>39032.82</v>
      </c>
      <c r="O2034" t="str">
        <f t="shared" si="127"/>
        <v>On Time</v>
      </c>
    </row>
    <row r="2035" spans="1:15" x14ac:dyDescent="0.25">
      <c r="A2035">
        <v>2034</v>
      </c>
      <c r="B2035" s="2">
        <v>45729</v>
      </c>
      <c r="C2035" t="s">
        <v>25</v>
      </c>
      <c r="D2035" t="s">
        <v>13</v>
      </c>
      <c r="E2035" t="s">
        <v>27</v>
      </c>
      <c r="F2035" t="s">
        <v>24</v>
      </c>
      <c r="G2035">
        <v>245</v>
      </c>
      <c r="H2035">
        <v>698.63</v>
      </c>
      <c r="I2035">
        <v>32</v>
      </c>
      <c r="J2035" t="s">
        <v>15</v>
      </c>
      <c r="K2035">
        <v>171164.35</v>
      </c>
      <c r="L2035" t="str">
        <f t="shared" si="124"/>
        <v>Mar</v>
      </c>
      <c r="M2035">
        <f t="shared" si="125"/>
        <v>2025</v>
      </c>
      <c r="N2035">
        <f t="shared" si="126"/>
        <v>171164.35</v>
      </c>
      <c r="O2035" t="str">
        <f t="shared" si="127"/>
        <v>Moderate Delay</v>
      </c>
    </row>
    <row r="2036" spans="1:15" x14ac:dyDescent="0.25">
      <c r="A2036">
        <v>2035</v>
      </c>
      <c r="B2036" s="2">
        <v>45667</v>
      </c>
      <c r="C2036" t="s">
        <v>31</v>
      </c>
      <c r="D2036" t="s">
        <v>29</v>
      </c>
      <c r="E2036" t="s">
        <v>17</v>
      </c>
      <c r="F2036" t="s">
        <v>14</v>
      </c>
      <c r="G2036">
        <v>240</v>
      </c>
      <c r="H2036">
        <v>705.61</v>
      </c>
      <c r="I2036">
        <v>12</v>
      </c>
      <c r="J2036" t="s">
        <v>30</v>
      </c>
      <c r="K2036">
        <v>169346.4</v>
      </c>
      <c r="L2036" t="str">
        <f t="shared" si="124"/>
        <v>Jan</v>
      </c>
      <c r="M2036">
        <f t="shared" si="125"/>
        <v>2025</v>
      </c>
      <c r="N2036">
        <f t="shared" si="126"/>
        <v>169346.4</v>
      </c>
      <c r="O2036" t="str">
        <f t="shared" si="127"/>
        <v>Minor Delay</v>
      </c>
    </row>
    <row r="2037" spans="1:15" x14ac:dyDescent="0.25">
      <c r="A2037">
        <v>2036</v>
      </c>
      <c r="B2037" s="2">
        <v>45947</v>
      </c>
      <c r="C2037" t="s">
        <v>25</v>
      </c>
      <c r="D2037" t="s">
        <v>13</v>
      </c>
      <c r="E2037" t="s">
        <v>19</v>
      </c>
      <c r="F2037" t="s">
        <v>21</v>
      </c>
      <c r="G2037">
        <v>67</v>
      </c>
      <c r="H2037">
        <v>629.14</v>
      </c>
      <c r="I2037">
        <v>0</v>
      </c>
      <c r="J2037" t="s">
        <v>15</v>
      </c>
      <c r="K2037">
        <v>42152.38</v>
      </c>
      <c r="L2037" t="str">
        <f t="shared" si="124"/>
        <v>Oct</v>
      </c>
      <c r="M2037">
        <f t="shared" si="125"/>
        <v>2025</v>
      </c>
      <c r="N2037">
        <f t="shared" si="126"/>
        <v>42152.38</v>
      </c>
      <c r="O2037" t="str">
        <f t="shared" si="127"/>
        <v>On Time</v>
      </c>
    </row>
    <row r="2038" spans="1:15" x14ac:dyDescent="0.25">
      <c r="A2038">
        <v>2037</v>
      </c>
      <c r="B2038" s="2">
        <v>45692</v>
      </c>
      <c r="C2038" t="s">
        <v>11</v>
      </c>
      <c r="D2038" t="s">
        <v>17</v>
      </c>
      <c r="E2038" t="s">
        <v>23</v>
      </c>
      <c r="F2038" t="s">
        <v>14</v>
      </c>
      <c r="G2038">
        <v>101</v>
      </c>
      <c r="H2038">
        <v>395.86</v>
      </c>
      <c r="I2038">
        <v>31</v>
      </c>
      <c r="J2038" t="s">
        <v>30</v>
      </c>
      <c r="K2038">
        <v>39981.86</v>
      </c>
      <c r="L2038" t="str">
        <f t="shared" si="124"/>
        <v>Feb</v>
      </c>
      <c r="M2038">
        <f t="shared" si="125"/>
        <v>2025</v>
      </c>
      <c r="N2038">
        <f t="shared" si="126"/>
        <v>39981.86</v>
      </c>
      <c r="O2038" t="str">
        <f t="shared" si="127"/>
        <v>Moderate Delay</v>
      </c>
    </row>
    <row r="2039" spans="1:15" x14ac:dyDescent="0.25">
      <c r="A2039">
        <v>2038</v>
      </c>
      <c r="B2039" s="2">
        <v>45761</v>
      </c>
      <c r="C2039" t="s">
        <v>26</v>
      </c>
      <c r="D2039" t="s">
        <v>22</v>
      </c>
      <c r="E2039" t="s">
        <v>29</v>
      </c>
      <c r="F2039" t="s">
        <v>24</v>
      </c>
      <c r="G2039">
        <v>77</v>
      </c>
      <c r="H2039">
        <v>405.72</v>
      </c>
      <c r="I2039">
        <v>27</v>
      </c>
      <c r="J2039" t="s">
        <v>30</v>
      </c>
      <c r="K2039">
        <v>31240.44</v>
      </c>
      <c r="L2039" t="str">
        <f t="shared" si="124"/>
        <v>Apr</v>
      </c>
      <c r="M2039">
        <f t="shared" si="125"/>
        <v>2025</v>
      </c>
      <c r="N2039">
        <f t="shared" si="126"/>
        <v>31240.440000000002</v>
      </c>
      <c r="O2039" t="str">
        <f t="shared" si="127"/>
        <v>Minor Delay</v>
      </c>
    </row>
    <row r="2040" spans="1:15" x14ac:dyDescent="0.25">
      <c r="A2040">
        <v>2039</v>
      </c>
      <c r="B2040" s="2">
        <v>45762</v>
      </c>
      <c r="C2040" t="s">
        <v>11</v>
      </c>
      <c r="D2040" t="s">
        <v>20</v>
      </c>
      <c r="E2040" t="s">
        <v>13</v>
      </c>
      <c r="F2040" t="s">
        <v>21</v>
      </c>
      <c r="G2040">
        <v>76</v>
      </c>
      <c r="H2040">
        <v>118.16</v>
      </c>
      <c r="I2040">
        <v>32</v>
      </c>
      <c r="J2040" t="s">
        <v>15</v>
      </c>
      <c r="K2040">
        <v>8980.16</v>
      </c>
      <c r="L2040" t="str">
        <f t="shared" si="124"/>
        <v>Apr</v>
      </c>
      <c r="M2040">
        <f t="shared" si="125"/>
        <v>2025</v>
      </c>
      <c r="N2040">
        <f t="shared" si="126"/>
        <v>8980.16</v>
      </c>
      <c r="O2040" t="str">
        <f t="shared" si="127"/>
        <v>Moderate Delay</v>
      </c>
    </row>
    <row r="2041" spans="1:15" x14ac:dyDescent="0.25">
      <c r="A2041">
        <v>2040</v>
      </c>
      <c r="B2041" s="2">
        <v>45920</v>
      </c>
      <c r="C2041" t="s">
        <v>25</v>
      </c>
      <c r="D2041" t="s">
        <v>17</v>
      </c>
      <c r="E2041" t="s">
        <v>19</v>
      </c>
      <c r="F2041" t="s">
        <v>24</v>
      </c>
      <c r="G2041">
        <v>83</v>
      </c>
      <c r="H2041">
        <v>406.12</v>
      </c>
      <c r="I2041">
        <v>40</v>
      </c>
      <c r="J2041" t="s">
        <v>15</v>
      </c>
      <c r="K2041">
        <v>33707.96</v>
      </c>
      <c r="L2041" t="str">
        <f t="shared" si="124"/>
        <v>Sep</v>
      </c>
      <c r="M2041">
        <f t="shared" si="125"/>
        <v>2025</v>
      </c>
      <c r="N2041">
        <f t="shared" si="126"/>
        <v>33707.96</v>
      </c>
      <c r="O2041" t="str">
        <f t="shared" si="127"/>
        <v>Moderate Delay</v>
      </c>
    </row>
    <row r="2042" spans="1:15" x14ac:dyDescent="0.25">
      <c r="A2042">
        <v>2041</v>
      </c>
      <c r="B2042" s="2">
        <v>45720</v>
      </c>
      <c r="C2042" t="s">
        <v>11</v>
      </c>
      <c r="D2042" t="s">
        <v>22</v>
      </c>
      <c r="E2042" t="s">
        <v>20</v>
      </c>
      <c r="F2042" t="s">
        <v>14</v>
      </c>
      <c r="G2042">
        <v>164</v>
      </c>
      <c r="H2042">
        <v>115.01</v>
      </c>
      <c r="I2042">
        <v>9</v>
      </c>
      <c r="J2042" t="s">
        <v>15</v>
      </c>
      <c r="K2042">
        <v>18861.64</v>
      </c>
      <c r="L2042" t="str">
        <f t="shared" si="124"/>
        <v>Mar</v>
      </c>
      <c r="M2042">
        <f t="shared" si="125"/>
        <v>2025</v>
      </c>
      <c r="N2042">
        <f t="shared" si="126"/>
        <v>18861.64</v>
      </c>
      <c r="O2042" t="str">
        <f t="shared" si="127"/>
        <v>Minor Delay</v>
      </c>
    </row>
    <row r="2043" spans="1:15" x14ac:dyDescent="0.25">
      <c r="A2043">
        <v>2042</v>
      </c>
      <c r="B2043" s="2">
        <v>45954</v>
      </c>
      <c r="C2043" t="s">
        <v>26</v>
      </c>
      <c r="D2043" t="s">
        <v>13</v>
      </c>
      <c r="E2043" t="s">
        <v>19</v>
      </c>
      <c r="F2043" t="s">
        <v>14</v>
      </c>
      <c r="G2043">
        <v>86</v>
      </c>
      <c r="H2043">
        <v>699.45</v>
      </c>
      <c r="I2043">
        <v>1</v>
      </c>
      <c r="J2043" t="s">
        <v>15</v>
      </c>
      <c r="K2043">
        <v>60152.7</v>
      </c>
      <c r="L2043" t="str">
        <f t="shared" si="124"/>
        <v>Oct</v>
      </c>
      <c r="M2043">
        <f t="shared" si="125"/>
        <v>2025</v>
      </c>
      <c r="N2043">
        <f t="shared" si="126"/>
        <v>60152.700000000004</v>
      </c>
      <c r="O2043" t="str">
        <f t="shared" si="127"/>
        <v>Minor Delay</v>
      </c>
    </row>
    <row r="2044" spans="1:15" x14ac:dyDescent="0.25">
      <c r="A2044">
        <v>2043</v>
      </c>
      <c r="B2044" s="2">
        <v>45878</v>
      </c>
      <c r="C2044" t="s">
        <v>26</v>
      </c>
      <c r="D2044" t="s">
        <v>13</v>
      </c>
      <c r="E2044" t="s">
        <v>29</v>
      </c>
      <c r="F2044" t="s">
        <v>24</v>
      </c>
      <c r="G2044">
        <v>63</v>
      </c>
      <c r="H2044">
        <v>235.02</v>
      </c>
      <c r="I2044">
        <v>25</v>
      </c>
      <c r="J2044" t="s">
        <v>15</v>
      </c>
      <c r="K2044">
        <v>14806.26</v>
      </c>
      <c r="L2044" t="str">
        <f t="shared" si="124"/>
        <v>Aug</v>
      </c>
      <c r="M2044">
        <f t="shared" si="125"/>
        <v>2025</v>
      </c>
      <c r="N2044">
        <f t="shared" si="126"/>
        <v>14806.26</v>
      </c>
      <c r="O2044" t="str">
        <f t="shared" si="127"/>
        <v>Minor Delay</v>
      </c>
    </row>
    <row r="2045" spans="1:15" x14ac:dyDescent="0.25">
      <c r="A2045">
        <v>2044</v>
      </c>
      <c r="B2045" s="2">
        <v>45730</v>
      </c>
      <c r="C2045" t="s">
        <v>18</v>
      </c>
      <c r="D2045" t="s">
        <v>20</v>
      </c>
      <c r="E2045" t="s">
        <v>12</v>
      </c>
      <c r="F2045" t="s">
        <v>21</v>
      </c>
      <c r="G2045">
        <v>252</v>
      </c>
      <c r="H2045">
        <v>429.75</v>
      </c>
      <c r="I2045">
        <v>38</v>
      </c>
      <c r="J2045" t="s">
        <v>15</v>
      </c>
      <c r="K2045">
        <v>108297</v>
      </c>
      <c r="L2045" t="str">
        <f t="shared" si="124"/>
        <v>Mar</v>
      </c>
      <c r="M2045">
        <f t="shared" si="125"/>
        <v>2025</v>
      </c>
      <c r="N2045">
        <f t="shared" si="126"/>
        <v>108297</v>
      </c>
      <c r="O2045" t="str">
        <f t="shared" si="127"/>
        <v>Moderate Delay</v>
      </c>
    </row>
    <row r="2046" spans="1:15" x14ac:dyDescent="0.25">
      <c r="A2046">
        <v>2045</v>
      </c>
      <c r="B2046" s="2">
        <v>45665</v>
      </c>
      <c r="C2046" t="s">
        <v>11</v>
      </c>
      <c r="D2046" t="s">
        <v>29</v>
      </c>
      <c r="E2046" t="s">
        <v>12</v>
      </c>
      <c r="F2046" t="s">
        <v>21</v>
      </c>
      <c r="G2046">
        <v>73</v>
      </c>
      <c r="H2046">
        <v>709.85</v>
      </c>
      <c r="I2046">
        <v>46</v>
      </c>
      <c r="J2046" t="s">
        <v>30</v>
      </c>
      <c r="K2046">
        <v>51819.05</v>
      </c>
      <c r="L2046" t="str">
        <f t="shared" si="124"/>
        <v>Jan</v>
      </c>
      <c r="M2046">
        <f t="shared" si="125"/>
        <v>2025</v>
      </c>
      <c r="N2046">
        <f t="shared" si="126"/>
        <v>51819.05</v>
      </c>
      <c r="O2046" t="str">
        <f t="shared" si="127"/>
        <v>Moderate Delay</v>
      </c>
    </row>
    <row r="2047" spans="1:15" x14ac:dyDescent="0.25">
      <c r="A2047">
        <v>2046</v>
      </c>
      <c r="B2047" s="2">
        <v>45791</v>
      </c>
      <c r="C2047" t="s">
        <v>31</v>
      </c>
      <c r="D2047" t="s">
        <v>12</v>
      </c>
      <c r="E2047" t="s">
        <v>23</v>
      </c>
      <c r="F2047" t="s">
        <v>24</v>
      </c>
      <c r="G2047">
        <v>93</v>
      </c>
      <c r="H2047">
        <v>483.66</v>
      </c>
      <c r="I2047">
        <v>0</v>
      </c>
      <c r="J2047" t="s">
        <v>15</v>
      </c>
      <c r="K2047">
        <v>44980.38</v>
      </c>
      <c r="L2047" t="str">
        <f t="shared" si="124"/>
        <v>May</v>
      </c>
      <c r="M2047">
        <f t="shared" si="125"/>
        <v>2025</v>
      </c>
      <c r="N2047">
        <f t="shared" si="126"/>
        <v>44980.380000000005</v>
      </c>
      <c r="O2047" t="str">
        <f t="shared" si="127"/>
        <v>On Time</v>
      </c>
    </row>
    <row r="2048" spans="1:15" x14ac:dyDescent="0.25">
      <c r="A2048">
        <v>2047</v>
      </c>
      <c r="B2048" s="2">
        <v>45777</v>
      </c>
      <c r="C2048" t="s">
        <v>18</v>
      </c>
      <c r="D2048" t="s">
        <v>20</v>
      </c>
      <c r="E2048" t="s">
        <v>27</v>
      </c>
      <c r="F2048" t="s">
        <v>14</v>
      </c>
      <c r="G2048">
        <v>273</v>
      </c>
      <c r="H2048">
        <v>668.68</v>
      </c>
      <c r="I2048">
        <v>20</v>
      </c>
      <c r="J2048" t="s">
        <v>15</v>
      </c>
      <c r="K2048">
        <v>182549.64</v>
      </c>
      <c r="L2048" t="str">
        <f t="shared" si="124"/>
        <v>Apr</v>
      </c>
      <c r="M2048">
        <f t="shared" si="125"/>
        <v>2025</v>
      </c>
      <c r="N2048">
        <f t="shared" si="126"/>
        <v>182549.63999999998</v>
      </c>
      <c r="O2048" t="str">
        <f t="shared" si="127"/>
        <v>Minor Delay</v>
      </c>
    </row>
    <row r="2049" spans="1:15" x14ac:dyDescent="0.25">
      <c r="A2049">
        <v>2048</v>
      </c>
      <c r="B2049" s="2">
        <v>45867</v>
      </c>
      <c r="C2049" t="s">
        <v>16</v>
      </c>
      <c r="D2049" t="s">
        <v>27</v>
      </c>
      <c r="E2049" t="s">
        <v>22</v>
      </c>
      <c r="F2049" t="s">
        <v>24</v>
      </c>
      <c r="G2049">
        <v>108</v>
      </c>
      <c r="H2049">
        <v>483.59</v>
      </c>
      <c r="I2049">
        <v>32</v>
      </c>
      <c r="J2049" t="s">
        <v>15</v>
      </c>
      <c r="K2049">
        <v>52227.72</v>
      </c>
      <c r="L2049" t="str">
        <f t="shared" si="124"/>
        <v>Jul</v>
      </c>
      <c r="M2049">
        <f t="shared" si="125"/>
        <v>2025</v>
      </c>
      <c r="N2049">
        <f t="shared" si="126"/>
        <v>52227.719999999994</v>
      </c>
      <c r="O2049" t="str">
        <f t="shared" si="127"/>
        <v>Moderate Delay</v>
      </c>
    </row>
    <row r="2050" spans="1:15" x14ac:dyDescent="0.25">
      <c r="A2050">
        <v>2049</v>
      </c>
      <c r="B2050" s="2">
        <v>46017</v>
      </c>
      <c r="C2050" t="s">
        <v>31</v>
      </c>
      <c r="D2050" t="s">
        <v>13</v>
      </c>
      <c r="E2050" t="s">
        <v>27</v>
      </c>
      <c r="F2050" t="s">
        <v>21</v>
      </c>
      <c r="G2050">
        <v>234</v>
      </c>
      <c r="H2050">
        <v>531.12</v>
      </c>
      <c r="I2050">
        <v>0</v>
      </c>
      <c r="J2050" t="s">
        <v>15</v>
      </c>
      <c r="K2050">
        <v>124282.08</v>
      </c>
      <c r="L2050" t="str">
        <f t="shared" si="124"/>
        <v>Dec</v>
      </c>
      <c r="M2050">
        <f t="shared" si="125"/>
        <v>2025</v>
      </c>
      <c r="N2050">
        <f t="shared" si="126"/>
        <v>124282.08</v>
      </c>
      <c r="O2050" t="str">
        <f t="shared" si="127"/>
        <v>On Time</v>
      </c>
    </row>
    <row r="2051" spans="1:15" x14ac:dyDescent="0.25">
      <c r="A2051">
        <v>2050</v>
      </c>
      <c r="B2051" s="2">
        <v>45864</v>
      </c>
      <c r="C2051" t="s">
        <v>18</v>
      </c>
      <c r="D2051" t="s">
        <v>20</v>
      </c>
      <c r="E2051" t="s">
        <v>13</v>
      </c>
      <c r="F2051" t="s">
        <v>14</v>
      </c>
      <c r="G2051">
        <v>280</v>
      </c>
      <c r="H2051">
        <v>359.76</v>
      </c>
      <c r="I2051">
        <v>52</v>
      </c>
      <c r="J2051" t="s">
        <v>15</v>
      </c>
      <c r="K2051">
        <v>100732.8</v>
      </c>
      <c r="L2051" t="str">
        <f t="shared" ref="L2051:L2114" si="128">TEXT(B2051,"MMM")</f>
        <v>Jul</v>
      </c>
      <c r="M2051">
        <f t="shared" ref="M2051:M2114" si="129">YEAR(B2051)</f>
        <v>2025</v>
      </c>
      <c r="N2051">
        <f t="shared" ref="N2051:N2114" si="130">G2051*H2051</f>
        <v>100732.8</v>
      </c>
      <c r="O2051" t="str">
        <f t="shared" ref="O2051:O2114" si="131">IF(I2051=0,"On Time",IF(I2051&lt;=30,"Minor Delay",IF(I2051&lt;=60,"Moderate Delay","Major Delay")))</f>
        <v>Moderate Delay</v>
      </c>
    </row>
    <row r="2052" spans="1:15" x14ac:dyDescent="0.25">
      <c r="A2052">
        <v>2051</v>
      </c>
      <c r="B2052" s="2">
        <v>45844</v>
      </c>
      <c r="C2052" t="s">
        <v>16</v>
      </c>
      <c r="D2052" t="s">
        <v>29</v>
      </c>
      <c r="E2052" t="s">
        <v>13</v>
      </c>
      <c r="F2052" t="s">
        <v>24</v>
      </c>
      <c r="G2052">
        <v>188</v>
      </c>
      <c r="H2052">
        <v>166.29</v>
      </c>
      <c r="I2052">
        <v>11</v>
      </c>
      <c r="J2052" t="s">
        <v>15</v>
      </c>
      <c r="K2052">
        <v>31262.52</v>
      </c>
      <c r="L2052" t="str">
        <f t="shared" si="128"/>
        <v>Jul</v>
      </c>
      <c r="M2052">
        <f t="shared" si="129"/>
        <v>2025</v>
      </c>
      <c r="N2052">
        <f t="shared" si="130"/>
        <v>31262.519999999997</v>
      </c>
      <c r="O2052" t="str">
        <f t="shared" si="131"/>
        <v>Minor Delay</v>
      </c>
    </row>
    <row r="2053" spans="1:15" x14ac:dyDescent="0.25">
      <c r="A2053">
        <v>2052</v>
      </c>
      <c r="B2053" s="2">
        <v>46003</v>
      </c>
      <c r="C2053" t="s">
        <v>11</v>
      </c>
      <c r="D2053" t="s">
        <v>22</v>
      </c>
      <c r="E2053" t="s">
        <v>17</v>
      </c>
      <c r="F2053" t="s">
        <v>14</v>
      </c>
      <c r="G2053">
        <v>150</v>
      </c>
      <c r="H2053">
        <v>562.27</v>
      </c>
      <c r="I2053">
        <v>7</v>
      </c>
      <c r="J2053" t="s">
        <v>15</v>
      </c>
      <c r="K2053">
        <v>84340.5</v>
      </c>
      <c r="L2053" t="str">
        <f t="shared" si="128"/>
        <v>Dec</v>
      </c>
      <c r="M2053">
        <f t="shared" si="129"/>
        <v>2025</v>
      </c>
      <c r="N2053">
        <f t="shared" si="130"/>
        <v>84340.5</v>
      </c>
      <c r="O2053" t="str">
        <f t="shared" si="131"/>
        <v>Minor Delay</v>
      </c>
    </row>
    <row r="2054" spans="1:15" x14ac:dyDescent="0.25">
      <c r="A2054">
        <v>2053</v>
      </c>
      <c r="B2054" s="2">
        <v>45934</v>
      </c>
      <c r="C2054" t="s">
        <v>18</v>
      </c>
      <c r="D2054" t="s">
        <v>13</v>
      </c>
      <c r="E2054" t="s">
        <v>17</v>
      </c>
      <c r="F2054" t="s">
        <v>14</v>
      </c>
      <c r="G2054">
        <v>225</v>
      </c>
      <c r="H2054">
        <v>256.02999999999997</v>
      </c>
      <c r="I2054">
        <v>0</v>
      </c>
      <c r="J2054" t="s">
        <v>15</v>
      </c>
      <c r="K2054">
        <v>57606.75</v>
      </c>
      <c r="L2054" t="str">
        <f t="shared" si="128"/>
        <v>Oct</v>
      </c>
      <c r="M2054">
        <f t="shared" si="129"/>
        <v>2025</v>
      </c>
      <c r="N2054">
        <f t="shared" si="130"/>
        <v>57606.749999999993</v>
      </c>
      <c r="O2054" t="str">
        <f t="shared" si="131"/>
        <v>On Time</v>
      </c>
    </row>
    <row r="2055" spans="1:15" x14ac:dyDescent="0.25">
      <c r="A2055">
        <v>2054</v>
      </c>
      <c r="B2055" s="2">
        <v>45950</v>
      </c>
      <c r="C2055" t="s">
        <v>11</v>
      </c>
      <c r="D2055" t="s">
        <v>29</v>
      </c>
      <c r="E2055" t="s">
        <v>12</v>
      </c>
      <c r="F2055" t="s">
        <v>24</v>
      </c>
      <c r="G2055">
        <v>195</v>
      </c>
      <c r="H2055">
        <v>354.47</v>
      </c>
      <c r="I2055">
        <v>2</v>
      </c>
      <c r="J2055" t="s">
        <v>15</v>
      </c>
      <c r="K2055">
        <v>69121.649999999994</v>
      </c>
      <c r="L2055" t="str">
        <f t="shared" si="128"/>
        <v>Oct</v>
      </c>
      <c r="M2055">
        <f t="shared" si="129"/>
        <v>2025</v>
      </c>
      <c r="N2055">
        <f t="shared" si="130"/>
        <v>69121.650000000009</v>
      </c>
      <c r="O2055" t="str">
        <f t="shared" si="131"/>
        <v>Minor Delay</v>
      </c>
    </row>
    <row r="2056" spans="1:15" x14ac:dyDescent="0.25">
      <c r="A2056">
        <v>2055</v>
      </c>
      <c r="B2056" s="2">
        <v>45778</v>
      </c>
      <c r="C2056" t="s">
        <v>18</v>
      </c>
      <c r="D2056" t="s">
        <v>13</v>
      </c>
      <c r="E2056" t="s">
        <v>22</v>
      </c>
      <c r="F2056" t="s">
        <v>21</v>
      </c>
      <c r="G2056">
        <v>205</v>
      </c>
      <c r="H2056">
        <v>460.97</v>
      </c>
      <c r="I2056">
        <v>30</v>
      </c>
      <c r="J2056" t="s">
        <v>30</v>
      </c>
      <c r="K2056">
        <v>94498.85</v>
      </c>
      <c r="L2056" t="str">
        <f t="shared" si="128"/>
        <v>May</v>
      </c>
      <c r="M2056">
        <f t="shared" si="129"/>
        <v>2025</v>
      </c>
      <c r="N2056">
        <f t="shared" si="130"/>
        <v>94498.85</v>
      </c>
      <c r="O2056" t="str">
        <f t="shared" si="131"/>
        <v>Minor Delay</v>
      </c>
    </row>
    <row r="2057" spans="1:15" x14ac:dyDescent="0.25">
      <c r="A2057">
        <v>2056</v>
      </c>
      <c r="B2057" s="2">
        <v>45827</v>
      </c>
      <c r="C2057" t="s">
        <v>16</v>
      </c>
      <c r="D2057" t="s">
        <v>29</v>
      </c>
      <c r="E2057" t="s">
        <v>13</v>
      </c>
      <c r="F2057" t="s">
        <v>21</v>
      </c>
      <c r="G2057">
        <v>227</v>
      </c>
      <c r="H2057">
        <v>599.92999999999995</v>
      </c>
      <c r="I2057">
        <v>0</v>
      </c>
      <c r="J2057" t="s">
        <v>15</v>
      </c>
      <c r="K2057">
        <v>136184.10999999999</v>
      </c>
      <c r="L2057" t="str">
        <f t="shared" si="128"/>
        <v>Jun</v>
      </c>
      <c r="M2057">
        <f t="shared" si="129"/>
        <v>2025</v>
      </c>
      <c r="N2057">
        <f t="shared" si="130"/>
        <v>136184.10999999999</v>
      </c>
      <c r="O2057" t="str">
        <f t="shared" si="131"/>
        <v>On Time</v>
      </c>
    </row>
    <row r="2058" spans="1:15" x14ac:dyDescent="0.25">
      <c r="A2058">
        <v>2057</v>
      </c>
      <c r="B2058" s="2">
        <v>45964</v>
      </c>
      <c r="C2058" t="s">
        <v>25</v>
      </c>
      <c r="D2058" t="s">
        <v>27</v>
      </c>
      <c r="E2058" t="s">
        <v>17</v>
      </c>
      <c r="F2058" t="s">
        <v>21</v>
      </c>
      <c r="G2058">
        <v>114</v>
      </c>
      <c r="H2058">
        <v>435.45</v>
      </c>
      <c r="I2058">
        <v>16</v>
      </c>
      <c r="J2058" t="s">
        <v>30</v>
      </c>
      <c r="K2058">
        <v>49641.3</v>
      </c>
      <c r="L2058" t="str">
        <f t="shared" si="128"/>
        <v>Nov</v>
      </c>
      <c r="M2058">
        <f t="shared" si="129"/>
        <v>2025</v>
      </c>
      <c r="N2058">
        <f t="shared" si="130"/>
        <v>49641.299999999996</v>
      </c>
      <c r="O2058" t="str">
        <f t="shared" si="131"/>
        <v>Minor Delay</v>
      </c>
    </row>
    <row r="2059" spans="1:15" x14ac:dyDescent="0.25">
      <c r="A2059">
        <v>2058</v>
      </c>
      <c r="B2059" s="2">
        <v>45989</v>
      </c>
      <c r="C2059" t="s">
        <v>16</v>
      </c>
      <c r="D2059" t="s">
        <v>22</v>
      </c>
      <c r="E2059" t="s">
        <v>12</v>
      </c>
      <c r="F2059" t="s">
        <v>24</v>
      </c>
      <c r="G2059">
        <v>138</v>
      </c>
      <c r="H2059">
        <v>394.38</v>
      </c>
      <c r="I2059">
        <v>32</v>
      </c>
      <c r="J2059" t="s">
        <v>15</v>
      </c>
      <c r="K2059">
        <v>54424.44</v>
      </c>
      <c r="L2059" t="str">
        <f t="shared" si="128"/>
        <v>Nov</v>
      </c>
      <c r="M2059">
        <f t="shared" si="129"/>
        <v>2025</v>
      </c>
      <c r="N2059">
        <f t="shared" si="130"/>
        <v>54424.44</v>
      </c>
      <c r="O2059" t="str">
        <f t="shared" si="131"/>
        <v>Moderate Delay</v>
      </c>
    </row>
    <row r="2060" spans="1:15" x14ac:dyDescent="0.25">
      <c r="A2060">
        <v>2059</v>
      </c>
      <c r="B2060" s="2">
        <v>46013</v>
      </c>
      <c r="C2060" t="s">
        <v>25</v>
      </c>
      <c r="D2060" t="s">
        <v>20</v>
      </c>
      <c r="E2060" t="s">
        <v>13</v>
      </c>
      <c r="F2060" t="s">
        <v>24</v>
      </c>
      <c r="G2060">
        <v>73</v>
      </c>
      <c r="H2060">
        <v>324.13</v>
      </c>
      <c r="I2060">
        <v>42</v>
      </c>
      <c r="J2060" t="s">
        <v>15</v>
      </c>
      <c r="K2060">
        <v>23661.49</v>
      </c>
      <c r="L2060" t="str">
        <f t="shared" si="128"/>
        <v>Dec</v>
      </c>
      <c r="M2060">
        <f t="shared" si="129"/>
        <v>2025</v>
      </c>
      <c r="N2060">
        <f t="shared" si="130"/>
        <v>23661.489999999998</v>
      </c>
      <c r="O2060" t="str">
        <f t="shared" si="131"/>
        <v>Moderate Delay</v>
      </c>
    </row>
    <row r="2061" spans="1:15" x14ac:dyDescent="0.25">
      <c r="A2061">
        <v>2060</v>
      </c>
      <c r="B2061" s="2">
        <v>45758</v>
      </c>
      <c r="C2061" t="s">
        <v>31</v>
      </c>
      <c r="D2061" t="s">
        <v>17</v>
      </c>
      <c r="E2061" t="s">
        <v>27</v>
      </c>
      <c r="F2061" t="s">
        <v>21</v>
      </c>
      <c r="G2061">
        <v>97</v>
      </c>
      <c r="H2061">
        <v>79.400000000000006</v>
      </c>
      <c r="I2061">
        <v>67</v>
      </c>
      <c r="J2061" t="s">
        <v>15</v>
      </c>
      <c r="K2061">
        <v>7701.8</v>
      </c>
      <c r="L2061" t="str">
        <f t="shared" si="128"/>
        <v>Apr</v>
      </c>
      <c r="M2061">
        <f t="shared" si="129"/>
        <v>2025</v>
      </c>
      <c r="N2061">
        <f t="shared" si="130"/>
        <v>7701.8</v>
      </c>
      <c r="O2061" t="str">
        <f t="shared" si="131"/>
        <v>Major Delay</v>
      </c>
    </row>
    <row r="2062" spans="1:15" x14ac:dyDescent="0.25">
      <c r="A2062">
        <v>2061</v>
      </c>
      <c r="B2062" s="2">
        <v>45697</v>
      </c>
      <c r="C2062" t="s">
        <v>31</v>
      </c>
      <c r="D2062" t="s">
        <v>23</v>
      </c>
      <c r="E2062" t="s">
        <v>20</v>
      </c>
      <c r="F2062" t="s">
        <v>14</v>
      </c>
      <c r="G2062">
        <v>234</v>
      </c>
      <c r="H2062">
        <v>524.59</v>
      </c>
      <c r="I2062">
        <v>48</v>
      </c>
      <c r="J2062" t="s">
        <v>15</v>
      </c>
      <c r="K2062">
        <v>122754.06</v>
      </c>
      <c r="L2062" t="str">
        <f t="shared" si="128"/>
        <v>Feb</v>
      </c>
      <c r="M2062">
        <f t="shared" si="129"/>
        <v>2025</v>
      </c>
      <c r="N2062">
        <f t="shared" si="130"/>
        <v>122754.06000000001</v>
      </c>
      <c r="O2062" t="str">
        <f t="shared" si="131"/>
        <v>Moderate Delay</v>
      </c>
    </row>
    <row r="2063" spans="1:15" x14ac:dyDescent="0.25">
      <c r="A2063">
        <v>2062</v>
      </c>
      <c r="B2063" s="2">
        <v>45977</v>
      </c>
      <c r="C2063" t="s">
        <v>31</v>
      </c>
      <c r="D2063" t="s">
        <v>17</v>
      </c>
      <c r="E2063" t="s">
        <v>29</v>
      </c>
      <c r="F2063" t="s">
        <v>24</v>
      </c>
      <c r="G2063">
        <v>179</v>
      </c>
      <c r="H2063">
        <v>427.95</v>
      </c>
      <c r="I2063">
        <v>15</v>
      </c>
      <c r="J2063" t="s">
        <v>30</v>
      </c>
      <c r="K2063">
        <v>76603.05</v>
      </c>
      <c r="L2063" t="str">
        <f t="shared" si="128"/>
        <v>Nov</v>
      </c>
      <c r="M2063">
        <f t="shared" si="129"/>
        <v>2025</v>
      </c>
      <c r="N2063">
        <f t="shared" si="130"/>
        <v>76603.05</v>
      </c>
      <c r="O2063" t="str">
        <f t="shared" si="131"/>
        <v>Minor Delay</v>
      </c>
    </row>
    <row r="2064" spans="1:15" x14ac:dyDescent="0.25">
      <c r="A2064">
        <v>2063</v>
      </c>
      <c r="B2064" s="2">
        <v>45922</v>
      </c>
      <c r="C2064" t="s">
        <v>31</v>
      </c>
      <c r="D2064" t="s">
        <v>29</v>
      </c>
      <c r="E2064" t="s">
        <v>17</v>
      </c>
      <c r="F2064" t="s">
        <v>14</v>
      </c>
      <c r="G2064">
        <v>176</v>
      </c>
      <c r="H2064">
        <v>795.7</v>
      </c>
      <c r="I2064">
        <v>54</v>
      </c>
      <c r="J2064" t="s">
        <v>15</v>
      </c>
      <c r="K2064">
        <v>140043.20000000001</v>
      </c>
      <c r="L2064" t="str">
        <f t="shared" si="128"/>
        <v>Sep</v>
      </c>
      <c r="M2064">
        <f t="shared" si="129"/>
        <v>2025</v>
      </c>
      <c r="N2064">
        <f t="shared" si="130"/>
        <v>140043.20000000001</v>
      </c>
      <c r="O2064" t="str">
        <f t="shared" si="131"/>
        <v>Moderate Delay</v>
      </c>
    </row>
    <row r="2065" spans="1:15" x14ac:dyDescent="0.25">
      <c r="A2065">
        <v>2064</v>
      </c>
      <c r="B2065" s="2">
        <v>45862</v>
      </c>
      <c r="C2065" t="s">
        <v>25</v>
      </c>
      <c r="D2065" t="s">
        <v>27</v>
      </c>
      <c r="E2065" t="s">
        <v>13</v>
      </c>
      <c r="F2065" t="s">
        <v>14</v>
      </c>
      <c r="G2065">
        <v>224</v>
      </c>
      <c r="H2065">
        <v>522.65</v>
      </c>
      <c r="I2065">
        <v>28</v>
      </c>
      <c r="J2065" t="s">
        <v>15</v>
      </c>
      <c r="K2065">
        <v>117073.60000000001</v>
      </c>
      <c r="L2065" t="str">
        <f t="shared" si="128"/>
        <v>Jul</v>
      </c>
      <c r="M2065">
        <f t="shared" si="129"/>
        <v>2025</v>
      </c>
      <c r="N2065">
        <f t="shared" si="130"/>
        <v>117073.59999999999</v>
      </c>
      <c r="O2065" t="str">
        <f t="shared" si="131"/>
        <v>Minor Delay</v>
      </c>
    </row>
    <row r="2066" spans="1:15" x14ac:dyDescent="0.25">
      <c r="A2066">
        <v>2065</v>
      </c>
      <c r="B2066" s="2">
        <v>45673</v>
      </c>
      <c r="C2066" t="s">
        <v>25</v>
      </c>
      <c r="D2066" t="s">
        <v>13</v>
      </c>
      <c r="E2066" t="s">
        <v>22</v>
      </c>
      <c r="F2066" t="s">
        <v>24</v>
      </c>
      <c r="G2066">
        <v>243</v>
      </c>
      <c r="H2066">
        <v>795.91</v>
      </c>
      <c r="I2066">
        <v>0</v>
      </c>
      <c r="J2066" t="s">
        <v>15</v>
      </c>
      <c r="K2066">
        <v>193406.13</v>
      </c>
      <c r="L2066" t="str">
        <f t="shared" si="128"/>
        <v>Jan</v>
      </c>
      <c r="M2066">
        <f t="shared" si="129"/>
        <v>2025</v>
      </c>
      <c r="N2066">
        <f t="shared" si="130"/>
        <v>193406.13</v>
      </c>
      <c r="O2066" t="str">
        <f t="shared" si="131"/>
        <v>On Time</v>
      </c>
    </row>
    <row r="2067" spans="1:15" x14ac:dyDescent="0.25">
      <c r="A2067">
        <v>2066</v>
      </c>
      <c r="B2067" s="2">
        <v>46002</v>
      </c>
      <c r="C2067" t="s">
        <v>16</v>
      </c>
      <c r="D2067" t="s">
        <v>13</v>
      </c>
      <c r="E2067" t="s">
        <v>12</v>
      </c>
      <c r="F2067" t="s">
        <v>14</v>
      </c>
      <c r="G2067">
        <v>121</v>
      </c>
      <c r="H2067">
        <v>725.83</v>
      </c>
      <c r="I2067">
        <v>43</v>
      </c>
      <c r="J2067" t="s">
        <v>15</v>
      </c>
      <c r="K2067">
        <v>87825.43</v>
      </c>
      <c r="L2067" t="str">
        <f t="shared" si="128"/>
        <v>Dec</v>
      </c>
      <c r="M2067">
        <f t="shared" si="129"/>
        <v>2025</v>
      </c>
      <c r="N2067">
        <f t="shared" si="130"/>
        <v>87825.430000000008</v>
      </c>
      <c r="O2067" t="str">
        <f t="shared" si="131"/>
        <v>Moderate Delay</v>
      </c>
    </row>
    <row r="2068" spans="1:15" x14ac:dyDescent="0.25">
      <c r="A2068">
        <v>2067</v>
      </c>
      <c r="B2068" s="2">
        <v>45795</v>
      </c>
      <c r="C2068" t="s">
        <v>26</v>
      </c>
      <c r="D2068" t="s">
        <v>22</v>
      </c>
      <c r="E2068" t="s">
        <v>17</v>
      </c>
      <c r="F2068" t="s">
        <v>14</v>
      </c>
      <c r="G2068">
        <v>289</v>
      </c>
      <c r="H2068">
        <v>447.45</v>
      </c>
      <c r="I2068">
        <v>0</v>
      </c>
      <c r="J2068" t="s">
        <v>15</v>
      </c>
      <c r="K2068">
        <v>129313.05</v>
      </c>
      <c r="L2068" t="str">
        <f t="shared" si="128"/>
        <v>May</v>
      </c>
      <c r="M2068">
        <f t="shared" si="129"/>
        <v>2025</v>
      </c>
      <c r="N2068">
        <f t="shared" si="130"/>
        <v>129313.05</v>
      </c>
      <c r="O2068" t="str">
        <f t="shared" si="131"/>
        <v>On Time</v>
      </c>
    </row>
    <row r="2069" spans="1:15" x14ac:dyDescent="0.25">
      <c r="A2069">
        <v>2068</v>
      </c>
      <c r="B2069" s="2">
        <v>45984</v>
      </c>
      <c r="C2069" t="s">
        <v>11</v>
      </c>
      <c r="D2069" t="s">
        <v>23</v>
      </c>
      <c r="E2069" t="s">
        <v>29</v>
      </c>
      <c r="F2069" t="s">
        <v>21</v>
      </c>
      <c r="G2069">
        <v>293</v>
      </c>
      <c r="H2069">
        <v>158.49</v>
      </c>
      <c r="I2069">
        <v>26</v>
      </c>
      <c r="J2069" t="s">
        <v>15</v>
      </c>
      <c r="K2069">
        <v>46437.57</v>
      </c>
      <c r="L2069" t="str">
        <f t="shared" si="128"/>
        <v>Nov</v>
      </c>
      <c r="M2069">
        <f t="shared" si="129"/>
        <v>2025</v>
      </c>
      <c r="N2069">
        <f t="shared" si="130"/>
        <v>46437.57</v>
      </c>
      <c r="O2069" t="str">
        <f t="shared" si="131"/>
        <v>Minor Delay</v>
      </c>
    </row>
    <row r="2070" spans="1:15" x14ac:dyDescent="0.25">
      <c r="A2070">
        <v>2069</v>
      </c>
      <c r="B2070" s="2">
        <v>45771</v>
      </c>
      <c r="C2070" t="s">
        <v>11</v>
      </c>
      <c r="D2070" t="s">
        <v>23</v>
      </c>
      <c r="E2070" t="s">
        <v>20</v>
      </c>
      <c r="F2070" t="s">
        <v>21</v>
      </c>
      <c r="G2070">
        <v>295</v>
      </c>
      <c r="H2070">
        <v>727.12</v>
      </c>
      <c r="I2070">
        <v>9</v>
      </c>
      <c r="J2070" t="s">
        <v>15</v>
      </c>
      <c r="K2070">
        <v>214500.4</v>
      </c>
      <c r="L2070" t="str">
        <f t="shared" si="128"/>
        <v>Apr</v>
      </c>
      <c r="M2070">
        <f t="shared" si="129"/>
        <v>2025</v>
      </c>
      <c r="N2070">
        <f t="shared" si="130"/>
        <v>214500.4</v>
      </c>
      <c r="O2070" t="str">
        <f t="shared" si="131"/>
        <v>Minor Delay</v>
      </c>
    </row>
    <row r="2071" spans="1:15" x14ac:dyDescent="0.25">
      <c r="A2071">
        <v>2070</v>
      </c>
      <c r="B2071" s="2">
        <v>46008</v>
      </c>
      <c r="C2071" t="s">
        <v>25</v>
      </c>
      <c r="D2071" t="s">
        <v>23</v>
      </c>
      <c r="E2071" t="s">
        <v>12</v>
      </c>
      <c r="F2071" t="s">
        <v>24</v>
      </c>
      <c r="G2071">
        <v>97</v>
      </c>
      <c r="H2071">
        <v>454.45</v>
      </c>
      <c r="I2071">
        <v>14</v>
      </c>
      <c r="J2071" t="s">
        <v>15</v>
      </c>
      <c r="K2071">
        <v>44081.65</v>
      </c>
      <c r="L2071" t="str">
        <f t="shared" si="128"/>
        <v>Dec</v>
      </c>
      <c r="M2071">
        <f t="shared" si="129"/>
        <v>2025</v>
      </c>
      <c r="N2071">
        <f t="shared" si="130"/>
        <v>44081.65</v>
      </c>
      <c r="O2071" t="str">
        <f t="shared" si="131"/>
        <v>Minor Delay</v>
      </c>
    </row>
    <row r="2072" spans="1:15" x14ac:dyDescent="0.25">
      <c r="A2072">
        <v>2071</v>
      </c>
      <c r="B2072" s="2">
        <v>45833</v>
      </c>
      <c r="C2072" t="s">
        <v>18</v>
      </c>
      <c r="D2072" t="s">
        <v>20</v>
      </c>
      <c r="E2072" t="s">
        <v>29</v>
      </c>
      <c r="F2072" t="s">
        <v>14</v>
      </c>
      <c r="G2072">
        <v>297</v>
      </c>
      <c r="H2072">
        <v>485.83</v>
      </c>
      <c r="I2072">
        <v>0</v>
      </c>
      <c r="J2072" t="s">
        <v>30</v>
      </c>
      <c r="K2072">
        <v>144291.51</v>
      </c>
      <c r="L2072" t="str">
        <f t="shared" si="128"/>
        <v>Jun</v>
      </c>
      <c r="M2072">
        <f t="shared" si="129"/>
        <v>2025</v>
      </c>
      <c r="N2072">
        <f t="shared" si="130"/>
        <v>144291.51</v>
      </c>
      <c r="O2072" t="str">
        <f t="shared" si="131"/>
        <v>On Time</v>
      </c>
    </row>
    <row r="2073" spans="1:15" x14ac:dyDescent="0.25">
      <c r="A2073">
        <v>2072</v>
      </c>
      <c r="B2073" s="2">
        <v>45929</v>
      </c>
      <c r="C2073" t="s">
        <v>31</v>
      </c>
      <c r="D2073" t="s">
        <v>19</v>
      </c>
      <c r="E2073" t="s">
        <v>17</v>
      </c>
      <c r="F2073" t="s">
        <v>21</v>
      </c>
      <c r="G2073">
        <v>144</v>
      </c>
      <c r="H2073">
        <v>135.63999999999999</v>
      </c>
      <c r="I2073">
        <v>38</v>
      </c>
      <c r="J2073" t="s">
        <v>30</v>
      </c>
      <c r="K2073">
        <v>19532.16</v>
      </c>
      <c r="L2073" t="str">
        <f t="shared" si="128"/>
        <v>Sep</v>
      </c>
      <c r="M2073">
        <f t="shared" si="129"/>
        <v>2025</v>
      </c>
      <c r="N2073">
        <f t="shared" si="130"/>
        <v>19532.159999999996</v>
      </c>
      <c r="O2073" t="str">
        <f t="shared" si="131"/>
        <v>Moderate Delay</v>
      </c>
    </row>
    <row r="2074" spans="1:15" x14ac:dyDescent="0.25">
      <c r="A2074">
        <v>2073</v>
      </c>
      <c r="B2074" s="2">
        <v>45944</v>
      </c>
      <c r="C2074" t="s">
        <v>25</v>
      </c>
      <c r="D2074" t="s">
        <v>27</v>
      </c>
      <c r="E2074" t="s">
        <v>12</v>
      </c>
      <c r="F2074" t="s">
        <v>24</v>
      </c>
      <c r="G2074">
        <v>144</v>
      </c>
      <c r="H2074">
        <v>330.7</v>
      </c>
      <c r="I2074">
        <v>47</v>
      </c>
      <c r="J2074" t="s">
        <v>15</v>
      </c>
      <c r="K2074">
        <v>47620.800000000003</v>
      </c>
      <c r="L2074" t="str">
        <f t="shared" si="128"/>
        <v>Oct</v>
      </c>
      <c r="M2074">
        <f t="shared" si="129"/>
        <v>2025</v>
      </c>
      <c r="N2074">
        <f t="shared" si="130"/>
        <v>47620.799999999996</v>
      </c>
      <c r="O2074" t="str">
        <f t="shared" si="131"/>
        <v>Moderate Delay</v>
      </c>
    </row>
    <row r="2075" spans="1:15" x14ac:dyDescent="0.25">
      <c r="A2075">
        <v>2074</v>
      </c>
      <c r="B2075" s="2">
        <v>45666</v>
      </c>
      <c r="C2075" t="s">
        <v>31</v>
      </c>
      <c r="D2075" t="s">
        <v>17</v>
      </c>
      <c r="E2075" t="s">
        <v>22</v>
      </c>
      <c r="F2075" t="s">
        <v>24</v>
      </c>
      <c r="G2075">
        <v>243</v>
      </c>
      <c r="H2075">
        <v>420.95</v>
      </c>
      <c r="I2075">
        <v>11</v>
      </c>
      <c r="J2075" t="s">
        <v>15</v>
      </c>
      <c r="K2075">
        <v>102290.85</v>
      </c>
      <c r="L2075" t="str">
        <f t="shared" si="128"/>
        <v>Jan</v>
      </c>
      <c r="M2075">
        <f t="shared" si="129"/>
        <v>2025</v>
      </c>
      <c r="N2075">
        <f t="shared" si="130"/>
        <v>102290.84999999999</v>
      </c>
      <c r="O2075" t="str">
        <f t="shared" si="131"/>
        <v>Minor Delay</v>
      </c>
    </row>
    <row r="2076" spans="1:15" x14ac:dyDescent="0.25">
      <c r="A2076">
        <v>2075</v>
      </c>
      <c r="B2076" s="2">
        <v>45661</v>
      </c>
      <c r="C2076" t="s">
        <v>11</v>
      </c>
      <c r="D2076" t="s">
        <v>23</v>
      </c>
      <c r="E2076" t="s">
        <v>19</v>
      </c>
      <c r="F2076" t="s">
        <v>24</v>
      </c>
      <c r="G2076">
        <v>210</v>
      </c>
      <c r="H2076">
        <v>521.15</v>
      </c>
      <c r="I2076">
        <v>58</v>
      </c>
      <c r="J2076" t="s">
        <v>30</v>
      </c>
      <c r="K2076">
        <v>109441.5</v>
      </c>
      <c r="L2076" t="str">
        <f t="shared" si="128"/>
        <v>Jan</v>
      </c>
      <c r="M2076">
        <f t="shared" si="129"/>
        <v>2025</v>
      </c>
      <c r="N2076">
        <f t="shared" si="130"/>
        <v>109441.5</v>
      </c>
      <c r="O2076" t="str">
        <f t="shared" si="131"/>
        <v>Moderate Delay</v>
      </c>
    </row>
    <row r="2077" spans="1:15" x14ac:dyDescent="0.25">
      <c r="A2077">
        <v>2076</v>
      </c>
      <c r="B2077" s="2">
        <v>45904</v>
      </c>
      <c r="C2077" t="s">
        <v>31</v>
      </c>
      <c r="D2077" t="s">
        <v>12</v>
      </c>
      <c r="E2077" t="s">
        <v>29</v>
      </c>
      <c r="F2077" t="s">
        <v>24</v>
      </c>
      <c r="G2077">
        <v>92</v>
      </c>
      <c r="H2077">
        <v>94.7</v>
      </c>
      <c r="I2077">
        <v>0</v>
      </c>
      <c r="J2077" t="s">
        <v>15</v>
      </c>
      <c r="K2077">
        <v>8712.4</v>
      </c>
      <c r="L2077" t="str">
        <f t="shared" si="128"/>
        <v>Sep</v>
      </c>
      <c r="M2077">
        <f t="shared" si="129"/>
        <v>2025</v>
      </c>
      <c r="N2077">
        <f t="shared" si="130"/>
        <v>8712.4</v>
      </c>
      <c r="O2077" t="str">
        <f t="shared" si="131"/>
        <v>On Time</v>
      </c>
    </row>
    <row r="2078" spans="1:15" x14ac:dyDescent="0.25">
      <c r="A2078">
        <v>2077</v>
      </c>
      <c r="B2078" s="2">
        <v>45795</v>
      </c>
      <c r="C2078" t="s">
        <v>16</v>
      </c>
      <c r="D2078" t="s">
        <v>22</v>
      </c>
      <c r="E2078" t="s">
        <v>19</v>
      </c>
      <c r="F2078" t="s">
        <v>14</v>
      </c>
      <c r="G2078">
        <v>264</v>
      </c>
      <c r="H2078">
        <v>329.53</v>
      </c>
      <c r="I2078">
        <v>11</v>
      </c>
      <c r="J2078" t="s">
        <v>15</v>
      </c>
      <c r="K2078">
        <v>86995.92</v>
      </c>
      <c r="L2078" t="str">
        <f t="shared" si="128"/>
        <v>May</v>
      </c>
      <c r="M2078">
        <f t="shared" si="129"/>
        <v>2025</v>
      </c>
      <c r="N2078">
        <f t="shared" si="130"/>
        <v>86995.92</v>
      </c>
      <c r="O2078" t="str">
        <f t="shared" si="131"/>
        <v>Minor Delay</v>
      </c>
    </row>
    <row r="2079" spans="1:15" x14ac:dyDescent="0.25">
      <c r="A2079">
        <v>2078</v>
      </c>
      <c r="B2079" s="2">
        <v>45825</v>
      </c>
      <c r="C2079" t="s">
        <v>11</v>
      </c>
      <c r="D2079" t="s">
        <v>12</v>
      </c>
      <c r="E2079" t="s">
        <v>17</v>
      </c>
      <c r="F2079" t="s">
        <v>14</v>
      </c>
      <c r="G2079">
        <v>105</v>
      </c>
      <c r="H2079">
        <v>599.41</v>
      </c>
      <c r="I2079">
        <v>26</v>
      </c>
      <c r="J2079" t="s">
        <v>15</v>
      </c>
      <c r="K2079">
        <v>62938.05</v>
      </c>
      <c r="L2079" t="str">
        <f t="shared" si="128"/>
        <v>Jun</v>
      </c>
      <c r="M2079">
        <f t="shared" si="129"/>
        <v>2025</v>
      </c>
      <c r="N2079">
        <f t="shared" si="130"/>
        <v>62938.049999999996</v>
      </c>
      <c r="O2079" t="str">
        <f t="shared" si="131"/>
        <v>Minor Delay</v>
      </c>
    </row>
    <row r="2080" spans="1:15" x14ac:dyDescent="0.25">
      <c r="A2080">
        <v>2079</v>
      </c>
      <c r="B2080" s="2">
        <v>45901</v>
      </c>
      <c r="C2080" t="s">
        <v>25</v>
      </c>
      <c r="D2080" t="s">
        <v>19</v>
      </c>
      <c r="E2080" t="s">
        <v>20</v>
      </c>
      <c r="F2080" t="s">
        <v>21</v>
      </c>
      <c r="G2080">
        <v>74</v>
      </c>
      <c r="H2080">
        <v>236.23</v>
      </c>
      <c r="I2080">
        <v>0</v>
      </c>
      <c r="J2080" t="s">
        <v>15</v>
      </c>
      <c r="K2080">
        <v>17481.02</v>
      </c>
      <c r="L2080" t="str">
        <f t="shared" si="128"/>
        <v>Sep</v>
      </c>
      <c r="M2080">
        <f t="shared" si="129"/>
        <v>2025</v>
      </c>
      <c r="N2080">
        <f t="shared" si="130"/>
        <v>17481.02</v>
      </c>
      <c r="O2080" t="str">
        <f t="shared" si="131"/>
        <v>On Time</v>
      </c>
    </row>
    <row r="2081" spans="1:15" x14ac:dyDescent="0.25">
      <c r="A2081">
        <v>2080</v>
      </c>
      <c r="B2081" s="2">
        <v>46014</v>
      </c>
      <c r="C2081" t="s">
        <v>25</v>
      </c>
      <c r="D2081" t="s">
        <v>23</v>
      </c>
      <c r="E2081" t="s">
        <v>29</v>
      </c>
      <c r="F2081" t="s">
        <v>14</v>
      </c>
      <c r="G2081">
        <v>122</v>
      </c>
      <c r="H2081">
        <v>763.29</v>
      </c>
      <c r="I2081">
        <v>41</v>
      </c>
      <c r="J2081" t="s">
        <v>15</v>
      </c>
      <c r="K2081">
        <v>93121.38</v>
      </c>
      <c r="L2081" t="str">
        <f t="shared" si="128"/>
        <v>Dec</v>
      </c>
      <c r="M2081">
        <f t="shared" si="129"/>
        <v>2025</v>
      </c>
      <c r="N2081">
        <f t="shared" si="130"/>
        <v>93121.37999999999</v>
      </c>
      <c r="O2081" t="str">
        <f t="shared" si="131"/>
        <v>Moderate Delay</v>
      </c>
    </row>
    <row r="2082" spans="1:15" x14ac:dyDescent="0.25">
      <c r="A2082">
        <v>2081</v>
      </c>
      <c r="B2082" s="2">
        <v>45748</v>
      </c>
      <c r="C2082" t="s">
        <v>18</v>
      </c>
      <c r="D2082" t="s">
        <v>13</v>
      </c>
      <c r="E2082" t="s">
        <v>17</v>
      </c>
      <c r="F2082" t="s">
        <v>24</v>
      </c>
      <c r="G2082">
        <v>207</v>
      </c>
      <c r="H2082">
        <v>451.62</v>
      </c>
      <c r="I2082">
        <v>58</v>
      </c>
      <c r="J2082" t="s">
        <v>15</v>
      </c>
      <c r="K2082">
        <v>93485.34</v>
      </c>
      <c r="L2082" t="str">
        <f t="shared" si="128"/>
        <v>Apr</v>
      </c>
      <c r="M2082">
        <f t="shared" si="129"/>
        <v>2025</v>
      </c>
      <c r="N2082">
        <f t="shared" si="130"/>
        <v>93485.34</v>
      </c>
      <c r="O2082" t="str">
        <f t="shared" si="131"/>
        <v>Moderate Delay</v>
      </c>
    </row>
    <row r="2083" spans="1:15" x14ac:dyDescent="0.25">
      <c r="A2083">
        <v>2082</v>
      </c>
      <c r="B2083" s="2">
        <v>45967</v>
      </c>
      <c r="C2083" t="s">
        <v>25</v>
      </c>
      <c r="D2083" t="s">
        <v>27</v>
      </c>
      <c r="E2083" t="s">
        <v>13</v>
      </c>
      <c r="F2083" t="s">
        <v>14</v>
      </c>
      <c r="G2083">
        <v>243</v>
      </c>
      <c r="H2083">
        <v>413.73</v>
      </c>
      <c r="I2083">
        <v>19</v>
      </c>
      <c r="J2083" t="s">
        <v>15</v>
      </c>
      <c r="K2083">
        <v>100536.39</v>
      </c>
      <c r="L2083" t="str">
        <f t="shared" si="128"/>
        <v>Nov</v>
      </c>
      <c r="M2083">
        <f t="shared" si="129"/>
        <v>2025</v>
      </c>
      <c r="N2083">
        <f t="shared" si="130"/>
        <v>100536.39</v>
      </c>
      <c r="O2083" t="str">
        <f t="shared" si="131"/>
        <v>Minor Delay</v>
      </c>
    </row>
    <row r="2084" spans="1:15" x14ac:dyDescent="0.25">
      <c r="A2084">
        <v>2083</v>
      </c>
      <c r="B2084" s="2">
        <v>45921</v>
      </c>
      <c r="C2084" t="s">
        <v>31</v>
      </c>
      <c r="D2084" t="s">
        <v>29</v>
      </c>
      <c r="E2084" t="s">
        <v>23</v>
      </c>
      <c r="F2084" t="s">
        <v>21</v>
      </c>
      <c r="G2084">
        <v>269</v>
      </c>
      <c r="H2084">
        <v>627.57000000000005</v>
      </c>
      <c r="I2084">
        <v>0</v>
      </c>
      <c r="J2084" t="s">
        <v>30</v>
      </c>
      <c r="K2084">
        <v>168816.33</v>
      </c>
      <c r="L2084" t="str">
        <f t="shared" si="128"/>
        <v>Sep</v>
      </c>
      <c r="M2084">
        <f t="shared" si="129"/>
        <v>2025</v>
      </c>
      <c r="N2084">
        <f t="shared" si="130"/>
        <v>168816.33000000002</v>
      </c>
      <c r="O2084" t="str">
        <f t="shared" si="131"/>
        <v>On Time</v>
      </c>
    </row>
    <row r="2085" spans="1:15" x14ac:dyDescent="0.25">
      <c r="A2085">
        <v>2084</v>
      </c>
      <c r="B2085" s="2">
        <v>45871</v>
      </c>
      <c r="C2085" t="s">
        <v>16</v>
      </c>
      <c r="D2085" t="s">
        <v>27</v>
      </c>
      <c r="E2085" t="s">
        <v>17</v>
      </c>
      <c r="F2085" t="s">
        <v>24</v>
      </c>
      <c r="G2085">
        <v>271</v>
      </c>
      <c r="H2085">
        <v>631.96</v>
      </c>
      <c r="I2085">
        <v>50</v>
      </c>
      <c r="J2085" t="s">
        <v>15</v>
      </c>
      <c r="K2085">
        <v>171261.16</v>
      </c>
      <c r="L2085" t="str">
        <f t="shared" si="128"/>
        <v>Aug</v>
      </c>
      <c r="M2085">
        <f t="shared" si="129"/>
        <v>2025</v>
      </c>
      <c r="N2085">
        <f t="shared" si="130"/>
        <v>171261.16</v>
      </c>
      <c r="O2085" t="str">
        <f t="shared" si="131"/>
        <v>Moderate Delay</v>
      </c>
    </row>
    <row r="2086" spans="1:15" x14ac:dyDescent="0.25">
      <c r="A2086">
        <v>2085</v>
      </c>
      <c r="B2086" s="2">
        <v>45801</v>
      </c>
      <c r="C2086" t="s">
        <v>26</v>
      </c>
      <c r="D2086" t="s">
        <v>20</v>
      </c>
      <c r="E2086" t="s">
        <v>27</v>
      </c>
      <c r="F2086" t="s">
        <v>14</v>
      </c>
      <c r="G2086">
        <v>85</v>
      </c>
      <c r="H2086">
        <v>424.61</v>
      </c>
      <c r="I2086">
        <v>8</v>
      </c>
      <c r="J2086" t="s">
        <v>15</v>
      </c>
      <c r="K2086">
        <v>36091.85</v>
      </c>
      <c r="L2086" t="str">
        <f t="shared" si="128"/>
        <v>May</v>
      </c>
      <c r="M2086">
        <f t="shared" si="129"/>
        <v>2025</v>
      </c>
      <c r="N2086">
        <f t="shared" si="130"/>
        <v>36091.85</v>
      </c>
      <c r="O2086" t="str">
        <f t="shared" si="131"/>
        <v>Minor Delay</v>
      </c>
    </row>
    <row r="2087" spans="1:15" x14ac:dyDescent="0.25">
      <c r="A2087">
        <v>2086</v>
      </c>
      <c r="B2087" s="2">
        <v>45959</v>
      </c>
      <c r="C2087" t="s">
        <v>18</v>
      </c>
      <c r="D2087" t="s">
        <v>23</v>
      </c>
      <c r="E2087" t="s">
        <v>17</v>
      </c>
      <c r="F2087" t="s">
        <v>24</v>
      </c>
      <c r="G2087">
        <v>253</v>
      </c>
      <c r="H2087">
        <v>701.43</v>
      </c>
      <c r="I2087">
        <v>39</v>
      </c>
      <c r="J2087" t="s">
        <v>15</v>
      </c>
      <c r="K2087">
        <v>177461.79</v>
      </c>
      <c r="L2087" t="str">
        <f t="shared" si="128"/>
        <v>Oct</v>
      </c>
      <c r="M2087">
        <f t="shared" si="129"/>
        <v>2025</v>
      </c>
      <c r="N2087">
        <f t="shared" si="130"/>
        <v>177461.78999999998</v>
      </c>
      <c r="O2087" t="str">
        <f t="shared" si="131"/>
        <v>Moderate Delay</v>
      </c>
    </row>
    <row r="2088" spans="1:15" x14ac:dyDescent="0.25">
      <c r="A2088">
        <v>2087</v>
      </c>
      <c r="B2088" s="2">
        <v>45915</v>
      </c>
      <c r="C2088" t="s">
        <v>11</v>
      </c>
      <c r="D2088" t="s">
        <v>23</v>
      </c>
      <c r="E2088" t="s">
        <v>29</v>
      </c>
      <c r="F2088" t="s">
        <v>24</v>
      </c>
      <c r="G2088">
        <v>295</v>
      </c>
      <c r="H2088">
        <v>514.64</v>
      </c>
      <c r="I2088">
        <v>27</v>
      </c>
      <c r="J2088" t="s">
        <v>15</v>
      </c>
      <c r="K2088">
        <v>151818.79999999999</v>
      </c>
      <c r="L2088" t="str">
        <f t="shared" si="128"/>
        <v>Sep</v>
      </c>
      <c r="M2088">
        <f t="shared" si="129"/>
        <v>2025</v>
      </c>
      <c r="N2088">
        <f t="shared" si="130"/>
        <v>151818.79999999999</v>
      </c>
      <c r="O2088" t="str">
        <f t="shared" si="131"/>
        <v>Minor Delay</v>
      </c>
    </row>
    <row r="2089" spans="1:15" x14ac:dyDescent="0.25">
      <c r="A2089">
        <v>2088</v>
      </c>
      <c r="B2089" s="2">
        <v>45727</v>
      </c>
      <c r="C2089" t="s">
        <v>16</v>
      </c>
      <c r="D2089" t="s">
        <v>22</v>
      </c>
      <c r="E2089" t="s">
        <v>13</v>
      </c>
      <c r="F2089" t="s">
        <v>14</v>
      </c>
      <c r="G2089">
        <v>60</v>
      </c>
      <c r="H2089">
        <v>175.4</v>
      </c>
      <c r="I2089">
        <v>27</v>
      </c>
      <c r="J2089" t="s">
        <v>15</v>
      </c>
      <c r="K2089">
        <v>10524</v>
      </c>
      <c r="L2089" t="str">
        <f t="shared" si="128"/>
        <v>Mar</v>
      </c>
      <c r="M2089">
        <f t="shared" si="129"/>
        <v>2025</v>
      </c>
      <c r="N2089">
        <f t="shared" si="130"/>
        <v>10524</v>
      </c>
      <c r="O2089" t="str">
        <f t="shared" si="131"/>
        <v>Minor Delay</v>
      </c>
    </row>
    <row r="2090" spans="1:15" x14ac:dyDescent="0.25">
      <c r="A2090">
        <v>2089</v>
      </c>
      <c r="B2090" s="2">
        <v>45695</v>
      </c>
      <c r="C2090" t="s">
        <v>11</v>
      </c>
      <c r="D2090" t="s">
        <v>19</v>
      </c>
      <c r="E2090" t="s">
        <v>23</v>
      </c>
      <c r="F2090" t="s">
        <v>14</v>
      </c>
      <c r="G2090">
        <v>214</v>
      </c>
      <c r="H2090">
        <v>709.26</v>
      </c>
      <c r="I2090">
        <v>54</v>
      </c>
      <c r="J2090" t="s">
        <v>15</v>
      </c>
      <c r="K2090">
        <v>151781.64000000001</v>
      </c>
      <c r="L2090" t="str">
        <f t="shared" si="128"/>
        <v>Feb</v>
      </c>
      <c r="M2090">
        <f t="shared" si="129"/>
        <v>2025</v>
      </c>
      <c r="N2090">
        <f t="shared" si="130"/>
        <v>151781.63999999998</v>
      </c>
      <c r="O2090" t="str">
        <f t="shared" si="131"/>
        <v>Moderate Delay</v>
      </c>
    </row>
    <row r="2091" spans="1:15" x14ac:dyDescent="0.25">
      <c r="A2091">
        <v>2090</v>
      </c>
      <c r="B2091" s="2">
        <v>45764</v>
      </c>
      <c r="C2091" t="s">
        <v>16</v>
      </c>
      <c r="D2091" t="s">
        <v>22</v>
      </c>
      <c r="E2091" t="s">
        <v>12</v>
      </c>
      <c r="F2091" t="s">
        <v>24</v>
      </c>
      <c r="G2091">
        <v>137</v>
      </c>
      <c r="H2091">
        <v>415.59</v>
      </c>
      <c r="I2091">
        <v>0</v>
      </c>
      <c r="J2091" t="s">
        <v>15</v>
      </c>
      <c r="K2091">
        <v>56935.83</v>
      </c>
      <c r="L2091" t="str">
        <f t="shared" si="128"/>
        <v>Apr</v>
      </c>
      <c r="M2091">
        <f t="shared" si="129"/>
        <v>2025</v>
      </c>
      <c r="N2091">
        <f t="shared" si="130"/>
        <v>56935.829999999994</v>
      </c>
      <c r="O2091" t="str">
        <f t="shared" si="131"/>
        <v>On Time</v>
      </c>
    </row>
    <row r="2092" spans="1:15" x14ac:dyDescent="0.25">
      <c r="A2092">
        <v>2091</v>
      </c>
      <c r="B2092" s="2">
        <v>46007</v>
      </c>
      <c r="C2092" t="s">
        <v>16</v>
      </c>
      <c r="D2092" t="s">
        <v>17</v>
      </c>
      <c r="E2092" t="s">
        <v>29</v>
      </c>
      <c r="F2092" t="s">
        <v>24</v>
      </c>
      <c r="G2092">
        <v>127</v>
      </c>
      <c r="H2092">
        <v>270.43</v>
      </c>
      <c r="I2092">
        <v>0</v>
      </c>
      <c r="J2092" t="s">
        <v>15</v>
      </c>
      <c r="K2092">
        <v>34344.61</v>
      </c>
      <c r="L2092" t="str">
        <f t="shared" si="128"/>
        <v>Dec</v>
      </c>
      <c r="M2092">
        <f t="shared" si="129"/>
        <v>2025</v>
      </c>
      <c r="N2092">
        <f t="shared" si="130"/>
        <v>34344.61</v>
      </c>
      <c r="O2092" t="str">
        <f t="shared" si="131"/>
        <v>On Time</v>
      </c>
    </row>
    <row r="2093" spans="1:15" x14ac:dyDescent="0.25">
      <c r="A2093">
        <v>2092</v>
      </c>
      <c r="B2093" s="2">
        <v>45913</v>
      </c>
      <c r="C2093" t="s">
        <v>25</v>
      </c>
      <c r="D2093" t="s">
        <v>20</v>
      </c>
      <c r="E2093" t="s">
        <v>29</v>
      </c>
      <c r="F2093" t="s">
        <v>14</v>
      </c>
      <c r="G2093">
        <v>158</v>
      </c>
      <c r="H2093">
        <v>392.26</v>
      </c>
      <c r="I2093">
        <v>15</v>
      </c>
      <c r="J2093" t="s">
        <v>15</v>
      </c>
      <c r="K2093">
        <v>61977.08</v>
      </c>
      <c r="L2093" t="str">
        <f t="shared" si="128"/>
        <v>Sep</v>
      </c>
      <c r="M2093">
        <f t="shared" si="129"/>
        <v>2025</v>
      </c>
      <c r="N2093">
        <f t="shared" si="130"/>
        <v>61977.08</v>
      </c>
      <c r="O2093" t="str">
        <f t="shared" si="131"/>
        <v>Minor Delay</v>
      </c>
    </row>
    <row r="2094" spans="1:15" x14ac:dyDescent="0.25">
      <c r="A2094">
        <v>2093</v>
      </c>
      <c r="B2094" s="2">
        <v>45987</v>
      </c>
      <c r="C2094" t="s">
        <v>18</v>
      </c>
      <c r="D2094" t="s">
        <v>20</v>
      </c>
      <c r="E2094" t="s">
        <v>23</v>
      </c>
      <c r="F2094" t="s">
        <v>14</v>
      </c>
      <c r="G2094">
        <v>241</v>
      </c>
      <c r="H2094">
        <v>64.709999999999994</v>
      </c>
      <c r="I2094">
        <v>0</v>
      </c>
      <c r="J2094" t="s">
        <v>15</v>
      </c>
      <c r="K2094">
        <v>15595.11</v>
      </c>
      <c r="L2094" t="str">
        <f t="shared" si="128"/>
        <v>Nov</v>
      </c>
      <c r="M2094">
        <f t="shared" si="129"/>
        <v>2025</v>
      </c>
      <c r="N2094">
        <f t="shared" si="130"/>
        <v>15595.109999999999</v>
      </c>
      <c r="O2094" t="str">
        <f t="shared" si="131"/>
        <v>On Time</v>
      </c>
    </row>
    <row r="2095" spans="1:15" x14ac:dyDescent="0.25">
      <c r="A2095">
        <v>2094</v>
      </c>
      <c r="B2095" s="2">
        <v>45805</v>
      </c>
      <c r="C2095" t="s">
        <v>11</v>
      </c>
      <c r="D2095" t="s">
        <v>29</v>
      </c>
      <c r="E2095" t="s">
        <v>17</v>
      </c>
      <c r="F2095" t="s">
        <v>14</v>
      </c>
      <c r="G2095">
        <v>184</v>
      </c>
      <c r="H2095">
        <v>221.64</v>
      </c>
      <c r="I2095">
        <v>42</v>
      </c>
      <c r="J2095" t="s">
        <v>30</v>
      </c>
      <c r="K2095">
        <v>40781.760000000002</v>
      </c>
      <c r="L2095" t="str">
        <f t="shared" si="128"/>
        <v>May</v>
      </c>
      <c r="M2095">
        <f t="shared" si="129"/>
        <v>2025</v>
      </c>
      <c r="N2095">
        <f t="shared" si="130"/>
        <v>40781.759999999995</v>
      </c>
      <c r="O2095" t="str">
        <f t="shared" si="131"/>
        <v>Moderate Delay</v>
      </c>
    </row>
    <row r="2096" spans="1:15" x14ac:dyDescent="0.25">
      <c r="A2096">
        <v>2095</v>
      </c>
      <c r="B2096" s="2">
        <v>45726</v>
      </c>
      <c r="C2096" t="s">
        <v>11</v>
      </c>
      <c r="D2096" t="s">
        <v>27</v>
      </c>
      <c r="E2096" t="s">
        <v>12</v>
      </c>
      <c r="F2096" t="s">
        <v>14</v>
      </c>
      <c r="G2096">
        <v>82</v>
      </c>
      <c r="H2096">
        <v>208.13</v>
      </c>
      <c r="I2096">
        <v>49</v>
      </c>
      <c r="J2096" t="s">
        <v>15</v>
      </c>
      <c r="K2096">
        <v>17066.66</v>
      </c>
      <c r="L2096" t="str">
        <f t="shared" si="128"/>
        <v>Mar</v>
      </c>
      <c r="M2096">
        <f t="shared" si="129"/>
        <v>2025</v>
      </c>
      <c r="N2096">
        <f t="shared" si="130"/>
        <v>17066.66</v>
      </c>
      <c r="O2096" t="str">
        <f t="shared" si="131"/>
        <v>Moderate Delay</v>
      </c>
    </row>
    <row r="2097" spans="1:15" x14ac:dyDescent="0.25">
      <c r="A2097">
        <v>2096</v>
      </c>
      <c r="B2097" s="2">
        <v>45688</v>
      </c>
      <c r="C2097" t="s">
        <v>18</v>
      </c>
      <c r="D2097" t="s">
        <v>23</v>
      </c>
      <c r="E2097" t="s">
        <v>12</v>
      </c>
      <c r="F2097" t="s">
        <v>21</v>
      </c>
      <c r="G2097">
        <v>52</v>
      </c>
      <c r="H2097">
        <v>715.26</v>
      </c>
      <c r="I2097">
        <v>57</v>
      </c>
      <c r="J2097" t="s">
        <v>15</v>
      </c>
      <c r="K2097">
        <v>37193.519999999997</v>
      </c>
      <c r="L2097" t="str">
        <f t="shared" si="128"/>
        <v>Jan</v>
      </c>
      <c r="M2097">
        <f t="shared" si="129"/>
        <v>2025</v>
      </c>
      <c r="N2097">
        <f t="shared" si="130"/>
        <v>37193.519999999997</v>
      </c>
      <c r="O2097" t="str">
        <f t="shared" si="131"/>
        <v>Moderate Delay</v>
      </c>
    </row>
    <row r="2098" spans="1:15" x14ac:dyDescent="0.25">
      <c r="A2098">
        <v>2097</v>
      </c>
      <c r="B2098" s="2">
        <v>45908</v>
      </c>
      <c r="C2098" t="s">
        <v>11</v>
      </c>
      <c r="D2098" t="s">
        <v>17</v>
      </c>
      <c r="E2098" t="s">
        <v>23</v>
      </c>
      <c r="F2098" t="s">
        <v>14</v>
      </c>
      <c r="G2098">
        <v>233</v>
      </c>
      <c r="H2098">
        <v>469.03</v>
      </c>
      <c r="I2098">
        <v>2</v>
      </c>
      <c r="J2098" t="s">
        <v>15</v>
      </c>
      <c r="K2098">
        <v>109283.99</v>
      </c>
      <c r="L2098" t="str">
        <f t="shared" si="128"/>
        <v>Sep</v>
      </c>
      <c r="M2098">
        <f t="shared" si="129"/>
        <v>2025</v>
      </c>
      <c r="N2098">
        <f t="shared" si="130"/>
        <v>109283.98999999999</v>
      </c>
      <c r="O2098" t="str">
        <f t="shared" si="131"/>
        <v>Minor Delay</v>
      </c>
    </row>
    <row r="2099" spans="1:15" x14ac:dyDescent="0.25">
      <c r="A2099">
        <v>2098</v>
      </c>
      <c r="B2099" s="2">
        <v>45998</v>
      </c>
      <c r="C2099" t="s">
        <v>18</v>
      </c>
      <c r="D2099" t="s">
        <v>17</v>
      </c>
      <c r="E2099" t="s">
        <v>12</v>
      </c>
      <c r="F2099" t="s">
        <v>14</v>
      </c>
      <c r="G2099">
        <v>251</v>
      </c>
      <c r="H2099">
        <v>193.69</v>
      </c>
      <c r="I2099">
        <v>45</v>
      </c>
      <c r="J2099" t="s">
        <v>15</v>
      </c>
      <c r="K2099">
        <v>48616.19</v>
      </c>
      <c r="L2099" t="str">
        <f t="shared" si="128"/>
        <v>Dec</v>
      </c>
      <c r="M2099">
        <f t="shared" si="129"/>
        <v>2025</v>
      </c>
      <c r="N2099">
        <f t="shared" si="130"/>
        <v>48616.19</v>
      </c>
      <c r="O2099" t="str">
        <f t="shared" si="131"/>
        <v>Moderate Delay</v>
      </c>
    </row>
    <row r="2100" spans="1:15" x14ac:dyDescent="0.25">
      <c r="A2100">
        <v>2099</v>
      </c>
      <c r="B2100" s="2">
        <v>45791</v>
      </c>
      <c r="C2100" t="s">
        <v>25</v>
      </c>
      <c r="D2100" t="s">
        <v>20</v>
      </c>
      <c r="E2100" t="s">
        <v>22</v>
      </c>
      <c r="F2100" t="s">
        <v>24</v>
      </c>
      <c r="G2100">
        <v>193</v>
      </c>
      <c r="H2100">
        <v>524.52</v>
      </c>
      <c r="I2100">
        <v>0</v>
      </c>
      <c r="J2100" t="s">
        <v>30</v>
      </c>
      <c r="K2100">
        <v>101232.36</v>
      </c>
      <c r="L2100" t="str">
        <f t="shared" si="128"/>
        <v>May</v>
      </c>
      <c r="M2100">
        <f t="shared" si="129"/>
        <v>2025</v>
      </c>
      <c r="N2100">
        <f t="shared" si="130"/>
        <v>101232.36</v>
      </c>
      <c r="O2100" t="str">
        <f t="shared" si="131"/>
        <v>On Time</v>
      </c>
    </row>
    <row r="2101" spans="1:15" x14ac:dyDescent="0.25">
      <c r="A2101">
        <v>2100</v>
      </c>
      <c r="B2101" s="2">
        <v>45730</v>
      </c>
      <c r="C2101" t="s">
        <v>31</v>
      </c>
      <c r="D2101" t="s">
        <v>13</v>
      </c>
      <c r="E2101" t="s">
        <v>17</v>
      </c>
      <c r="F2101" t="s">
        <v>14</v>
      </c>
      <c r="G2101">
        <v>180</v>
      </c>
      <c r="H2101">
        <v>664.33</v>
      </c>
      <c r="I2101">
        <v>22</v>
      </c>
      <c r="J2101" t="s">
        <v>30</v>
      </c>
      <c r="K2101">
        <v>119579.4</v>
      </c>
      <c r="L2101" t="str">
        <f t="shared" si="128"/>
        <v>Mar</v>
      </c>
      <c r="M2101">
        <f t="shared" si="129"/>
        <v>2025</v>
      </c>
      <c r="N2101">
        <f t="shared" si="130"/>
        <v>119579.40000000001</v>
      </c>
      <c r="O2101" t="str">
        <f t="shared" si="131"/>
        <v>Minor Delay</v>
      </c>
    </row>
    <row r="2102" spans="1:15" x14ac:dyDescent="0.25">
      <c r="A2102">
        <v>2101</v>
      </c>
      <c r="B2102" s="2">
        <v>45994</v>
      </c>
      <c r="C2102" t="s">
        <v>31</v>
      </c>
      <c r="D2102" t="s">
        <v>20</v>
      </c>
      <c r="E2102" t="s">
        <v>17</v>
      </c>
      <c r="F2102" t="s">
        <v>14</v>
      </c>
      <c r="G2102">
        <v>236</v>
      </c>
      <c r="H2102">
        <v>135.66</v>
      </c>
      <c r="I2102">
        <v>67</v>
      </c>
      <c r="J2102" t="s">
        <v>15</v>
      </c>
      <c r="K2102">
        <v>32015.759999999998</v>
      </c>
      <c r="L2102" t="str">
        <f t="shared" si="128"/>
        <v>Dec</v>
      </c>
      <c r="M2102">
        <f t="shared" si="129"/>
        <v>2025</v>
      </c>
      <c r="N2102">
        <f t="shared" si="130"/>
        <v>32015.759999999998</v>
      </c>
      <c r="O2102" t="str">
        <f t="shared" si="131"/>
        <v>Major Delay</v>
      </c>
    </row>
    <row r="2103" spans="1:15" x14ac:dyDescent="0.25">
      <c r="A2103">
        <v>2102</v>
      </c>
      <c r="B2103" s="2">
        <v>45747</v>
      </c>
      <c r="C2103" t="s">
        <v>16</v>
      </c>
      <c r="D2103" t="s">
        <v>12</v>
      </c>
      <c r="E2103" t="s">
        <v>27</v>
      </c>
      <c r="F2103" t="s">
        <v>24</v>
      </c>
      <c r="G2103">
        <v>225</v>
      </c>
      <c r="H2103">
        <v>219.15</v>
      </c>
      <c r="I2103">
        <v>36</v>
      </c>
      <c r="J2103" t="s">
        <v>15</v>
      </c>
      <c r="K2103">
        <v>49308.75</v>
      </c>
      <c r="L2103" t="str">
        <f t="shared" si="128"/>
        <v>Mar</v>
      </c>
      <c r="M2103">
        <f t="shared" si="129"/>
        <v>2025</v>
      </c>
      <c r="N2103">
        <f t="shared" si="130"/>
        <v>49308.75</v>
      </c>
      <c r="O2103" t="str">
        <f t="shared" si="131"/>
        <v>Moderate Delay</v>
      </c>
    </row>
    <row r="2104" spans="1:15" x14ac:dyDescent="0.25">
      <c r="A2104">
        <v>2103</v>
      </c>
      <c r="B2104" s="2">
        <v>45672</v>
      </c>
      <c r="C2104" t="s">
        <v>26</v>
      </c>
      <c r="D2104" t="s">
        <v>19</v>
      </c>
      <c r="E2104" t="s">
        <v>29</v>
      </c>
      <c r="F2104" t="s">
        <v>14</v>
      </c>
      <c r="G2104">
        <v>94</v>
      </c>
      <c r="H2104">
        <v>174.84</v>
      </c>
      <c r="I2104">
        <v>72</v>
      </c>
      <c r="J2104" t="s">
        <v>15</v>
      </c>
      <c r="K2104">
        <v>16434.96</v>
      </c>
      <c r="L2104" t="str">
        <f t="shared" si="128"/>
        <v>Jan</v>
      </c>
      <c r="M2104">
        <f t="shared" si="129"/>
        <v>2025</v>
      </c>
      <c r="N2104">
        <f t="shared" si="130"/>
        <v>16434.96</v>
      </c>
      <c r="O2104" t="str">
        <f t="shared" si="131"/>
        <v>Major Delay</v>
      </c>
    </row>
    <row r="2105" spans="1:15" x14ac:dyDescent="0.25">
      <c r="A2105">
        <v>2104</v>
      </c>
      <c r="B2105" s="2">
        <v>45709</v>
      </c>
      <c r="C2105" t="s">
        <v>25</v>
      </c>
      <c r="D2105" t="s">
        <v>17</v>
      </c>
      <c r="E2105" t="s">
        <v>29</v>
      </c>
      <c r="F2105" t="s">
        <v>24</v>
      </c>
      <c r="G2105">
        <v>254</v>
      </c>
      <c r="H2105">
        <v>301.95</v>
      </c>
      <c r="I2105">
        <v>4</v>
      </c>
      <c r="J2105" t="s">
        <v>30</v>
      </c>
      <c r="K2105">
        <v>76695.3</v>
      </c>
      <c r="L2105" t="str">
        <f t="shared" si="128"/>
        <v>Feb</v>
      </c>
      <c r="M2105">
        <f t="shared" si="129"/>
        <v>2025</v>
      </c>
      <c r="N2105">
        <f t="shared" si="130"/>
        <v>76695.3</v>
      </c>
      <c r="O2105" t="str">
        <f t="shared" si="131"/>
        <v>Minor Delay</v>
      </c>
    </row>
    <row r="2106" spans="1:15" x14ac:dyDescent="0.25">
      <c r="A2106">
        <v>2105</v>
      </c>
      <c r="B2106" s="2">
        <v>45778</v>
      </c>
      <c r="C2106" t="s">
        <v>31</v>
      </c>
      <c r="D2106" t="s">
        <v>12</v>
      </c>
      <c r="E2106" t="s">
        <v>22</v>
      </c>
      <c r="F2106" t="s">
        <v>21</v>
      </c>
      <c r="G2106">
        <v>86</v>
      </c>
      <c r="H2106">
        <v>234.98</v>
      </c>
      <c r="I2106">
        <v>38</v>
      </c>
      <c r="J2106" t="s">
        <v>15</v>
      </c>
      <c r="K2106">
        <v>20208.28</v>
      </c>
      <c r="L2106" t="str">
        <f t="shared" si="128"/>
        <v>May</v>
      </c>
      <c r="M2106">
        <f t="shared" si="129"/>
        <v>2025</v>
      </c>
      <c r="N2106">
        <f t="shared" si="130"/>
        <v>20208.28</v>
      </c>
      <c r="O2106" t="str">
        <f t="shared" si="131"/>
        <v>Moderate Delay</v>
      </c>
    </row>
    <row r="2107" spans="1:15" x14ac:dyDescent="0.25">
      <c r="A2107">
        <v>2106</v>
      </c>
      <c r="B2107" s="2">
        <v>45821</v>
      </c>
      <c r="C2107" t="s">
        <v>31</v>
      </c>
      <c r="D2107" t="s">
        <v>19</v>
      </c>
      <c r="E2107" t="s">
        <v>23</v>
      </c>
      <c r="F2107" t="s">
        <v>24</v>
      </c>
      <c r="G2107">
        <v>118</v>
      </c>
      <c r="H2107">
        <v>369.23</v>
      </c>
      <c r="I2107">
        <v>51</v>
      </c>
      <c r="J2107" t="s">
        <v>15</v>
      </c>
      <c r="K2107">
        <v>43569.14</v>
      </c>
      <c r="L2107" t="str">
        <f t="shared" si="128"/>
        <v>Jun</v>
      </c>
      <c r="M2107">
        <f t="shared" si="129"/>
        <v>2025</v>
      </c>
      <c r="N2107">
        <f t="shared" si="130"/>
        <v>43569.14</v>
      </c>
      <c r="O2107" t="str">
        <f t="shared" si="131"/>
        <v>Moderate Delay</v>
      </c>
    </row>
    <row r="2108" spans="1:15" x14ac:dyDescent="0.25">
      <c r="A2108">
        <v>2107</v>
      </c>
      <c r="B2108" s="2">
        <v>45770</v>
      </c>
      <c r="C2108" t="s">
        <v>11</v>
      </c>
      <c r="D2108" t="s">
        <v>20</v>
      </c>
      <c r="E2108" t="s">
        <v>27</v>
      </c>
      <c r="F2108" t="s">
        <v>24</v>
      </c>
      <c r="G2108">
        <v>124</v>
      </c>
      <c r="H2108">
        <v>242.88</v>
      </c>
      <c r="I2108">
        <v>42</v>
      </c>
      <c r="J2108" t="s">
        <v>30</v>
      </c>
      <c r="K2108">
        <v>30117.119999999999</v>
      </c>
      <c r="L2108" t="str">
        <f t="shared" si="128"/>
        <v>Apr</v>
      </c>
      <c r="M2108">
        <f t="shared" si="129"/>
        <v>2025</v>
      </c>
      <c r="N2108">
        <f t="shared" si="130"/>
        <v>30117.119999999999</v>
      </c>
      <c r="O2108" t="str">
        <f t="shared" si="131"/>
        <v>Moderate Delay</v>
      </c>
    </row>
    <row r="2109" spans="1:15" x14ac:dyDescent="0.25">
      <c r="A2109">
        <v>2108</v>
      </c>
      <c r="B2109" s="2">
        <v>45750</v>
      </c>
      <c r="C2109" t="s">
        <v>18</v>
      </c>
      <c r="D2109" t="s">
        <v>20</v>
      </c>
      <c r="E2109" t="s">
        <v>12</v>
      </c>
      <c r="F2109" t="s">
        <v>21</v>
      </c>
      <c r="G2109">
        <v>261</v>
      </c>
      <c r="H2109">
        <v>687.48</v>
      </c>
      <c r="I2109">
        <v>22</v>
      </c>
      <c r="J2109" t="s">
        <v>15</v>
      </c>
      <c r="K2109">
        <v>179432.28</v>
      </c>
      <c r="L2109" t="str">
        <f t="shared" si="128"/>
        <v>Apr</v>
      </c>
      <c r="M2109">
        <f t="shared" si="129"/>
        <v>2025</v>
      </c>
      <c r="N2109">
        <f t="shared" si="130"/>
        <v>179432.28</v>
      </c>
      <c r="O2109" t="str">
        <f t="shared" si="131"/>
        <v>Minor Delay</v>
      </c>
    </row>
    <row r="2110" spans="1:15" x14ac:dyDescent="0.25">
      <c r="A2110">
        <v>2109</v>
      </c>
      <c r="B2110" s="2">
        <v>45950</v>
      </c>
      <c r="C2110" t="s">
        <v>11</v>
      </c>
      <c r="D2110" t="s">
        <v>13</v>
      </c>
      <c r="E2110" t="s">
        <v>19</v>
      </c>
      <c r="F2110" t="s">
        <v>24</v>
      </c>
      <c r="G2110">
        <v>67</v>
      </c>
      <c r="H2110">
        <v>179.95</v>
      </c>
      <c r="I2110">
        <v>1</v>
      </c>
      <c r="J2110" t="s">
        <v>15</v>
      </c>
      <c r="K2110">
        <v>12056.65</v>
      </c>
      <c r="L2110" t="str">
        <f t="shared" si="128"/>
        <v>Oct</v>
      </c>
      <c r="M2110">
        <f t="shared" si="129"/>
        <v>2025</v>
      </c>
      <c r="N2110">
        <f t="shared" si="130"/>
        <v>12056.65</v>
      </c>
      <c r="O2110" t="str">
        <f t="shared" si="131"/>
        <v>Minor Delay</v>
      </c>
    </row>
    <row r="2111" spans="1:15" x14ac:dyDescent="0.25">
      <c r="A2111">
        <v>2110</v>
      </c>
      <c r="B2111" s="2">
        <v>45715</v>
      </c>
      <c r="C2111" t="s">
        <v>11</v>
      </c>
      <c r="D2111" t="s">
        <v>27</v>
      </c>
      <c r="E2111" t="s">
        <v>20</v>
      </c>
      <c r="F2111" t="s">
        <v>24</v>
      </c>
      <c r="G2111">
        <v>231</v>
      </c>
      <c r="H2111">
        <v>722.58</v>
      </c>
      <c r="I2111">
        <v>52</v>
      </c>
      <c r="J2111" t="s">
        <v>15</v>
      </c>
      <c r="K2111">
        <v>166915.98000000001</v>
      </c>
      <c r="L2111" t="str">
        <f t="shared" si="128"/>
        <v>Feb</v>
      </c>
      <c r="M2111">
        <f t="shared" si="129"/>
        <v>2025</v>
      </c>
      <c r="N2111">
        <f t="shared" si="130"/>
        <v>166915.98000000001</v>
      </c>
      <c r="O2111" t="str">
        <f t="shared" si="131"/>
        <v>Moderate Delay</v>
      </c>
    </row>
    <row r="2112" spans="1:15" x14ac:dyDescent="0.25">
      <c r="A2112">
        <v>2111</v>
      </c>
      <c r="B2112" s="2">
        <v>45724</v>
      </c>
      <c r="C2112" t="s">
        <v>11</v>
      </c>
      <c r="D2112" t="s">
        <v>27</v>
      </c>
      <c r="E2112" t="s">
        <v>19</v>
      </c>
      <c r="F2112" t="s">
        <v>14</v>
      </c>
      <c r="G2112">
        <v>257</v>
      </c>
      <c r="H2112">
        <v>559.66</v>
      </c>
      <c r="I2112">
        <v>33</v>
      </c>
      <c r="J2112" t="s">
        <v>15</v>
      </c>
      <c r="K2112">
        <v>143832.62</v>
      </c>
      <c r="L2112" t="str">
        <f t="shared" si="128"/>
        <v>Mar</v>
      </c>
      <c r="M2112">
        <f t="shared" si="129"/>
        <v>2025</v>
      </c>
      <c r="N2112">
        <f t="shared" si="130"/>
        <v>143832.62</v>
      </c>
      <c r="O2112" t="str">
        <f t="shared" si="131"/>
        <v>Moderate Delay</v>
      </c>
    </row>
    <row r="2113" spans="1:15" x14ac:dyDescent="0.25">
      <c r="A2113">
        <v>2112</v>
      </c>
      <c r="B2113" s="2">
        <v>45746</v>
      </c>
      <c r="C2113" t="s">
        <v>16</v>
      </c>
      <c r="D2113" t="s">
        <v>13</v>
      </c>
      <c r="E2113" t="s">
        <v>23</v>
      </c>
      <c r="F2113" t="s">
        <v>14</v>
      </c>
      <c r="G2113">
        <v>117</v>
      </c>
      <c r="H2113">
        <v>623.14</v>
      </c>
      <c r="I2113">
        <v>17</v>
      </c>
      <c r="J2113" t="s">
        <v>15</v>
      </c>
      <c r="K2113">
        <v>72907.38</v>
      </c>
      <c r="L2113" t="str">
        <f t="shared" si="128"/>
        <v>Mar</v>
      </c>
      <c r="M2113">
        <f t="shared" si="129"/>
        <v>2025</v>
      </c>
      <c r="N2113">
        <f t="shared" si="130"/>
        <v>72907.38</v>
      </c>
      <c r="O2113" t="str">
        <f t="shared" si="131"/>
        <v>Minor Delay</v>
      </c>
    </row>
    <row r="2114" spans="1:15" x14ac:dyDescent="0.25">
      <c r="A2114">
        <v>2113</v>
      </c>
      <c r="B2114" s="2">
        <v>45836</v>
      </c>
      <c r="C2114" t="s">
        <v>25</v>
      </c>
      <c r="D2114" t="s">
        <v>20</v>
      </c>
      <c r="E2114" t="s">
        <v>27</v>
      </c>
      <c r="F2114" t="s">
        <v>14</v>
      </c>
      <c r="G2114">
        <v>227</v>
      </c>
      <c r="H2114">
        <v>607.59</v>
      </c>
      <c r="I2114">
        <v>13</v>
      </c>
      <c r="J2114" t="s">
        <v>15</v>
      </c>
      <c r="K2114">
        <v>137922.93</v>
      </c>
      <c r="L2114" t="str">
        <f t="shared" si="128"/>
        <v>Jun</v>
      </c>
      <c r="M2114">
        <f t="shared" si="129"/>
        <v>2025</v>
      </c>
      <c r="N2114">
        <f t="shared" si="130"/>
        <v>137922.93</v>
      </c>
      <c r="O2114" t="str">
        <f t="shared" si="131"/>
        <v>Minor Delay</v>
      </c>
    </row>
    <row r="2115" spans="1:15" x14ac:dyDescent="0.25">
      <c r="A2115">
        <v>2114</v>
      </c>
      <c r="B2115" s="2">
        <v>45984</v>
      </c>
      <c r="C2115" t="s">
        <v>31</v>
      </c>
      <c r="D2115" t="s">
        <v>29</v>
      </c>
      <c r="E2115" t="s">
        <v>23</v>
      </c>
      <c r="F2115" t="s">
        <v>24</v>
      </c>
      <c r="G2115">
        <v>286</v>
      </c>
      <c r="H2115">
        <v>105.05</v>
      </c>
      <c r="I2115">
        <v>0</v>
      </c>
      <c r="J2115" t="s">
        <v>30</v>
      </c>
      <c r="K2115">
        <v>30044.3</v>
      </c>
      <c r="L2115" t="str">
        <f t="shared" ref="L2115:L2178" si="132">TEXT(B2115,"MMM")</f>
        <v>Nov</v>
      </c>
      <c r="M2115">
        <f t="shared" ref="M2115:M2178" si="133">YEAR(B2115)</f>
        <v>2025</v>
      </c>
      <c r="N2115">
        <f t="shared" ref="N2115:N2178" si="134">G2115*H2115</f>
        <v>30044.3</v>
      </c>
      <c r="O2115" t="str">
        <f t="shared" ref="O2115:O2178" si="135">IF(I2115=0,"On Time",IF(I2115&lt;=30,"Minor Delay",IF(I2115&lt;=60,"Moderate Delay","Major Delay")))</f>
        <v>On Time</v>
      </c>
    </row>
    <row r="2116" spans="1:15" x14ac:dyDescent="0.25">
      <c r="A2116">
        <v>2115</v>
      </c>
      <c r="B2116" s="2">
        <v>45666</v>
      </c>
      <c r="C2116" t="s">
        <v>26</v>
      </c>
      <c r="D2116" t="s">
        <v>13</v>
      </c>
      <c r="E2116" t="s">
        <v>23</v>
      </c>
      <c r="F2116" t="s">
        <v>24</v>
      </c>
      <c r="G2116">
        <v>110</v>
      </c>
      <c r="H2116">
        <v>742.68</v>
      </c>
      <c r="I2116">
        <v>0</v>
      </c>
      <c r="J2116" t="s">
        <v>30</v>
      </c>
      <c r="K2116">
        <v>81694.8</v>
      </c>
      <c r="L2116" t="str">
        <f t="shared" si="132"/>
        <v>Jan</v>
      </c>
      <c r="M2116">
        <f t="shared" si="133"/>
        <v>2025</v>
      </c>
      <c r="N2116">
        <f t="shared" si="134"/>
        <v>81694.799999999988</v>
      </c>
      <c r="O2116" t="str">
        <f t="shared" si="135"/>
        <v>On Time</v>
      </c>
    </row>
    <row r="2117" spans="1:15" x14ac:dyDescent="0.25">
      <c r="A2117">
        <v>2116</v>
      </c>
      <c r="B2117" s="2">
        <v>45893</v>
      </c>
      <c r="C2117" t="s">
        <v>16</v>
      </c>
      <c r="D2117" t="s">
        <v>22</v>
      </c>
      <c r="E2117" t="s">
        <v>12</v>
      </c>
      <c r="F2117" t="s">
        <v>24</v>
      </c>
      <c r="G2117">
        <v>263</v>
      </c>
      <c r="H2117">
        <v>705.15</v>
      </c>
      <c r="I2117">
        <v>0</v>
      </c>
      <c r="J2117" t="s">
        <v>30</v>
      </c>
      <c r="K2117">
        <v>185454.45</v>
      </c>
      <c r="L2117" t="str">
        <f t="shared" si="132"/>
        <v>Aug</v>
      </c>
      <c r="M2117">
        <f t="shared" si="133"/>
        <v>2025</v>
      </c>
      <c r="N2117">
        <f t="shared" si="134"/>
        <v>185454.44999999998</v>
      </c>
      <c r="O2117" t="str">
        <f t="shared" si="135"/>
        <v>On Time</v>
      </c>
    </row>
    <row r="2118" spans="1:15" x14ac:dyDescent="0.25">
      <c r="A2118">
        <v>2117</v>
      </c>
      <c r="B2118" s="2">
        <v>45734</v>
      </c>
      <c r="C2118" t="s">
        <v>25</v>
      </c>
      <c r="D2118" t="s">
        <v>12</v>
      </c>
      <c r="E2118" t="s">
        <v>13</v>
      </c>
      <c r="F2118" t="s">
        <v>21</v>
      </c>
      <c r="G2118">
        <v>92</v>
      </c>
      <c r="H2118">
        <v>636.62</v>
      </c>
      <c r="I2118">
        <v>15</v>
      </c>
      <c r="J2118" t="s">
        <v>15</v>
      </c>
      <c r="K2118">
        <v>58569.04</v>
      </c>
      <c r="L2118" t="str">
        <f t="shared" si="132"/>
        <v>Mar</v>
      </c>
      <c r="M2118">
        <f t="shared" si="133"/>
        <v>2025</v>
      </c>
      <c r="N2118">
        <f t="shared" si="134"/>
        <v>58569.04</v>
      </c>
      <c r="O2118" t="str">
        <f t="shared" si="135"/>
        <v>Minor Delay</v>
      </c>
    </row>
    <row r="2119" spans="1:15" x14ac:dyDescent="0.25">
      <c r="A2119">
        <v>2118</v>
      </c>
      <c r="B2119" s="2">
        <v>45813</v>
      </c>
      <c r="C2119" t="s">
        <v>11</v>
      </c>
      <c r="D2119" t="s">
        <v>13</v>
      </c>
      <c r="E2119" t="s">
        <v>29</v>
      </c>
      <c r="F2119" t="s">
        <v>24</v>
      </c>
      <c r="G2119">
        <v>120</v>
      </c>
      <c r="H2119">
        <v>543.78</v>
      </c>
      <c r="I2119">
        <v>0</v>
      </c>
      <c r="J2119" t="s">
        <v>15</v>
      </c>
      <c r="K2119">
        <v>65253.599999999999</v>
      </c>
      <c r="L2119" t="str">
        <f t="shared" si="132"/>
        <v>Jun</v>
      </c>
      <c r="M2119">
        <f t="shared" si="133"/>
        <v>2025</v>
      </c>
      <c r="N2119">
        <f t="shared" si="134"/>
        <v>65253.599999999999</v>
      </c>
      <c r="O2119" t="str">
        <f t="shared" si="135"/>
        <v>On Time</v>
      </c>
    </row>
    <row r="2120" spans="1:15" x14ac:dyDescent="0.25">
      <c r="A2120">
        <v>2119</v>
      </c>
      <c r="B2120" s="2">
        <v>45971</v>
      </c>
      <c r="C2120" t="s">
        <v>11</v>
      </c>
      <c r="D2120" t="s">
        <v>19</v>
      </c>
      <c r="E2120" t="s">
        <v>13</v>
      </c>
      <c r="F2120" t="s">
        <v>14</v>
      </c>
      <c r="G2120">
        <v>197</v>
      </c>
      <c r="H2120">
        <v>367.53</v>
      </c>
      <c r="I2120">
        <v>3</v>
      </c>
      <c r="J2120" t="s">
        <v>15</v>
      </c>
      <c r="K2120">
        <v>72403.41</v>
      </c>
      <c r="L2120" t="str">
        <f t="shared" si="132"/>
        <v>Nov</v>
      </c>
      <c r="M2120">
        <f t="shared" si="133"/>
        <v>2025</v>
      </c>
      <c r="N2120">
        <f t="shared" si="134"/>
        <v>72403.409999999989</v>
      </c>
      <c r="O2120" t="str">
        <f t="shared" si="135"/>
        <v>Minor Delay</v>
      </c>
    </row>
    <row r="2121" spans="1:15" x14ac:dyDescent="0.25">
      <c r="A2121">
        <v>2120</v>
      </c>
      <c r="B2121" s="2">
        <v>45732</v>
      </c>
      <c r="C2121" t="s">
        <v>18</v>
      </c>
      <c r="D2121" t="s">
        <v>12</v>
      </c>
      <c r="E2121" t="s">
        <v>29</v>
      </c>
      <c r="F2121" t="s">
        <v>14</v>
      </c>
      <c r="G2121">
        <v>212</v>
      </c>
      <c r="H2121">
        <v>171.69</v>
      </c>
      <c r="I2121">
        <v>23</v>
      </c>
      <c r="J2121" t="s">
        <v>15</v>
      </c>
      <c r="K2121">
        <v>36398.28</v>
      </c>
      <c r="L2121" t="str">
        <f t="shared" si="132"/>
        <v>Mar</v>
      </c>
      <c r="M2121">
        <f t="shared" si="133"/>
        <v>2025</v>
      </c>
      <c r="N2121">
        <f t="shared" si="134"/>
        <v>36398.28</v>
      </c>
      <c r="O2121" t="str">
        <f t="shared" si="135"/>
        <v>Minor Delay</v>
      </c>
    </row>
    <row r="2122" spans="1:15" x14ac:dyDescent="0.25">
      <c r="A2122">
        <v>2121</v>
      </c>
      <c r="B2122" s="2">
        <v>45718</v>
      </c>
      <c r="C2122" t="s">
        <v>25</v>
      </c>
      <c r="D2122" t="s">
        <v>19</v>
      </c>
      <c r="E2122" t="s">
        <v>29</v>
      </c>
      <c r="F2122" t="s">
        <v>21</v>
      </c>
      <c r="G2122">
        <v>295</v>
      </c>
      <c r="H2122">
        <v>400.66</v>
      </c>
      <c r="I2122">
        <v>0</v>
      </c>
      <c r="J2122" t="s">
        <v>15</v>
      </c>
      <c r="K2122">
        <v>118194.7</v>
      </c>
      <c r="L2122" t="str">
        <f t="shared" si="132"/>
        <v>Mar</v>
      </c>
      <c r="M2122">
        <f t="shared" si="133"/>
        <v>2025</v>
      </c>
      <c r="N2122">
        <f t="shared" si="134"/>
        <v>118194.70000000001</v>
      </c>
      <c r="O2122" t="str">
        <f t="shared" si="135"/>
        <v>On Time</v>
      </c>
    </row>
    <row r="2123" spans="1:15" x14ac:dyDescent="0.25">
      <c r="A2123">
        <v>2122</v>
      </c>
      <c r="B2123" s="2">
        <v>45715</v>
      </c>
      <c r="C2123" t="s">
        <v>18</v>
      </c>
      <c r="D2123" t="s">
        <v>12</v>
      </c>
      <c r="E2123" t="s">
        <v>29</v>
      </c>
      <c r="F2123" t="s">
        <v>24</v>
      </c>
      <c r="G2123">
        <v>76</v>
      </c>
      <c r="H2123">
        <v>155.83000000000001</v>
      </c>
      <c r="I2123">
        <v>27</v>
      </c>
      <c r="J2123" t="s">
        <v>15</v>
      </c>
      <c r="K2123">
        <v>11843.08</v>
      </c>
      <c r="L2123" t="str">
        <f t="shared" si="132"/>
        <v>Feb</v>
      </c>
      <c r="M2123">
        <f t="shared" si="133"/>
        <v>2025</v>
      </c>
      <c r="N2123">
        <f t="shared" si="134"/>
        <v>11843.080000000002</v>
      </c>
      <c r="O2123" t="str">
        <f t="shared" si="135"/>
        <v>Minor Delay</v>
      </c>
    </row>
    <row r="2124" spans="1:15" x14ac:dyDescent="0.25">
      <c r="A2124">
        <v>2123</v>
      </c>
      <c r="B2124" s="2">
        <v>45886</v>
      </c>
      <c r="C2124" t="s">
        <v>11</v>
      </c>
      <c r="D2124" t="s">
        <v>12</v>
      </c>
      <c r="E2124" t="s">
        <v>13</v>
      </c>
      <c r="F2124" t="s">
        <v>21</v>
      </c>
      <c r="G2124">
        <v>137</v>
      </c>
      <c r="H2124">
        <v>549.66999999999996</v>
      </c>
      <c r="I2124">
        <v>57</v>
      </c>
      <c r="J2124" t="s">
        <v>30</v>
      </c>
      <c r="K2124">
        <v>75304.789999999994</v>
      </c>
      <c r="L2124" t="str">
        <f t="shared" si="132"/>
        <v>Aug</v>
      </c>
      <c r="M2124">
        <f t="shared" si="133"/>
        <v>2025</v>
      </c>
      <c r="N2124">
        <f t="shared" si="134"/>
        <v>75304.789999999994</v>
      </c>
      <c r="O2124" t="str">
        <f t="shared" si="135"/>
        <v>Moderate Delay</v>
      </c>
    </row>
    <row r="2125" spans="1:15" x14ac:dyDescent="0.25">
      <c r="A2125">
        <v>2124</v>
      </c>
      <c r="B2125" s="2">
        <v>45676</v>
      </c>
      <c r="C2125" t="s">
        <v>26</v>
      </c>
      <c r="D2125" t="s">
        <v>19</v>
      </c>
      <c r="E2125" t="s">
        <v>23</v>
      </c>
      <c r="F2125" t="s">
        <v>21</v>
      </c>
      <c r="G2125">
        <v>99</v>
      </c>
      <c r="H2125">
        <v>379.27</v>
      </c>
      <c r="I2125">
        <v>0</v>
      </c>
      <c r="J2125" t="s">
        <v>15</v>
      </c>
      <c r="K2125">
        <v>37547.730000000003</v>
      </c>
      <c r="L2125" t="str">
        <f t="shared" si="132"/>
        <v>Jan</v>
      </c>
      <c r="M2125">
        <f t="shared" si="133"/>
        <v>2025</v>
      </c>
      <c r="N2125">
        <f t="shared" si="134"/>
        <v>37547.729999999996</v>
      </c>
      <c r="O2125" t="str">
        <f t="shared" si="135"/>
        <v>On Time</v>
      </c>
    </row>
    <row r="2126" spans="1:15" x14ac:dyDescent="0.25">
      <c r="A2126">
        <v>2125</v>
      </c>
      <c r="B2126" s="2">
        <v>45996</v>
      </c>
      <c r="C2126" t="s">
        <v>11</v>
      </c>
      <c r="D2126" t="s">
        <v>27</v>
      </c>
      <c r="E2126" t="s">
        <v>13</v>
      </c>
      <c r="F2126" t="s">
        <v>24</v>
      </c>
      <c r="G2126">
        <v>216</v>
      </c>
      <c r="H2126">
        <v>708.89</v>
      </c>
      <c r="I2126">
        <v>36</v>
      </c>
      <c r="J2126" t="s">
        <v>15</v>
      </c>
      <c r="K2126">
        <v>153120.24</v>
      </c>
      <c r="L2126" t="str">
        <f t="shared" si="132"/>
        <v>Dec</v>
      </c>
      <c r="M2126">
        <f t="shared" si="133"/>
        <v>2025</v>
      </c>
      <c r="N2126">
        <f t="shared" si="134"/>
        <v>153120.24</v>
      </c>
      <c r="O2126" t="str">
        <f t="shared" si="135"/>
        <v>Moderate Delay</v>
      </c>
    </row>
    <row r="2127" spans="1:15" x14ac:dyDescent="0.25">
      <c r="A2127">
        <v>2126</v>
      </c>
      <c r="B2127" s="2">
        <v>45709</v>
      </c>
      <c r="C2127" t="s">
        <v>16</v>
      </c>
      <c r="D2127" t="s">
        <v>23</v>
      </c>
      <c r="E2127" t="s">
        <v>29</v>
      </c>
      <c r="F2127" t="s">
        <v>24</v>
      </c>
      <c r="G2127">
        <v>55</v>
      </c>
      <c r="H2127">
        <v>644.48</v>
      </c>
      <c r="I2127">
        <v>0</v>
      </c>
      <c r="J2127" t="s">
        <v>15</v>
      </c>
      <c r="K2127">
        <v>35446.400000000001</v>
      </c>
      <c r="L2127" t="str">
        <f t="shared" si="132"/>
        <v>Feb</v>
      </c>
      <c r="M2127">
        <f t="shared" si="133"/>
        <v>2025</v>
      </c>
      <c r="N2127">
        <f t="shared" si="134"/>
        <v>35446.400000000001</v>
      </c>
      <c r="O2127" t="str">
        <f t="shared" si="135"/>
        <v>On Time</v>
      </c>
    </row>
    <row r="2128" spans="1:15" x14ac:dyDescent="0.25">
      <c r="A2128">
        <v>2127</v>
      </c>
      <c r="B2128" s="2">
        <v>45830</v>
      </c>
      <c r="C2128" t="s">
        <v>16</v>
      </c>
      <c r="D2128" t="s">
        <v>27</v>
      </c>
      <c r="E2128" t="s">
        <v>29</v>
      </c>
      <c r="F2128" t="s">
        <v>21</v>
      </c>
      <c r="G2128">
        <v>220</v>
      </c>
      <c r="H2128">
        <v>301.70999999999998</v>
      </c>
      <c r="I2128">
        <v>42</v>
      </c>
      <c r="J2128" t="s">
        <v>15</v>
      </c>
      <c r="K2128">
        <v>66376.2</v>
      </c>
      <c r="L2128" t="str">
        <f t="shared" si="132"/>
        <v>Jun</v>
      </c>
      <c r="M2128">
        <f t="shared" si="133"/>
        <v>2025</v>
      </c>
      <c r="N2128">
        <f t="shared" si="134"/>
        <v>66376.2</v>
      </c>
      <c r="O2128" t="str">
        <f t="shared" si="135"/>
        <v>Moderate Delay</v>
      </c>
    </row>
    <row r="2129" spans="1:15" x14ac:dyDescent="0.25">
      <c r="A2129">
        <v>2128</v>
      </c>
      <c r="B2129" s="2">
        <v>46016</v>
      </c>
      <c r="C2129" t="s">
        <v>26</v>
      </c>
      <c r="D2129" t="s">
        <v>13</v>
      </c>
      <c r="E2129" t="s">
        <v>23</v>
      </c>
      <c r="F2129" t="s">
        <v>24</v>
      </c>
      <c r="G2129">
        <v>234</v>
      </c>
      <c r="H2129">
        <v>341.57</v>
      </c>
      <c r="I2129">
        <v>45</v>
      </c>
      <c r="J2129" t="s">
        <v>15</v>
      </c>
      <c r="K2129">
        <v>79927.38</v>
      </c>
      <c r="L2129" t="str">
        <f t="shared" si="132"/>
        <v>Dec</v>
      </c>
      <c r="M2129">
        <f t="shared" si="133"/>
        <v>2025</v>
      </c>
      <c r="N2129">
        <f t="shared" si="134"/>
        <v>79927.38</v>
      </c>
      <c r="O2129" t="str">
        <f t="shared" si="135"/>
        <v>Moderate Delay</v>
      </c>
    </row>
    <row r="2130" spans="1:15" x14ac:dyDescent="0.25">
      <c r="A2130">
        <v>2129</v>
      </c>
      <c r="B2130" s="2">
        <v>45999</v>
      </c>
      <c r="C2130" t="s">
        <v>31</v>
      </c>
      <c r="D2130" t="s">
        <v>13</v>
      </c>
      <c r="E2130" t="s">
        <v>23</v>
      </c>
      <c r="F2130" t="s">
        <v>21</v>
      </c>
      <c r="G2130">
        <v>138</v>
      </c>
      <c r="H2130">
        <v>154.87</v>
      </c>
      <c r="I2130">
        <v>10</v>
      </c>
      <c r="J2130" t="s">
        <v>15</v>
      </c>
      <c r="K2130">
        <v>21372.06</v>
      </c>
      <c r="L2130" t="str">
        <f t="shared" si="132"/>
        <v>Dec</v>
      </c>
      <c r="M2130">
        <f t="shared" si="133"/>
        <v>2025</v>
      </c>
      <c r="N2130">
        <f t="shared" si="134"/>
        <v>21372.06</v>
      </c>
      <c r="O2130" t="str">
        <f t="shared" si="135"/>
        <v>Minor Delay</v>
      </c>
    </row>
    <row r="2131" spans="1:15" x14ac:dyDescent="0.25">
      <c r="A2131">
        <v>2130</v>
      </c>
      <c r="B2131" s="2">
        <v>45890</v>
      </c>
      <c r="C2131" t="s">
        <v>16</v>
      </c>
      <c r="D2131" t="s">
        <v>12</v>
      </c>
      <c r="E2131" t="s">
        <v>23</v>
      </c>
      <c r="F2131" t="s">
        <v>14</v>
      </c>
      <c r="G2131">
        <v>120</v>
      </c>
      <c r="H2131">
        <v>201.16</v>
      </c>
      <c r="I2131">
        <v>0</v>
      </c>
      <c r="J2131" t="s">
        <v>30</v>
      </c>
      <c r="K2131">
        <v>24139.200000000001</v>
      </c>
      <c r="L2131" t="str">
        <f t="shared" si="132"/>
        <v>Aug</v>
      </c>
      <c r="M2131">
        <f t="shared" si="133"/>
        <v>2025</v>
      </c>
      <c r="N2131">
        <f t="shared" si="134"/>
        <v>24139.200000000001</v>
      </c>
      <c r="O2131" t="str">
        <f t="shared" si="135"/>
        <v>On Time</v>
      </c>
    </row>
    <row r="2132" spans="1:15" x14ac:dyDescent="0.25">
      <c r="A2132">
        <v>2131</v>
      </c>
      <c r="B2132" s="2">
        <v>45934</v>
      </c>
      <c r="C2132" t="s">
        <v>26</v>
      </c>
      <c r="D2132" t="s">
        <v>27</v>
      </c>
      <c r="E2132" t="s">
        <v>22</v>
      </c>
      <c r="F2132" t="s">
        <v>24</v>
      </c>
      <c r="G2132">
        <v>128</v>
      </c>
      <c r="H2132">
        <v>624.29999999999995</v>
      </c>
      <c r="I2132">
        <v>53</v>
      </c>
      <c r="J2132" t="s">
        <v>15</v>
      </c>
      <c r="K2132">
        <v>79910.399999999994</v>
      </c>
      <c r="L2132" t="str">
        <f t="shared" si="132"/>
        <v>Oct</v>
      </c>
      <c r="M2132">
        <f t="shared" si="133"/>
        <v>2025</v>
      </c>
      <c r="N2132">
        <f t="shared" si="134"/>
        <v>79910.399999999994</v>
      </c>
      <c r="O2132" t="str">
        <f t="shared" si="135"/>
        <v>Moderate Delay</v>
      </c>
    </row>
    <row r="2133" spans="1:15" x14ac:dyDescent="0.25">
      <c r="A2133">
        <v>2132</v>
      </c>
      <c r="B2133" s="2">
        <v>45671</v>
      </c>
      <c r="C2133" t="s">
        <v>11</v>
      </c>
      <c r="D2133" t="s">
        <v>12</v>
      </c>
      <c r="E2133" t="s">
        <v>19</v>
      </c>
      <c r="F2133" t="s">
        <v>24</v>
      </c>
      <c r="G2133">
        <v>288</v>
      </c>
      <c r="H2133">
        <v>99.82</v>
      </c>
      <c r="I2133">
        <v>55</v>
      </c>
      <c r="J2133" t="s">
        <v>15</v>
      </c>
      <c r="K2133">
        <v>28748.16</v>
      </c>
      <c r="L2133" t="str">
        <f t="shared" si="132"/>
        <v>Jan</v>
      </c>
      <c r="M2133">
        <f t="shared" si="133"/>
        <v>2025</v>
      </c>
      <c r="N2133">
        <f t="shared" si="134"/>
        <v>28748.159999999996</v>
      </c>
      <c r="O2133" t="str">
        <f t="shared" si="135"/>
        <v>Moderate Delay</v>
      </c>
    </row>
    <row r="2134" spans="1:15" x14ac:dyDescent="0.25">
      <c r="A2134">
        <v>2133</v>
      </c>
      <c r="B2134" s="2">
        <v>45776</v>
      </c>
      <c r="C2134" t="s">
        <v>31</v>
      </c>
      <c r="D2134" t="s">
        <v>29</v>
      </c>
      <c r="E2134" t="s">
        <v>27</v>
      </c>
      <c r="F2134" t="s">
        <v>24</v>
      </c>
      <c r="G2134">
        <v>121</v>
      </c>
      <c r="H2134">
        <v>104.63</v>
      </c>
      <c r="I2134">
        <v>12</v>
      </c>
      <c r="J2134" t="s">
        <v>15</v>
      </c>
      <c r="K2134">
        <v>12660.23</v>
      </c>
      <c r="L2134" t="str">
        <f t="shared" si="132"/>
        <v>Apr</v>
      </c>
      <c r="M2134">
        <f t="shared" si="133"/>
        <v>2025</v>
      </c>
      <c r="N2134">
        <f t="shared" si="134"/>
        <v>12660.23</v>
      </c>
      <c r="O2134" t="str">
        <f t="shared" si="135"/>
        <v>Minor Delay</v>
      </c>
    </row>
    <row r="2135" spans="1:15" x14ac:dyDescent="0.25">
      <c r="A2135">
        <v>2134</v>
      </c>
      <c r="B2135" s="2">
        <v>45876</v>
      </c>
      <c r="C2135" t="s">
        <v>31</v>
      </c>
      <c r="D2135" t="s">
        <v>12</v>
      </c>
      <c r="E2135" t="s">
        <v>20</v>
      </c>
      <c r="F2135" t="s">
        <v>14</v>
      </c>
      <c r="G2135">
        <v>155</v>
      </c>
      <c r="H2135">
        <v>228.87</v>
      </c>
      <c r="I2135">
        <v>14</v>
      </c>
      <c r="J2135" t="s">
        <v>15</v>
      </c>
      <c r="K2135">
        <v>35474.85</v>
      </c>
      <c r="L2135" t="str">
        <f t="shared" si="132"/>
        <v>Aug</v>
      </c>
      <c r="M2135">
        <f t="shared" si="133"/>
        <v>2025</v>
      </c>
      <c r="N2135">
        <f t="shared" si="134"/>
        <v>35474.85</v>
      </c>
      <c r="O2135" t="str">
        <f t="shared" si="135"/>
        <v>Minor Delay</v>
      </c>
    </row>
    <row r="2136" spans="1:15" x14ac:dyDescent="0.25">
      <c r="A2136">
        <v>2135</v>
      </c>
      <c r="B2136" s="2">
        <v>45833</v>
      </c>
      <c r="C2136" t="s">
        <v>26</v>
      </c>
      <c r="D2136" t="s">
        <v>23</v>
      </c>
      <c r="E2136" t="s">
        <v>12</v>
      </c>
      <c r="F2136" t="s">
        <v>24</v>
      </c>
      <c r="G2136">
        <v>293</v>
      </c>
      <c r="H2136">
        <v>699.4</v>
      </c>
      <c r="I2136">
        <v>37</v>
      </c>
      <c r="J2136" t="s">
        <v>15</v>
      </c>
      <c r="K2136">
        <v>204924.2</v>
      </c>
      <c r="L2136" t="str">
        <f t="shared" si="132"/>
        <v>Jun</v>
      </c>
      <c r="M2136">
        <f t="shared" si="133"/>
        <v>2025</v>
      </c>
      <c r="N2136">
        <f t="shared" si="134"/>
        <v>204924.19999999998</v>
      </c>
      <c r="O2136" t="str">
        <f t="shared" si="135"/>
        <v>Moderate Delay</v>
      </c>
    </row>
    <row r="2137" spans="1:15" x14ac:dyDescent="0.25">
      <c r="A2137">
        <v>2136</v>
      </c>
      <c r="B2137" s="2">
        <v>45674</v>
      </c>
      <c r="C2137" t="s">
        <v>11</v>
      </c>
      <c r="D2137" t="s">
        <v>19</v>
      </c>
      <c r="E2137" t="s">
        <v>22</v>
      </c>
      <c r="F2137" t="s">
        <v>14</v>
      </c>
      <c r="G2137">
        <v>81</v>
      </c>
      <c r="H2137">
        <v>72.48</v>
      </c>
      <c r="I2137">
        <v>0</v>
      </c>
      <c r="J2137" t="s">
        <v>15</v>
      </c>
      <c r="K2137">
        <v>5870.88</v>
      </c>
      <c r="L2137" t="str">
        <f t="shared" si="132"/>
        <v>Jan</v>
      </c>
      <c r="M2137">
        <f t="shared" si="133"/>
        <v>2025</v>
      </c>
      <c r="N2137">
        <f t="shared" si="134"/>
        <v>5870.88</v>
      </c>
      <c r="O2137" t="str">
        <f t="shared" si="135"/>
        <v>On Time</v>
      </c>
    </row>
    <row r="2138" spans="1:15" x14ac:dyDescent="0.25">
      <c r="A2138">
        <v>2137</v>
      </c>
      <c r="B2138" s="2">
        <v>45946</v>
      </c>
      <c r="C2138" t="s">
        <v>25</v>
      </c>
      <c r="D2138" t="s">
        <v>17</v>
      </c>
      <c r="E2138" t="s">
        <v>27</v>
      </c>
      <c r="F2138" t="s">
        <v>24</v>
      </c>
      <c r="G2138">
        <v>144</v>
      </c>
      <c r="H2138">
        <v>373.16</v>
      </c>
      <c r="I2138">
        <v>28</v>
      </c>
      <c r="J2138" t="s">
        <v>15</v>
      </c>
      <c r="K2138">
        <v>53735.040000000001</v>
      </c>
      <c r="L2138" t="str">
        <f t="shared" si="132"/>
        <v>Oct</v>
      </c>
      <c r="M2138">
        <f t="shared" si="133"/>
        <v>2025</v>
      </c>
      <c r="N2138">
        <f t="shared" si="134"/>
        <v>53735.040000000001</v>
      </c>
      <c r="O2138" t="str">
        <f t="shared" si="135"/>
        <v>Minor Delay</v>
      </c>
    </row>
    <row r="2139" spans="1:15" x14ac:dyDescent="0.25">
      <c r="A2139">
        <v>2138</v>
      </c>
      <c r="B2139" s="2">
        <v>45803</v>
      </c>
      <c r="C2139" t="s">
        <v>18</v>
      </c>
      <c r="D2139" t="s">
        <v>22</v>
      </c>
      <c r="E2139" t="s">
        <v>17</v>
      </c>
      <c r="F2139" t="s">
        <v>14</v>
      </c>
      <c r="G2139">
        <v>292</v>
      </c>
      <c r="H2139">
        <v>242.11</v>
      </c>
      <c r="I2139">
        <v>0</v>
      </c>
      <c r="J2139" t="s">
        <v>15</v>
      </c>
      <c r="K2139">
        <v>70696.12</v>
      </c>
      <c r="L2139" t="str">
        <f t="shared" si="132"/>
        <v>May</v>
      </c>
      <c r="M2139">
        <f t="shared" si="133"/>
        <v>2025</v>
      </c>
      <c r="N2139">
        <f t="shared" si="134"/>
        <v>70696.12000000001</v>
      </c>
      <c r="O2139" t="str">
        <f t="shared" si="135"/>
        <v>On Time</v>
      </c>
    </row>
    <row r="2140" spans="1:15" x14ac:dyDescent="0.25">
      <c r="A2140">
        <v>2139</v>
      </c>
      <c r="B2140" s="2">
        <v>45786</v>
      </c>
      <c r="C2140" t="s">
        <v>18</v>
      </c>
      <c r="D2140" t="s">
        <v>12</v>
      </c>
      <c r="E2140" t="s">
        <v>19</v>
      </c>
      <c r="F2140" t="s">
        <v>24</v>
      </c>
      <c r="G2140">
        <v>50</v>
      </c>
      <c r="H2140">
        <v>141.81</v>
      </c>
      <c r="I2140">
        <v>0</v>
      </c>
      <c r="J2140" t="s">
        <v>15</v>
      </c>
      <c r="K2140">
        <v>7090.5</v>
      </c>
      <c r="L2140" t="str">
        <f t="shared" si="132"/>
        <v>May</v>
      </c>
      <c r="M2140">
        <f t="shared" si="133"/>
        <v>2025</v>
      </c>
      <c r="N2140">
        <f t="shared" si="134"/>
        <v>7090.5</v>
      </c>
      <c r="O2140" t="str">
        <f t="shared" si="135"/>
        <v>On Time</v>
      </c>
    </row>
    <row r="2141" spans="1:15" x14ac:dyDescent="0.25">
      <c r="A2141">
        <v>2140</v>
      </c>
      <c r="B2141" s="2">
        <v>45677</v>
      </c>
      <c r="C2141" t="s">
        <v>11</v>
      </c>
      <c r="D2141" t="s">
        <v>27</v>
      </c>
      <c r="E2141" t="s">
        <v>12</v>
      </c>
      <c r="F2141" t="s">
        <v>14</v>
      </c>
      <c r="G2141">
        <v>256</v>
      </c>
      <c r="H2141">
        <v>734.49</v>
      </c>
      <c r="I2141">
        <v>5</v>
      </c>
      <c r="J2141" t="s">
        <v>15</v>
      </c>
      <c r="K2141">
        <v>188029.44</v>
      </c>
      <c r="L2141" t="str">
        <f t="shared" si="132"/>
        <v>Jan</v>
      </c>
      <c r="M2141">
        <f t="shared" si="133"/>
        <v>2025</v>
      </c>
      <c r="N2141">
        <f t="shared" si="134"/>
        <v>188029.44</v>
      </c>
      <c r="O2141" t="str">
        <f t="shared" si="135"/>
        <v>Minor Delay</v>
      </c>
    </row>
    <row r="2142" spans="1:15" x14ac:dyDescent="0.25">
      <c r="A2142">
        <v>2141</v>
      </c>
      <c r="B2142" s="2">
        <v>45709</v>
      </c>
      <c r="C2142" t="s">
        <v>18</v>
      </c>
      <c r="D2142" t="s">
        <v>27</v>
      </c>
      <c r="E2142" t="s">
        <v>19</v>
      </c>
      <c r="F2142" t="s">
        <v>24</v>
      </c>
      <c r="G2142">
        <v>120</v>
      </c>
      <c r="H2142">
        <v>624.95000000000005</v>
      </c>
      <c r="I2142">
        <v>32</v>
      </c>
      <c r="J2142" t="s">
        <v>15</v>
      </c>
      <c r="K2142">
        <v>74994</v>
      </c>
      <c r="L2142" t="str">
        <f t="shared" si="132"/>
        <v>Feb</v>
      </c>
      <c r="M2142">
        <f t="shared" si="133"/>
        <v>2025</v>
      </c>
      <c r="N2142">
        <f t="shared" si="134"/>
        <v>74994</v>
      </c>
      <c r="O2142" t="str">
        <f t="shared" si="135"/>
        <v>Moderate Delay</v>
      </c>
    </row>
    <row r="2143" spans="1:15" x14ac:dyDescent="0.25">
      <c r="A2143">
        <v>2142</v>
      </c>
      <c r="B2143" s="2">
        <v>45922</v>
      </c>
      <c r="C2143" t="s">
        <v>16</v>
      </c>
      <c r="D2143" t="s">
        <v>27</v>
      </c>
      <c r="E2143" t="s">
        <v>13</v>
      </c>
      <c r="F2143" t="s">
        <v>21</v>
      </c>
      <c r="G2143">
        <v>221</v>
      </c>
      <c r="H2143">
        <v>331.02</v>
      </c>
      <c r="I2143">
        <v>27</v>
      </c>
      <c r="J2143" t="s">
        <v>15</v>
      </c>
      <c r="K2143">
        <v>73155.42</v>
      </c>
      <c r="L2143" t="str">
        <f t="shared" si="132"/>
        <v>Sep</v>
      </c>
      <c r="M2143">
        <f t="shared" si="133"/>
        <v>2025</v>
      </c>
      <c r="N2143">
        <f t="shared" si="134"/>
        <v>73155.42</v>
      </c>
      <c r="O2143" t="str">
        <f t="shared" si="135"/>
        <v>Minor Delay</v>
      </c>
    </row>
    <row r="2144" spans="1:15" x14ac:dyDescent="0.25">
      <c r="A2144">
        <v>2143</v>
      </c>
      <c r="B2144" s="2">
        <v>45833</v>
      </c>
      <c r="C2144" t="s">
        <v>25</v>
      </c>
      <c r="D2144" t="s">
        <v>13</v>
      </c>
      <c r="E2144" t="s">
        <v>29</v>
      </c>
      <c r="F2144" t="s">
        <v>14</v>
      </c>
      <c r="G2144">
        <v>168</v>
      </c>
      <c r="H2144">
        <v>122.48</v>
      </c>
      <c r="I2144">
        <v>0</v>
      </c>
      <c r="J2144" t="s">
        <v>15</v>
      </c>
      <c r="K2144">
        <v>20576.64</v>
      </c>
      <c r="L2144" t="str">
        <f t="shared" si="132"/>
        <v>Jun</v>
      </c>
      <c r="M2144">
        <f t="shared" si="133"/>
        <v>2025</v>
      </c>
      <c r="N2144">
        <f t="shared" si="134"/>
        <v>20576.64</v>
      </c>
      <c r="O2144" t="str">
        <f t="shared" si="135"/>
        <v>On Time</v>
      </c>
    </row>
    <row r="2145" spans="1:15" x14ac:dyDescent="0.25">
      <c r="A2145">
        <v>2144</v>
      </c>
      <c r="B2145" s="2">
        <v>46022</v>
      </c>
      <c r="C2145" t="s">
        <v>11</v>
      </c>
      <c r="D2145" t="s">
        <v>13</v>
      </c>
      <c r="E2145" t="s">
        <v>27</v>
      </c>
      <c r="F2145" t="s">
        <v>24</v>
      </c>
      <c r="G2145">
        <v>70</v>
      </c>
      <c r="H2145">
        <v>776.89</v>
      </c>
      <c r="I2145">
        <v>18</v>
      </c>
      <c r="J2145" t="s">
        <v>30</v>
      </c>
      <c r="K2145">
        <v>54382.3</v>
      </c>
      <c r="L2145" t="str">
        <f t="shared" si="132"/>
        <v>Dec</v>
      </c>
      <c r="M2145">
        <f t="shared" si="133"/>
        <v>2025</v>
      </c>
      <c r="N2145">
        <f t="shared" si="134"/>
        <v>54382.299999999996</v>
      </c>
      <c r="O2145" t="str">
        <f t="shared" si="135"/>
        <v>Minor Delay</v>
      </c>
    </row>
    <row r="2146" spans="1:15" x14ac:dyDescent="0.25">
      <c r="A2146">
        <v>2145</v>
      </c>
      <c r="B2146" s="2">
        <v>45929</v>
      </c>
      <c r="C2146" t="s">
        <v>26</v>
      </c>
      <c r="D2146" t="s">
        <v>23</v>
      </c>
      <c r="E2146" t="s">
        <v>17</v>
      </c>
      <c r="F2146" t="s">
        <v>24</v>
      </c>
      <c r="G2146">
        <v>126</v>
      </c>
      <c r="H2146">
        <v>207.63</v>
      </c>
      <c r="I2146">
        <v>10</v>
      </c>
      <c r="J2146" t="s">
        <v>15</v>
      </c>
      <c r="K2146">
        <v>26161.38</v>
      </c>
      <c r="L2146" t="str">
        <f t="shared" si="132"/>
        <v>Sep</v>
      </c>
      <c r="M2146">
        <f t="shared" si="133"/>
        <v>2025</v>
      </c>
      <c r="N2146">
        <f t="shared" si="134"/>
        <v>26161.38</v>
      </c>
      <c r="O2146" t="str">
        <f t="shared" si="135"/>
        <v>Minor Delay</v>
      </c>
    </row>
    <row r="2147" spans="1:15" x14ac:dyDescent="0.25">
      <c r="A2147">
        <v>2146</v>
      </c>
      <c r="B2147" s="2">
        <v>45751</v>
      </c>
      <c r="C2147" t="s">
        <v>26</v>
      </c>
      <c r="D2147" t="s">
        <v>13</v>
      </c>
      <c r="E2147" t="s">
        <v>20</v>
      </c>
      <c r="F2147" t="s">
        <v>21</v>
      </c>
      <c r="G2147">
        <v>270</v>
      </c>
      <c r="H2147">
        <v>450.81</v>
      </c>
      <c r="I2147">
        <v>27</v>
      </c>
      <c r="J2147" t="s">
        <v>15</v>
      </c>
      <c r="K2147">
        <v>121718.7</v>
      </c>
      <c r="L2147" t="str">
        <f t="shared" si="132"/>
        <v>Apr</v>
      </c>
      <c r="M2147">
        <f t="shared" si="133"/>
        <v>2025</v>
      </c>
      <c r="N2147">
        <f t="shared" si="134"/>
        <v>121718.7</v>
      </c>
      <c r="O2147" t="str">
        <f t="shared" si="135"/>
        <v>Minor Delay</v>
      </c>
    </row>
    <row r="2148" spans="1:15" x14ac:dyDescent="0.25">
      <c r="A2148">
        <v>2147</v>
      </c>
      <c r="B2148" s="2">
        <v>45963</v>
      </c>
      <c r="C2148" t="s">
        <v>26</v>
      </c>
      <c r="D2148" t="s">
        <v>17</v>
      </c>
      <c r="E2148" t="s">
        <v>20</v>
      </c>
      <c r="F2148" t="s">
        <v>24</v>
      </c>
      <c r="G2148">
        <v>57</v>
      </c>
      <c r="H2148">
        <v>211.38</v>
      </c>
      <c r="I2148">
        <v>0</v>
      </c>
      <c r="J2148" t="s">
        <v>28</v>
      </c>
      <c r="K2148">
        <v>12048.66</v>
      </c>
      <c r="L2148" t="str">
        <f t="shared" si="132"/>
        <v>Nov</v>
      </c>
      <c r="M2148">
        <f t="shared" si="133"/>
        <v>2025</v>
      </c>
      <c r="N2148">
        <f t="shared" si="134"/>
        <v>12048.66</v>
      </c>
      <c r="O2148" t="str">
        <f t="shared" si="135"/>
        <v>On Time</v>
      </c>
    </row>
    <row r="2149" spans="1:15" x14ac:dyDescent="0.25">
      <c r="A2149">
        <v>2148</v>
      </c>
      <c r="B2149" s="2">
        <v>45738</v>
      </c>
      <c r="C2149" t="s">
        <v>18</v>
      </c>
      <c r="D2149" t="s">
        <v>19</v>
      </c>
      <c r="E2149" t="s">
        <v>20</v>
      </c>
      <c r="F2149" t="s">
        <v>24</v>
      </c>
      <c r="G2149">
        <v>264</v>
      </c>
      <c r="H2149">
        <v>383.73</v>
      </c>
      <c r="I2149">
        <v>11</v>
      </c>
      <c r="J2149" t="s">
        <v>15</v>
      </c>
      <c r="K2149">
        <v>101304.72</v>
      </c>
      <c r="L2149" t="str">
        <f t="shared" si="132"/>
        <v>Mar</v>
      </c>
      <c r="M2149">
        <f t="shared" si="133"/>
        <v>2025</v>
      </c>
      <c r="N2149">
        <f t="shared" si="134"/>
        <v>101304.72</v>
      </c>
      <c r="O2149" t="str">
        <f t="shared" si="135"/>
        <v>Minor Delay</v>
      </c>
    </row>
    <row r="2150" spans="1:15" x14ac:dyDescent="0.25">
      <c r="A2150">
        <v>2149</v>
      </c>
      <c r="B2150" s="2">
        <v>45838</v>
      </c>
      <c r="C2150" t="s">
        <v>31</v>
      </c>
      <c r="D2150" t="s">
        <v>29</v>
      </c>
      <c r="E2150" t="s">
        <v>12</v>
      </c>
      <c r="F2150" t="s">
        <v>14</v>
      </c>
      <c r="G2150">
        <v>184</v>
      </c>
      <c r="H2150">
        <v>238.01</v>
      </c>
      <c r="I2150">
        <v>51</v>
      </c>
      <c r="J2150" t="s">
        <v>15</v>
      </c>
      <c r="K2150">
        <v>43793.84</v>
      </c>
      <c r="L2150" t="str">
        <f t="shared" si="132"/>
        <v>Jun</v>
      </c>
      <c r="M2150">
        <f t="shared" si="133"/>
        <v>2025</v>
      </c>
      <c r="N2150">
        <f t="shared" si="134"/>
        <v>43793.84</v>
      </c>
      <c r="O2150" t="str">
        <f t="shared" si="135"/>
        <v>Moderate Delay</v>
      </c>
    </row>
    <row r="2151" spans="1:15" x14ac:dyDescent="0.25">
      <c r="A2151">
        <v>2150</v>
      </c>
      <c r="B2151" s="2">
        <v>45864</v>
      </c>
      <c r="C2151" t="s">
        <v>18</v>
      </c>
      <c r="D2151" t="s">
        <v>13</v>
      </c>
      <c r="E2151" t="s">
        <v>22</v>
      </c>
      <c r="F2151" t="s">
        <v>24</v>
      </c>
      <c r="G2151">
        <v>75</v>
      </c>
      <c r="H2151">
        <v>289.83999999999997</v>
      </c>
      <c r="I2151">
        <v>57</v>
      </c>
      <c r="J2151" t="s">
        <v>15</v>
      </c>
      <c r="K2151">
        <v>21738</v>
      </c>
      <c r="L2151" t="str">
        <f t="shared" si="132"/>
        <v>Jul</v>
      </c>
      <c r="M2151">
        <f t="shared" si="133"/>
        <v>2025</v>
      </c>
      <c r="N2151">
        <f t="shared" si="134"/>
        <v>21737.999999999996</v>
      </c>
      <c r="O2151" t="str">
        <f t="shared" si="135"/>
        <v>Moderate Delay</v>
      </c>
    </row>
    <row r="2152" spans="1:15" x14ac:dyDescent="0.25">
      <c r="A2152">
        <v>2151</v>
      </c>
      <c r="B2152" s="2">
        <v>45717</v>
      </c>
      <c r="C2152" t="s">
        <v>16</v>
      </c>
      <c r="D2152" t="s">
        <v>13</v>
      </c>
      <c r="E2152" t="s">
        <v>29</v>
      </c>
      <c r="F2152" t="s">
        <v>24</v>
      </c>
      <c r="G2152">
        <v>200</v>
      </c>
      <c r="H2152">
        <v>419.38</v>
      </c>
      <c r="I2152">
        <v>0</v>
      </c>
      <c r="J2152" t="s">
        <v>15</v>
      </c>
      <c r="K2152">
        <v>83876</v>
      </c>
      <c r="L2152" t="str">
        <f t="shared" si="132"/>
        <v>Mar</v>
      </c>
      <c r="M2152">
        <f t="shared" si="133"/>
        <v>2025</v>
      </c>
      <c r="N2152">
        <f t="shared" si="134"/>
        <v>83876</v>
      </c>
      <c r="O2152" t="str">
        <f t="shared" si="135"/>
        <v>On Time</v>
      </c>
    </row>
    <row r="2153" spans="1:15" x14ac:dyDescent="0.25">
      <c r="A2153">
        <v>2152</v>
      </c>
      <c r="B2153" s="2">
        <v>45936</v>
      </c>
      <c r="C2153" t="s">
        <v>31</v>
      </c>
      <c r="D2153" t="s">
        <v>23</v>
      </c>
      <c r="E2153" t="s">
        <v>19</v>
      </c>
      <c r="F2153" t="s">
        <v>14</v>
      </c>
      <c r="G2153">
        <v>260</v>
      </c>
      <c r="H2153">
        <v>589.03</v>
      </c>
      <c r="I2153">
        <v>31</v>
      </c>
      <c r="J2153" t="s">
        <v>15</v>
      </c>
      <c r="K2153">
        <v>153147.79999999999</v>
      </c>
      <c r="L2153" t="str">
        <f t="shared" si="132"/>
        <v>Oct</v>
      </c>
      <c r="M2153">
        <f t="shared" si="133"/>
        <v>2025</v>
      </c>
      <c r="N2153">
        <f t="shared" si="134"/>
        <v>153147.79999999999</v>
      </c>
      <c r="O2153" t="str">
        <f t="shared" si="135"/>
        <v>Moderate Delay</v>
      </c>
    </row>
    <row r="2154" spans="1:15" x14ac:dyDescent="0.25">
      <c r="A2154">
        <v>2153</v>
      </c>
      <c r="B2154" s="2">
        <v>45819</v>
      </c>
      <c r="C2154" t="s">
        <v>11</v>
      </c>
      <c r="D2154" t="s">
        <v>23</v>
      </c>
      <c r="E2154" t="s">
        <v>13</v>
      </c>
      <c r="F2154" t="s">
        <v>21</v>
      </c>
      <c r="G2154">
        <v>231</v>
      </c>
      <c r="H2154">
        <v>108.68</v>
      </c>
      <c r="I2154">
        <v>21</v>
      </c>
      <c r="J2154" t="s">
        <v>15</v>
      </c>
      <c r="K2154">
        <v>25105.08</v>
      </c>
      <c r="L2154" t="str">
        <f t="shared" si="132"/>
        <v>Jun</v>
      </c>
      <c r="M2154">
        <f t="shared" si="133"/>
        <v>2025</v>
      </c>
      <c r="N2154">
        <f t="shared" si="134"/>
        <v>25105.08</v>
      </c>
      <c r="O2154" t="str">
        <f t="shared" si="135"/>
        <v>Minor Delay</v>
      </c>
    </row>
    <row r="2155" spans="1:15" x14ac:dyDescent="0.25">
      <c r="A2155">
        <v>2154</v>
      </c>
      <c r="B2155" s="2">
        <v>45959</v>
      </c>
      <c r="C2155" t="s">
        <v>26</v>
      </c>
      <c r="D2155" t="s">
        <v>27</v>
      </c>
      <c r="E2155" t="s">
        <v>13</v>
      </c>
      <c r="F2155" t="s">
        <v>21</v>
      </c>
      <c r="G2155">
        <v>262</v>
      </c>
      <c r="H2155">
        <v>502.47</v>
      </c>
      <c r="I2155">
        <v>12</v>
      </c>
      <c r="J2155" t="s">
        <v>15</v>
      </c>
      <c r="K2155">
        <v>131647.14000000001</v>
      </c>
      <c r="L2155" t="str">
        <f t="shared" si="132"/>
        <v>Oct</v>
      </c>
      <c r="M2155">
        <f t="shared" si="133"/>
        <v>2025</v>
      </c>
      <c r="N2155">
        <f t="shared" si="134"/>
        <v>131647.14000000001</v>
      </c>
      <c r="O2155" t="str">
        <f t="shared" si="135"/>
        <v>Minor Delay</v>
      </c>
    </row>
    <row r="2156" spans="1:15" x14ac:dyDescent="0.25">
      <c r="A2156">
        <v>2155</v>
      </c>
      <c r="B2156" s="2">
        <v>45985</v>
      </c>
      <c r="C2156" t="s">
        <v>11</v>
      </c>
      <c r="D2156" t="s">
        <v>17</v>
      </c>
      <c r="E2156" t="s">
        <v>27</v>
      </c>
      <c r="F2156" t="s">
        <v>21</v>
      </c>
      <c r="G2156">
        <v>66</v>
      </c>
      <c r="H2156">
        <v>207.01</v>
      </c>
      <c r="I2156">
        <v>0</v>
      </c>
      <c r="J2156" t="s">
        <v>30</v>
      </c>
      <c r="K2156">
        <v>13662.66</v>
      </c>
      <c r="L2156" t="str">
        <f t="shared" si="132"/>
        <v>Nov</v>
      </c>
      <c r="M2156">
        <f t="shared" si="133"/>
        <v>2025</v>
      </c>
      <c r="N2156">
        <f t="shared" si="134"/>
        <v>13662.66</v>
      </c>
      <c r="O2156" t="str">
        <f t="shared" si="135"/>
        <v>On Time</v>
      </c>
    </row>
    <row r="2157" spans="1:15" x14ac:dyDescent="0.25">
      <c r="A2157">
        <v>2156</v>
      </c>
      <c r="B2157" s="2">
        <v>45710</v>
      </c>
      <c r="C2157" t="s">
        <v>18</v>
      </c>
      <c r="D2157" t="s">
        <v>17</v>
      </c>
      <c r="E2157" t="s">
        <v>23</v>
      </c>
      <c r="F2157" t="s">
        <v>24</v>
      </c>
      <c r="G2157">
        <v>294</v>
      </c>
      <c r="H2157">
        <v>133.69</v>
      </c>
      <c r="I2157">
        <v>0</v>
      </c>
      <c r="J2157" t="s">
        <v>15</v>
      </c>
      <c r="K2157">
        <v>39304.86</v>
      </c>
      <c r="L2157" t="str">
        <f t="shared" si="132"/>
        <v>Feb</v>
      </c>
      <c r="M2157">
        <f t="shared" si="133"/>
        <v>2025</v>
      </c>
      <c r="N2157">
        <f t="shared" si="134"/>
        <v>39304.86</v>
      </c>
      <c r="O2157" t="str">
        <f t="shared" si="135"/>
        <v>On Time</v>
      </c>
    </row>
    <row r="2158" spans="1:15" x14ac:dyDescent="0.25">
      <c r="A2158">
        <v>2157</v>
      </c>
      <c r="B2158" s="2">
        <v>45906</v>
      </c>
      <c r="C2158" t="s">
        <v>18</v>
      </c>
      <c r="D2158" t="s">
        <v>23</v>
      </c>
      <c r="E2158" t="s">
        <v>13</v>
      </c>
      <c r="F2158" t="s">
        <v>21</v>
      </c>
      <c r="G2158">
        <v>118</v>
      </c>
      <c r="H2158">
        <v>243.7</v>
      </c>
      <c r="I2158">
        <v>40</v>
      </c>
      <c r="J2158" t="s">
        <v>15</v>
      </c>
      <c r="K2158">
        <v>28756.6</v>
      </c>
      <c r="L2158" t="str">
        <f t="shared" si="132"/>
        <v>Sep</v>
      </c>
      <c r="M2158">
        <f t="shared" si="133"/>
        <v>2025</v>
      </c>
      <c r="N2158">
        <f t="shared" si="134"/>
        <v>28756.6</v>
      </c>
      <c r="O2158" t="str">
        <f t="shared" si="135"/>
        <v>Moderate Delay</v>
      </c>
    </row>
    <row r="2159" spans="1:15" x14ac:dyDescent="0.25">
      <c r="A2159">
        <v>2158</v>
      </c>
      <c r="B2159" s="2">
        <v>45956</v>
      </c>
      <c r="C2159" t="s">
        <v>31</v>
      </c>
      <c r="D2159" t="s">
        <v>19</v>
      </c>
      <c r="E2159" t="s">
        <v>22</v>
      </c>
      <c r="F2159" t="s">
        <v>14</v>
      </c>
      <c r="G2159">
        <v>206</v>
      </c>
      <c r="H2159">
        <v>390.09</v>
      </c>
      <c r="I2159">
        <v>0</v>
      </c>
      <c r="J2159" t="s">
        <v>15</v>
      </c>
      <c r="K2159">
        <v>80358.539999999994</v>
      </c>
      <c r="L2159" t="str">
        <f t="shared" si="132"/>
        <v>Oct</v>
      </c>
      <c r="M2159">
        <f t="shared" si="133"/>
        <v>2025</v>
      </c>
      <c r="N2159">
        <f t="shared" si="134"/>
        <v>80358.539999999994</v>
      </c>
      <c r="O2159" t="str">
        <f t="shared" si="135"/>
        <v>On Time</v>
      </c>
    </row>
    <row r="2160" spans="1:15" x14ac:dyDescent="0.25">
      <c r="A2160">
        <v>2159</v>
      </c>
      <c r="B2160" s="2">
        <v>45878</v>
      </c>
      <c r="C2160" t="s">
        <v>25</v>
      </c>
      <c r="D2160" t="s">
        <v>23</v>
      </c>
      <c r="E2160" t="s">
        <v>29</v>
      </c>
      <c r="F2160" t="s">
        <v>14</v>
      </c>
      <c r="G2160">
        <v>56</v>
      </c>
      <c r="H2160">
        <v>218.61</v>
      </c>
      <c r="I2160">
        <v>46</v>
      </c>
      <c r="J2160" t="s">
        <v>30</v>
      </c>
      <c r="K2160">
        <v>12242.16</v>
      </c>
      <c r="L2160" t="str">
        <f t="shared" si="132"/>
        <v>Aug</v>
      </c>
      <c r="M2160">
        <f t="shared" si="133"/>
        <v>2025</v>
      </c>
      <c r="N2160">
        <f t="shared" si="134"/>
        <v>12242.16</v>
      </c>
      <c r="O2160" t="str">
        <f t="shared" si="135"/>
        <v>Moderate Delay</v>
      </c>
    </row>
    <row r="2161" spans="1:15" x14ac:dyDescent="0.25">
      <c r="A2161">
        <v>2160</v>
      </c>
      <c r="B2161" s="2">
        <v>45703</v>
      </c>
      <c r="C2161" t="s">
        <v>18</v>
      </c>
      <c r="D2161" t="s">
        <v>29</v>
      </c>
      <c r="E2161" t="s">
        <v>12</v>
      </c>
      <c r="F2161" t="s">
        <v>14</v>
      </c>
      <c r="G2161">
        <v>265</v>
      </c>
      <c r="H2161">
        <v>177.19</v>
      </c>
      <c r="I2161">
        <v>28</v>
      </c>
      <c r="J2161" t="s">
        <v>15</v>
      </c>
      <c r="K2161">
        <v>46955.35</v>
      </c>
      <c r="L2161" t="str">
        <f t="shared" si="132"/>
        <v>Feb</v>
      </c>
      <c r="M2161">
        <f t="shared" si="133"/>
        <v>2025</v>
      </c>
      <c r="N2161">
        <f t="shared" si="134"/>
        <v>46955.35</v>
      </c>
      <c r="O2161" t="str">
        <f t="shared" si="135"/>
        <v>Minor Delay</v>
      </c>
    </row>
    <row r="2162" spans="1:15" x14ac:dyDescent="0.25">
      <c r="A2162">
        <v>2161</v>
      </c>
      <c r="B2162" s="2">
        <v>45706</v>
      </c>
      <c r="C2162" t="s">
        <v>31</v>
      </c>
      <c r="D2162" t="s">
        <v>13</v>
      </c>
      <c r="E2162" t="s">
        <v>22</v>
      </c>
      <c r="F2162" t="s">
        <v>14</v>
      </c>
      <c r="G2162">
        <v>110</v>
      </c>
      <c r="H2162">
        <v>333.34</v>
      </c>
      <c r="I2162">
        <v>9</v>
      </c>
      <c r="J2162" t="s">
        <v>15</v>
      </c>
      <c r="K2162">
        <v>36667.4</v>
      </c>
      <c r="L2162" t="str">
        <f t="shared" si="132"/>
        <v>Feb</v>
      </c>
      <c r="M2162">
        <f t="shared" si="133"/>
        <v>2025</v>
      </c>
      <c r="N2162">
        <f t="shared" si="134"/>
        <v>36667.399999999994</v>
      </c>
      <c r="O2162" t="str">
        <f t="shared" si="135"/>
        <v>Minor Delay</v>
      </c>
    </row>
    <row r="2163" spans="1:15" x14ac:dyDescent="0.25">
      <c r="A2163">
        <v>2162</v>
      </c>
      <c r="B2163" s="2">
        <v>45733</v>
      </c>
      <c r="C2163" t="s">
        <v>16</v>
      </c>
      <c r="D2163" t="s">
        <v>27</v>
      </c>
      <c r="E2163" t="s">
        <v>20</v>
      </c>
      <c r="F2163" t="s">
        <v>14</v>
      </c>
      <c r="G2163">
        <v>299</v>
      </c>
      <c r="H2163">
        <v>388.9</v>
      </c>
      <c r="I2163">
        <v>0</v>
      </c>
      <c r="J2163" t="s">
        <v>15</v>
      </c>
      <c r="K2163">
        <v>116281.1</v>
      </c>
      <c r="L2163" t="str">
        <f t="shared" si="132"/>
        <v>Mar</v>
      </c>
      <c r="M2163">
        <f t="shared" si="133"/>
        <v>2025</v>
      </c>
      <c r="N2163">
        <f t="shared" si="134"/>
        <v>116281.09999999999</v>
      </c>
      <c r="O2163" t="str">
        <f t="shared" si="135"/>
        <v>On Time</v>
      </c>
    </row>
    <row r="2164" spans="1:15" x14ac:dyDescent="0.25">
      <c r="A2164">
        <v>2163</v>
      </c>
      <c r="B2164" s="2">
        <v>45996</v>
      </c>
      <c r="C2164" t="s">
        <v>31</v>
      </c>
      <c r="D2164" t="s">
        <v>27</v>
      </c>
      <c r="E2164" t="s">
        <v>23</v>
      </c>
      <c r="F2164" t="s">
        <v>14</v>
      </c>
      <c r="G2164">
        <v>258</v>
      </c>
      <c r="H2164">
        <v>667.06</v>
      </c>
      <c r="I2164">
        <v>48</v>
      </c>
      <c r="J2164" t="s">
        <v>15</v>
      </c>
      <c r="K2164">
        <v>172101.48</v>
      </c>
      <c r="L2164" t="str">
        <f t="shared" si="132"/>
        <v>Dec</v>
      </c>
      <c r="M2164">
        <f t="shared" si="133"/>
        <v>2025</v>
      </c>
      <c r="N2164">
        <f t="shared" si="134"/>
        <v>172101.47999999998</v>
      </c>
      <c r="O2164" t="str">
        <f t="shared" si="135"/>
        <v>Moderate Delay</v>
      </c>
    </row>
    <row r="2165" spans="1:15" x14ac:dyDescent="0.25">
      <c r="A2165">
        <v>2164</v>
      </c>
      <c r="B2165" s="2">
        <v>45931</v>
      </c>
      <c r="C2165" t="s">
        <v>11</v>
      </c>
      <c r="D2165" t="s">
        <v>23</v>
      </c>
      <c r="E2165" t="s">
        <v>22</v>
      </c>
      <c r="F2165" t="s">
        <v>14</v>
      </c>
      <c r="G2165">
        <v>244</v>
      </c>
      <c r="H2165">
        <v>148.97999999999999</v>
      </c>
      <c r="I2165">
        <v>33</v>
      </c>
      <c r="J2165" t="s">
        <v>30</v>
      </c>
      <c r="K2165">
        <v>36351.120000000003</v>
      </c>
      <c r="L2165" t="str">
        <f t="shared" si="132"/>
        <v>Oct</v>
      </c>
      <c r="M2165">
        <f t="shared" si="133"/>
        <v>2025</v>
      </c>
      <c r="N2165">
        <f t="shared" si="134"/>
        <v>36351.119999999995</v>
      </c>
      <c r="O2165" t="str">
        <f t="shared" si="135"/>
        <v>Moderate Delay</v>
      </c>
    </row>
    <row r="2166" spans="1:15" x14ac:dyDescent="0.25">
      <c r="A2166">
        <v>2165</v>
      </c>
      <c r="B2166" s="2">
        <v>45950</v>
      </c>
      <c r="C2166" t="s">
        <v>18</v>
      </c>
      <c r="D2166" t="s">
        <v>22</v>
      </c>
      <c r="E2166" t="s">
        <v>19</v>
      </c>
      <c r="F2166" t="s">
        <v>21</v>
      </c>
      <c r="G2166">
        <v>145</v>
      </c>
      <c r="H2166">
        <v>383.87</v>
      </c>
      <c r="I2166">
        <v>35</v>
      </c>
      <c r="J2166" t="s">
        <v>30</v>
      </c>
      <c r="K2166">
        <v>55661.15</v>
      </c>
      <c r="L2166" t="str">
        <f t="shared" si="132"/>
        <v>Oct</v>
      </c>
      <c r="M2166">
        <f t="shared" si="133"/>
        <v>2025</v>
      </c>
      <c r="N2166">
        <f t="shared" si="134"/>
        <v>55661.15</v>
      </c>
      <c r="O2166" t="str">
        <f t="shared" si="135"/>
        <v>Moderate Delay</v>
      </c>
    </row>
    <row r="2167" spans="1:15" x14ac:dyDescent="0.25">
      <c r="A2167">
        <v>2166</v>
      </c>
      <c r="B2167" s="2">
        <v>45872</v>
      </c>
      <c r="C2167" t="s">
        <v>18</v>
      </c>
      <c r="D2167" t="s">
        <v>23</v>
      </c>
      <c r="E2167" t="s">
        <v>13</v>
      </c>
      <c r="F2167" t="s">
        <v>24</v>
      </c>
      <c r="G2167">
        <v>171</v>
      </c>
      <c r="H2167">
        <v>553.27</v>
      </c>
      <c r="I2167">
        <v>21</v>
      </c>
      <c r="J2167" t="s">
        <v>30</v>
      </c>
      <c r="K2167">
        <v>94609.17</v>
      </c>
      <c r="L2167" t="str">
        <f t="shared" si="132"/>
        <v>Aug</v>
      </c>
      <c r="M2167">
        <f t="shared" si="133"/>
        <v>2025</v>
      </c>
      <c r="N2167">
        <f t="shared" si="134"/>
        <v>94609.17</v>
      </c>
      <c r="O2167" t="str">
        <f t="shared" si="135"/>
        <v>Minor Delay</v>
      </c>
    </row>
    <row r="2168" spans="1:15" x14ac:dyDescent="0.25">
      <c r="A2168">
        <v>2167</v>
      </c>
      <c r="B2168" s="2">
        <v>45852</v>
      </c>
      <c r="C2168" t="s">
        <v>31</v>
      </c>
      <c r="D2168" t="s">
        <v>29</v>
      </c>
      <c r="E2168" t="s">
        <v>23</v>
      </c>
      <c r="F2168" t="s">
        <v>14</v>
      </c>
      <c r="G2168">
        <v>126</v>
      </c>
      <c r="H2168">
        <v>500.8</v>
      </c>
      <c r="I2168">
        <v>50</v>
      </c>
      <c r="J2168" t="s">
        <v>15</v>
      </c>
      <c r="K2168">
        <v>63100.800000000003</v>
      </c>
      <c r="L2168" t="str">
        <f t="shared" si="132"/>
        <v>Jul</v>
      </c>
      <c r="M2168">
        <f t="shared" si="133"/>
        <v>2025</v>
      </c>
      <c r="N2168">
        <f t="shared" si="134"/>
        <v>63100.800000000003</v>
      </c>
      <c r="O2168" t="str">
        <f t="shared" si="135"/>
        <v>Moderate Delay</v>
      </c>
    </row>
    <row r="2169" spans="1:15" x14ac:dyDescent="0.25">
      <c r="A2169">
        <v>2168</v>
      </c>
      <c r="B2169" s="2">
        <v>46003</v>
      </c>
      <c r="C2169" t="s">
        <v>31</v>
      </c>
      <c r="D2169" t="s">
        <v>29</v>
      </c>
      <c r="E2169" t="s">
        <v>27</v>
      </c>
      <c r="F2169" t="s">
        <v>24</v>
      </c>
      <c r="G2169">
        <v>252</v>
      </c>
      <c r="H2169">
        <v>182.36</v>
      </c>
      <c r="I2169">
        <v>39</v>
      </c>
      <c r="J2169" t="s">
        <v>15</v>
      </c>
      <c r="K2169">
        <v>45954.720000000001</v>
      </c>
      <c r="L2169" t="str">
        <f t="shared" si="132"/>
        <v>Dec</v>
      </c>
      <c r="M2169">
        <f t="shared" si="133"/>
        <v>2025</v>
      </c>
      <c r="N2169">
        <f t="shared" si="134"/>
        <v>45954.720000000001</v>
      </c>
      <c r="O2169" t="str">
        <f t="shared" si="135"/>
        <v>Moderate Delay</v>
      </c>
    </row>
    <row r="2170" spans="1:15" x14ac:dyDescent="0.25">
      <c r="A2170">
        <v>2169</v>
      </c>
      <c r="B2170" s="2">
        <v>45895</v>
      </c>
      <c r="C2170" t="s">
        <v>25</v>
      </c>
      <c r="D2170" t="s">
        <v>27</v>
      </c>
      <c r="E2170" t="s">
        <v>29</v>
      </c>
      <c r="F2170" t="s">
        <v>24</v>
      </c>
      <c r="G2170">
        <v>198</v>
      </c>
      <c r="H2170">
        <v>758.02</v>
      </c>
      <c r="I2170">
        <v>0</v>
      </c>
      <c r="J2170" t="s">
        <v>15</v>
      </c>
      <c r="K2170">
        <v>150087.96</v>
      </c>
      <c r="L2170" t="str">
        <f t="shared" si="132"/>
        <v>Aug</v>
      </c>
      <c r="M2170">
        <f t="shared" si="133"/>
        <v>2025</v>
      </c>
      <c r="N2170">
        <f t="shared" si="134"/>
        <v>150087.96</v>
      </c>
      <c r="O2170" t="str">
        <f t="shared" si="135"/>
        <v>On Time</v>
      </c>
    </row>
    <row r="2171" spans="1:15" x14ac:dyDescent="0.25">
      <c r="A2171">
        <v>2170</v>
      </c>
      <c r="B2171" s="2">
        <v>45680</v>
      </c>
      <c r="C2171" t="s">
        <v>31</v>
      </c>
      <c r="D2171" t="s">
        <v>13</v>
      </c>
      <c r="E2171" t="s">
        <v>22</v>
      </c>
      <c r="F2171" t="s">
        <v>24</v>
      </c>
      <c r="G2171">
        <v>108</v>
      </c>
      <c r="H2171">
        <v>587.9</v>
      </c>
      <c r="I2171">
        <v>0</v>
      </c>
      <c r="J2171" t="s">
        <v>15</v>
      </c>
      <c r="K2171">
        <v>63493.2</v>
      </c>
      <c r="L2171" t="str">
        <f t="shared" si="132"/>
        <v>Jan</v>
      </c>
      <c r="M2171">
        <f t="shared" si="133"/>
        <v>2025</v>
      </c>
      <c r="N2171">
        <f t="shared" si="134"/>
        <v>63493.2</v>
      </c>
      <c r="O2171" t="str">
        <f t="shared" si="135"/>
        <v>On Time</v>
      </c>
    </row>
    <row r="2172" spans="1:15" x14ac:dyDescent="0.25">
      <c r="A2172">
        <v>2171</v>
      </c>
      <c r="B2172" s="2">
        <v>45715</v>
      </c>
      <c r="C2172" t="s">
        <v>26</v>
      </c>
      <c r="D2172" t="s">
        <v>12</v>
      </c>
      <c r="E2172" t="s">
        <v>20</v>
      </c>
      <c r="F2172" t="s">
        <v>24</v>
      </c>
      <c r="G2172">
        <v>61</v>
      </c>
      <c r="H2172">
        <v>425.82</v>
      </c>
      <c r="I2172">
        <v>2</v>
      </c>
      <c r="J2172" t="s">
        <v>15</v>
      </c>
      <c r="K2172">
        <v>25975.02</v>
      </c>
      <c r="L2172" t="str">
        <f t="shared" si="132"/>
        <v>Feb</v>
      </c>
      <c r="M2172">
        <f t="shared" si="133"/>
        <v>2025</v>
      </c>
      <c r="N2172">
        <f t="shared" si="134"/>
        <v>25975.02</v>
      </c>
      <c r="O2172" t="str">
        <f t="shared" si="135"/>
        <v>Minor Delay</v>
      </c>
    </row>
    <row r="2173" spans="1:15" x14ac:dyDescent="0.25">
      <c r="A2173">
        <v>2172</v>
      </c>
      <c r="B2173" s="2">
        <v>45828</v>
      </c>
      <c r="C2173" t="s">
        <v>25</v>
      </c>
      <c r="D2173" t="s">
        <v>27</v>
      </c>
      <c r="E2173" t="s">
        <v>19</v>
      </c>
      <c r="F2173" t="s">
        <v>24</v>
      </c>
      <c r="G2173">
        <v>140</v>
      </c>
      <c r="H2173">
        <v>139.19</v>
      </c>
      <c r="I2173">
        <v>13</v>
      </c>
      <c r="J2173" t="s">
        <v>30</v>
      </c>
      <c r="K2173">
        <v>19486.599999999999</v>
      </c>
      <c r="L2173" t="str">
        <f t="shared" si="132"/>
        <v>Jun</v>
      </c>
      <c r="M2173">
        <f t="shared" si="133"/>
        <v>2025</v>
      </c>
      <c r="N2173">
        <f t="shared" si="134"/>
        <v>19486.599999999999</v>
      </c>
      <c r="O2173" t="str">
        <f t="shared" si="135"/>
        <v>Minor Delay</v>
      </c>
    </row>
    <row r="2174" spans="1:15" x14ac:dyDescent="0.25">
      <c r="A2174">
        <v>2173</v>
      </c>
      <c r="B2174" s="2">
        <v>45807</v>
      </c>
      <c r="C2174" t="s">
        <v>25</v>
      </c>
      <c r="D2174" t="s">
        <v>17</v>
      </c>
      <c r="E2174" t="s">
        <v>29</v>
      </c>
      <c r="F2174" t="s">
        <v>14</v>
      </c>
      <c r="G2174">
        <v>276</v>
      </c>
      <c r="H2174">
        <v>507.51</v>
      </c>
      <c r="I2174">
        <v>0</v>
      </c>
      <c r="J2174" t="s">
        <v>30</v>
      </c>
      <c r="K2174">
        <v>140072.76</v>
      </c>
      <c r="L2174" t="str">
        <f t="shared" si="132"/>
        <v>May</v>
      </c>
      <c r="M2174">
        <f t="shared" si="133"/>
        <v>2025</v>
      </c>
      <c r="N2174">
        <f t="shared" si="134"/>
        <v>140072.76</v>
      </c>
      <c r="O2174" t="str">
        <f t="shared" si="135"/>
        <v>On Time</v>
      </c>
    </row>
    <row r="2175" spans="1:15" x14ac:dyDescent="0.25">
      <c r="A2175">
        <v>2174</v>
      </c>
      <c r="B2175" s="2">
        <v>45937</v>
      </c>
      <c r="C2175" t="s">
        <v>11</v>
      </c>
      <c r="D2175" t="s">
        <v>17</v>
      </c>
      <c r="E2175" t="s">
        <v>20</v>
      </c>
      <c r="F2175" t="s">
        <v>21</v>
      </c>
      <c r="G2175">
        <v>117</v>
      </c>
      <c r="H2175">
        <v>752.31</v>
      </c>
      <c r="I2175">
        <v>36</v>
      </c>
      <c r="J2175" t="s">
        <v>15</v>
      </c>
      <c r="K2175">
        <v>88020.27</v>
      </c>
      <c r="L2175" t="str">
        <f t="shared" si="132"/>
        <v>Oct</v>
      </c>
      <c r="M2175">
        <f t="shared" si="133"/>
        <v>2025</v>
      </c>
      <c r="N2175">
        <f t="shared" si="134"/>
        <v>88020.26999999999</v>
      </c>
      <c r="O2175" t="str">
        <f t="shared" si="135"/>
        <v>Moderate Delay</v>
      </c>
    </row>
    <row r="2176" spans="1:15" x14ac:dyDescent="0.25">
      <c r="A2176">
        <v>2175</v>
      </c>
      <c r="B2176" s="2">
        <v>45919</v>
      </c>
      <c r="C2176" t="s">
        <v>26</v>
      </c>
      <c r="D2176" t="s">
        <v>23</v>
      </c>
      <c r="E2176" t="s">
        <v>27</v>
      </c>
      <c r="F2176" t="s">
        <v>14</v>
      </c>
      <c r="G2176">
        <v>66</v>
      </c>
      <c r="H2176">
        <v>388.52</v>
      </c>
      <c r="I2176">
        <v>33</v>
      </c>
      <c r="J2176" t="s">
        <v>15</v>
      </c>
      <c r="K2176">
        <v>25642.32</v>
      </c>
      <c r="L2176" t="str">
        <f t="shared" si="132"/>
        <v>Sep</v>
      </c>
      <c r="M2176">
        <f t="shared" si="133"/>
        <v>2025</v>
      </c>
      <c r="N2176">
        <f t="shared" si="134"/>
        <v>25642.32</v>
      </c>
      <c r="O2176" t="str">
        <f t="shared" si="135"/>
        <v>Moderate Delay</v>
      </c>
    </row>
    <row r="2177" spans="1:15" x14ac:dyDescent="0.25">
      <c r="A2177">
        <v>2176</v>
      </c>
      <c r="B2177" s="2">
        <v>45954</v>
      </c>
      <c r="C2177" t="s">
        <v>11</v>
      </c>
      <c r="D2177" t="s">
        <v>29</v>
      </c>
      <c r="E2177" t="s">
        <v>17</v>
      </c>
      <c r="F2177" t="s">
        <v>21</v>
      </c>
      <c r="G2177">
        <v>154</v>
      </c>
      <c r="H2177">
        <v>263.66000000000003</v>
      </c>
      <c r="I2177">
        <v>38</v>
      </c>
      <c r="J2177" t="s">
        <v>15</v>
      </c>
      <c r="K2177">
        <v>40603.64</v>
      </c>
      <c r="L2177" t="str">
        <f t="shared" si="132"/>
        <v>Oct</v>
      </c>
      <c r="M2177">
        <f t="shared" si="133"/>
        <v>2025</v>
      </c>
      <c r="N2177">
        <f t="shared" si="134"/>
        <v>40603.640000000007</v>
      </c>
      <c r="O2177" t="str">
        <f t="shared" si="135"/>
        <v>Moderate Delay</v>
      </c>
    </row>
    <row r="2178" spans="1:15" x14ac:dyDescent="0.25">
      <c r="A2178">
        <v>2177</v>
      </c>
      <c r="B2178" s="2">
        <v>45794</v>
      </c>
      <c r="C2178" t="s">
        <v>31</v>
      </c>
      <c r="D2178" t="s">
        <v>13</v>
      </c>
      <c r="E2178" t="s">
        <v>23</v>
      </c>
      <c r="F2178" t="s">
        <v>24</v>
      </c>
      <c r="G2178">
        <v>186</v>
      </c>
      <c r="H2178">
        <v>575.54999999999995</v>
      </c>
      <c r="I2178">
        <v>21</v>
      </c>
      <c r="J2178" t="s">
        <v>15</v>
      </c>
      <c r="K2178">
        <v>107052.3</v>
      </c>
      <c r="L2178" t="str">
        <f t="shared" si="132"/>
        <v>May</v>
      </c>
      <c r="M2178">
        <f t="shared" si="133"/>
        <v>2025</v>
      </c>
      <c r="N2178">
        <f t="shared" si="134"/>
        <v>107052.29999999999</v>
      </c>
      <c r="O2178" t="str">
        <f t="shared" si="135"/>
        <v>Minor Delay</v>
      </c>
    </row>
    <row r="2179" spans="1:15" x14ac:dyDescent="0.25">
      <c r="A2179">
        <v>2178</v>
      </c>
      <c r="B2179" s="2">
        <v>45903</v>
      </c>
      <c r="C2179" t="s">
        <v>11</v>
      </c>
      <c r="D2179" t="s">
        <v>23</v>
      </c>
      <c r="E2179" t="s">
        <v>20</v>
      </c>
      <c r="F2179" t="s">
        <v>21</v>
      </c>
      <c r="G2179">
        <v>163</v>
      </c>
      <c r="H2179">
        <v>505.44</v>
      </c>
      <c r="I2179">
        <v>27</v>
      </c>
      <c r="J2179" t="s">
        <v>15</v>
      </c>
      <c r="K2179">
        <v>82386.720000000001</v>
      </c>
      <c r="L2179" t="str">
        <f t="shared" ref="L2179:L2242" si="136">TEXT(B2179,"MMM")</f>
        <v>Sep</v>
      </c>
      <c r="M2179">
        <f t="shared" ref="M2179:M2242" si="137">YEAR(B2179)</f>
        <v>2025</v>
      </c>
      <c r="N2179">
        <f t="shared" ref="N2179:N2242" si="138">G2179*H2179</f>
        <v>82386.720000000001</v>
      </c>
      <c r="O2179" t="str">
        <f t="shared" ref="O2179:O2242" si="139">IF(I2179=0,"On Time",IF(I2179&lt;=30,"Minor Delay",IF(I2179&lt;=60,"Moderate Delay","Major Delay")))</f>
        <v>Minor Delay</v>
      </c>
    </row>
    <row r="2180" spans="1:15" x14ac:dyDescent="0.25">
      <c r="A2180">
        <v>2179</v>
      </c>
      <c r="B2180" s="2">
        <v>45703</v>
      </c>
      <c r="C2180" t="s">
        <v>26</v>
      </c>
      <c r="D2180" t="s">
        <v>13</v>
      </c>
      <c r="E2180" t="s">
        <v>29</v>
      </c>
      <c r="F2180" t="s">
        <v>14</v>
      </c>
      <c r="G2180">
        <v>104</v>
      </c>
      <c r="H2180">
        <v>799.05</v>
      </c>
      <c r="I2180">
        <v>60</v>
      </c>
      <c r="J2180" t="s">
        <v>28</v>
      </c>
      <c r="K2180">
        <v>83101.2</v>
      </c>
      <c r="L2180" t="str">
        <f t="shared" si="136"/>
        <v>Feb</v>
      </c>
      <c r="M2180">
        <f t="shared" si="137"/>
        <v>2025</v>
      </c>
      <c r="N2180">
        <f t="shared" si="138"/>
        <v>83101.2</v>
      </c>
      <c r="O2180" t="str">
        <f t="shared" si="139"/>
        <v>Moderate Delay</v>
      </c>
    </row>
    <row r="2181" spans="1:15" x14ac:dyDescent="0.25">
      <c r="A2181">
        <v>2180</v>
      </c>
      <c r="B2181" s="2">
        <v>45996</v>
      </c>
      <c r="C2181" t="s">
        <v>31</v>
      </c>
      <c r="D2181" t="s">
        <v>19</v>
      </c>
      <c r="E2181" t="s">
        <v>17</v>
      </c>
      <c r="F2181" t="s">
        <v>21</v>
      </c>
      <c r="G2181">
        <v>258</v>
      </c>
      <c r="H2181">
        <v>180.8</v>
      </c>
      <c r="I2181">
        <v>54</v>
      </c>
      <c r="J2181" t="s">
        <v>30</v>
      </c>
      <c r="K2181">
        <v>46646.400000000001</v>
      </c>
      <c r="L2181" t="str">
        <f t="shared" si="136"/>
        <v>Dec</v>
      </c>
      <c r="M2181">
        <f t="shared" si="137"/>
        <v>2025</v>
      </c>
      <c r="N2181">
        <f t="shared" si="138"/>
        <v>46646.400000000001</v>
      </c>
      <c r="O2181" t="str">
        <f t="shared" si="139"/>
        <v>Moderate Delay</v>
      </c>
    </row>
    <row r="2182" spans="1:15" x14ac:dyDescent="0.25">
      <c r="A2182">
        <v>2181</v>
      </c>
      <c r="B2182" s="2">
        <v>45713</v>
      </c>
      <c r="C2182" t="s">
        <v>11</v>
      </c>
      <c r="D2182" t="s">
        <v>19</v>
      </c>
      <c r="E2182" t="s">
        <v>20</v>
      </c>
      <c r="F2182" t="s">
        <v>14</v>
      </c>
      <c r="G2182">
        <v>171</v>
      </c>
      <c r="H2182">
        <v>592.59</v>
      </c>
      <c r="I2182">
        <v>38</v>
      </c>
      <c r="J2182" t="s">
        <v>28</v>
      </c>
      <c r="K2182">
        <v>101332.89</v>
      </c>
      <c r="L2182" t="str">
        <f t="shared" si="136"/>
        <v>Feb</v>
      </c>
      <c r="M2182">
        <f t="shared" si="137"/>
        <v>2025</v>
      </c>
      <c r="N2182">
        <f t="shared" si="138"/>
        <v>101332.89</v>
      </c>
      <c r="O2182" t="str">
        <f t="shared" si="139"/>
        <v>Moderate Delay</v>
      </c>
    </row>
    <row r="2183" spans="1:15" x14ac:dyDescent="0.25">
      <c r="A2183">
        <v>2182</v>
      </c>
      <c r="B2183" s="2">
        <v>45822</v>
      </c>
      <c r="C2183" t="s">
        <v>31</v>
      </c>
      <c r="D2183" t="s">
        <v>13</v>
      </c>
      <c r="E2183" t="s">
        <v>22</v>
      </c>
      <c r="F2183" t="s">
        <v>21</v>
      </c>
      <c r="G2183">
        <v>74</v>
      </c>
      <c r="H2183">
        <v>356.45</v>
      </c>
      <c r="I2183">
        <v>5</v>
      </c>
      <c r="J2183" t="s">
        <v>15</v>
      </c>
      <c r="K2183">
        <v>26377.3</v>
      </c>
      <c r="L2183" t="str">
        <f t="shared" si="136"/>
        <v>Jun</v>
      </c>
      <c r="M2183">
        <f t="shared" si="137"/>
        <v>2025</v>
      </c>
      <c r="N2183">
        <f t="shared" si="138"/>
        <v>26377.3</v>
      </c>
      <c r="O2183" t="str">
        <f t="shared" si="139"/>
        <v>Minor Delay</v>
      </c>
    </row>
    <row r="2184" spans="1:15" x14ac:dyDescent="0.25">
      <c r="A2184">
        <v>2183</v>
      </c>
      <c r="B2184" s="2">
        <v>45842</v>
      </c>
      <c r="C2184" t="s">
        <v>26</v>
      </c>
      <c r="D2184" t="s">
        <v>13</v>
      </c>
      <c r="E2184" t="s">
        <v>19</v>
      </c>
      <c r="F2184" t="s">
        <v>24</v>
      </c>
      <c r="G2184">
        <v>176</v>
      </c>
      <c r="H2184">
        <v>167.04</v>
      </c>
      <c r="I2184">
        <v>28</v>
      </c>
      <c r="J2184" t="s">
        <v>15</v>
      </c>
      <c r="K2184">
        <v>29399.040000000001</v>
      </c>
      <c r="L2184" t="str">
        <f t="shared" si="136"/>
        <v>Jul</v>
      </c>
      <c r="M2184">
        <f t="shared" si="137"/>
        <v>2025</v>
      </c>
      <c r="N2184">
        <f t="shared" si="138"/>
        <v>29399.039999999997</v>
      </c>
      <c r="O2184" t="str">
        <f t="shared" si="139"/>
        <v>Minor Delay</v>
      </c>
    </row>
    <row r="2185" spans="1:15" x14ac:dyDescent="0.25">
      <c r="A2185">
        <v>2184</v>
      </c>
      <c r="B2185" s="2">
        <v>46014</v>
      </c>
      <c r="C2185" t="s">
        <v>26</v>
      </c>
      <c r="D2185" t="s">
        <v>13</v>
      </c>
      <c r="E2185" t="s">
        <v>23</v>
      </c>
      <c r="F2185" t="s">
        <v>24</v>
      </c>
      <c r="G2185">
        <v>57</v>
      </c>
      <c r="H2185">
        <v>642.9</v>
      </c>
      <c r="I2185">
        <v>27</v>
      </c>
      <c r="J2185" t="s">
        <v>15</v>
      </c>
      <c r="K2185">
        <v>36645.300000000003</v>
      </c>
      <c r="L2185" t="str">
        <f t="shared" si="136"/>
        <v>Dec</v>
      </c>
      <c r="M2185">
        <f t="shared" si="137"/>
        <v>2025</v>
      </c>
      <c r="N2185">
        <f t="shared" si="138"/>
        <v>36645.299999999996</v>
      </c>
      <c r="O2185" t="str">
        <f t="shared" si="139"/>
        <v>Minor Delay</v>
      </c>
    </row>
    <row r="2186" spans="1:15" x14ac:dyDescent="0.25">
      <c r="A2186">
        <v>2185</v>
      </c>
      <c r="B2186" s="2">
        <v>45905</v>
      </c>
      <c r="C2186" t="s">
        <v>25</v>
      </c>
      <c r="D2186" t="s">
        <v>12</v>
      </c>
      <c r="E2186" t="s">
        <v>27</v>
      </c>
      <c r="F2186" t="s">
        <v>14</v>
      </c>
      <c r="G2186">
        <v>247</v>
      </c>
      <c r="H2186">
        <v>441.68</v>
      </c>
      <c r="I2186">
        <v>9</v>
      </c>
      <c r="J2186" t="s">
        <v>15</v>
      </c>
      <c r="K2186">
        <v>109094.96</v>
      </c>
      <c r="L2186" t="str">
        <f t="shared" si="136"/>
        <v>Sep</v>
      </c>
      <c r="M2186">
        <f t="shared" si="137"/>
        <v>2025</v>
      </c>
      <c r="N2186">
        <f t="shared" si="138"/>
        <v>109094.96</v>
      </c>
      <c r="O2186" t="str">
        <f t="shared" si="139"/>
        <v>Minor Delay</v>
      </c>
    </row>
    <row r="2187" spans="1:15" x14ac:dyDescent="0.25">
      <c r="A2187">
        <v>2186</v>
      </c>
      <c r="B2187" s="2">
        <v>45937</v>
      </c>
      <c r="C2187" t="s">
        <v>31</v>
      </c>
      <c r="D2187" t="s">
        <v>27</v>
      </c>
      <c r="E2187" t="s">
        <v>13</v>
      </c>
      <c r="F2187" t="s">
        <v>21</v>
      </c>
      <c r="G2187">
        <v>50</v>
      </c>
      <c r="H2187">
        <v>701.06</v>
      </c>
      <c r="I2187">
        <v>0</v>
      </c>
      <c r="J2187" t="s">
        <v>15</v>
      </c>
      <c r="K2187">
        <v>35053</v>
      </c>
      <c r="L2187" t="str">
        <f t="shared" si="136"/>
        <v>Oct</v>
      </c>
      <c r="M2187">
        <f t="shared" si="137"/>
        <v>2025</v>
      </c>
      <c r="N2187">
        <f t="shared" si="138"/>
        <v>35053</v>
      </c>
      <c r="O2187" t="str">
        <f t="shared" si="139"/>
        <v>On Time</v>
      </c>
    </row>
    <row r="2188" spans="1:15" x14ac:dyDescent="0.25">
      <c r="A2188">
        <v>2187</v>
      </c>
      <c r="B2188" s="2">
        <v>45707</v>
      </c>
      <c r="C2188" t="s">
        <v>26</v>
      </c>
      <c r="D2188" t="s">
        <v>27</v>
      </c>
      <c r="E2188" t="s">
        <v>29</v>
      </c>
      <c r="F2188" t="s">
        <v>14</v>
      </c>
      <c r="G2188">
        <v>163</v>
      </c>
      <c r="H2188">
        <v>260.44</v>
      </c>
      <c r="I2188">
        <v>0</v>
      </c>
      <c r="J2188" t="s">
        <v>15</v>
      </c>
      <c r="K2188">
        <v>42451.72</v>
      </c>
      <c r="L2188" t="str">
        <f t="shared" si="136"/>
        <v>Feb</v>
      </c>
      <c r="M2188">
        <f t="shared" si="137"/>
        <v>2025</v>
      </c>
      <c r="N2188">
        <f t="shared" si="138"/>
        <v>42451.72</v>
      </c>
      <c r="O2188" t="str">
        <f t="shared" si="139"/>
        <v>On Time</v>
      </c>
    </row>
    <row r="2189" spans="1:15" x14ac:dyDescent="0.25">
      <c r="A2189">
        <v>2188</v>
      </c>
      <c r="B2189" s="2">
        <v>45859</v>
      </c>
      <c r="C2189" t="s">
        <v>25</v>
      </c>
      <c r="D2189" t="s">
        <v>22</v>
      </c>
      <c r="E2189" t="s">
        <v>29</v>
      </c>
      <c r="F2189" t="s">
        <v>24</v>
      </c>
      <c r="G2189">
        <v>292</v>
      </c>
      <c r="H2189">
        <v>256.12</v>
      </c>
      <c r="I2189">
        <v>11</v>
      </c>
      <c r="J2189" t="s">
        <v>15</v>
      </c>
      <c r="K2189">
        <v>74787.039999999994</v>
      </c>
      <c r="L2189" t="str">
        <f t="shared" si="136"/>
        <v>Jul</v>
      </c>
      <c r="M2189">
        <f t="shared" si="137"/>
        <v>2025</v>
      </c>
      <c r="N2189">
        <f t="shared" si="138"/>
        <v>74787.040000000008</v>
      </c>
      <c r="O2189" t="str">
        <f t="shared" si="139"/>
        <v>Minor Delay</v>
      </c>
    </row>
    <row r="2190" spans="1:15" x14ac:dyDescent="0.25">
      <c r="A2190">
        <v>2189</v>
      </c>
      <c r="B2190" s="2">
        <v>46015</v>
      </c>
      <c r="C2190" t="s">
        <v>31</v>
      </c>
      <c r="D2190" t="s">
        <v>27</v>
      </c>
      <c r="E2190" t="s">
        <v>19</v>
      </c>
      <c r="F2190" t="s">
        <v>24</v>
      </c>
      <c r="G2190">
        <v>228</v>
      </c>
      <c r="H2190">
        <v>517.72</v>
      </c>
      <c r="I2190">
        <v>0</v>
      </c>
      <c r="J2190" t="s">
        <v>15</v>
      </c>
      <c r="K2190">
        <v>118040.16</v>
      </c>
      <c r="L2190" t="str">
        <f t="shared" si="136"/>
        <v>Dec</v>
      </c>
      <c r="M2190">
        <f t="shared" si="137"/>
        <v>2025</v>
      </c>
      <c r="N2190">
        <f t="shared" si="138"/>
        <v>118040.16</v>
      </c>
      <c r="O2190" t="str">
        <f t="shared" si="139"/>
        <v>On Time</v>
      </c>
    </row>
    <row r="2191" spans="1:15" x14ac:dyDescent="0.25">
      <c r="A2191">
        <v>2190</v>
      </c>
      <c r="B2191" s="2">
        <v>45825</v>
      </c>
      <c r="C2191" t="s">
        <v>26</v>
      </c>
      <c r="D2191" t="s">
        <v>23</v>
      </c>
      <c r="E2191" t="s">
        <v>12</v>
      </c>
      <c r="F2191" t="s">
        <v>21</v>
      </c>
      <c r="G2191">
        <v>116</v>
      </c>
      <c r="H2191">
        <v>784.38</v>
      </c>
      <c r="I2191">
        <v>41</v>
      </c>
      <c r="J2191" t="s">
        <v>30</v>
      </c>
      <c r="K2191">
        <v>90988.08</v>
      </c>
      <c r="L2191" t="str">
        <f t="shared" si="136"/>
        <v>Jun</v>
      </c>
      <c r="M2191">
        <f t="shared" si="137"/>
        <v>2025</v>
      </c>
      <c r="N2191">
        <f t="shared" si="138"/>
        <v>90988.08</v>
      </c>
      <c r="O2191" t="str">
        <f t="shared" si="139"/>
        <v>Moderate Delay</v>
      </c>
    </row>
    <row r="2192" spans="1:15" x14ac:dyDescent="0.25">
      <c r="A2192">
        <v>2191</v>
      </c>
      <c r="B2192" s="2">
        <v>45721</v>
      </c>
      <c r="C2192" t="s">
        <v>31</v>
      </c>
      <c r="D2192" t="s">
        <v>13</v>
      </c>
      <c r="E2192" t="s">
        <v>29</v>
      </c>
      <c r="F2192" t="s">
        <v>14</v>
      </c>
      <c r="G2192">
        <v>234</v>
      </c>
      <c r="H2192">
        <v>503.34</v>
      </c>
      <c r="I2192">
        <v>40</v>
      </c>
      <c r="J2192" t="s">
        <v>15</v>
      </c>
      <c r="K2192">
        <v>117781.56</v>
      </c>
      <c r="L2192" t="str">
        <f t="shared" si="136"/>
        <v>Mar</v>
      </c>
      <c r="M2192">
        <f t="shared" si="137"/>
        <v>2025</v>
      </c>
      <c r="N2192">
        <f t="shared" si="138"/>
        <v>117781.56</v>
      </c>
      <c r="O2192" t="str">
        <f t="shared" si="139"/>
        <v>Moderate Delay</v>
      </c>
    </row>
    <row r="2193" spans="1:15" x14ac:dyDescent="0.25">
      <c r="A2193">
        <v>2192</v>
      </c>
      <c r="B2193" s="2">
        <v>46014</v>
      </c>
      <c r="C2193" t="s">
        <v>18</v>
      </c>
      <c r="D2193" t="s">
        <v>22</v>
      </c>
      <c r="E2193" t="s">
        <v>19</v>
      </c>
      <c r="F2193" t="s">
        <v>21</v>
      </c>
      <c r="G2193">
        <v>61</v>
      </c>
      <c r="H2193">
        <v>319.93</v>
      </c>
      <c r="I2193">
        <v>63</v>
      </c>
      <c r="J2193" t="s">
        <v>15</v>
      </c>
      <c r="K2193">
        <v>19515.73</v>
      </c>
      <c r="L2193" t="str">
        <f t="shared" si="136"/>
        <v>Dec</v>
      </c>
      <c r="M2193">
        <f t="shared" si="137"/>
        <v>2025</v>
      </c>
      <c r="N2193">
        <f t="shared" si="138"/>
        <v>19515.73</v>
      </c>
      <c r="O2193" t="str">
        <f t="shared" si="139"/>
        <v>Major Delay</v>
      </c>
    </row>
    <row r="2194" spans="1:15" x14ac:dyDescent="0.25">
      <c r="A2194">
        <v>2193</v>
      </c>
      <c r="B2194" s="2">
        <v>46007</v>
      </c>
      <c r="C2194" t="s">
        <v>25</v>
      </c>
      <c r="D2194" t="s">
        <v>12</v>
      </c>
      <c r="E2194" t="s">
        <v>20</v>
      </c>
      <c r="F2194" t="s">
        <v>14</v>
      </c>
      <c r="G2194">
        <v>108</v>
      </c>
      <c r="H2194">
        <v>676.07</v>
      </c>
      <c r="I2194">
        <v>0</v>
      </c>
      <c r="J2194" t="s">
        <v>30</v>
      </c>
      <c r="K2194">
        <v>73015.56</v>
      </c>
      <c r="L2194" t="str">
        <f t="shared" si="136"/>
        <v>Dec</v>
      </c>
      <c r="M2194">
        <f t="shared" si="137"/>
        <v>2025</v>
      </c>
      <c r="N2194">
        <f t="shared" si="138"/>
        <v>73015.560000000012</v>
      </c>
      <c r="O2194" t="str">
        <f t="shared" si="139"/>
        <v>On Time</v>
      </c>
    </row>
    <row r="2195" spans="1:15" x14ac:dyDescent="0.25">
      <c r="A2195">
        <v>2194</v>
      </c>
      <c r="B2195" s="2">
        <v>45818</v>
      </c>
      <c r="C2195" t="s">
        <v>11</v>
      </c>
      <c r="D2195" t="s">
        <v>19</v>
      </c>
      <c r="E2195" t="s">
        <v>20</v>
      </c>
      <c r="F2195" t="s">
        <v>24</v>
      </c>
      <c r="G2195">
        <v>299</v>
      </c>
      <c r="H2195">
        <v>584.91999999999996</v>
      </c>
      <c r="I2195">
        <v>9</v>
      </c>
      <c r="J2195" t="s">
        <v>15</v>
      </c>
      <c r="K2195">
        <v>174891.08</v>
      </c>
      <c r="L2195" t="str">
        <f t="shared" si="136"/>
        <v>Jun</v>
      </c>
      <c r="M2195">
        <f t="shared" si="137"/>
        <v>2025</v>
      </c>
      <c r="N2195">
        <f t="shared" si="138"/>
        <v>174891.08</v>
      </c>
      <c r="O2195" t="str">
        <f t="shared" si="139"/>
        <v>Minor Delay</v>
      </c>
    </row>
    <row r="2196" spans="1:15" x14ac:dyDescent="0.25">
      <c r="A2196">
        <v>2195</v>
      </c>
      <c r="B2196" s="2">
        <v>45825</v>
      </c>
      <c r="C2196" t="s">
        <v>26</v>
      </c>
      <c r="D2196" t="s">
        <v>27</v>
      </c>
      <c r="E2196" t="s">
        <v>23</v>
      </c>
      <c r="F2196" t="s">
        <v>21</v>
      </c>
      <c r="G2196">
        <v>64</v>
      </c>
      <c r="H2196">
        <v>340.45</v>
      </c>
      <c r="I2196">
        <v>25</v>
      </c>
      <c r="J2196" t="s">
        <v>15</v>
      </c>
      <c r="K2196">
        <v>21788.799999999999</v>
      </c>
      <c r="L2196" t="str">
        <f t="shared" si="136"/>
        <v>Jun</v>
      </c>
      <c r="M2196">
        <f t="shared" si="137"/>
        <v>2025</v>
      </c>
      <c r="N2196">
        <f t="shared" si="138"/>
        <v>21788.799999999999</v>
      </c>
      <c r="O2196" t="str">
        <f t="shared" si="139"/>
        <v>Minor Delay</v>
      </c>
    </row>
    <row r="2197" spans="1:15" x14ac:dyDescent="0.25">
      <c r="A2197">
        <v>2196</v>
      </c>
      <c r="B2197" s="2">
        <v>45810</v>
      </c>
      <c r="C2197" t="s">
        <v>31</v>
      </c>
      <c r="D2197" t="s">
        <v>23</v>
      </c>
      <c r="E2197" t="s">
        <v>29</v>
      </c>
      <c r="F2197" t="s">
        <v>21</v>
      </c>
      <c r="G2197">
        <v>114</v>
      </c>
      <c r="H2197">
        <v>192.41</v>
      </c>
      <c r="I2197">
        <v>20</v>
      </c>
      <c r="J2197" t="s">
        <v>15</v>
      </c>
      <c r="K2197">
        <v>21934.74</v>
      </c>
      <c r="L2197" t="str">
        <f t="shared" si="136"/>
        <v>Jun</v>
      </c>
      <c r="M2197">
        <f t="shared" si="137"/>
        <v>2025</v>
      </c>
      <c r="N2197">
        <f t="shared" si="138"/>
        <v>21934.739999999998</v>
      </c>
      <c r="O2197" t="str">
        <f t="shared" si="139"/>
        <v>Minor Delay</v>
      </c>
    </row>
    <row r="2198" spans="1:15" x14ac:dyDescent="0.25">
      <c r="A2198">
        <v>2197</v>
      </c>
      <c r="B2198" s="2">
        <v>46007</v>
      </c>
      <c r="C2198" t="s">
        <v>26</v>
      </c>
      <c r="D2198" t="s">
        <v>17</v>
      </c>
      <c r="E2198" t="s">
        <v>20</v>
      </c>
      <c r="F2198" t="s">
        <v>21</v>
      </c>
      <c r="G2198">
        <v>270</v>
      </c>
      <c r="H2198">
        <v>472</v>
      </c>
      <c r="I2198">
        <v>0</v>
      </c>
      <c r="J2198" t="s">
        <v>15</v>
      </c>
      <c r="K2198">
        <v>127440</v>
      </c>
      <c r="L2198" t="str">
        <f t="shared" si="136"/>
        <v>Dec</v>
      </c>
      <c r="M2198">
        <f t="shared" si="137"/>
        <v>2025</v>
      </c>
      <c r="N2198">
        <f t="shared" si="138"/>
        <v>127440</v>
      </c>
      <c r="O2198" t="str">
        <f t="shared" si="139"/>
        <v>On Time</v>
      </c>
    </row>
    <row r="2199" spans="1:15" x14ac:dyDescent="0.25">
      <c r="A2199">
        <v>2198</v>
      </c>
      <c r="B2199" s="2">
        <v>45740</v>
      </c>
      <c r="C2199" t="s">
        <v>16</v>
      </c>
      <c r="D2199" t="s">
        <v>17</v>
      </c>
      <c r="E2199" t="s">
        <v>23</v>
      </c>
      <c r="F2199" t="s">
        <v>24</v>
      </c>
      <c r="G2199">
        <v>130</v>
      </c>
      <c r="H2199">
        <v>373.46</v>
      </c>
      <c r="I2199">
        <v>31</v>
      </c>
      <c r="J2199" t="s">
        <v>15</v>
      </c>
      <c r="K2199">
        <v>48549.8</v>
      </c>
      <c r="L2199" t="str">
        <f t="shared" si="136"/>
        <v>Mar</v>
      </c>
      <c r="M2199">
        <f t="shared" si="137"/>
        <v>2025</v>
      </c>
      <c r="N2199">
        <f t="shared" si="138"/>
        <v>48549.799999999996</v>
      </c>
      <c r="O2199" t="str">
        <f t="shared" si="139"/>
        <v>Moderate Delay</v>
      </c>
    </row>
    <row r="2200" spans="1:15" x14ac:dyDescent="0.25">
      <c r="A2200">
        <v>2199</v>
      </c>
      <c r="B2200" s="2">
        <v>45933</v>
      </c>
      <c r="C2200" t="s">
        <v>16</v>
      </c>
      <c r="D2200" t="s">
        <v>20</v>
      </c>
      <c r="E2200" t="s">
        <v>22</v>
      </c>
      <c r="F2200" t="s">
        <v>21</v>
      </c>
      <c r="G2200">
        <v>165</v>
      </c>
      <c r="H2200">
        <v>639.05999999999995</v>
      </c>
      <c r="I2200">
        <v>12</v>
      </c>
      <c r="J2200" t="s">
        <v>15</v>
      </c>
      <c r="K2200">
        <v>105444.9</v>
      </c>
      <c r="L2200" t="str">
        <f t="shared" si="136"/>
        <v>Oct</v>
      </c>
      <c r="M2200">
        <f t="shared" si="137"/>
        <v>2025</v>
      </c>
      <c r="N2200">
        <f t="shared" si="138"/>
        <v>105444.9</v>
      </c>
      <c r="O2200" t="str">
        <f t="shared" si="139"/>
        <v>Minor Delay</v>
      </c>
    </row>
    <row r="2201" spans="1:15" x14ac:dyDescent="0.25">
      <c r="A2201">
        <v>2200</v>
      </c>
      <c r="B2201" s="2">
        <v>45875</v>
      </c>
      <c r="C2201" t="s">
        <v>11</v>
      </c>
      <c r="D2201" t="s">
        <v>27</v>
      </c>
      <c r="E2201" t="s">
        <v>13</v>
      </c>
      <c r="F2201" t="s">
        <v>14</v>
      </c>
      <c r="G2201">
        <v>269</v>
      </c>
      <c r="H2201">
        <v>638.85</v>
      </c>
      <c r="I2201">
        <v>40</v>
      </c>
      <c r="J2201" t="s">
        <v>15</v>
      </c>
      <c r="K2201">
        <v>171850.65</v>
      </c>
      <c r="L2201" t="str">
        <f t="shared" si="136"/>
        <v>Aug</v>
      </c>
      <c r="M2201">
        <f t="shared" si="137"/>
        <v>2025</v>
      </c>
      <c r="N2201">
        <f t="shared" si="138"/>
        <v>171850.65</v>
      </c>
      <c r="O2201" t="str">
        <f t="shared" si="139"/>
        <v>Moderate Delay</v>
      </c>
    </row>
    <row r="2202" spans="1:15" x14ac:dyDescent="0.25">
      <c r="A2202">
        <v>2201</v>
      </c>
      <c r="B2202" s="2">
        <v>45724</v>
      </c>
      <c r="C2202" t="s">
        <v>25</v>
      </c>
      <c r="D2202" t="s">
        <v>17</v>
      </c>
      <c r="E2202" t="s">
        <v>20</v>
      </c>
      <c r="F2202" t="s">
        <v>14</v>
      </c>
      <c r="G2202">
        <v>247</v>
      </c>
      <c r="H2202">
        <v>369.86</v>
      </c>
      <c r="I2202">
        <v>17</v>
      </c>
      <c r="J2202" t="s">
        <v>15</v>
      </c>
      <c r="K2202">
        <v>91355.42</v>
      </c>
      <c r="L2202" t="str">
        <f t="shared" si="136"/>
        <v>Mar</v>
      </c>
      <c r="M2202">
        <f t="shared" si="137"/>
        <v>2025</v>
      </c>
      <c r="N2202">
        <f t="shared" si="138"/>
        <v>91355.42</v>
      </c>
      <c r="O2202" t="str">
        <f t="shared" si="139"/>
        <v>Minor Delay</v>
      </c>
    </row>
    <row r="2203" spans="1:15" x14ac:dyDescent="0.25">
      <c r="A2203">
        <v>2202</v>
      </c>
      <c r="B2203" s="2">
        <v>45775</v>
      </c>
      <c r="C2203" t="s">
        <v>16</v>
      </c>
      <c r="D2203" t="s">
        <v>22</v>
      </c>
      <c r="E2203" t="s">
        <v>17</v>
      </c>
      <c r="F2203" t="s">
        <v>14</v>
      </c>
      <c r="G2203">
        <v>227</v>
      </c>
      <c r="H2203">
        <v>749.62</v>
      </c>
      <c r="I2203">
        <v>12</v>
      </c>
      <c r="J2203" t="s">
        <v>15</v>
      </c>
      <c r="K2203">
        <v>170163.74</v>
      </c>
      <c r="L2203" t="str">
        <f t="shared" si="136"/>
        <v>Apr</v>
      </c>
      <c r="M2203">
        <f t="shared" si="137"/>
        <v>2025</v>
      </c>
      <c r="N2203">
        <f t="shared" si="138"/>
        <v>170163.74</v>
      </c>
      <c r="O2203" t="str">
        <f t="shared" si="139"/>
        <v>Minor Delay</v>
      </c>
    </row>
    <row r="2204" spans="1:15" x14ac:dyDescent="0.25">
      <c r="A2204">
        <v>2203</v>
      </c>
      <c r="B2204" s="2">
        <v>45747</v>
      </c>
      <c r="C2204" t="s">
        <v>11</v>
      </c>
      <c r="D2204" t="s">
        <v>29</v>
      </c>
      <c r="E2204" t="s">
        <v>12</v>
      </c>
      <c r="F2204" t="s">
        <v>24</v>
      </c>
      <c r="G2204">
        <v>96</v>
      </c>
      <c r="H2204">
        <v>772.83</v>
      </c>
      <c r="I2204">
        <v>27</v>
      </c>
      <c r="J2204" t="s">
        <v>30</v>
      </c>
      <c r="K2204">
        <v>74191.679999999993</v>
      </c>
      <c r="L2204" t="str">
        <f t="shared" si="136"/>
        <v>Mar</v>
      </c>
      <c r="M2204">
        <f t="shared" si="137"/>
        <v>2025</v>
      </c>
      <c r="N2204">
        <f t="shared" si="138"/>
        <v>74191.680000000008</v>
      </c>
      <c r="O2204" t="str">
        <f t="shared" si="139"/>
        <v>Minor Delay</v>
      </c>
    </row>
    <row r="2205" spans="1:15" x14ac:dyDescent="0.25">
      <c r="A2205">
        <v>2204</v>
      </c>
      <c r="B2205" s="2">
        <v>45863</v>
      </c>
      <c r="C2205" t="s">
        <v>11</v>
      </c>
      <c r="D2205" t="s">
        <v>20</v>
      </c>
      <c r="E2205" t="s">
        <v>23</v>
      </c>
      <c r="F2205" t="s">
        <v>24</v>
      </c>
      <c r="G2205">
        <v>206</v>
      </c>
      <c r="H2205">
        <v>109.83</v>
      </c>
      <c r="I2205">
        <v>0</v>
      </c>
      <c r="J2205" t="s">
        <v>15</v>
      </c>
      <c r="K2205">
        <v>22624.98</v>
      </c>
      <c r="L2205" t="str">
        <f t="shared" si="136"/>
        <v>Jul</v>
      </c>
      <c r="M2205">
        <f t="shared" si="137"/>
        <v>2025</v>
      </c>
      <c r="N2205">
        <f t="shared" si="138"/>
        <v>22624.98</v>
      </c>
      <c r="O2205" t="str">
        <f t="shared" si="139"/>
        <v>On Time</v>
      </c>
    </row>
    <row r="2206" spans="1:15" x14ac:dyDescent="0.25">
      <c r="A2206">
        <v>2205</v>
      </c>
      <c r="B2206" s="2">
        <v>45801</v>
      </c>
      <c r="C2206" t="s">
        <v>25</v>
      </c>
      <c r="D2206" t="s">
        <v>12</v>
      </c>
      <c r="E2206" t="s">
        <v>19</v>
      </c>
      <c r="F2206" t="s">
        <v>14</v>
      </c>
      <c r="G2206">
        <v>73</v>
      </c>
      <c r="H2206">
        <v>335.66</v>
      </c>
      <c r="I2206">
        <v>49</v>
      </c>
      <c r="J2206" t="s">
        <v>30</v>
      </c>
      <c r="K2206">
        <v>24503.18</v>
      </c>
      <c r="L2206" t="str">
        <f t="shared" si="136"/>
        <v>May</v>
      </c>
      <c r="M2206">
        <f t="shared" si="137"/>
        <v>2025</v>
      </c>
      <c r="N2206">
        <f t="shared" si="138"/>
        <v>24503.18</v>
      </c>
      <c r="O2206" t="str">
        <f t="shared" si="139"/>
        <v>Moderate Delay</v>
      </c>
    </row>
    <row r="2207" spans="1:15" x14ac:dyDescent="0.25">
      <c r="A2207">
        <v>2206</v>
      </c>
      <c r="B2207" s="2">
        <v>45688</v>
      </c>
      <c r="C2207" t="s">
        <v>16</v>
      </c>
      <c r="D2207" t="s">
        <v>27</v>
      </c>
      <c r="E2207" t="s">
        <v>17</v>
      </c>
      <c r="F2207" t="s">
        <v>21</v>
      </c>
      <c r="G2207">
        <v>53</v>
      </c>
      <c r="H2207">
        <v>140.18</v>
      </c>
      <c r="I2207">
        <v>14</v>
      </c>
      <c r="J2207" t="s">
        <v>15</v>
      </c>
      <c r="K2207">
        <v>7429.54</v>
      </c>
      <c r="L2207" t="str">
        <f t="shared" si="136"/>
        <v>Jan</v>
      </c>
      <c r="M2207">
        <f t="shared" si="137"/>
        <v>2025</v>
      </c>
      <c r="N2207">
        <f t="shared" si="138"/>
        <v>7429.54</v>
      </c>
      <c r="O2207" t="str">
        <f t="shared" si="139"/>
        <v>Minor Delay</v>
      </c>
    </row>
    <row r="2208" spans="1:15" x14ac:dyDescent="0.25">
      <c r="A2208">
        <v>2207</v>
      </c>
      <c r="B2208" s="2">
        <v>46022</v>
      </c>
      <c r="C2208" t="s">
        <v>18</v>
      </c>
      <c r="D2208" t="s">
        <v>17</v>
      </c>
      <c r="E2208" t="s">
        <v>27</v>
      </c>
      <c r="F2208" t="s">
        <v>21</v>
      </c>
      <c r="G2208">
        <v>82</v>
      </c>
      <c r="H2208">
        <v>204.95</v>
      </c>
      <c r="I2208">
        <v>48</v>
      </c>
      <c r="J2208" t="s">
        <v>30</v>
      </c>
      <c r="K2208">
        <v>16805.900000000001</v>
      </c>
      <c r="L2208" t="str">
        <f t="shared" si="136"/>
        <v>Dec</v>
      </c>
      <c r="M2208">
        <f t="shared" si="137"/>
        <v>2025</v>
      </c>
      <c r="N2208">
        <f t="shared" si="138"/>
        <v>16805.899999999998</v>
      </c>
      <c r="O2208" t="str">
        <f t="shared" si="139"/>
        <v>Moderate Delay</v>
      </c>
    </row>
    <row r="2209" spans="1:15" x14ac:dyDescent="0.25">
      <c r="A2209">
        <v>2208</v>
      </c>
      <c r="B2209" s="2">
        <v>45664</v>
      </c>
      <c r="C2209" t="s">
        <v>26</v>
      </c>
      <c r="D2209" t="s">
        <v>22</v>
      </c>
      <c r="E2209" t="s">
        <v>27</v>
      </c>
      <c r="F2209" t="s">
        <v>24</v>
      </c>
      <c r="G2209">
        <v>84</v>
      </c>
      <c r="H2209">
        <v>795.72</v>
      </c>
      <c r="I2209">
        <v>35</v>
      </c>
      <c r="J2209" t="s">
        <v>15</v>
      </c>
      <c r="K2209">
        <v>66840.479999999996</v>
      </c>
      <c r="L2209" t="str">
        <f t="shared" si="136"/>
        <v>Jan</v>
      </c>
      <c r="M2209">
        <f t="shared" si="137"/>
        <v>2025</v>
      </c>
      <c r="N2209">
        <f t="shared" si="138"/>
        <v>66840.479999999996</v>
      </c>
      <c r="O2209" t="str">
        <f t="shared" si="139"/>
        <v>Moderate Delay</v>
      </c>
    </row>
    <row r="2210" spans="1:15" x14ac:dyDescent="0.25">
      <c r="A2210">
        <v>2209</v>
      </c>
      <c r="B2210" s="2">
        <v>45984</v>
      </c>
      <c r="C2210" t="s">
        <v>18</v>
      </c>
      <c r="D2210" t="s">
        <v>23</v>
      </c>
      <c r="E2210" t="s">
        <v>29</v>
      </c>
      <c r="F2210" t="s">
        <v>14</v>
      </c>
      <c r="G2210">
        <v>87</v>
      </c>
      <c r="H2210">
        <v>600.53</v>
      </c>
      <c r="I2210">
        <v>27</v>
      </c>
      <c r="J2210" t="s">
        <v>15</v>
      </c>
      <c r="K2210">
        <v>52246.11</v>
      </c>
      <c r="L2210" t="str">
        <f t="shared" si="136"/>
        <v>Nov</v>
      </c>
      <c r="M2210">
        <f t="shared" si="137"/>
        <v>2025</v>
      </c>
      <c r="N2210">
        <f t="shared" si="138"/>
        <v>52246.11</v>
      </c>
      <c r="O2210" t="str">
        <f t="shared" si="139"/>
        <v>Minor Delay</v>
      </c>
    </row>
    <row r="2211" spans="1:15" x14ac:dyDescent="0.25">
      <c r="A2211">
        <v>2210</v>
      </c>
      <c r="B2211" s="2">
        <v>45833</v>
      </c>
      <c r="C2211" t="s">
        <v>11</v>
      </c>
      <c r="D2211" t="s">
        <v>19</v>
      </c>
      <c r="E2211" t="s">
        <v>27</v>
      </c>
      <c r="F2211" t="s">
        <v>24</v>
      </c>
      <c r="G2211">
        <v>138</v>
      </c>
      <c r="H2211">
        <v>575.36</v>
      </c>
      <c r="I2211">
        <v>15</v>
      </c>
      <c r="J2211" t="s">
        <v>15</v>
      </c>
      <c r="K2211">
        <v>79399.679999999993</v>
      </c>
      <c r="L2211" t="str">
        <f t="shared" si="136"/>
        <v>Jun</v>
      </c>
      <c r="M2211">
        <f t="shared" si="137"/>
        <v>2025</v>
      </c>
      <c r="N2211">
        <f t="shared" si="138"/>
        <v>79399.680000000008</v>
      </c>
      <c r="O2211" t="str">
        <f t="shared" si="139"/>
        <v>Minor Delay</v>
      </c>
    </row>
    <row r="2212" spans="1:15" x14ac:dyDescent="0.25">
      <c r="A2212">
        <v>2211</v>
      </c>
      <c r="B2212" s="2">
        <v>45894</v>
      </c>
      <c r="C2212" t="s">
        <v>31</v>
      </c>
      <c r="D2212" t="s">
        <v>27</v>
      </c>
      <c r="E2212" t="s">
        <v>13</v>
      </c>
      <c r="F2212" t="s">
        <v>24</v>
      </c>
      <c r="G2212">
        <v>299</v>
      </c>
      <c r="H2212">
        <v>666.06</v>
      </c>
      <c r="I2212">
        <v>54</v>
      </c>
      <c r="J2212" t="s">
        <v>30</v>
      </c>
      <c r="K2212">
        <v>199151.94</v>
      </c>
      <c r="L2212" t="str">
        <f t="shared" si="136"/>
        <v>Aug</v>
      </c>
      <c r="M2212">
        <f t="shared" si="137"/>
        <v>2025</v>
      </c>
      <c r="N2212">
        <f t="shared" si="138"/>
        <v>199151.93999999997</v>
      </c>
      <c r="O2212" t="str">
        <f t="shared" si="139"/>
        <v>Moderate Delay</v>
      </c>
    </row>
    <row r="2213" spans="1:15" x14ac:dyDescent="0.25">
      <c r="A2213">
        <v>2212</v>
      </c>
      <c r="B2213" s="2">
        <v>45723</v>
      </c>
      <c r="C2213" t="s">
        <v>16</v>
      </c>
      <c r="D2213" t="s">
        <v>29</v>
      </c>
      <c r="E2213" t="s">
        <v>22</v>
      </c>
      <c r="F2213" t="s">
        <v>21</v>
      </c>
      <c r="G2213">
        <v>192</v>
      </c>
      <c r="H2213">
        <v>574.09</v>
      </c>
      <c r="I2213">
        <v>82</v>
      </c>
      <c r="J2213" t="s">
        <v>15</v>
      </c>
      <c r="K2213">
        <v>110225.28</v>
      </c>
      <c r="L2213" t="str">
        <f t="shared" si="136"/>
        <v>Mar</v>
      </c>
      <c r="M2213">
        <f t="shared" si="137"/>
        <v>2025</v>
      </c>
      <c r="N2213">
        <f t="shared" si="138"/>
        <v>110225.28</v>
      </c>
      <c r="O2213" t="str">
        <f t="shared" si="139"/>
        <v>Major Delay</v>
      </c>
    </row>
    <row r="2214" spans="1:15" x14ac:dyDescent="0.25">
      <c r="A2214">
        <v>2213</v>
      </c>
      <c r="B2214" s="2">
        <v>45843</v>
      </c>
      <c r="C2214" t="s">
        <v>26</v>
      </c>
      <c r="D2214" t="s">
        <v>22</v>
      </c>
      <c r="E2214" t="s">
        <v>23</v>
      </c>
      <c r="F2214" t="s">
        <v>14</v>
      </c>
      <c r="G2214">
        <v>58</v>
      </c>
      <c r="H2214">
        <v>560.11</v>
      </c>
      <c r="I2214">
        <v>0</v>
      </c>
      <c r="J2214" t="s">
        <v>15</v>
      </c>
      <c r="K2214">
        <v>32486.38</v>
      </c>
      <c r="L2214" t="str">
        <f t="shared" si="136"/>
        <v>Jul</v>
      </c>
      <c r="M2214">
        <f t="shared" si="137"/>
        <v>2025</v>
      </c>
      <c r="N2214">
        <f t="shared" si="138"/>
        <v>32486.38</v>
      </c>
      <c r="O2214" t="str">
        <f t="shared" si="139"/>
        <v>On Time</v>
      </c>
    </row>
    <row r="2215" spans="1:15" x14ac:dyDescent="0.25">
      <c r="A2215">
        <v>2214</v>
      </c>
      <c r="B2215" s="2">
        <v>45732</v>
      </c>
      <c r="C2215" t="s">
        <v>11</v>
      </c>
      <c r="D2215" t="s">
        <v>20</v>
      </c>
      <c r="E2215" t="s">
        <v>22</v>
      </c>
      <c r="F2215" t="s">
        <v>14</v>
      </c>
      <c r="G2215">
        <v>78</v>
      </c>
      <c r="H2215">
        <v>163.56</v>
      </c>
      <c r="I2215">
        <v>29</v>
      </c>
      <c r="J2215" t="s">
        <v>15</v>
      </c>
      <c r="K2215">
        <v>12757.68</v>
      </c>
      <c r="L2215" t="str">
        <f t="shared" si="136"/>
        <v>Mar</v>
      </c>
      <c r="M2215">
        <f t="shared" si="137"/>
        <v>2025</v>
      </c>
      <c r="N2215">
        <f t="shared" si="138"/>
        <v>12757.68</v>
      </c>
      <c r="O2215" t="str">
        <f t="shared" si="139"/>
        <v>Minor Delay</v>
      </c>
    </row>
    <row r="2216" spans="1:15" x14ac:dyDescent="0.25">
      <c r="A2216">
        <v>2215</v>
      </c>
      <c r="B2216" s="2">
        <v>45933</v>
      </c>
      <c r="C2216" t="s">
        <v>31</v>
      </c>
      <c r="D2216" t="s">
        <v>20</v>
      </c>
      <c r="E2216" t="s">
        <v>23</v>
      </c>
      <c r="F2216" t="s">
        <v>21</v>
      </c>
      <c r="G2216">
        <v>237</v>
      </c>
      <c r="H2216">
        <v>783.09</v>
      </c>
      <c r="I2216">
        <v>5</v>
      </c>
      <c r="J2216" t="s">
        <v>30</v>
      </c>
      <c r="K2216">
        <v>185592.33</v>
      </c>
      <c r="L2216" t="str">
        <f t="shared" si="136"/>
        <v>Oct</v>
      </c>
      <c r="M2216">
        <f t="shared" si="137"/>
        <v>2025</v>
      </c>
      <c r="N2216">
        <f t="shared" si="138"/>
        <v>185592.33000000002</v>
      </c>
      <c r="O2216" t="str">
        <f t="shared" si="139"/>
        <v>Minor Delay</v>
      </c>
    </row>
    <row r="2217" spans="1:15" x14ac:dyDescent="0.25">
      <c r="A2217">
        <v>2216</v>
      </c>
      <c r="B2217" s="2">
        <v>45882</v>
      </c>
      <c r="C2217" t="s">
        <v>18</v>
      </c>
      <c r="D2217" t="s">
        <v>12</v>
      </c>
      <c r="E2217" t="s">
        <v>27</v>
      </c>
      <c r="F2217" t="s">
        <v>14</v>
      </c>
      <c r="G2217">
        <v>112</v>
      </c>
      <c r="H2217">
        <v>551.73</v>
      </c>
      <c r="I2217">
        <v>0</v>
      </c>
      <c r="J2217" t="s">
        <v>15</v>
      </c>
      <c r="K2217">
        <v>61793.760000000002</v>
      </c>
      <c r="L2217" t="str">
        <f t="shared" si="136"/>
        <v>Aug</v>
      </c>
      <c r="M2217">
        <f t="shared" si="137"/>
        <v>2025</v>
      </c>
      <c r="N2217">
        <f t="shared" si="138"/>
        <v>61793.760000000002</v>
      </c>
      <c r="O2217" t="str">
        <f t="shared" si="139"/>
        <v>On Time</v>
      </c>
    </row>
    <row r="2218" spans="1:15" x14ac:dyDescent="0.25">
      <c r="A2218">
        <v>2217</v>
      </c>
      <c r="B2218" s="2">
        <v>45744</v>
      </c>
      <c r="C2218" t="s">
        <v>16</v>
      </c>
      <c r="D2218" t="s">
        <v>29</v>
      </c>
      <c r="E2218" t="s">
        <v>27</v>
      </c>
      <c r="F2218" t="s">
        <v>14</v>
      </c>
      <c r="G2218">
        <v>272</v>
      </c>
      <c r="H2218">
        <v>676.13</v>
      </c>
      <c r="I2218">
        <v>0</v>
      </c>
      <c r="J2218" t="s">
        <v>30</v>
      </c>
      <c r="K2218">
        <v>183907.36</v>
      </c>
      <c r="L2218" t="str">
        <f t="shared" si="136"/>
        <v>Mar</v>
      </c>
      <c r="M2218">
        <f t="shared" si="137"/>
        <v>2025</v>
      </c>
      <c r="N2218">
        <f t="shared" si="138"/>
        <v>183907.36</v>
      </c>
      <c r="O2218" t="str">
        <f t="shared" si="139"/>
        <v>On Time</v>
      </c>
    </row>
    <row r="2219" spans="1:15" x14ac:dyDescent="0.25">
      <c r="A2219">
        <v>2218</v>
      </c>
      <c r="B2219" s="2">
        <v>45664</v>
      </c>
      <c r="C2219" t="s">
        <v>25</v>
      </c>
      <c r="D2219" t="s">
        <v>20</v>
      </c>
      <c r="E2219" t="s">
        <v>22</v>
      </c>
      <c r="F2219" t="s">
        <v>21</v>
      </c>
      <c r="G2219">
        <v>65</v>
      </c>
      <c r="H2219">
        <v>652.89</v>
      </c>
      <c r="I2219">
        <v>10</v>
      </c>
      <c r="J2219" t="s">
        <v>15</v>
      </c>
      <c r="K2219">
        <v>42437.85</v>
      </c>
      <c r="L2219" t="str">
        <f t="shared" si="136"/>
        <v>Jan</v>
      </c>
      <c r="M2219">
        <f t="shared" si="137"/>
        <v>2025</v>
      </c>
      <c r="N2219">
        <f t="shared" si="138"/>
        <v>42437.85</v>
      </c>
      <c r="O2219" t="str">
        <f t="shared" si="139"/>
        <v>Minor Delay</v>
      </c>
    </row>
    <row r="2220" spans="1:15" x14ac:dyDescent="0.25">
      <c r="A2220">
        <v>2219</v>
      </c>
      <c r="B2220" s="2">
        <v>45679</v>
      </c>
      <c r="C2220" t="s">
        <v>26</v>
      </c>
      <c r="D2220" t="s">
        <v>17</v>
      </c>
      <c r="E2220" t="s">
        <v>19</v>
      </c>
      <c r="F2220" t="s">
        <v>24</v>
      </c>
      <c r="G2220">
        <v>232</v>
      </c>
      <c r="H2220">
        <v>530.15</v>
      </c>
      <c r="I2220">
        <v>53</v>
      </c>
      <c r="J2220" t="s">
        <v>15</v>
      </c>
      <c r="K2220">
        <v>122994.8</v>
      </c>
      <c r="L2220" t="str">
        <f t="shared" si="136"/>
        <v>Jan</v>
      </c>
      <c r="M2220">
        <f t="shared" si="137"/>
        <v>2025</v>
      </c>
      <c r="N2220">
        <f t="shared" si="138"/>
        <v>122994.79999999999</v>
      </c>
      <c r="O2220" t="str">
        <f t="shared" si="139"/>
        <v>Moderate Delay</v>
      </c>
    </row>
    <row r="2221" spans="1:15" x14ac:dyDescent="0.25">
      <c r="A2221">
        <v>2220</v>
      </c>
      <c r="B2221" s="2">
        <v>45937</v>
      </c>
      <c r="C2221" t="s">
        <v>31</v>
      </c>
      <c r="D2221" t="s">
        <v>19</v>
      </c>
      <c r="E2221" t="s">
        <v>17</v>
      </c>
      <c r="F2221" t="s">
        <v>14</v>
      </c>
      <c r="G2221">
        <v>118</v>
      </c>
      <c r="H2221">
        <v>521.86</v>
      </c>
      <c r="I2221">
        <v>27</v>
      </c>
      <c r="J2221" t="s">
        <v>15</v>
      </c>
      <c r="K2221">
        <v>61579.48</v>
      </c>
      <c r="L2221" t="str">
        <f t="shared" si="136"/>
        <v>Oct</v>
      </c>
      <c r="M2221">
        <f t="shared" si="137"/>
        <v>2025</v>
      </c>
      <c r="N2221">
        <f t="shared" si="138"/>
        <v>61579.48</v>
      </c>
      <c r="O2221" t="str">
        <f t="shared" si="139"/>
        <v>Minor Delay</v>
      </c>
    </row>
    <row r="2222" spans="1:15" x14ac:dyDescent="0.25">
      <c r="A2222">
        <v>2221</v>
      </c>
      <c r="B2222" s="2">
        <v>45664</v>
      </c>
      <c r="C2222" t="s">
        <v>16</v>
      </c>
      <c r="D2222" t="s">
        <v>19</v>
      </c>
      <c r="E2222" t="s">
        <v>22</v>
      </c>
      <c r="F2222" t="s">
        <v>21</v>
      </c>
      <c r="G2222">
        <v>251</v>
      </c>
      <c r="H2222">
        <v>529.42999999999995</v>
      </c>
      <c r="I2222">
        <v>27</v>
      </c>
      <c r="J2222" t="s">
        <v>30</v>
      </c>
      <c r="K2222">
        <v>132886.93</v>
      </c>
      <c r="L2222" t="str">
        <f t="shared" si="136"/>
        <v>Jan</v>
      </c>
      <c r="M2222">
        <f t="shared" si="137"/>
        <v>2025</v>
      </c>
      <c r="N2222">
        <f t="shared" si="138"/>
        <v>132886.93</v>
      </c>
      <c r="O2222" t="str">
        <f t="shared" si="139"/>
        <v>Minor Delay</v>
      </c>
    </row>
    <row r="2223" spans="1:15" x14ac:dyDescent="0.25">
      <c r="A2223">
        <v>2222</v>
      </c>
      <c r="B2223" s="2">
        <v>45916</v>
      </c>
      <c r="C2223" t="s">
        <v>26</v>
      </c>
      <c r="D2223" t="s">
        <v>20</v>
      </c>
      <c r="E2223" t="s">
        <v>27</v>
      </c>
      <c r="F2223" t="s">
        <v>21</v>
      </c>
      <c r="G2223">
        <v>281</v>
      </c>
      <c r="H2223">
        <v>109.55</v>
      </c>
      <c r="I2223">
        <v>25</v>
      </c>
      <c r="J2223" t="s">
        <v>15</v>
      </c>
      <c r="K2223">
        <v>30783.55</v>
      </c>
      <c r="L2223" t="str">
        <f t="shared" si="136"/>
        <v>Sep</v>
      </c>
      <c r="M2223">
        <f t="shared" si="137"/>
        <v>2025</v>
      </c>
      <c r="N2223">
        <f t="shared" si="138"/>
        <v>30783.55</v>
      </c>
      <c r="O2223" t="str">
        <f t="shared" si="139"/>
        <v>Minor Delay</v>
      </c>
    </row>
    <row r="2224" spans="1:15" x14ac:dyDescent="0.25">
      <c r="A2224">
        <v>2223</v>
      </c>
      <c r="B2224" s="2">
        <v>45788</v>
      </c>
      <c r="C2224" t="s">
        <v>26</v>
      </c>
      <c r="D2224" t="s">
        <v>29</v>
      </c>
      <c r="E2224" t="s">
        <v>22</v>
      </c>
      <c r="F2224" t="s">
        <v>21</v>
      </c>
      <c r="G2224">
        <v>294</v>
      </c>
      <c r="H2224">
        <v>326</v>
      </c>
      <c r="I2224">
        <v>19</v>
      </c>
      <c r="J2224" t="s">
        <v>15</v>
      </c>
      <c r="K2224">
        <v>95844</v>
      </c>
      <c r="L2224" t="str">
        <f t="shared" si="136"/>
        <v>May</v>
      </c>
      <c r="M2224">
        <f t="shared" si="137"/>
        <v>2025</v>
      </c>
      <c r="N2224">
        <f t="shared" si="138"/>
        <v>95844</v>
      </c>
      <c r="O2224" t="str">
        <f t="shared" si="139"/>
        <v>Minor Delay</v>
      </c>
    </row>
    <row r="2225" spans="1:15" x14ac:dyDescent="0.25">
      <c r="A2225">
        <v>2224</v>
      </c>
      <c r="B2225" s="2">
        <v>46010</v>
      </c>
      <c r="C2225" t="s">
        <v>16</v>
      </c>
      <c r="D2225" t="s">
        <v>27</v>
      </c>
      <c r="E2225" t="s">
        <v>22</v>
      </c>
      <c r="F2225" t="s">
        <v>24</v>
      </c>
      <c r="G2225">
        <v>204</v>
      </c>
      <c r="H2225">
        <v>518.46</v>
      </c>
      <c r="I2225">
        <v>28</v>
      </c>
      <c r="J2225" t="s">
        <v>15</v>
      </c>
      <c r="K2225">
        <v>105765.84</v>
      </c>
      <c r="L2225" t="str">
        <f t="shared" si="136"/>
        <v>Dec</v>
      </c>
      <c r="M2225">
        <f t="shared" si="137"/>
        <v>2025</v>
      </c>
      <c r="N2225">
        <f t="shared" si="138"/>
        <v>105765.84000000001</v>
      </c>
      <c r="O2225" t="str">
        <f t="shared" si="139"/>
        <v>Minor Delay</v>
      </c>
    </row>
    <row r="2226" spans="1:15" x14ac:dyDescent="0.25">
      <c r="A2226">
        <v>2225</v>
      </c>
      <c r="B2226" s="2">
        <v>45665</v>
      </c>
      <c r="C2226" t="s">
        <v>25</v>
      </c>
      <c r="D2226" t="s">
        <v>27</v>
      </c>
      <c r="E2226" t="s">
        <v>12</v>
      </c>
      <c r="F2226" t="s">
        <v>21</v>
      </c>
      <c r="G2226">
        <v>216</v>
      </c>
      <c r="H2226">
        <v>619.17999999999995</v>
      </c>
      <c r="I2226">
        <v>31</v>
      </c>
      <c r="J2226" t="s">
        <v>15</v>
      </c>
      <c r="K2226">
        <v>133742.88</v>
      </c>
      <c r="L2226" t="str">
        <f t="shared" si="136"/>
        <v>Jan</v>
      </c>
      <c r="M2226">
        <f t="shared" si="137"/>
        <v>2025</v>
      </c>
      <c r="N2226">
        <f t="shared" si="138"/>
        <v>133742.87999999998</v>
      </c>
      <c r="O2226" t="str">
        <f t="shared" si="139"/>
        <v>Moderate Delay</v>
      </c>
    </row>
    <row r="2227" spans="1:15" x14ac:dyDescent="0.25">
      <c r="A2227">
        <v>2226</v>
      </c>
      <c r="B2227" s="2">
        <v>45932</v>
      </c>
      <c r="C2227" t="s">
        <v>18</v>
      </c>
      <c r="D2227" t="s">
        <v>12</v>
      </c>
      <c r="E2227" t="s">
        <v>19</v>
      </c>
      <c r="F2227" t="s">
        <v>21</v>
      </c>
      <c r="G2227">
        <v>181</v>
      </c>
      <c r="H2227">
        <v>549.19000000000005</v>
      </c>
      <c r="I2227">
        <v>0</v>
      </c>
      <c r="J2227" t="s">
        <v>30</v>
      </c>
      <c r="K2227">
        <v>99403.39</v>
      </c>
      <c r="L2227" t="str">
        <f t="shared" si="136"/>
        <v>Oct</v>
      </c>
      <c r="M2227">
        <f t="shared" si="137"/>
        <v>2025</v>
      </c>
      <c r="N2227">
        <f t="shared" si="138"/>
        <v>99403.390000000014</v>
      </c>
      <c r="O2227" t="str">
        <f t="shared" si="139"/>
        <v>On Time</v>
      </c>
    </row>
    <row r="2228" spans="1:15" x14ac:dyDescent="0.25">
      <c r="A2228">
        <v>2227</v>
      </c>
      <c r="B2228" s="2">
        <v>45958</v>
      </c>
      <c r="C2228" t="s">
        <v>31</v>
      </c>
      <c r="D2228" t="s">
        <v>17</v>
      </c>
      <c r="E2228" t="s">
        <v>20</v>
      </c>
      <c r="F2228" t="s">
        <v>21</v>
      </c>
      <c r="G2228">
        <v>248</v>
      </c>
      <c r="H2228">
        <v>174.7</v>
      </c>
      <c r="I2228">
        <v>48</v>
      </c>
      <c r="J2228" t="s">
        <v>15</v>
      </c>
      <c r="K2228">
        <v>43325.599999999999</v>
      </c>
      <c r="L2228" t="str">
        <f t="shared" si="136"/>
        <v>Oct</v>
      </c>
      <c r="M2228">
        <f t="shared" si="137"/>
        <v>2025</v>
      </c>
      <c r="N2228">
        <f t="shared" si="138"/>
        <v>43325.599999999999</v>
      </c>
      <c r="O2228" t="str">
        <f t="shared" si="139"/>
        <v>Moderate Delay</v>
      </c>
    </row>
    <row r="2229" spans="1:15" x14ac:dyDescent="0.25">
      <c r="A2229">
        <v>2228</v>
      </c>
      <c r="B2229" s="2">
        <v>45954</v>
      </c>
      <c r="C2229" t="s">
        <v>25</v>
      </c>
      <c r="D2229" t="s">
        <v>22</v>
      </c>
      <c r="E2229" t="s">
        <v>27</v>
      </c>
      <c r="F2229" t="s">
        <v>14</v>
      </c>
      <c r="G2229">
        <v>264</v>
      </c>
      <c r="H2229">
        <v>414.71</v>
      </c>
      <c r="I2229">
        <v>0</v>
      </c>
      <c r="J2229" t="s">
        <v>15</v>
      </c>
      <c r="K2229">
        <v>109483.44</v>
      </c>
      <c r="L2229" t="str">
        <f t="shared" si="136"/>
        <v>Oct</v>
      </c>
      <c r="M2229">
        <f t="shared" si="137"/>
        <v>2025</v>
      </c>
      <c r="N2229">
        <f t="shared" si="138"/>
        <v>109483.43999999999</v>
      </c>
      <c r="O2229" t="str">
        <f t="shared" si="139"/>
        <v>On Time</v>
      </c>
    </row>
    <row r="2230" spans="1:15" x14ac:dyDescent="0.25">
      <c r="A2230">
        <v>2229</v>
      </c>
      <c r="B2230" s="2">
        <v>45787</v>
      </c>
      <c r="C2230" t="s">
        <v>18</v>
      </c>
      <c r="D2230" t="s">
        <v>20</v>
      </c>
      <c r="E2230" t="s">
        <v>29</v>
      </c>
      <c r="F2230" t="s">
        <v>14</v>
      </c>
      <c r="G2230">
        <v>59</v>
      </c>
      <c r="H2230">
        <v>659.57</v>
      </c>
      <c r="I2230">
        <v>67</v>
      </c>
      <c r="J2230" t="s">
        <v>15</v>
      </c>
      <c r="K2230">
        <v>38914.629999999997</v>
      </c>
      <c r="L2230" t="str">
        <f t="shared" si="136"/>
        <v>May</v>
      </c>
      <c r="M2230">
        <f t="shared" si="137"/>
        <v>2025</v>
      </c>
      <c r="N2230">
        <f t="shared" si="138"/>
        <v>38914.630000000005</v>
      </c>
      <c r="O2230" t="str">
        <f t="shared" si="139"/>
        <v>Major Delay</v>
      </c>
    </row>
    <row r="2231" spans="1:15" x14ac:dyDescent="0.25">
      <c r="A2231">
        <v>2230</v>
      </c>
      <c r="B2231" s="2">
        <v>45747</v>
      </c>
      <c r="C2231" t="s">
        <v>26</v>
      </c>
      <c r="D2231" t="s">
        <v>17</v>
      </c>
      <c r="E2231" t="s">
        <v>23</v>
      </c>
      <c r="F2231" t="s">
        <v>14</v>
      </c>
      <c r="G2231">
        <v>281</v>
      </c>
      <c r="H2231">
        <v>210.76</v>
      </c>
      <c r="I2231">
        <v>0</v>
      </c>
      <c r="J2231" t="s">
        <v>15</v>
      </c>
      <c r="K2231">
        <v>59223.56</v>
      </c>
      <c r="L2231" t="str">
        <f t="shared" si="136"/>
        <v>Mar</v>
      </c>
      <c r="M2231">
        <f t="shared" si="137"/>
        <v>2025</v>
      </c>
      <c r="N2231">
        <f t="shared" si="138"/>
        <v>59223.56</v>
      </c>
      <c r="O2231" t="str">
        <f t="shared" si="139"/>
        <v>On Time</v>
      </c>
    </row>
    <row r="2232" spans="1:15" x14ac:dyDescent="0.25">
      <c r="A2232">
        <v>2231</v>
      </c>
      <c r="B2232" s="2">
        <v>45741</v>
      </c>
      <c r="C2232" t="s">
        <v>31</v>
      </c>
      <c r="D2232" t="s">
        <v>19</v>
      </c>
      <c r="E2232" t="s">
        <v>27</v>
      </c>
      <c r="F2232" t="s">
        <v>14</v>
      </c>
      <c r="G2232">
        <v>110</v>
      </c>
      <c r="H2232">
        <v>480.33</v>
      </c>
      <c r="I2232">
        <v>74</v>
      </c>
      <c r="J2232" t="s">
        <v>28</v>
      </c>
      <c r="K2232">
        <v>52836.3</v>
      </c>
      <c r="L2232" t="str">
        <f t="shared" si="136"/>
        <v>Mar</v>
      </c>
      <c r="M2232">
        <f t="shared" si="137"/>
        <v>2025</v>
      </c>
      <c r="N2232">
        <f t="shared" si="138"/>
        <v>52836.299999999996</v>
      </c>
      <c r="O2232" t="str">
        <f t="shared" si="139"/>
        <v>Major Delay</v>
      </c>
    </row>
    <row r="2233" spans="1:15" x14ac:dyDescent="0.25">
      <c r="A2233">
        <v>2232</v>
      </c>
      <c r="B2233" s="2">
        <v>45673</v>
      </c>
      <c r="C2233" t="s">
        <v>18</v>
      </c>
      <c r="D2233" t="s">
        <v>27</v>
      </c>
      <c r="E2233" t="s">
        <v>20</v>
      </c>
      <c r="F2233" t="s">
        <v>14</v>
      </c>
      <c r="G2233">
        <v>291</v>
      </c>
      <c r="H2233">
        <v>712.36</v>
      </c>
      <c r="I2233">
        <v>61</v>
      </c>
      <c r="J2233" t="s">
        <v>15</v>
      </c>
      <c r="K2233">
        <v>207296.76</v>
      </c>
      <c r="L2233" t="str">
        <f t="shared" si="136"/>
        <v>Jan</v>
      </c>
      <c r="M2233">
        <f t="shared" si="137"/>
        <v>2025</v>
      </c>
      <c r="N2233">
        <f t="shared" si="138"/>
        <v>207296.76</v>
      </c>
      <c r="O2233" t="str">
        <f t="shared" si="139"/>
        <v>Major Delay</v>
      </c>
    </row>
    <row r="2234" spans="1:15" x14ac:dyDescent="0.25">
      <c r="A2234">
        <v>2233</v>
      </c>
      <c r="B2234" s="2">
        <v>46022</v>
      </c>
      <c r="C2234" t="s">
        <v>31</v>
      </c>
      <c r="D2234" t="s">
        <v>29</v>
      </c>
      <c r="E2234" t="s">
        <v>13</v>
      </c>
      <c r="F2234" t="s">
        <v>21</v>
      </c>
      <c r="G2234">
        <v>286</v>
      </c>
      <c r="H2234">
        <v>216.95</v>
      </c>
      <c r="I2234">
        <v>24</v>
      </c>
      <c r="J2234" t="s">
        <v>15</v>
      </c>
      <c r="K2234">
        <v>62047.7</v>
      </c>
      <c r="L2234" t="str">
        <f t="shared" si="136"/>
        <v>Dec</v>
      </c>
      <c r="M2234">
        <f t="shared" si="137"/>
        <v>2025</v>
      </c>
      <c r="N2234">
        <f t="shared" si="138"/>
        <v>62047.7</v>
      </c>
      <c r="O2234" t="str">
        <f t="shared" si="139"/>
        <v>Minor Delay</v>
      </c>
    </row>
    <row r="2235" spans="1:15" x14ac:dyDescent="0.25">
      <c r="A2235">
        <v>2234</v>
      </c>
      <c r="B2235" s="2">
        <v>45747</v>
      </c>
      <c r="C2235" t="s">
        <v>16</v>
      </c>
      <c r="D2235" t="s">
        <v>29</v>
      </c>
      <c r="E2235" t="s">
        <v>23</v>
      </c>
      <c r="F2235" t="s">
        <v>14</v>
      </c>
      <c r="G2235">
        <v>66</v>
      </c>
      <c r="H2235">
        <v>571.83000000000004</v>
      </c>
      <c r="I2235">
        <v>26</v>
      </c>
      <c r="J2235" t="s">
        <v>15</v>
      </c>
      <c r="K2235">
        <v>37740.78</v>
      </c>
      <c r="L2235" t="str">
        <f t="shared" si="136"/>
        <v>Mar</v>
      </c>
      <c r="M2235">
        <f t="shared" si="137"/>
        <v>2025</v>
      </c>
      <c r="N2235">
        <f t="shared" si="138"/>
        <v>37740.780000000006</v>
      </c>
      <c r="O2235" t="str">
        <f t="shared" si="139"/>
        <v>Minor Delay</v>
      </c>
    </row>
    <row r="2236" spans="1:15" x14ac:dyDescent="0.25">
      <c r="A2236">
        <v>2235</v>
      </c>
      <c r="B2236" s="2">
        <v>45716</v>
      </c>
      <c r="C2236" t="s">
        <v>16</v>
      </c>
      <c r="D2236" t="s">
        <v>17</v>
      </c>
      <c r="E2236" t="s">
        <v>20</v>
      </c>
      <c r="F2236" t="s">
        <v>14</v>
      </c>
      <c r="G2236">
        <v>180</v>
      </c>
      <c r="H2236">
        <v>682.54</v>
      </c>
      <c r="I2236">
        <v>0</v>
      </c>
      <c r="J2236" t="s">
        <v>30</v>
      </c>
      <c r="K2236">
        <v>122857.2</v>
      </c>
      <c r="L2236" t="str">
        <f t="shared" si="136"/>
        <v>Feb</v>
      </c>
      <c r="M2236">
        <f t="shared" si="137"/>
        <v>2025</v>
      </c>
      <c r="N2236">
        <f t="shared" si="138"/>
        <v>122857.2</v>
      </c>
      <c r="O2236" t="str">
        <f t="shared" si="139"/>
        <v>On Time</v>
      </c>
    </row>
    <row r="2237" spans="1:15" x14ac:dyDescent="0.25">
      <c r="A2237">
        <v>2236</v>
      </c>
      <c r="B2237" s="2">
        <v>45720</v>
      </c>
      <c r="C2237" t="s">
        <v>16</v>
      </c>
      <c r="D2237" t="s">
        <v>20</v>
      </c>
      <c r="E2237" t="s">
        <v>17</v>
      </c>
      <c r="F2237" t="s">
        <v>21</v>
      </c>
      <c r="G2237">
        <v>71</v>
      </c>
      <c r="H2237">
        <v>665.19</v>
      </c>
      <c r="I2237">
        <v>0</v>
      </c>
      <c r="J2237" t="s">
        <v>15</v>
      </c>
      <c r="K2237">
        <v>47228.49</v>
      </c>
      <c r="L2237" t="str">
        <f t="shared" si="136"/>
        <v>Mar</v>
      </c>
      <c r="M2237">
        <f t="shared" si="137"/>
        <v>2025</v>
      </c>
      <c r="N2237">
        <f t="shared" si="138"/>
        <v>47228.490000000005</v>
      </c>
      <c r="O2237" t="str">
        <f t="shared" si="139"/>
        <v>On Time</v>
      </c>
    </row>
    <row r="2238" spans="1:15" x14ac:dyDescent="0.25">
      <c r="A2238">
        <v>2237</v>
      </c>
      <c r="B2238" s="2">
        <v>45805</v>
      </c>
      <c r="C2238" t="s">
        <v>16</v>
      </c>
      <c r="D2238" t="s">
        <v>17</v>
      </c>
      <c r="E2238" t="s">
        <v>12</v>
      </c>
      <c r="F2238" t="s">
        <v>21</v>
      </c>
      <c r="G2238">
        <v>110</v>
      </c>
      <c r="H2238">
        <v>724.33</v>
      </c>
      <c r="I2238">
        <v>14</v>
      </c>
      <c r="J2238" t="s">
        <v>15</v>
      </c>
      <c r="K2238">
        <v>79676.3</v>
      </c>
      <c r="L2238" t="str">
        <f t="shared" si="136"/>
        <v>May</v>
      </c>
      <c r="M2238">
        <f t="shared" si="137"/>
        <v>2025</v>
      </c>
      <c r="N2238">
        <f t="shared" si="138"/>
        <v>79676.3</v>
      </c>
      <c r="O2238" t="str">
        <f t="shared" si="139"/>
        <v>Minor Delay</v>
      </c>
    </row>
    <row r="2239" spans="1:15" x14ac:dyDescent="0.25">
      <c r="A2239">
        <v>2238</v>
      </c>
      <c r="B2239" s="2">
        <v>45905</v>
      </c>
      <c r="C2239" t="s">
        <v>26</v>
      </c>
      <c r="D2239" t="s">
        <v>12</v>
      </c>
      <c r="E2239" t="s">
        <v>13</v>
      </c>
      <c r="F2239" t="s">
        <v>24</v>
      </c>
      <c r="G2239">
        <v>250</v>
      </c>
      <c r="H2239">
        <v>615.79999999999995</v>
      </c>
      <c r="I2239">
        <v>41</v>
      </c>
      <c r="J2239" t="s">
        <v>30</v>
      </c>
      <c r="K2239">
        <v>153950</v>
      </c>
      <c r="L2239" t="str">
        <f t="shared" si="136"/>
        <v>Sep</v>
      </c>
      <c r="M2239">
        <f t="shared" si="137"/>
        <v>2025</v>
      </c>
      <c r="N2239">
        <f t="shared" si="138"/>
        <v>153950</v>
      </c>
      <c r="O2239" t="str">
        <f t="shared" si="139"/>
        <v>Moderate Delay</v>
      </c>
    </row>
    <row r="2240" spans="1:15" x14ac:dyDescent="0.25">
      <c r="A2240">
        <v>2239</v>
      </c>
      <c r="B2240" s="2">
        <v>45819</v>
      </c>
      <c r="C2240" t="s">
        <v>26</v>
      </c>
      <c r="D2240" t="s">
        <v>29</v>
      </c>
      <c r="E2240" t="s">
        <v>23</v>
      </c>
      <c r="F2240" t="s">
        <v>24</v>
      </c>
      <c r="G2240">
        <v>271</v>
      </c>
      <c r="H2240">
        <v>787.01</v>
      </c>
      <c r="I2240">
        <v>4</v>
      </c>
      <c r="J2240" t="s">
        <v>15</v>
      </c>
      <c r="K2240">
        <v>213279.71</v>
      </c>
      <c r="L2240" t="str">
        <f t="shared" si="136"/>
        <v>Jun</v>
      </c>
      <c r="M2240">
        <f t="shared" si="137"/>
        <v>2025</v>
      </c>
      <c r="N2240">
        <f t="shared" si="138"/>
        <v>213279.71</v>
      </c>
      <c r="O2240" t="str">
        <f t="shared" si="139"/>
        <v>Minor Delay</v>
      </c>
    </row>
    <row r="2241" spans="1:15" x14ac:dyDescent="0.25">
      <c r="A2241">
        <v>2240</v>
      </c>
      <c r="B2241" s="2">
        <v>45666</v>
      </c>
      <c r="C2241" t="s">
        <v>18</v>
      </c>
      <c r="D2241" t="s">
        <v>13</v>
      </c>
      <c r="E2241" t="s">
        <v>23</v>
      </c>
      <c r="F2241" t="s">
        <v>24</v>
      </c>
      <c r="G2241">
        <v>284</v>
      </c>
      <c r="H2241">
        <v>194.96</v>
      </c>
      <c r="I2241">
        <v>54</v>
      </c>
      <c r="J2241" t="s">
        <v>15</v>
      </c>
      <c r="K2241">
        <v>55368.639999999999</v>
      </c>
      <c r="L2241" t="str">
        <f t="shared" si="136"/>
        <v>Jan</v>
      </c>
      <c r="M2241">
        <f t="shared" si="137"/>
        <v>2025</v>
      </c>
      <c r="N2241">
        <f t="shared" si="138"/>
        <v>55368.639999999999</v>
      </c>
      <c r="O2241" t="str">
        <f t="shared" si="139"/>
        <v>Moderate Delay</v>
      </c>
    </row>
    <row r="2242" spans="1:15" x14ac:dyDescent="0.25">
      <c r="A2242">
        <v>2241</v>
      </c>
      <c r="B2242" s="2">
        <v>45959</v>
      </c>
      <c r="C2242" t="s">
        <v>18</v>
      </c>
      <c r="D2242" t="s">
        <v>23</v>
      </c>
      <c r="E2242" t="s">
        <v>17</v>
      </c>
      <c r="F2242" t="s">
        <v>24</v>
      </c>
      <c r="G2242">
        <v>263</v>
      </c>
      <c r="H2242">
        <v>115.15</v>
      </c>
      <c r="I2242">
        <v>57</v>
      </c>
      <c r="J2242" t="s">
        <v>15</v>
      </c>
      <c r="K2242">
        <v>30284.45</v>
      </c>
      <c r="L2242" t="str">
        <f t="shared" si="136"/>
        <v>Oct</v>
      </c>
      <c r="M2242">
        <f t="shared" si="137"/>
        <v>2025</v>
      </c>
      <c r="N2242">
        <f t="shared" si="138"/>
        <v>30284.45</v>
      </c>
      <c r="O2242" t="str">
        <f t="shared" si="139"/>
        <v>Moderate Delay</v>
      </c>
    </row>
    <row r="2243" spans="1:15" x14ac:dyDescent="0.25">
      <c r="A2243">
        <v>2242</v>
      </c>
      <c r="B2243" s="2">
        <v>45795</v>
      </c>
      <c r="C2243" t="s">
        <v>16</v>
      </c>
      <c r="D2243" t="s">
        <v>17</v>
      </c>
      <c r="E2243" t="s">
        <v>20</v>
      </c>
      <c r="F2243" t="s">
        <v>14</v>
      </c>
      <c r="G2243">
        <v>53</v>
      </c>
      <c r="H2243">
        <v>729.69</v>
      </c>
      <c r="I2243">
        <v>24</v>
      </c>
      <c r="J2243" t="s">
        <v>15</v>
      </c>
      <c r="K2243">
        <v>38673.57</v>
      </c>
      <c r="L2243" t="str">
        <f t="shared" ref="L2243:L2306" si="140">TEXT(B2243,"MMM")</f>
        <v>May</v>
      </c>
      <c r="M2243">
        <f t="shared" ref="M2243:M2306" si="141">YEAR(B2243)</f>
        <v>2025</v>
      </c>
      <c r="N2243">
        <f t="shared" ref="N2243:N2306" si="142">G2243*H2243</f>
        <v>38673.57</v>
      </c>
      <c r="O2243" t="str">
        <f t="shared" ref="O2243:O2306" si="143">IF(I2243=0,"On Time",IF(I2243&lt;=30,"Minor Delay",IF(I2243&lt;=60,"Moderate Delay","Major Delay")))</f>
        <v>Minor Delay</v>
      </c>
    </row>
    <row r="2244" spans="1:15" x14ac:dyDescent="0.25">
      <c r="A2244">
        <v>2243</v>
      </c>
      <c r="B2244" s="2">
        <v>45702</v>
      </c>
      <c r="C2244" t="s">
        <v>25</v>
      </c>
      <c r="D2244" t="s">
        <v>22</v>
      </c>
      <c r="E2244" t="s">
        <v>23</v>
      </c>
      <c r="F2244" t="s">
        <v>14</v>
      </c>
      <c r="G2244">
        <v>230</v>
      </c>
      <c r="H2244">
        <v>682.14</v>
      </c>
      <c r="I2244">
        <v>37</v>
      </c>
      <c r="J2244" t="s">
        <v>15</v>
      </c>
      <c r="K2244">
        <v>156892.20000000001</v>
      </c>
      <c r="L2244" t="str">
        <f t="shared" si="140"/>
        <v>Feb</v>
      </c>
      <c r="M2244">
        <f t="shared" si="141"/>
        <v>2025</v>
      </c>
      <c r="N2244">
        <f t="shared" si="142"/>
        <v>156892.19999999998</v>
      </c>
      <c r="O2244" t="str">
        <f t="shared" si="143"/>
        <v>Moderate Delay</v>
      </c>
    </row>
    <row r="2245" spans="1:15" x14ac:dyDescent="0.25">
      <c r="A2245">
        <v>2244</v>
      </c>
      <c r="B2245" s="2">
        <v>45709</v>
      </c>
      <c r="C2245" t="s">
        <v>18</v>
      </c>
      <c r="D2245" t="s">
        <v>20</v>
      </c>
      <c r="E2245" t="s">
        <v>22</v>
      </c>
      <c r="F2245" t="s">
        <v>21</v>
      </c>
      <c r="G2245">
        <v>259</v>
      </c>
      <c r="H2245">
        <v>742.57</v>
      </c>
      <c r="I2245">
        <v>19</v>
      </c>
      <c r="J2245" t="s">
        <v>15</v>
      </c>
      <c r="K2245">
        <v>192325.63</v>
      </c>
      <c r="L2245" t="str">
        <f t="shared" si="140"/>
        <v>Feb</v>
      </c>
      <c r="M2245">
        <f t="shared" si="141"/>
        <v>2025</v>
      </c>
      <c r="N2245">
        <f t="shared" si="142"/>
        <v>192325.63</v>
      </c>
      <c r="O2245" t="str">
        <f t="shared" si="143"/>
        <v>Minor Delay</v>
      </c>
    </row>
    <row r="2246" spans="1:15" x14ac:dyDescent="0.25">
      <c r="A2246">
        <v>2245</v>
      </c>
      <c r="B2246" s="2">
        <v>45925</v>
      </c>
      <c r="C2246" t="s">
        <v>31</v>
      </c>
      <c r="D2246" t="s">
        <v>20</v>
      </c>
      <c r="E2246" t="s">
        <v>13</v>
      </c>
      <c r="F2246" t="s">
        <v>14</v>
      </c>
      <c r="G2246">
        <v>144</v>
      </c>
      <c r="H2246">
        <v>632.02</v>
      </c>
      <c r="I2246">
        <v>21</v>
      </c>
      <c r="J2246" t="s">
        <v>15</v>
      </c>
      <c r="K2246">
        <v>91010.880000000005</v>
      </c>
      <c r="L2246" t="str">
        <f t="shared" si="140"/>
        <v>Sep</v>
      </c>
      <c r="M2246">
        <f t="shared" si="141"/>
        <v>2025</v>
      </c>
      <c r="N2246">
        <f t="shared" si="142"/>
        <v>91010.880000000005</v>
      </c>
      <c r="O2246" t="str">
        <f t="shared" si="143"/>
        <v>Minor Delay</v>
      </c>
    </row>
    <row r="2247" spans="1:15" x14ac:dyDescent="0.25">
      <c r="A2247">
        <v>2246</v>
      </c>
      <c r="B2247" s="2">
        <v>45851</v>
      </c>
      <c r="C2247" t="s">
        <v>31</v>
      </c>
      <c r="D2247" t="s">
        <v>23</v>
      </c>
      <c r="E2247" t="s">
        <v>29</v>
      </c>
      <c r="F2247" t="s">
        <v>21</v>
      </c>
      <c r="G2247">
        <v>195</v>
      </c>
      <c r="H2247">
        <v>477.81</v>
      </c>
      <c r="I2247">
        <v>0</v>
      </c>
      <c r="J2247" t="s">
        <v>15</v>
      </c>
      <c r="K2247">
        <v>93172.95</v>
      </c>
      <c r="L2247" t="str">
        <f t="shared" si="140"/>
        <v>Jul</v>
      </c>
      <c r="M2247">
        <f t="shared" si="141"/>
        <v>2025</v>
      </c>
      <c r="N2247">
        <f t="shared" si="142"/>
        <v>93172.95</v>
      </c>
      <c r="O2247" t="str">
        <f t="shared" si="143"/>
        <v>On Time</v>
      </c>
    </row>
    <row r="2248" spans="1:15" x14ac:dyDescent="0.25">
      <c r="A2248">
        <v>2247</v>
      </c>
      <c r="B2248" s="2">
        <v>45665</v>
      </c>
      <c r="C2248" t="s">
        <v>31</v>
      </c>
      <c r="D2248" t="s">
        <v>17</v>
      </c>
      <c r="E2248" t="s">
        <v>27</v>
      </c>
      <c r="F2248" t="s">
        <v>14</v>
      </c>
      <c r="G2248">
        <v>188</v>
      </c>
      <c r="H2248">
        <v>380.75</v>
      </c>
      <c r="I2248">
        <v>0</v>
      </c>
      <c r="J2248" t="s">
        <v>15</v>
      </c>
      <c r="K2248">
        <v>71581</v>
      </c>
      <c r="L2248" t="str">
        <f t="shared" si="140"/>
        <v>Jan</v>
      </c>
      <c r="M2248">
        <f t="shared" si="141"/>
        <v>2025</v>
      </c>
      <c r="N2248">
        <f t="shared" si="142"/>
        <v>71581</v>
      </c>
      <c r="O2248" t="str">
        <f t="shared" si="143"/>
        <v>On Time</v>
      </c>
    </row>
    <row r="2249" spans="1:15" x14ac:dyDescent="0.25">
      <c r="A2249">
        <v>2248</v>
      </c>
      <c r="B2249" s="2">
        <v>45972</v>
      </c>
      <c r="C2249" t="s">
        <v>16</v>
      </c>
      <c r="D2249" t="s">
        <v>20</v>
      </c>
      <c r="E2249" t="s">
        <v>27</v>
      </c>
      <c r="F2249" t="s">
        <v>24</v>
      </c>
      <c r="G2249">
        <v>57</v>
      </c>
      <c r="H2249">
        <v>334.54</v>
      </c>
      <c r="I2249">
        <v>1</v>
      </c>
      <c r="J2249" t="s">
        <v>15</v>
      </c>
      <c r="K2249">
        <v>19068.78</v>
      </c>
      <c r="L2249" t="str">
        <f t="shared" si="140"/>
        <v>Nov</v>
      </c>
      <c r="M2249">
        <f t="shared" si="141"/>
        <v>2025</v>
      </c>
      <c r="N2249">
        <f t="shared" si="142"/>
        <v>19068.780000000002</v>
      </c>
      <c r="O2249" t="str">
        <f t="shared" si="143"/>
        <v>Minor Delay</v>
      </c>
    </row>
    <row r="2250" spans="1:15" x14ac:dyDescent="0.25">
      <c r="A2250">
        <v>2249</v>
      </c>
      <c r="B2250" s="2">
        <v>45890</v>
      </c>
      <c r="C2250" t="s">
        <v>16</v>
      </c>
      <c r="D2250" t="s">
        <v>29</v>
      </c>
      <c r="E2250" t="s">
        <v>17</v>
      </c>
      <c r="F2250" t="s">
        <v>21</v>
      </c>
      <c r="G2250">
        <v>166</v>
      </c>
      <c r="H2250">
        <v>723.63</v>
      </c>
      <c r="I2250">
        <v>53</v>
      </c>
      <c r="J2250" t="s">
        <v>15</v>
      </c>
      <c r="K2250">
        <v>120122.58</v>
      </c>
      <c r="L2250" t="str">
        <f t="shared" si="140"/>
        <v>Aug</v>
      </c>
      <c r="M2250">
        <f t="shared" si="141"/>
        <v>2025</v>
      </c>
      <c r="N2250">
        <f t="shared" si="142"/>
        <v>120122.58</v>
      </c>
      <c r="O2250" t="str">
        <f t="shared" si="143"/>
        <v>Moderate Delay</v>
      </c>
    </row>
    <row r="2251" spans="1:15" x14ac:dyDescent="0.25">
      <c r="A2251">
        <v>2250</v>
      </c>
      <c r="B2251" s="2">
        <v>45878</v>
      </c>
      <c r="C2251" t="s">
        <v>25</v>
      </c>
      <c r="D2251" t="s">
        <v>12</v>
      </c>
      <c r="E2251" t="s">
        <v>19</v>
      </c>
      <c r="F2251" t="s">
        <v>24</v>
      </c>
      <c r="G2251">
        <v>166</v>
      </c>
      <c r="H2251">
        <v>688.46</v>
      </c>
      <c r="I2251">
        <v>24</v>
      </c>
      <c r="J2251" t="s">
        <v>15</v>
      </c>
      <c r="K2251">
        <v>114284.36</v>
      </c>
      <c r="L2251" t="str">
        <f t="shared" si="140"/>
        <v>Aug</v>
      </c>
      <c r="M2251">
        <f t="shared" si="141"/>
        <v>2025</v>
      </c>
      <c r="N2251">
        <f t="shared" si="142"/>
        <v>114284.36</v>
      </c>
      <c r="O2251" t="str">
        <f t="shared" si="143"/>
        <v>Minor Delay</v>
      </c>
    </row>
    <row r="2252" spans="1:15" x14ac:dyDescent="0.25">
      <c r="A2252">
        <v>2251</v>
      </c>
      <c r="B2252" s="2">
        <v>45852</v>
      </c>
      <c r="C2252" t="s">
        <v>16</v>
      </c>
      <c r="D2252" t="s">
        <v>27</v>
      </c>
      <c r="E2252" t="s">
        <v>29</v>
      </c>
      <c r="F2252" t="s">
        <v>24</v>
      </c>
      <c r="G2252">
        <v>300</v>
      </c>
      <c r="H2252">
        <v>118.21</v>
      </c>
      <c r="I2252">
        <v>45</v>
      </c>
      <c r="J2252" t="s">
        <v>28</v>
      </c>
      <c r="K2252">
        <v>35463</v>
      </c>
      <c r="L2252" t="str">
        <f t="shared" si="140"/>
        <v>Jul</v>
      </c>
      <c r="M2252">
        <f t="shared" si="141"/>
        <v>2025</v>
      </c>
      <c r="N2252">
        <f t="shared" si="142"/>
        <v>35463</v>
      </c>
      <c r="O2252" t="str">
        <f t="shared" si="143"/>
        <v>Moderate Delay</v>
      </c>
    </row>
    <row r="2253" spans="1:15" x14ac:dyDescent="0.25">
      <c r="A2253">
        <v>2252</v>
      </c>
      <c r="B2253" s="2">
        <v>45695</v>
      </c>
      <c r="C2253" t="s">
        <v>18</v>
      </c>
      <c r="D2253" t="s">
        <v>22</v>
      </c>
      <c r="E2253" t="s">
        <v>29</v>
      </c>
      <c r="F2253" t="s">
        <v>24</v>
      </c>
      <c r="G2253">
        <v>135</v>
      </c>
      <c r="H2253">
        <v>437.77</v>
      </c>
      <c r="I2253">
        <v>0</v>
      </c>
      <c r="J2253" t="s">
        <v>30</v>
      </c>
      <c r="K2253">
        <v>59098.95</v>
      </c>
      <c r="L2253" t="str">
        <f t="shared" si="140"/>
        <v>Feb</v>
      </c>
      <c r="M2253">
        <f t="shared" si="141"/>
        <v>2025</v>
      </c>
      <c r="N2253">
        <f t="shared" si="142"/>
        <v>59098.95</v>
      </c>
      <c r="O2253" t="str">
        <f t="shared" si="143"/>
        <v>On Time</v>
      </c>
    </row>
    <row r="2254" spans="1:15" x14ac:dyDescent="0.25">
      <c r="A2254">
        <v>2253</v>
      </c>
      <c r="B2254" s="2">
        <v>45907</v>
      </c>
      <c r="C2254" t="s">
        <v>18</v>
      </c>
      <c r="D2254" t="s">
        <v>12</v>
      </c>
      <c r="E2254" t="s">
        <v>27</v>
      </c>
      <c r="F2254" t="s">
        <v>24</v>
      </c>
      <c r="G2254">
        <v>230</v>
      </c>
      <c r="H2254">
        <v>126.76</v>
      </c>
      <c r="I2254">
        <v>19</v>
      </c>
      <c r="J2254" t="s">
        <v>15</v>
      </c>
      <c r="K2254">
        <v>29154.799999999999</v>
      </c>
      <c r="L2254" t="str">
        <f t="shared" si="140"/>
        <v>Sep</v>
      </c>
      <c r="M2254">
        <f t="shared" si="141"/>
        <v>2025</v>
      </c>
      <c r="N2254">
        <f t="shared" si="142"/>
        <v>29154.800000000003</v>
      </c>
      <c r="O2254" t="str">
        <f t="shared" si="143"/>
        <v>Minor Delay</v>
      </c>
    </row>
    <row r="2255" spans="1:15" x14ac:dyDescent="0.25">
      <c r="A2255">
        <v>2254</v>
      </c>
      <c r="B2255" s="2">
        <v>45707</v>
      </c>
      <c r="C2255" t="s">
        <v>31</v>
      </c>
      <c r="D2255" t="s">
        <v>29</v>
      </c>
      <c r="E2255" t="s">
        <v>12</v>
      </c>
      <c r="F2255" t="s">
        <v>21</v>
      </c>
      <c r="G2255">
        <v>254</v>
      </c>
      <c r="H2255">
        <v>677.74</v>
      </c>
      <c r="I2255">
        <v>0</v>
      </c>
      <c r="J2255" t="s">
        <v>15</v>
      </c>
      <c r="K2255">
        <v>172145.96</v>
      </c>
      <c r="L2255" t="str">
        <f t="shared" si="140"/>
        <v>Feb</v>
      </c>
      <c r="M2255">
        <f t="shared" si="141"/>
        <v>2025</v>
      </c>
      <c r="N2255">
        <f t="shared" si="142"/>
        <v>172145.96</v>
      </c>
      <c r="O2255" t="str">
        <f t="shared" si="143"/>
        <v>On Time</v>
      </c>
    </row>
    <row r="2256" spans="1:15" x14ac:dyDescent="0.25">
      <c r="A2256">
        <v>2255</v>
      </c>
      <c r="B2256" s="2">
        <v>45969</v>
      </c>
      <c r="C2256" t="s">
        <v>25</v>
      </c>
      <c r="D2256" t="s">
        <v>23</v>
      </c>
      <c r="E2256" t="s">
        <v>12</v>
      </c>
      <c r="F2256" t="s">
        <v>21</v>
      </c>
      <c r="G2256">
        <v>153</v>
      </c>
      <c r="H2256">
        <v>755.57</v>
      </c>
      <c r="I2256">
        <v>5</v>
      </c>
      <c r="J2256" t="s">
        <v>15</v>
      </c>
      <c r="K2256">
        <v>115602.21</v>
      </c>
      <c r="L2256" t="str">
        <f t="shared" si="140"/>
        <v>Nov</v>
      </c>
      <c r="M2256">
        <f t="shared" si="141"/>
        <v>2025</v>
      </c>
      <c r="N2256">
        <f t="shared" si="142"/>
        <v>115602.21</v>
      </c>
      <c r="O2256" t="str">
        <f t="shared" si="143"/>
        <v>Minor Delay</v>
      </c>
    </row>
    <row r="2257" spans="1:15" x14ac:dyDescent="0.25">
      <c r="A2257">
        <v>2256</v>
      </c>
      <c r="B2257" s="2">
        <v>45920</v>
      </c>
      <c r="C2257" t="s">
        <v>31</v>
      </c>
      <c r="D2257" t="s">
        <v>20</v>
      </c>
      <c r="E2257" t="s">
        <v>22</v>
      </c>
      <c r="F2257" t="s">
        <v>14</v>
      </c>
      <c r="G2257">
        <v>165</v>
      </c>
      <c r="H2257">
        <v>99.51</v>
      </c>
      <c r="I2257">
        <v>26</v>
      </c>
      <c r="J2257" t="s">
        <v>15</v>
      </c>
      <c r="K2257">
        <v>16419.150000000001</v>
      </c>
      <c r="L2257" t="str">
        <f t="shared" si="140"/>
        <v>Sep</v>
      </c>
      <c r="M2257">
        <f t="shared" si="141"/>
        <v>2025</v>
      </c>
      <c r="N2257">
        <f t="shared" si="142"/>
        <v>16419.150000000001</v>
      </c>
      <c r="O2257" t="str">
        <f t="shared" si="143"/>
        <v>Minor Delay</v>
      </c>
    </row>
    <row r="2258" spans="1:15" x14ac:dyDescent="0.25">
      <c r="A2258">
        <v>2257</v>
      </c>
      <c r="B2258" s="2">
        <v>45794</v>
      </c>
      <c r="C2258" t="s">
        <v>11</v>
      </c>
      <c r="D2258" t="s">
        <v>23</v>
      </c>
      <c r="E2258" t="s">
        <v>17</v>
      </c>
      <c r="F2258" t="s">
        <v>14</v>
      </c>
      <c r="G2258">
        <v>260</v>
      </c>
      <c r="H2258">
        <v>469.63</v>
      </c>
      <c r="I2258">
        <v>9</v>
      </c>
      <c r="J2258" t="s">
        <v>30</v>
      </c>
      <c r="K2258">
        <v>122103.8</v>
      </c>
      <c r="L2258" t="str">
        <f t="shared" si="140"/>
        <v>May</v>
      </c>
      <c r="M2258">
        <f t="shared" si="141"/>
        <v>2025</v>
      </c>
      <c r="N2258">
        <f t="shared" si="142"/>
        <v>122103.8</v>
      </c>
      <c r="O2258" t="str">
        <f t="shared" si="143"/>
        <v>Minor Delay</v>
      </c>
    </row>
    <row r="2259" spans="1:15" x14ac:dyDescent="0.25">
      <c r="A2259">
        <v>2258</v>
      </c>
      <c r="B2259" s="2">
        <v>45880</v>
      </c>
      <c r="C2259" t="s">
        <v>31</v>
      </c>
      <c r="D2259" t="s">
        <v>13</v>
      </c>
      <c r="E2259" t="s">
        <v>17</v>
      </c>
      <c r="F2259" t="s">
        <v>14</v>
      </c>
      <c r="G2259">
        <v>50</v>
      </c>
      <c r="H2259">
        <v>685.24</v>
      </c>
      <c r="I2259">
        <v>0</v>
      </c>
      <c r="J2259" t="s">
        <v>15</v>
      </c>
      <c r="K2259">
        <v>34262</v>
      </c>
      <c r="L2259" t="str">
        <f t="shared" si="140"/>
        <v>Aug</v>
      </c>
      <c r="M2259">
        <f t="shared" si="141"/>
        <v>2025</v>
      </c>
      <c r="N2259">
        <f t="shared" si="142"/>
        <v>34262</v>
      </c>
      <c r="O2259" t="str">
        <f t="shared" si="143"/>
        <v>On Time</v>
      </c>
    </row>
    <row r="2260" spans="1:15" x14ac:dyDescent="0.25">
      <c r="A2260">
        <v>2259</v>
      </c>
      <c r="B2260" s="2">
        <v>45658</v>
      </c>
      <c r="C2260" t="s">
        <v>25</v>
      </c>
      <c r="D2260" t="s">
        <v>22</v>
      </c>
      <c r="E2260" t="s">
        <v>27</v>
      </c>
      <c r="F2260" t="s">
        <v>21</v>
      </c>
      <c r="G2260">
        <v>54</v>
      </c>
      <c r="H2260">
        <v>754.19</v>
      </c>
      <c r="I2260">
        <v>53</v>
      </c>
      <c r="J2260" t="s">
        <v>15</v>
      </c>
      <c r="K2260">
        <v>40726.26</v>
      </c>
      <c r="L2260" t="str">
        <f t="shared" si="140"/>
        <v>Jan</v>
      </c>
      <c r="M2260">
        <f t="shared" si="141"/>
        <v>2025</v>
      </c>
      <c r="N2260">
        <f t="shared" si="142"/>
        <v>40726.26</v>
      </c>
      <c r="O2260" t="str">
        <f t="shared" si="143"/>
        <v>Moderate Delay</v>
      </c>
    </row>
    <row r="2261" spans="1:15" x14ac:dyDescent="0.25">
      <c r="A2261">
        <v>2260</v>
      </c>
      <c r="B2261" s="2">
        <v>45798</v>
      </c>
      <c r="C2261" t="s">
        <v>16</v>
      </c>
      <c r="D2261" t="s">
        <v>22</v>
      </c>
      <c r="E2261" t="s">
        <v>20</v>
      </c>
      <c r="F2261" t="s">
        <v>24</v>
      </c>
      <c r="G2261">
        <v>93</v>
      </c>
      <c r="H2261">
        <v>216.34</v>
      </c>
      <c r="I2261">
        <v>30</v>
      </c>
      <c r="J2261" t="s">
        <v>15</v>
      </c>
      <c r="K2261">
        <v>20119.62</v>
      </c>
      <c r="L2261" t="str">
        <f t="shared" si="140"/>
        <v>May</v>
      </c>
      <c r="M2261">
        <f t="shared" si="141"/>
        <v>2025</v>
      </c>
      <c r="N2261">
        <f t="shared" si="142"/>
        <v>20119.62</v>
      </c>
      <c r="O2261" t="str">
        <f t="shared" si="143"/>
        <v>Minor Delay</v>
      </c>
    </row>
    <row r="2262" spans="1:15" x14ac:dyDescent="0.25">
      <c r="A2262">
        <v>2261</v>
      </c>
      <c r="B2262" s="2">
        <v>45915</v>
      </c>
      <c r="C2262" t="s">
        <v>11</v>
      </c>
      <c r="D2262" t="s">
        <v>20</v>
      </c>
      <c r="E2262" t="s">
        <v>29</v>
      </c>
      <c r="F2262" t="s">
        <v>21</v>
      </c>
      <c r="G2262">
        <v>206</v>
      </c>
      <c r="H2262">
        <v>302.79000000000002</v>
      </c>
      <c r="I2262">
        <v>12</v>
      </c>
      <c r="J2262" t="s">
        <v>15</v>
      </c>
      <c r="K2262">
        <v>62374.74</v>
      </c>
      <c r="L2262" t="str">
        <f t="shared" si="140"/>
        <v>Sep</v>
      </c>
      <c r="M2262">
        <f t="shared" si="141"/>
        <v>2025</v>
      </c>
      <c r="N2262">
        <f t="shared" si="142"/>
        <v>62374.740000000005</v>
      </c>
      <c r="O2262" t="str">
        <f t="shared" si="143"/>
        <v>Minor Delay</v>
      </c>
    </row>
    <row r="2263" spans="1:15" x14ac:dyDescent="0.25">
      <c r="A2263">
        <v>2262</v>
      </c>
      <c r="B2263" s="2">
        <v>45924</v>
      </c>
      <c r="C2263" t="s">
        <v>25</v>
      </c>
      <c r="D2263" t="s">
        <v>12</v>
      </c>
      <c r="E2263" t="s">
        <v>27</v>
      </c>
      <c r="F2263" t="s">
        <v>21</v>
      </c>
      <c r="G2263">
        <v>96</v>
      </c>
      <c r="H2263">
        <v>179.08</v>
      </c>
      <c r="I2263">
        <v>0</v>
      </c>
      <c r="J2263" t="s">
        <v>15</v>
      </c>
      <c r="K2263">
        <v>17191.68</v>
      </c>
      <c r="L2263" t="str">
        <f t="shared" si="140"/>
        <v>Sep</v>
      </c>
      <c r="M2263">
        <f t="shared" si="141"/>
        <v>2025</v>
      </c>
      <c r="N2263">
        <f t="shared" si="142"/>
        <v>17191.68</v>
      </c>
      <c r="O2263" t="str">
        <f t="shared" si="143"/>
        <v>On Time</v>
      </c>
    </row>
    <row r="2264" spans="1:15" x14ac:dyDescent="0.25">
      <c r="A2264">
        <v>2263</v>
      </c>
      <c r="B2264" s="2">
        <v>45704</v>
      </c>
      <c r="C2264" t="s">
        <v>11</v>
      </c>
      <c r="D2264" t="s">
        <v>20</v>
      </c>
      <c r="E2264" t="s">
        <v>19</v>
      </c>
      <c r="F2264" t="s">
        <v>24</v>
      </c>
      <c r="G2264">
        <v>68</v>
      </c>
      <c r="H2264">
        <v>348.22</v>
      </c>
      <c r="I2264">
        <v>71</v>
      </c>
      <c r="J2264" t="s">
        <v>15</v>
      </c>
      <c r="K2264">
        <v>23678.959999999999</v>
      </c>
      <c r="L2264" t="str">
        <f t="shared" si="140"/>
        <v>Feb</v>
      </c>
      <c r="M2264">
        <f t="shared" si="141"/>
        <v>2025</v>
      </c>
      <c r="N2264">
        <f t="shared" si="142"/>
        <v>23678.960000000003</v>
      </c>
      <c r="O2264" t="str">
        <f t="shared" si="143"/>
        <v>Major Delay</v>
      </c>
    </row>
    <row r="2265" spans="1:15" x14ac:dyDescent="0.25">
      <c r="A2265">
        <v>2264</v>
      </c>
      <c r="B2265" s="2">
        <v>45904</v>
      </c>
      <c r="C2265" t="s">
        <v>16</v>
      </c>
      <c r="D2265" t="s">
        <v>22</v>
      </c>
      <c r="E2265" t="s">
        <v>13</v>
      </c>
      <c r="F2265" t="s">
        <v>14</v>
      </c>
      <c r="G2265">
        <v>251</v>
      </c>
      <c r="H2265">
        <v>320.06</v>
      </c>
      <c r="I2265">
        <v>0</v>
      </c>
      <c r="J2265" t="s">
        <v>15</v>
      </c>
      <c r="K2265">
        <v>80335.06</v>
      </c>
      <c r="L2265" t="str">
        <f t="shared" si="140"/>
        <v>Sep</v>
      </c>
      <c r="M2265">
        <f t="shared" si="141"/>
        <v>2025</v>
      </c>
      <c r="N2265">
        <f t="shared" si="142"/>
        <v>80335.06</v>
      </c>
      <c r="O2265" t="str">
        <f t="shared" si="143"/>
        <v>On Time</v>
      </c>
    </row>
    <row r="2266" spans="1:15" x14ac:dyDescent="0.25">
      <c r="A2266">
        <v>2265</v>
      </c>
      <c r="B2266" s="2">
        <v>45717</v>
      </c>
      <c r="C2266" t="s">
        <v>31</v>
      </c>
      <c r="D2266" t="s">
        <v>13</v>
      </c>
      <c r="E2266" t="s">
        <v>29</v>
      </c>
      <c r="F2266" t="s">
        <v>24</v>
      </c>
      <c r="G2266">
        <v>299</v>
      </c>
      <c r="H2266">
        <v>60.76</v>
      </c>
      <c r="I2266">
        <v>32</v>
      </c>
      <c r="J2266" t="s">
        <v>30</v>
      </c>
      <c r="K2266">
        <v>18167.240000000002</v>
      </c>
      <c r="L2266" t="str">
        <f t="shared" si="140"/>
        <v>Mar</v>
      </c>
      <c r="M2266">
        <f t="shared" si="141"/>
        <v>2025</v>
      </c>
      <c r="N2266">
        <f t="shared" si="142"/>
        <v>18167.239999999998</v>
      </c>
      <c r="O2266" t="str">
        <f t="shared" si="143"/>
        <v>Moderate Delay</v>
      </c>
    </row>
    <row r="2267" spans="1:15" x14ac:dyDescent="0.25">
      <c r="A2267">
        <v>2266</v>
      </c>
      <c r="B2267" s="2">
        <v>45753</v>
      </c>
      <c r="C2267" t="s">
        <v>18</v>
      </c>
      <c r="D2267" t="s">
        <v>12</v>
      </c>
      <c r="E2267" t="s">
        <v>17</v>
      </c>
      <c r="F2267" t="s">
        <v>14</v>
      </c>
      <c r="G2267">
        <v>241</v>
      </c>
      <c r="H2267">
        <v>711.28</v>
      </c>
      <c r="I2267">
        <v>45</v>
      </c>
      <c r="J2267" t="s">
        <v>15</v>
      </c>
      <c r="K2267">
        <v>171418.48</v>
      </c>
      <c r="L2267" t="str">
        <f t="shared" si="140"/>
        <v>Apr</v>
      </c>
      <c r="M2267">
        <f t="shared" si="141"/>
        <v>2025</v>
      </c>
      <c r="N2267">
        <f t="shared" si="142"/>
        <v>171418.47999999998</v>
      </c>
      <c r="O2267" t="str">
        <f t="shared" si="143"/>
        <v>Moderate Delay</v>
      </c>
    </row>
    <row r="2268" spans="1:15" x14ac:dyDescent="0.25">
      <c r="A2268">
        <v>2267</v>
      </c>
      <c r="B2268" s="2">
        <v>45685</v>
      </c>
      <c r="C2268" t="s">
        <v>31</v>
      </c>
      <c r="D2268" t="s">
        <v>19</v>
      </c>
      <c r="E2268" t="s">
        <v>27</v>
      </c>
      <c r="F2268" t="s">
        <v>14</v>
      </c>
      <c r="G2268">
        <v>101</v>
      </c>
      <c r="H2268">
        <v>92.45</v>
      </c>
      <c r="I2268">
        <v>0</v>
      </c>
      <c r="J2268" t="s">
        <v>15</v>
      </c>
      <c r="K2268">
        <v>9337.4500000000007</v>
      </c>
      <c r="L2268" t="str">
        <f t="shared" si="140"/>
        <v>Jan</v>
      </c>
      <c r="M2268">
        <f t="shared" si="141"/>
        <v>2025</v>
      </c>
      <c r="N2268">
        <f t="shared" si="142"/>
        <v>9337.4500000000007</v>
      </c>
      <c r="O2268" t="str">
        <f t="shared" si="143"/>
        <v>On Time</v>
      </c>
    </row>
    <row r="2269" spans="1:15" x14ac:dyDescent="0.25">
      <c r="A2269">
        <v>2268</v>
      </c>
      <c r="B2269" s="2">
        <v>45905</v>
      </c>
      <c r="C2269" t="s">
        <v>26</v>
      </c>
      <c r="D2269" t="s">
        <v>13</v>
      </c>
      <c r="E2269" t="s">
        <v>12</v>
      </c>
      <c r="F2269" t="s">
        <v>21</v>
      </c>
      <c r="G2269">
        <v>262</v>
      </c>
      <c r="H2269">
        <v>791.1</v>
      </c>
      <c r="I2269">
        <v>30</v>
      </c>
      <c r="J2269" t="s">
        <v>15</v>
      </c>
      <c r="K2269">
        <v>207268.2</v>
      </c>
      <c r="L2269" t="str">
        <f t="shared" si="140"/>
        <v>Sep</v>
      </c>
      <c r="M2269">
        <f t="shared" si="141"/>
        <v>2025</v>
      </c>
      <c r="N2269">
        <f t="shared" si="142"/>
        <v>207268.2</v>
      </c>
      <c r="O2269" t="str">
        <f t="shared" si="143"/>
        <v>Minor Delay</v>
      </c>
    </row>
    <row r="2270" spans="1:15" x14ac:dyDescent="0.25">
      <c r="A2270">
        <v>2269</v>
      </c>
      <c r="B2270" s="2">
        <v>45945</v>
      </c>
      <c r="C2270" t="s">
        <v>25</v>
      </c>
      <c r="D2270" t="s">
        <v>27</v>
      </c>
      <c r="E2270" t="s">
        <v>23</v>
      </c>
      <c r="F2270" t="s">
        <v>24</v>
      </c>
      <c r="G2270">
        <v>228</v>
      </c>
      <c r="H2270">
        <v>276.85000000000002</v>
      </c>
      <c r="I2270">
        <v>25</v>
      </c>
      <c r="J2270" t="s">
        <v>15</v>
      </c>
      <c r="K2270">
        <v>63121.8</v>
      </c>
      <c r="L2270" t="str">
        <f t="shared" si="140"/>
        <v>Oct</v>
      </c>
      <c r="M2270">
        <f t="shared" si="141"/>
        <v>2025</v>
      </c>
      <c r="N2270">
        <f t="shared" si="142"/>
        <v>63121.8</v>
      </c>
      <c r="O2270" t="str">
        <f t="shared" si="143"/>
        <v>Minor Delay</v>
      </c>
    </row>
    <row r="2271" spans="1:15" x14ac:dyDescent="0.25">
      <c r="A2271">
        <v>2270</v>
      </c>
      <c r="B2271" s="2">
        <v>45961</v>
      </c>
      <c r="C2271" t="s">
        <v>31</v>
      </c>
      <c r="D2271" t="s">
        <v>20</v>
      </c>
      <c r="E2271" t="s">
        <v>17</v>
      </c>
      <c r="F2271" t="s">
        <v>21</v>
      </c>
      <c r="G2271">
        <v>104</v>
      </c>
      <c r="H2271">
        <v>700.25</v>
      </c>
      <c r="I2271">
        <v>7</v>
      </c>
      <c r="J2271" t="s">
        <v>15</v>
      </c>
      <c r="K2271">
        <v>72826</v>
      </c>
      <c r="L2271" t="str">
        <f t="shared" si="140"/>
        <v>Oct</v>
      </c>
      <c r="M2271">
        <f t="shared" si="141"/>
        <v>2025</v>
      </c>
      <c r="N2271">
        <f t="shared" si="142"/>
        <v>72826</v>
      </c>
      <c r="O2271" t="str">
        <f t="shared" si="143"/>
        <v>Minor Delay</v>
      </c>
    </row>
    <row r="2272" spans="1:15" x14ac:dyDescent="0.25">
      <c r="A2272">
        <v>2271</v>
      </c>
      <c r="B2272" s="2">
        <v>45800</v>
      </c>
      <c r="C2272" t="s">
        <v>18</v>
      </c>
      <c r="D2272" t="s">
        <v>29</v>
      </c>
      <c r="E2272" t="s">
        <v>22</v>
      </c>
      <c r="F2272" t="s">
        <v>14</v>
      </c>
      <c r="G2272">
        <v>155</v>
      </c>
      <c r="H2272">
        <v>678.89</v>
      </c>
      <c r="I2272">
        <v>49</v>
      </c>
      <c r="J2272" t="s">
        <v>15</v>
      </c>
      <c r="K2272">
        <v>105227.95</v>
      </c>
      <c r="L2272" t="str">
        <f t="shared" si="140"/>
        <v>May</v>
      </c>
      <c r="M2272">
        <f t="shared" si="141"/>
        <v>2025</v>
      </c>
      <c r="N2272">
        <f t="shared" si="142"/>
        <v>105227.95</v>
      </c>
      <c r="O2272" t="str">
        <f t="shared" si="143"/>
        <v>Moderate Delay</v>
      </c>
    </row>
    <row r="2273" spans="1:15" x14ac:dyDescent="0.25">
      <c r="A2273">
        <v>2272</v>
      </c>
      <c r="B2273" s="2">
        <v>45761</v>
      </c>
      <c r="C2273" t="s">
        <v>26</v>
      </c>
      <c r="D2273" t="s">
        <v>29</v>
      </c>
      <c r="E2273" t="s">
        <v>27</v>
      </c>
      <c r="F2273" t="s">
        <v>21</v>
      </c>
      <c r="G2273">
        <v>71</v>
      </c>
      <c r="H2273">
        <v>217.78</v>
      </c>
      <c r="I2273">
        <v>38</v>
      </c>
      <c r="J2273" t="s">
        <v>15</v>
      </c>
      <c r="K2273">
        <v>15462.38</v>
      </c>
      <c r="L2273" t="str">
        <f t="shared" si="140"/>
        <v>Apr</v>
      </c>
      <c r="M2273">
        <f t="shared" si="141"/>
        <v>2025</v>
      </c>
      <c r="N2273">
        <f t="shared" si="142"/>
        <v>15462.38</v>
      </c>
      <c r="O2273" t="str">
        <f t="shared" si="143"/>
        <v>Moderate Delay</v>
      </c>
    </row>
    <row r="2274" spans="1:15" x14ac:dyDescent="0.25">
      <c r="A2274">
        <v>2273</v>
      </c>
      <c r="B2274" s="2">
        <v>45790</v>
      </c>
      <c r="C2274" t="s">
        <v>26</v>
      </c>
      <c r="D2274" t="s">
        <v>12</v>
      </c>
      <c r="E2274" t="s">
        <v>13</v>
      </c>
      <c r="F2274" t="s">
        <v>14</v>
      </c>
      <c r="G2274">
        <v>89</v>
      </c>
      <c r="H2274">
        <v>320.33</v>
      </c>
      <c r="I2274">
        <v>0</v>
      </c>
      <c r="J2274" t="s">
        <v>15</v>
      </c>
      <c r="K2274">
        <v>28509.37</v>
      </c>
      <c r="L2274" t="str">
        <f t="shared" si="140"/>
        <v>May</v>
      </c>
      <c r="M2274">
        <f t="shared" si="141"/>
        <v>2025</v>
      </c>
      <c r="N2274">
        <f t="shared" si="142"/>
        <v>28509.37</v>
      </c>
      <c r="O2274" t="str">
        <f t="shared" si="143"/>
        <v>On Time</v>
      </c>
    </row>
    <row r="2275" spans="1:15" x14ac:dyDescent="0.25">
      <c r="A2275">
        <v>2274</v>
      </c>
      <c r="B2275" s="2">
        <v>45897</v>
      </c>
      <c r="C2275" t="s">
        <v>26</v>
      </c>
      <c r="D2275" t="s">
        <v>29</v>
      </c>
      <c r="E2275" t="s">
        <v>12</v>
      </c>
      <c r="F2275" t="s">
        <v>14</v>
      </c>
      <c r="G2275">
        <v>298</v>
      </c>
      <c r="H2275">
        <v>712.42</v>
      </c>
      <c r="I2275">
        <v>7</v>
      </c>
      <c r="J2275" t="s">
        <v>15</v>
      </c>
      <c r="K2275">
        <v>212301.16</v>
      </c>
      <c r="L2275" t="str">
        <f t="shared" si="140"/>
        <v>Aug</v>
      </c>
      <c r="M2275">
        <f t="shared" si="141"/>
        <v>2025</v>
      </c>
      <c r="N2275">
        <f t="shared" si="142"/>
        <v>212301.15999999997</v>
      </c>
      <c r="O2275" t="str">
        <f t="shared" si="143"/>
        <v>Minor Delay</v>
      </c>
    </row>
    <row r="2276" spans="1:15" x14ac:dyDescent="0.25">
      <c r="A2276">
        <v>2275</v>
      </c>
      <c r="B2276" s="2">
        <v>45789</v>
      </c>
      <c r="C2276" t="s">
        <v>31</v>
      </c>
      <c r="D2276" t="s">
        <v>22</v>
      </c>
      <c r="E2276" t="s">
        <v>27</v>
      </c>
      <c r="F2276" t="s">
        <v>14</v>
      </c>
      <c r="G2276">
        <v>136</v>
      </c>
      <c r="H2276">
        <v>704.8</v>
      </c>
      <c r="I2276">
        <v>37</v>
      </c>
      <c r="J2276" t="s">
        <v>15</v>
      </c>
      <c r="K2276">
        <v>95852.800000000003</v>
      </c>
      <c r="L2276" t="str">
        <f t="shared" si="140"/>
        <v>May</v>
      </c>
      <c r="M2276">
        <f t="shared" si="141"/>
        <v>2025</v>
      </c>
      <c r="N2276">
        <f t="shared" si="142"/>
        <v>95852.799999999988</v>
      </c>
      <c r="O2276" t="str">
        <f t="shared" si="143"/>
        <v>Moderate Delay</v>
      </c>
    </row>
    <row r="2277" spans="1:15" x14ac:dyDescent="0.25">
      <c r="A2277">
        <v>2276</v>
      </c>
      <c r="B2277" s="2">
        <v>45677</v>
      </c>
      <c r="C2277" t="s">
        <v>25</v>
      </c>
      <c r="D2277" t="s">
        <v>23</v>
      </c>
      <c r="E2277" t="s">
        <v>20</v>
      </c>
      <c r="F2277" t="s">
        <v>24</v>
      </c>
      <c r="G2277">
        <v>164</v>
      </c>
      <c r="H2277">
        <v>203.38</v>
      </c>
      <c r="I2277">
        <v>45</v>
      </c>
      <c r="J2277" t="s">
        <v>15</v>
      </c>
      <c r="K2277">
        <v>33354.32</v>
      </c>
      <c r="L2277" t="str">
        <f t="shared" si="140"/>
        <v>Jan</v>
      </c>
      <c r="M2277">
        <f t="shared" si="141"/>
        <v>2025</v>
      </c>
      <c r="N2277">
        <f t="shared" si="142"/>
        <v>33354.32</v>
      </c>
      <c r="O2277" t="str">
        <f t="shared" si="143"/>
        <v>Moderate Delay</v>
      </c>
    </row>
    <row r="2278" spans="1:15" x14ac:dyDescent="0.25">
      <c r="A2278">
        <v>2277</v>
      </c>
      <c r="B2278" s="2">
        <v>45935</v>
      </c>
      <c r="C2278" t="s">
        <v>31</v>
      </c>
      <c r="D2278" t="s">
        <v>23</v>
      </c>
      <c r="E2278" t="s">
        <v>22</v>
      </c>
      <c r="F2278" t="s">
        <v>14</v>
      </c>
      <c r="G2278">
        <v>190</v>
      </c>
      <c r="H2278">
        <v>284.69</v>
      </c>
      <c r="I2278">
        <v>39</v>
      </c>
      <c r="J2278" t="s">
        <v>15</v>
      </c>
      <c r="K2278">
        <v>54091.1</v>
      </c>
      <c r="L2278" t="str">
        <f t="shared" si="140"/>
        <v>Oct</v>
      </c>
      <c r="M2278">
        <f t="shared" si="141"/>
        <v>2025</v>
      </c>
      <c r="N2278">
        <f t="shared" si="142"/>
        <v>54091.1</v>
      </c>
      <c r="O2278" t="str">
        <f t="shared" si="143"/>
        <v>Moderate Delay</v>
      </c>
    </row>
    <row r="2279" spans="1:15" x14ac:dyDescent="0.25">
      <c r="A2279">
        <v>2278</v>
      </c>
      <c r="B2279" s="2">
        <v>45728</v>
      </c>
      <c r="C2279" t="s">
        <v>31</v>
      </c>
      <c r="D2279" t="s">
        <v>23</v>
      </c>
      <c r="E2279" t="s">
        <v>20</v>
      </c>
      <c r="F2279" t="s">
        <v>14</v>
      </c>
      <c r="G2279">
        <v>134</v>
      </c>
      <c r="H2279">
        <v>307.14999999999998</v>
      </c>
      <c r="I2279">
        <v>60</v>
      </c>
      <c r="J2279" t="s">
        <v>15</v>
      </c>
      <c r="K2279">
        <v>41158.1</v>
      </c>
      <c r="L2279" t="str">
        <f t="shared" si="140"/>
        <v>Mar</v>
      </c>
      <c r="M2279">
        <f t="shared" si="141"/>
        <v>2025</v>
      </c>
      <c r="N2279">
        <f t="shared" si="142"/>
        <v>41158.1</v>
      </c>
      <c r="O2279" t="str">
        <f t="shared" si="143"/>
        <v>Moderate Delay</v>
      </c>
    </row>
    <row r="2280" spans="1:15" x14ac:dyDescent="0.25">
      <c r="A2280">
        <v>2279</v>
      </c>
      <c r="B2280" s="2">
        <v>46018</v>
      </c>
      <c r="C2280" t="s">
        <v>16</v>
      </c>
      <c r="D2280" t="s">
        <v>20</v>
      </c>
      <c r="E2280" t="s">
        <v>23</v>
      </c>
      <c r="F2280" t="s">
        <v>24</v>
      </c>
      <c r="G2280">
        <v>142</v>
      </c>
      <c r="H2280">
        <v>392.25</v>
      </c>
      <c r="I2280">
        <v>14</v>
      </c>
      <c r="J2280" t="s">
        <v>30</v>
      </c>
      <c r="K2280">
        <v>55699.5</v>
      </c>
      <c r="L2280" t="str">
        <f t="shared" si="140"/>
        <v>Dec</v>
      </c>
      <c r="M2280">
        <f t="shared" si="141"/>
        <v>2025</v>
      </c>
      <c r="N2280">
        <f t="shared" si="142"/>
        <v>55699.5</v>
      </c>
      <c r="O2280" t="str">
        <f t="shared" si="143"/>
        <v>Minor Delay</v>
      </c>
    </row>
    <row r="2281" spans="1:15" x14ac:dyDescent="0.25">
      <c r="A2281">
        <v>2280</v>
      </c>
      <c r="B2281" s="2">
        <v>45947</v>
      </c>
      <c r="C2281" t="s">
        <v>11</v>
      </c>
      <c r="D2281" t="s">
        <v>29</v>
      </c>
      <c r="E2281" t="s">
        <v>23</v>
      </c>
      <c r="F2281" t="s">
        <v>21</v>
      </c>
      <c r="G2281">
        <v>261</v>
      </c>
      <c r="H2281">
        <v>67.2</v>
      </c>
      <c r="I2281">
        <v>28</v>
      </c>
      <c r="J2281" t="s">
        <v>15</v>
      </c>
      <c r="K2281">
        <v>17539.2</v>
      </c>
      <c r="L2281" t="str">
        <f t="shared" si="140"/>
        <v>Oct</v>
      </c>
      <c r="M2281">
        <f t="shared" si="141"/>
        <v>2025</v>
      </c>
      <c r="N2281">
        <f t="shared" si="142"/>
        <v>17539.2</v>
      </c>
      <c r="O2281" t="str">
        <f t="shared" si="143"/>
        <v>Minor Delay</v>
      </c>
    </row>
    <row r="2282" spans="1:15" x14ac:dyDescent="0.25">
      <c r="A2282">
        <v>2281</v>
      </c>
      <c r="B2282" s="2">
        <v>45712</v>
      </c>
      <c r="C2282" t="s">
        <v>16</v>
      </c>
      <c r="D2282" t="s">
        <v>22</v>
      </c>
      <c r="E2282" t="s">
        <v>17</v>
      </c>
      <c r="F2282" t="s">
        <v>24</v>
      </c>
      <c r="G2282">
        <v>211</v>
      </c>
      <c r="H2282">
        <v>577.88</v>
      </c>
      <c r="I2282">
        <v>15</v>
      </c>
      <c r="J2282" t="s">
        <v>15</v>
      </c>
      <c r="K2282">
        <v>121932.68</v>
      </c>
      <c r="L2282" t="str">
        <f t="shared" si="140"/>
        <v>Feb</v>
      </c>
      <c r="M2282">
        <f t="shared" si="141"/>
        <v>2025</v>
      </c>
      <c r="N2282">
        <f t="shared" si="142"/>
        <v>121932.68</v>
      </c>
      <c r="O2282" t="str">
        <f t="shared" si="143"/>
        <v>Minor Delay</v>
      </c>
    </row>
    <row r="2283" spans="1:15" x14ac:dyDescent="0.25">
      <c r="A2283">
        <v>2282</v>
      </c>
      <c r="B2283" s="2">
        <v>45700</v>
      </c>
      <c r="C2283" t="s">
        <v>16</v>
      </c>
      <c r="D2283" t="s">
        <v>19</v>
      </c>
      <c r="E2283" t="s">
        <v>12</v>
      </c>
      <c r="F2283" t="s">
        <v>24</v>
      </c>
      <c r="G2283">
        <v>249</v>
      </c>
      <c r="H2283">
        <v>435.56</v>
      </c>
      <c r="I2283">
        <v>0</v>
      </c>
      <c r="J2283" t="s">
        <v>15</v>
      </c>
      <c r="K2283">
        <v>108454.44</v>
      </c>
      <c r="L2283" t="str">
        <f t="shared" si="140"/>
        <v>Feb</v>
      </c>
      <c r="M2283">
        <f t="shared" si="141"/>
        <v>2025</v>
      </c>
      <c r="N2283">
        <f t="shared" si="142"/>
        <v>108454.44</v>
      </c>
      <c r="O2283" t="str">
        <f t="shared" si="143"/>
        <v>On Time</v>
      </c>
    </row>
    <row r="2284" spans="1:15" x14ac:dyDescent="0.25">
      <c r="A2284">
        <v>2283</v>
      </c>
      <c r="B2284" s="2">
        <v>45826</v>
      </c>
      <c r="C2284" t="s">
        <v>26</v>
      </c>
      <c r="D2284" t="s">
        <v>13</v>
      </c>
      <c r="E2284" t="s">
        <v>19</v>
      </c>
      <c r="F2284" t="s">
        <v>21</v>
      </c>
      <c r="G2284">
        <v>291</v>
      </c>
      <c r="H2284">
        <v>389.44</v>
      </c>
      <c r="I2284">
        <v>0</v>
      </c>
      <c r="J2284" t="s">
        <v>15</v>
      </c>
      <c r="K2284">
        <v>113327.03999999999</v>
      </c>
      <c r="L2284" t="str">
        <f t="shared" si="140"/>
        <v>Jun</v>
      </c>
      <c r="M2284">
        <f t="shared" si="141"/>
        <v>2025</v>
      </c>
      <c r="N2284">
        <f t="shared" si="142"/>
        <v>113327.03999999999</v>
      </c>
      <c r="O2284" t="str">
        <f t="shared" si="143"/>
        <v>On Time</v>
      </c>
    </row>
    <row r="2285" spans="1:15" x14ac:dyDescent="0.25">
      <c r="A2285">
        <v>2284</v>
      </c>
      <c r="B2285" s="2">
        <v>45975</v>
      </c>
      <c r="C2285" t="s">
        <v>26</v>
      </c>
      <c r="D2285" t="s">
        <v>13</v>
      </c>
      <c r="E2285" t="s">
        <v>20</v>
      </c>
      <c r="F2285" t="s">
        <v>14</v>
      </c>
      <c r="G2285">
        <v>130</v>
      </c>
      <c r="H2285">
        <v>665</v>
      </c>
      <c r="I2285">
        <v>44</v>
      </c>
      <c r="J2285" t="s">
        <v>30</v>
      </c>
      <c r="K2285">
        <v>86450</v>
      </c>
      <c r="L2285" t="str">
        <f t="shared" si="140"/>
        <v>Nov</v>
      </c>
      <c r="M2285">
        <f t="shared" si="141"/>
        <v>2025</v>
      </c>
      <c r="N2285">
        <f t="shared" si="142"/>
        <v>86450</v>
      </c>
      <c r="O2285" t="str">
        <f t="shared" si="143"/>
        <v>Moderate Delay</v>
      </c>
    </row>
    <row r="2286" spans="1:15" x14ac:dyDescent="0.25">
      <c r="A2286">
        <v>2285</v>
      </c>
      <c r="B2286" s="2">
        <v>45658</v>
      </c>
      <c r="C2286" t="s">
        <v>16</v>
      </c>
      <c r="D2286" t="s">
        <v>12</v>
      </c>
      <c r="E2286" t="s">
        <v>19</v>
      </c>
      <c r="F2286" t="s">
        <v>21</v>
      </c>
      <c r="G2286">
        <v>84</v>
      </c>
      <c r="H2286">
        <v>194.86</v>
      </c>
      <c r="I2286">
        <v>55</v>
      </c>
      <c r="J2286" t="s">
        <v>30</v>
      </c>
      <c r="K2286">
        <v>16368.24</v>
      </c>
      <c r="L2286" t="str">
        <f t="shared" si="140"/>
        <v>Jan</v>
      </c>
      <c r="M2286">
        <f t="shared" si="141"/>
        <v>2025</v>
      </c>
      <c r="N2286">
        <f t="shared" si="142"/>
        <v>16368.240000000002</v>
      </c>
      <c r="O2286" t="str">
        <f t="shared" si="143"/>
        <v>Moderate Delay</v>
      </c>
    </row>
    <row r="2287" spans="1:15" x14ac:dyDescent="0.25">
      <c r="A2287">
        <v>2286</v>
      </c>
      <c r="B2287" s="2">
        <v>45663</v>
      </c>
      <c r="C2287" t="s">
        <v>11</v>
      </c>
      <c r="D2287" t="s">
        <v>22</v>
      </c>
      <c r="E2287" t="s">
        <v>13</v>
      </c>
      <c r="F2287" t="s">
        <v>24</v>
      </c>
      <c r="G2287">
        <v>244</v>
      </c>
      <c r="H2287">
        <v>661.22</v>
      </c>
      <c r="I2287">
        <v>0</v>
      </c>
      <c r="J2287" t="s">
        <v>30</v>
      </c>
      <c r="K2287">
        <v>161337.68</v>
      </c>
      <c r="L2287" t="str">
        <f t="shared" si="140"/>
        <v>Jan</v>
      </c>
      <c r="M2287">
        <f t="shared" si="141"/>
        <v>2025</v>
      </c>
      <c r="N2287">
        <f t="shared" si="142"/>
        <v>161337.68</v>
      </c>
      <c r="O2287" t="str">
        <f t="shared" si="143"/>
        <v>On Time</v>
      </c>
    </row>
    <row r="2288" spans="1:15" x14ac:dyDescent="0.25">
      <c r="A2288">
        <v>2287</v>
      </c>
      <c r="B2288" s="2">
        <v>45714</v>
      </c>
      <c r="C2288" t="s">
        <v>26</v>
      </c>
      <c r="D2288" t="s">
        <v>12</v>
      </c>
      <c r="E2288" t="s">
        <v>17</v>
      </c>
      <c r="F2288" t="s">
        <v>14</v>
      </c>
      <c r="G2288">
        <v>270</v>
      </c>
      <c r="H2288">
        <v>592.41</v>
      </c>
      <c r="I2288">
        <v>40</v>
      </c>
      <c r="J2288" t="s">
        <v>30</v>
      </c>
      <c r="K2288">
        <v>159950.70000000001</v>
      </c>
      <c r="L2288" t="str">
        <f t="shared" si="140"/>
        <v>Feb</v>
      </c>
      <c r="M2288">
        <f t="shared" si="141"/>
        <v>2025</v>
      </c>
      <c r="N2288">
        <f t="shared" si="142"/>
        <v>159950.69999999998</v>
      </c>
      <c r="O2288" t="str">
        <f t="shared" si="143"/>
        <v>Moderate Delay</v>
      </c>
    </row>
    <row r="2289" spans="1:15" x14ac:dyDescent="0.25">
      <c r="A2289">
        <v>2288</v>
      </c>
      <c r="B2289" s="2">
        <v>45982</v>
      </c>
      <c r="C2289" t="s">
        <v>31</v>
      </c>
      <c r="D2289" t="s">
        <v>23</v>
      </c>
      <c r="E2289" t="s">
        <v>27</v>
      </c>
      <c r="F2289" t="s">
        <v>24</v>
      </c>
      <c r="G2289">
        <v>58</v>
      </c>
      <c r="H2289">
        <v>384.17</v>
      </c>
      <c r="I2289">
        <v>66</v>
      </c>
      <c r="J2289" t="s">
        <v>15</v>
      </c>
      <c r="K2289">
        <v>22281.86</v>
      </c>
      <c r="L2289" t="str">
        <f t="shared" si="140"/>
        <v>Nov</v>
      </c>
      <c r="M2289">
        <f t="shared" si="141"/>
        <v>2025</v>
      </c>
      <c r="N2289">
        <f t="shared" si="142"/>
        <v>22281.86</v>
      </c>
      <c r="O2289" t="str">
        <f t="shared" si="143"/>
        <v>Major Delay</v>
      </c>
    </row>
    <row r="2290" spans="1:15" x14ac:dyDescent="0.25">
      <c r="A2290">
        <v>2289</v>
      </c>
      <c r="B2290" s="2">
        <v>45884</v>
      </c>
      <c r="C2290" t="s">
        <v>25</v>
      </c>
      <c r="D2290" t="s">
        <v>20</v>
      </c>
      <c r="E2290" t="s">
        <v>12</v>
      </c>
      <c r="F2290" t="s">
        <v>14</v>
      </c>
      <c r="G2290">
        <v>266</v>
      </c>
      <c r="H2290">
        <v>155.56</v>
      </c>
      <c r="I2290">
        <v>13</v>
      </c>
      <c r="J2290" t="s">
        <v>15</v>
      </c>
      <c r="K2290">
        <v>41378.959999999999</v>
      </c>
      <c r="L2290" t="str">
        <f t="shared" si="140"/>
        <v>Aug</v>
      </c>
      <c r="M2290">
        <f t="shared" si="141"/>
        <v>2025</v>
      </c>
      <c r="N2290">
        <f t="shared" si="142"/>
        <v>41378.959999999999</v>
      </c>
      <c r="O2290" t="str">
        <f t="shared" si="143"/>
        <v>Minor Delay</v>
      </c>
    </row>
    <row r="2291" spans="1:15" x14ac:dyDescent="0.25">
      <c r="A2291">
        <v>2290</v>
      </c>
      <c r="B2291" s="2">
        <v>45776</v>
      </c>
      <c r="C2291" t="s">
        <v>25</v>
      </c>
      <c r="D2291" t="s">
        <v>22</v>
      </c>
      <c r="E2291" t="s">
        <v>13</v>
      </c>
      <c r="F2291" t="s">
        <v>14</v>
      </c>
      <c r="G2291">
        <v>62</v>
      </c>
      <c r="H2291">
        <v>67.19</v>
      </c>
      <c r="I2291">
        <v>15</v>
      </c>
      <c r="J2291" t="s">
        <v>15</v>
      </c>
      <c r="K2291">
        <v>4165.78</v>
      </c>
      <c r="L2291" t="str">
        <f t="shared" si="140"/>
        <v>Apr</v>
      </c>
      <c r="M2291">
        <f t="shared" si="141"/>
        <v>2025</v>
      </c>
      <c r="N2291">
        <f t="shared" si="142"/>
        <v>4165.78</v>
      </c>
      <c r="O2291" t="str">
        <f t="shared" si="143"/>
        <v>Minor Delay</v>
      </c>
    </row>
    <row r="2292" spans="1:15" x14ac:dyDescent="0.25">
      <c r="A2292">
        <v>2291</v>
      </c>
      <c r="B2292" s="2">
        <v>45664</v>
      </c>
      <c r="C2292" t="s">
        <v>11</v>
      </c>
      <c r="D2292" t="s">
        <v>19</v>
      </c>
      <c r="E2292" t="s">
        <v>22</v>
      </c>
      <c r="F2292" t="s">
        <v>21</v>
      </c>
      <c r="G2292">
        <v>279</v>
      </c>
      <c r="H2292">
        <v>488.44</v>
      </c>
      <c r="I2292">
        <v>43</v>
      </c>
      <c r="J2292" t="s">
        <v>30</v>
      </c>
      <c r="K2292">
        <v>136274.76</v>
      </c>
      <c r="L2292" t="str">
        <f t="shared" si="140"/>
        <v>Jan</v>
      </c>
      <c r="M2292">
        <f t="shared" si="141"/>
        <v>2025</v>
      </c>
      <c r="N2292">
        <f t="shared" si="142"/>
        <v>136274.76</v>
      </c>
      <c r="O2292" t="str">
        <f t="shared" si="143"/>
        <v>Moderate Delay</v>
      </c>
    </row>
    <row r="2293" spans="1:15" x14ac:dyDescent="0.25">
      <c r="A2293">
        <v>2292</v>
      </c>
      <c r="B2293" s="2">
        <v>45681</v>
      </c>
      <c r="C2293" t="s">
        <v>31</v>
      </c>
      <c r="D2293" t="s">
        <v>19</v>
      </c>
      <c r="E2293" t="s">
        <v>20</v>
      </c>
      <c r="F2293" t="s">
        <v>21</v>
      </c>
      <c r="G2293">
        <v>228</v>
      </c>
      <c r="H2293">
        <v>779.5</v>
      </c>
      <c r="I2293">
        <v>20</v>
      </c>
      <c r="J2293" t="s">
        <v>15</v>
      </c>
      <c r="K2293">
        <v>177726</v>
      </c>
      <c r="L2293" t="str">
        <f t="shared" si="140"/>
        <v>Jan</v>
      </c>
      <c r="M2293">
        <f t="shared" si="141"/>
        <v>2025</v>
      </c>
      <c r="N2293">
        <f t="shared" si="142"/>
        <v>177726</v>
      </c>
      <c r="O2293" t="str">
        <f t="shared" si="143"/>
        <v>Minor Delay</v>
      </c>
    </row>
    <row r="2294" spans="1:15" x14ac:dyDescent="0.25">
      <c r="A2294">
        <v>2293</v>
      </c>
      <c r="B2294" s="2">
        <v>45978</v>
      </c>
      <c r="C2294" t="s">
        <v>31</v>
      </c>
      <c r="D2294" t="s">
        <v>12</v>
      </c>
      <c r="E2294" t="s">
        <v>22</v>
      </c>
      <c r="F2294" t="s">
        <v>14</v>
      </c>
      <c r="G2294">
        <v>294</v>
      </c>
      <c r="H2294">
        <v>223.82</v>
      </c>
      <c r="I2294">
        <v>0</v>
      </c>
      <c r="J2294" t="s">
        <v>15</v>
      </c>
      <c r="K2294">
        <v>65803.08</v>
      </c>
      <c r="L2294" t="str">
        <f t="shared" si="140"/>
        <v>Nov</v>
      </c>
      <c r="M2294">
        <f t="shared" si="141"/>
        <v>2025</v>
      </c>
      <c r="N2294">
        <f t="shared" si="142"/>
        <v>65803.08</v>
      </c>
      <c r="O2294" t="str">
        <f t="shared" si="143"/>
        <v>On Time</v>
      </c>
    </row>
    <row r="2295" spans="1:15" x14ac:dyDescent="0.25">
      <c r="A2295">
        <v>2294</v>
      </c>
      <c r="B2295" s="2">
        <v>45835</v>
      </c>
      <c r="C2295" t="s">
        <v>11</v>
      </c>
      <c r="D2295" t="s">
        <v>29</v>
      </c>
      <c r="E2295" t="s">
        <v>17</v>
      </c>
      <c r="F2295" t="s">
        <v>24</v>
      </c>
      <c r="G2295">
        <v>225</v>
      </c>
      <c r="H2295">
        <v>479.64</v>
      </c>
      <c r="I2295">
        <v>0</v>
      </c>
      <c r="J2295" t="s">
        <v>15</v>
      </c>
      <c r="K2295">
        <v>107919</v>
      </c>
      <c r="L2295" t="str">
        <f t="shared" si="140"/>
        <v>Jun</v>
      </c>
      <c r="M2295">
        <f t="shared" si="141"/>
        <v>2025</v>
      </c>
      <c r="N2295">
        <f t="shared" si="142"/>
        <v>107919</v>
      </c>
      <c r="O2295" t="str">
        <f t="shared" si="143"/>
        <v>On Time</v>
      </c>
    </row>
    <row r="2296" spans="1:15" x14ac:dyDescent="0.25">
      <c r="A2296">
        <v>2295</v>
      </c>
      <c r="B2296" s="2">
        <v>45694</v>
      </c>
      <c r="C2296" t="s">
        <v>16</v>
      </c>
      <c r="D2296" t="s">
        <v>22</v>
      </c>
      <c r="E2296" t="s">
        <v>20</v>
      </c>
      <c r="F2296" t="s">
        <v>14</v>
      </c>
      <c r="G2296">
        <v>154</v>
      </c>
      <c r="H2296">
        <v>773.18</v>
      </c>
      <c r="I2296">
        <v>0</v>
      </c>
      <c r="J2296" t="s">
        <v>15</v>
      </c>
      <c r="K2296">
        <v>119069.72</v>
      </c>
      <c r="L2296" t="str">
        <f t="shared" si="140"/>
        <v>Feb</v>
      </c>
      <c r="M2296">
        <f t="shared" si="141"/>
        <v>2025</v>
      </c>
      <c r="N2296">
        <f t="shared" si="142"/>
        <v>119069.71999999999</v>
      </c>
      <c r="O2296" t="str">
        <f t="shared" si="143"/>
        <v>On Time</v>
      </c>
    </row>
    <row r="2297" spans="1:15" x14ac:dyDescent="0.25">
      <c r="A2297">
        <v>2296</v>
      </c>
      <c r="B2297" s="2">
        <v>45938</v>
      </c>
      <c r="C2297" t="s">
        <v>16</v>
      </c>
      <c r="D2297" t="s">
        <v>17</v>
      </c>
      <c r="E2297" t="s">
        <v>20</v>
      </c>
      <c r="F2297" t="s">
        <v>14</v>
      </c>
      <c r="G2297">
        <v>189</v>
      </c>
      <c r="H2297">
        <v>346.27</v>
      </c>
      <c r="I2297">
        <v>6</v>
      </c>
      <c r="J2297" t="s">
        <v>15</v>
      </c>
      <c r="K2297">
        <v>65445.03</v>
      </c>
      <c r="L2297" t="str">
        <f t="shared" si="140"/>
        <v>Oct</v>
      </c>
      <c r="M2297">
        <f t="shared" si="141"/>
        <v>2025</v>
      </c>
      <c r="N2297">
        <f t="shared" si="142"/>
        <v>65445.03</v>
      </c>
      <c r="O2297" t="str">
        <f t="shared" si="143"/>
        <v>Minor Delay</v>
      </c>
    </row>
    <row r="2298" spans="1:15" x14ac:dyDescent="0.25">
      <c r="A2298">
        <v>2297</v>
      </c>
      <c r="B2298" s="2">
        <v>46014</v>
      </c>
      <c r="C2298" t="s">
        <v>11</v>
      </c>
      <c r="D2298" t="s">
        <v>23</v>
      </c>
      <c r="E2298" t="s">
        <v>13</v>
      </c>
      <c r="F2298" t="s">
        <v>24</v>
      </c>
      <c r="G2298">
        <v>178</v>
      </c>
      <c r="H2298">
        <v>257.62</v>
      </c>
      <c r="I2298">
        <v>3</v>
      </c>
      <c r="J2298" t="s">
        <v>30</v>
      </c>
      <c r="K2298">
        <v>45856.36</v>
      </c>
      <c r="L2298" t="str">
        <f t="shared" si="140"/>
        <v>Dec</v>
      </c>
      <c r="M2298">
        <f t="shared" si="141"/>
        <v>2025</v>
      </c>
      <c r="N2298">
        <f t="shared" si="142"/>
        <v>45856.36</v>
      </c>
      <c r="O2298" t="str">
        <f t="shared" si="143"/>
        <v>Minor Delay</v>
      </c>
    </row>
    <row r="2299" spans="1:15" x14ac:dyDescent="0.25">
      <c r="A2299">
        <v>2298</v>
      </c>
      <c r="B2299" s="2">
        <v>45815</v>
      </c>
      <c r="C2299" t="s">
        <v>31</v>
      </c>
      <c r="D2299" t="s">
        <v>19</v>
      </c>
      <c r="E2299" t="s">
        <v>22</v>
      </c>
      <c r="F2299" t="s">
        <v>21</v>
      </c>
      <c r="G2299">
        <v>296</v>
      </c>
      <c r="H2299">
        <v>790.05</v>
      </c>
      <c r="I2299">
        <v>0</v>
      </c>
      <c r="J2299" t="s">
        <v>30</v>
      </c>
      <c r="K2299">
        <v>233854.8</v>
      </c>
      <c r="L2299" t="str">
        <f t="shared" si="140"/>
        <v>Jun</v>
      </c>
      <c r="M2299">
        <f t="shared" si="141"/>
        <v>2025</v>
      </c>
      <c r="N2299">
        <f t="shared" si="142"/>
        <v>233854.8</v>
      </c>
      <c r="O2299" t="str">
        <f t="shared" si="143"/>
        <v>On Time</v>
      </c>
    </row>
    <row r="2300" spans="1:15" x14ac:dyDescent="0.25">
      <c r="A2300">
        <v>2299</v>
      </c>
      <c r="B2300" s="2">
        <v>45859</v>
      </c>
      <c r="C2300" t="s">
        <v>18</v>
      </c>
      <c r="D2300" t="s">
        <v>13</v>
      </c>
      <c r="E2300" t="s">
        <v>12</v>
      </c>
      <c r="F2300" t="s">
        <v>24</v>
      </c>
      <c r="G2300">
        <v>146</v>
      </c>
      <c r="H2300">
        <v>621.48</v>
      </c>
      <c r="I2300">
        <v>32</v>
      </c>
      <c r="J2300" t="s">
        <v>15</v>
      </c>
      <c r="K2300">
        <v>90736.08</v>
      </c>
      <c r="L2300" t="str">
        <f t="shared" si="140"/>
        <v>Jul</v>
      </c>
      <c r="M2300">
        <f t="shared" si="141"/>
        <v>2025</v>
      </c>
      <c r="N2300">
        <f t="shared" si="142"/>
        <v>90736.08</v>
      </c>
      <c r="O2300" t="str">
        <f t="shared" si="143"/>
        <v>Moderate Delay</v>
      </c>
    </row>
    <row r="2301" spans="1:15" x14ac:dyDescent="0.25">
      <c r="A2301">
        <v>2300</v>
      </c>
      <c r="B2301" s="2">
        <v>45663</v>
      </c>
      <c r="C2301" t="s">
        <v>16</v>
      </c>
      <c r="D2301" t="s">
        <v>29</v>
      </c>
      <c r="E2301" t="s">
        <v>17</v>
      </c>
      <c r="F2301" t="s">
        <v>24</v>
      </c>
      <c r="G2301">
        <v>104</v>
      </c>
      <c r="H2301">
        <v>789.17</v>
      </c>
      <c r="I2301">
        <v>1</v>
      </c>
      <c r="J2301" t="s">
        <v>15</v>
      </c>
      <c r="K2301">
        <v>82073.679999999993</v>
      </c>
      <c r="L2301" t="str">
        <f t="shared" si="140"/>
        <v>Jan</v>
      </c>
      <c r="M2301">
        <f t="shared" si="141"/>
        <v>2025</v>
      </c>
      <c r="N2301">
        <f t="shared" si="142"/>
        <v>82073.679999999993</v>
      </c>
      <c r="O2301" t="str">
        <f t="shared" si="143"/>
        <v>Minor Delay</v>
      </c>
    </row>
    <row r="2302" spans="1:15" x14ac:dyDescent="0.25">
      <c r="A2302">
        <v>2301</v>
      </c>
      <c r="B2302" s="2">
        <v>45752</v>
      </c>
      <c r="C2302" t="s">
        <v>26</v>
      </c>
      <c r="D2302" t="s">
        <v>29</v>
      </c>
      <c r="E2302" t="s">
        <v>20</v>
      </c>
      <c r="F2302" t="s">
        <v>14</v>
      </c>
      <c r="G2302">
        <v>167</v>
      </c>
      <c r="H2302">
        <v>457.56</v>
      </c>
      <c r="I2302">
        <v>23</v>
      </c>
      <c r="J2302" t="s">
        <v>15</v>
      </c>
      <c r="K2302">
        <v>76412.52</v>
      </c>
      <c r="L2302" t="str">
        <f t="shared" si="140"/>
        <v>Apr</v>
      </c>
      <c r="M2302">
        <f t="shared" si="141"/>
        <v>2025</v>
      </c>
      <c r="N2302">
        <f t="shared" si="142"/>
        <v>76412.52</v>
      </c>
      <c r="O2302" t="str">
        <f t="shared" si="143"/>
        <v>Minor Delay</v>
      </c>
    </row>
    <row r="2303" spans="1:15" x14ac:dyDescent="0.25">
      <c r="A2303">
        <v>2302</v>
      </c>
      <c r="B2303" s="2">
        <v>45771</v>
      </c>
      <c r="C2303" t="s">
        <v>26</v>
      </c>
      <c r="D2303" t="s">
        <v>29</v>
      </c>
      <c r="E2303" t="s">
        <v>23</v>
      </c>
      <c r="F2303" t="s">
        <v>24</v>
      </c>
      <c r="G2303">
        <v>269</v>
      </c>
      <c r="H2303">
        <v>130.47999999999999</v>
      </c>
      <c r="I2303">
        <v>28</v>
      </c>
      <c r="J2303" t="s">
        <v>15</v>
      </c>
      <c r="K2303">
        <v>35099.120000000003</v>
      </c>
      <c r="L2303" t="str">
        <f t="shared" si="140"/>
        <v>Apr</v>
      </c>
      <c r="M2303">
        <f t="shared" si="141"/>
        <v>2025</v>
      </c>
      <c r="N2303">
        <f t="shared" si="142"/>
        <v>35099.119999999995</v>
      </c>
      <c r="O2303" t="str">
        <f t="shared" si="143"/>
        <v>Minor Delay</v>
      </c>
    </row>
    <row r="2304" spans="1:15" x14ac:dyDescent="0.25">
      <c r="A2304">
        <v>2303</v>
      </c>
      <c r="B2304" s="2">
        <v>45987</v>
      </c>
      <c r="C2304" t="s">
        <v>18</v>
      </c>
      <c r="D2304" t="s">
        <v>13</v>
      </c>
      <c r="E2304" t="s">
        <v>12</v>
      </c>
      <c r="F2304" t="s">
        <v>21</v>
      </c>
      <c r="G2304">
        <v>61</v>
      </c>
      <c r="H2304">
        <v>323.57</v>
      </c>
      <c r="I2304">
        <v>62</v>
      </c>
      <c r="J2304" t="s">
        <v>15</v>
      </c>
      <c r="K2304">
        <v>19737.77</v>
      </c>
      <c r="L2304" t="str">
        <f t="shared" si="140"/>
        <v>Nov</v>
      </c>
      <c r="M2304">
        <f t="shared" si="141"/>
        <v>2025</v>
      </c>
      <c r="N2304">
        <f t="shared" si="142"/>
        <v>19737.77</v>
      </c>
      <c r="O2304" t="str">
        <f t="shared" si="143"/>
        <v>Major Delay</v>
      </c>
    </row>
    <row r="2305" spans="1:15" x14ac:dyDescent="0.25">
      <c r="A2305">
        <v>2304</v>
      </c>
      <c r="B2305" s="2">
        <v>45782</v>
      </c>
      <c r="C2305" t="s">
        <v>16</v>
      </c>
      <c r="D2305" t="s">
        <v>17</v>
      </c>
      <c r="E2305" t="s">
        <v>23</v>
      </c>
      <c r="F2305" t="s">
        <v>14</v>
      </c>
      <c r="G2305">
        <v>276</v>
      </c>
      <c r="H2305">
        <v>728.11</v>
      </c>
      <c r="I2305">
        <v>21</v>
      </c>
      <c r="J2305" t="s">
        <v>15</v>
      </c>
      <c r="K2305">
        <v>200958.36</v>
      </c>
      <c r="L2305" t="str">
        <f t="shared" si="140"/>
        <v>May</v>
      </c>
      <c r="M2305">
        <f t="shared" si="141"/>
        <v>2025</v>
      </c>
      <c r="N2305">
        <f t="shared" si="142"/>
        <v>200958.36000000002</v>
      </c>
      <c r="O2305" t="str">
        <f t="shared" si="143"/>
        <v>Minor Delay</v>
      </c>
    </row>
    <row r="2306" spans="1:15" x14ac:dyDescent="0.25">
      <c r="A2306">
        <v>2305</v>
      </c>
      <c r="B2306" s="2">
        <v>45770</v>
      </c>
      <c r="C2306" t="s">
        <v>11</v>
      </c>
      <c r="D2306" t="s">
        <v>17</v>
      </c>
      <c r="E2306" t="s">
        <v>27</v>
      </c>
      <c r="F2306" t="s">
        <v>21</v>
      </c>
      <c r="G2306">
        <v>287</v>
      </c>
      <c r="H2306">
        <v>64.81</v>
      </c>
      <c r="I2306">
        <v>37</v>
      </c>
      <c r="J2306" t="s">
        <v>30</v>
      </c>
      <c r="K2306">
        <v>18600.47</v>
      </c>
      <c r="L2306" t="str">
        <f t="shared" si="140"/>
        <v>Apr</v>
      </c>
      <c r="M2306">
        <f t="shared" si="141"/>
        <v>2025</v>
      </c>
      <c r="N2306">
        <f t="shared" si="142"/>
        <v>18600.47</v>
      </c>
      <c r="O2306" t="str">
        <f t="shared" si="143"/>
        <v>Moderate Delay</v>
      </c>
    </row>
    <row r="2307" spans="1:15" x14ac:dyDescent="0.25">
      <c r="A2307">
        <v>2306</v>
      </c>
      <c r="B2307" s="2">
        <v>45946</v>
      </c>
      <c r="C2307" t="s">
        <v>31</v>
      </c>
      <c r="D2307" t="s">
        <v>20</v>
      </c>
      <c r="E2307" t="s">
        <v>22</v>
      </c>
      <c r="F2307" t="s">
        <v>21</v>
      </c>
      <c r="G2307">
        <v>165</v>
      </c>
      <c r="H2307">
        <v>299.23</v>
      </c>
      <c r="I2307">
        <v>6</v>
      </c>
      <c r="J2307" t="s">
        <v>15</v>
      </c>
      <c r="K2307">
        <v>49372.95</v>
      </c>
      <c r="L2307" t="str">
        <f t="shared" ref="L2307:L2370" si="144">TEXT(B2307,"MMM")</f>
        <v>Oct</v>
      </c>
      <c r="M2307">
        <f t="shared" ref="M2307:M2370" si="145">YEAR(B2307)</f>
        <v>2025</v>
      </c>
      <c r="N2307">
        <f t="shared" ref="N2307:N2370" si="146">G2307*H2307</f>
        <v>49372.950000000004</v>
      </c>
      <c r="O2307" t="str">
        <f t="shared" ref="O2307:O2370" si="147">IF(I2307=0,"On Time",IF(I2307&lt;=30,"Minor Delay",IF(I2307&lt;=60,"Moderate Delay","Major Delay")))</f>
        <v>Minor Delay</v>
      </c>
    </row>
    <row r="2308" spans="1:15" x14ac:dyDescent="0.25">
      <c r="A2308">
        <v>2307</v>
      </c>
      <c r="B2308" s="2">
        <v>45745</v>
      </c>
      <c r="C2308" t="s">
        <v>31</v>
      </c>
      <c r="D2308" t="s">
        <v>29</v>
      </c>
      <c r="E2308" t="s">
        <v>12</v>
      </c>
      <c r="F2308" t="s">
        <v>21</v>
      </c>
      <c r="G2308">
        <v>201</v>
      </c>
      <c r="H2308">
        <v>630.59</v>
      </c>
      <c r="I2308">
        <v>10</v>
      </c>
      <c r="J2308" t="s">
        <v>15</v>
      </c>
      <c r="K2308">
        <v>126748.59</v>
      </c>
      <c r="L2308" t="str">
        <f t="shared" si="144"/>
        <v>Mar</v>
      </c>
      <c r="M2308">
        <f t="shared" si="145"/>
        <v>2025</v>
      </c>
      <c r="N2308">
        <f t="shared" si="146"/>
        <v>126748.59000000001</v>
      </c>
      <c r="O2308" t="str">
        <f t="shared" si="147"/>
        <v>Minor Delay</v>
      </c>
    </row>
    <row r="2309" spans="1:15" x14ac:dyDescent="0.25">
      <c r="A2309">
        <v>2308</v>
      </c>
      <c r="B2309" s="2">
        <v>46001</v>
      </c>
      <c r="C2309" t="s">
        <v>11</v>
      </c>
      <c r="D2309" t="s">
        <v>19</v>
      </c>
      <c r="E2309" t="s">
        <v>20</v>
      </c>
      <c r="F2309" t="s">
        <v>14</v>
      </c>
      <c r="G2309">
        <v>276</v>
      </c>
      <c r="H2309">
        <v>573.72</v>
      </c>
      <c r="I2309">
        <v>43</v>
      </c>
      <c r="J2309" t="s">
        <v>15</v>
      </c>
      <c r="K2309">
        <v>158346.72</v>
      </c>
      <c r="L2309" t="str">
        <f t="shared" si="144"/>
        <v>Dec</v>
      </c>
      <c r="M2309">
        <f t="shared" si="145"/>
        <v>2025</v>
      </c>
      <c r="N2309">
        <f t="shared" si="146"/>
        <v>158346.72</v>
      </c>
      <c r="O2309" t="str">
        <f t="shared" si="147"/>
        <v>Moderate Delay</v>
      </c>
    </row>
    <row r="2310" spans="1:15" x14ac:dyDescent="0.25">
      <c r="A2310">
        <v>2309</v>
      </c>
      <c r="B2310" s="2">
        <v>45697</v>
      </c>
      <c r="C2310" t="s">
        <v>26</v>
      </c>
      <c r="D2310" t="s">
        <v>22</v>
      </c>
      <c r="E2310" t="s">
        <v>29</v>
      </c>
      <c r="F2310" t="s">
        <v>24</v>
      </c>
      <c r="G2310">
        <v>168</v>
      </c>
      <c r="H2310">
        <v>718.55</v>
      </c>
      <c r="I2310">
        <v>15</v>
      </c>
      <c r="J2310" t="s">
        <v>30</v>
      </c>
      <c r="K2310">
        <v>120716.4</v>
      </c>
      <c r="L2310" t="str">
        <f t="shared" si="144"/>
        <v>Feb</v>
      </c>
      <c r="M2310">
        <f t="shared" si="145"/>
        <v>2025</v>
      </c>
      <c r="N2310">
        <f t="shared" si="146"/>
        <v>120716.4</v>
      </c>
      <c r="O2310" t="str">
        <f t="shared" si="147"/>
        <v>Minor Delay</v>
      </c>
    </row>
    <row r="2311" spans="1:15" x14ac:dyDescent="0.25">
      <c r="A2311">
        <v>2310</v>
      </c>
      <c r="B2311" s="2">
        <v>45834</v>
      </c>
      <c r="C2311" t="s">
        <v>11</v>
      </c>
      <c r="D2311" t="s">
        <v>12</v>
      </c>
      <c r="E2311" t="s">
        <v>29</v>
      </c>
      <c r="F2311" t="s">
        <v>14</v>
      </c>
      <c r="G2311">
        <v>232</v>
      </c>
      <c r="H2311">
        <v>616.42999999999995</v>
      </c>
      <c r="I2311">
        <v>7</v>
      </c>
      <c r="J2311" t="s">
        <v>15</v>
      </c>
      <c r="K2311">
        <v>143011.76</v>
      </c>
      <c r="L2311" t="str">
        <f t="shared" si="144"/>
        <v>Jun</v>
      </c>
      <c r="M2311">
        <f t="shared" si="145"/>
        <v>2025</v>
      </c>
      <c r="N2311">
        <f t="shared" si="146"/>
        <v>143011.75999999998</v>
      </c>
      <c r="O2311" t="str">
        <f t="shared" si="147"/>
        <v>Minor Delay</v>
      </c>
    </row>
    <row r="2312" spans="1:15" x14ac:dyDescent="0.25">
      <c r="A2312">
        <v>2311</v>
      </c>
      <c r="B2312" s="2">
        <v>46016</v>
      </c>
      <c r="C2312" t="s">
        <v>11</v>
      </c>
      <c r="D2312" t="s">
        <v>19</v>
      </c>
      <c r="E2312" t="s">
        <v>20</v>
      </c>
      <c r="F2312" t="s">
        <v>14</v>
      </c>
      <c r="G2312">
        <v>215</v>
      </c>
      <c r="H2312">
        <v>648.49</v>
      </c>
      <c r="I2312">
        <v>17</v>
      </c>
      <c r="J2312" t="s">
        <v>15</v>
      </c>
      <c r="K2312">
        <v>139425.35</v>
      </c>
      <c r="L2312" t="str">
        <f t="shared" si="144"/>
        <v>Dec</v>
      </c>
      <c r="M2312">
        <f t="shared" si="145"/>
        <v>2025</v>
      </c>
      <c r="N2312">
        <f t="shared" si="146"/>
        <v>139425.35</v>
      </c>
      <c r="O2312" t="str">
        <f t="shared" si="147"/>
        <v>Minor Delay</v>
      </c>
    </row>
    <row r="2313" spans="1:15" x14ac:dyDescent="0.25">
      <c r="A2313">
        <v>2312</v>
      </c>
      <c r="B2313" s="2">
        <v>45925</v>
      </c>
      <c r="C2313" t="s">
        <v>31</v>
      </c>
      <c r="D2313" t="s">
        <v>27</v>
      </c>
      <c r="E2313" t="s">
        <v>12</v>
      </c>
      <c r="F2313" t="s">
        <v>24</v>
      </c>
      <c r="G2313">
        <v>235</v>
      </c>
      <c r="H2313">
        <v>63.16</v>
      </c>
      <c r="I2313">
        <v>4</v>
      </c>
      <c r="J2313" t="s">
        <v>15</v>
      </c>
      <c r="K2313">
        <v>14842.6</v>
      </c>
      <c r="L2313" t="str">
        <f t="shared" si="144"/>
        <v>Sep</v>
      </c>
      <c r="M2313">
        <f t="shared" si="145"/>
        <v>2025</v>
      </c>
      <c r="N2313">
        <f t="shared" si="146"/>
        <v>14842.599999999999</v>
      </c>
      <c r="O2313" t="str">
        <f t="shared" si="147"/>
        <v>Minor Delay</v>
      </c>
    </row>
    <row r="2314" spans="1:15" x14ac:dyDescent="0.25">
      <c r="A2314">
        <v>2313</v>
      </c>
      <c r="B2314" s="2">
        <v>45712</v>
      </c>
      <c r="C2314" t="s">
        <v>16</v>
      </c>
      <c r="D2314" t="s">
        <v>12</v>
      </c>
      <c r="E2314" t="s">
        <v>20</v>
      </c>
      <c r="F2314" t="s">
        <v>21</v>
      </c>
      <c r="G2314">
        <v>161</v>
      </c>
      <c r="H2314">
        <v>216.46</v>
      </c>
      <c r="I2314">
        <v>0</v>
      </c>
      <c r="J2314" t="s">
        <v>15</v>
      </c>
      <c r="K2314">
        <v>34850.06</v>
      </c>
      <c r="L2314" t="str">
        <f t="shared" si="144"/>
        <v>Feb</v>
      </c>
      <c r="M2314">
        <f t="shared" si="145"/>
        <v>2025</v>
      </c>
      <c r="N2314">
        <f t="shared" si="146"/>
        <v>34850.06</v>
      </c>
      <c r="O2314" t="str">
        <f t="shared" si="147"/>
        <v>On Time</v>
      </c>
    </row>
    <row r="2315" spans="1:15" x14ac:dyDescent="0.25">
      <c r="A2315">
        <v>2314</v>
      </c>
      <c r="B2315" s="2">
        <v>46011</v>
      </c>
      <c r="C2315" t="s">
        <v>18</v>
      </c>
      <c r="D2315" t="s">
        <v>22</v>
      </c>
      <c r="E2315" t="s">
        <v>27</v>
      </c>
      <c r="F2315" t="s">
        <v>14</v>
      </c>
      <c r="G2315">
        <v>230</v>
      </c>
      <c r="H2315">
        <v>571.14</v>
      </c>
      <c r="I2315">
        <v>42</v>
      </c>
      <c r="J2315" t="s">
        <v>15</v>
      </c>
      <c r="K2315">
        <v>131362.20000000001</v>
      </c>
      <c r="L2315" t="str">
        <f t="shared" si="144"/>
        <v>Dec</v>
      </c>
      <c r="M2315">
        <f t="shared" si="145"/>
        <v>2025</v>
      </c>
      <c r="N2315">
        <f t="shared" si="146"/>
        <v>131362.19999999998</v>
      </c>
      <c r="O2315" t="str">
        <f t="shared" si="147"/>
        <v>Moderate Delay</v>
      </c>
    </row>
    <row r="2316" spans="1:15" x14ac:dyDescent="0.25">
      <c r="A2316">
        <v>2315</v>
      </c>
      <c r="B2316" s="2">
        <v>46020</v>
      </c>
      <c r="C2316" t="s">
        <v>16</v>
      </c>
      <c r="D2316" t="s">
        <v>27</v>
      </c>
      <c r="E2316" t="s">
        <v>13</v>
      </c>
      <c r="F2316" t="s">
        <v>24</v>
      </c>
      <c r="G2316">
        <v>284</v>
      </c>
      <c r="H2316">
        <v>234.89</v>
      </c>
      <c r="I2316">
        <v>0</v>
      </c>
      <c r="J2316" t="s">
        <v>15</v>
      </c>
      <c r="K2316">
        <v>66708.759999999995</v>
      </c>
      <c r="L2316" t="str">
        <f t="shared" si="144"/>
        <v>Dec</v>
      </c>
      <c r="M2316">
        <f t="shared" si="145"/>
        <v>2025</v>
      </c>
      <c r="N2316">
        <f t="shared" si="146"/>
        <v>66708.759999999995</v>
      </c>
      <c r="O2316" t="str">
        <f t="shared" si="147"/>
        <v>On Time</v>
      </c>
    </row>
    <row r="2317" spans="1:15" x14ac:dyDescent="0.25">
      <c r="A2317">
        <v>2316</v>
      </c>
      <c r="B2317" s="2">
        <v>45938</v>
      </c>
      <c r="C2317" t="s">
        <v>18</v>
      </c>
      <c r="D2317" t="s">
        <v>19</v>
      </c>
      <c r="E2317" t="s">
        <v>12</v>
      </c>
      <c r="F2317" t="s">
        <v>21</v>
      </c>
      <c r="G2317">
        <v>291</v>
      </c>
      <c r="H2317">
        <v>174.38</v>
      </c>
      <c r="I2317">
        <v>10</v>
      </c>
      <c r="J2317" t="s">
        <v>30</v>
      </c>
      <c r="K2317">
        <v>50744.58</v>
      </c>
      <c r="L2317" t="str">
        <f t="shared" si="144"/>
        <v>Oct</v>
      </c>
      <c r="M2317">
        <f t="shared" si="145"/>
        <v>2025</v>
      </c>
      <c r="N2317">
        <f t="shared" si="146"/>
        <v>50744.58</v>
      </c>
      <c r="O2317" t="str">
        <f t="shared" si="147"/>
        <v>Minor Delay</v>
      </c>
    </row>
    <row r="2318" spans="1:15" x14ac:dyDescent="0.25">
      <c r="A2318">
        <v>2317</v>
      </c>
      <c r="B2318" s="2">
        <v>45918</v>
      </c>
      <c r="C2318" t="s">
        <v>26</v>
      </c>
      <c r="D2318" t="s">
        <v>20</v>
      </c>
      <c r="E2318" t="s">
        <v>29</v>
      </c>
      <c r="F2318" t="s">
        <v>24</v>
      </c>
      <c r="G2318">
        <v>296</v>
      </c>
      <c r="H2318">
        <v>712.73</v>
      </c>
      <c r="I2318">
        <v>44</v>
      </c>
      <c r="J2318" t="s">
        <v>28</v>
      </c>
      <c r="K2318">
        <v>210968.08</v>
      </c>
      <c r="L2318" t="str">
        <f t="shared" si="144"/>
        <v>Sep</v>
      </c>
      <c r="M2318">
        <f t="shared" si="145"/>
        <v>2025</v>
      </c>
      <c r="N2318">
        <f t="shared" si="146"/>
        <v>210968.08000000002</v>
      </c>
      <c r="O2318" t="str">
        <f t="shared" si="147"/>
        <v>Moderate Delay</v>
      </c>
    </row>
    <row r="2319" spans="1:15" x14ac:dyDescent="0.25">
      <c r="A2319">
        <v>2318</v>
      </c>
      <c r="B2319" s="2">
        <v>45902</v>
      </c>
      <c r="C2319" t="s">
        <v>11</v>
      </c>
      <c r="D2319" t="s">
        <v>29</v>
      </c>
      <c r="E2319" t="s">
        <v>19</v>
      </c>
      <c r="F2319" t="s">
        <v>14</v>
      </c>
      <c r="G2319">
        <v>63</v>
      </c>
      <c r="H2319">
        <v>191.45</v>
      </c>
      <c r="I2319">
        <v>0</v>
      </c>
      <c r="J2319" t="s">
        <v>15</v>
      </c>
      <c r="K2319">
        <v>12061.35</v>
      </c>
      <c r="L2319" t="str">
        <f t="shared" si="144"/>
        <v>Sep</v>
      </c>
      <c r="M2319">
        <f t="shared" si="145"/>
        <v>2025</v>
      </c>
      <c r="N2319">
        <f t="shared" si="146"/>
        <v>12061.349999999999</v>
      </c>
      <c r="O2319" t="str">
        <f t="shared" si="147"/>
        <v>On Time</v>
      </c>
    </row>
    <row r="2320" spans="1:15" x14ac:dyDescent="0.25">
      <c r="A2320">
        <v>2319</v>
      </c>
      <c r="B2320" s="2">
        <v>45978</v>
      </c>
      <c r="C2320" t="s">
        <v>11</v>
      </c>
      <c r="D2320" t="s">
        <v>23</v>
      </c>
      <c r="E2320" t="s">
        <v>29</v>
      </c>
      <c r="F2320" t="s">
        <v>14</v>
      </c>
      <c r="G2320">
        <v>219</v>
      </c>
      <c r="H2320">
        <v>759.68</v>
      </c>
      <c r="I2320">
        <v>30</v>
      </c>
      <c r="J2320" t="s">
        <v>15</v>
      </c>
      <c r="K2320">
        <v>166369.92000000001</v>
      </c>
      <c r="L2320" t="str">
        <f t="shared" si="144"/>
        <v>Nov</v>
      </c>
      <c r="M2320">
        <f t="shared" si="145"/>
        <v>2025</v>
      </c>
      <c r="N2320">
        <f t="shared" si="146"/>
        <v>166369.91999999998</v>
      </c>
      <c r="O2320" t="str">
        <f t="shared" si="147"/>
        <v>Minor Delay</v>
      </c>
    </row>
    <row r="2321" spans="1:15" x14ac:dyDescent="0.25">
      <c r="A2321">
        <v>2320</v>
      </c>
      <c r="B2321" s="2">
        <v>45725</v>
      </c>
      <c r="C2321" t="s">
        <v>25</v>
      </c>
      <c r="D2321" t="s">
        <v>23</v>
      </c>
      <c r="E2321" t="s">
        <v>19</v>
      </c>
      <c r="F2321" t="s">
        <v>21</v>
      </c>
      <c r="G2321">
        <v>241</v>
      </c>
      <c r="H2321">
        <v>141.18</v>
      </c>
      <c r="I2321">
        <v>23</v>
      </c>
      <c r="J2321" t="s">
        <v>15</v>
      </c>
      <c r="K2321">
        <v>34024.379999999997</v>
      </c>
      <c r="L2321" t="str">
        <f t="shared" si="144"/>
        <v>Mar</v>
      </c>
      <c r="M2321">
        <f t="shared" si="145"/>
        <v>2025</v>
      </c>
      <c r="N2321">
        <f t="shared" si="146"/>
        <v>34024.380000000005</v>
      </c>
      <c r="O2321" t="str">
        <f t="shared" si="147"/>
        <v>Minor Delay</v>
      </c>
    </row>
    <row r="2322" spans="1:15" x14ac:dyDescent="0.25">
      <c r="A2322">
        <v>2321</v>
      </c>
      <c r="B2322" s="2">
        <v>46016</v>
      </c>
      <c r="C2322" t="s">
        <v>16</v>
      </c>
      <c r="D2322" t="s">
        <v>22</v>
      </c>
      <c r="E2322" t="s">
        <v>19</v>
      </c>
      <c r="F2322" t="s">
        <v>21</v>
      </c>
      <c r="G2322">
        <v>82</v>
      </c>
      <c r="H2322">
        <v>604.42999999999995</v>
      </c>
      <c r="I2322">
        <v>18</v>
      </c>
      <c r="J2322" t="s">
        <v>15</v>
      </c>
      <c r="K2322">
        <v>49563.26</v>
      </c>
      <c r="L2322" t="str">
        <f t="shared" si="144"/>
        <v>Dec</v>
      </c>
      <c r="M2322">
        <f t="shared" si="145"/>
        <v>2025</v>
      </c>
      <c r="N2322">
        <f t="shared" si="146"/>
        <v>49563.259999999995</v>
      </c>
      <c r="O2322" t="str">
        <f t="shared" si="147"/>
        <v>Minor Delay</v>
      </c>
    </row>
    <row r="2323" spans="1:15" x14ac:dyDescent="0.25">
      <c r="A2323">
        <v>2322</v>
      </c>
      <c r="B2323" s="2">
        <v>46014</v>
      </c>
      <c r="C2323" t="s">
        <v>11</v>
      </c>
      <c r="D2323" t="s">
        <v>13</v>
      </c>
      <c r="E2323" t="s">
        <v>22</v>
      </c>
      <c r="F2323" t="s">
        <v>14</v>
      </c>
      <c r="G2323">
        <v>268</v>
      </c>
      <c r="H2323">
        <v>157.09</v>
      </c>
      <c r="I2323">
        <v>6</v>
      </c>
      <c r="J2323" t="s">
        <v>15</v>
      </c>
      <c r="K2323">
        <v>42100.12</v>
      </c>
      <c r="L2323" t="str">
        <f t="shared" si="144"/>
        <v>Dec</v>
      </c>
      <c r="M2323">
        <f t="shared" si="145"/>
        <v>2025</v>
      </c>
      <c r="N2323">
        <f t="shared" si="146"/>
        <v>42100.12</v>
      </c>
      <c r="O2323" t="str">
        <f t="shared" si="147"/>
        <v>Minor Delay</v>
      </c>
    </row>
    <row r="2324" spans="1:15" x14ac:dyDescent="0.25">
      <c r="A2324">
        <v>2323</v>
      </c>
      <c r="B2324" s="2">
        <v>45723</v>
      </c>
      <c r="C2324" t="s">
        <v>25</v>
      </c>
      <c r="D2324" t="s">
        <v>20</v>
      </c>
      <c r="E2324" t="s">
        <v>22</v>
      </c>
      <c r="F2324" t="s">
        <v>14</v>
      </c>
      <c r="G2324">
        <v>112</v>
      </c>
      <c r="H2324">
        <v>335.97</v>
      </c>
      <c r="I2324">
        <v>38</v>
      </c>
      <c r="J2324" t="s">
        <v>15</v>
      </c>
      <c r="K2324">
        <v>37628.639999999999</v>
      </c>
      <c r="L2324" t="str">
        <f t="shared" si="144"/>
        <v>Mar</v>
      </c>
      <c r="M2324">
        <f t="shared" si="145"/>
        <v>2025</v>
      </c>
      <c r="N2324">
        <f t="shared" si="146"/>
        <v>37628.639999999999</v>
      </c>
      <c r="O2324" t="str">
        <f t="shared" si="147"/>
        <v>Moderate Delay</v>
      </c>
    </row>
    <row r="2325" spans="1:15" x14ac:dyDescent="0.25">
      <c r="A2325">
        <v>2324</v>
      </c>
      <c r="B2325" s="2">
        <v>45871</v>
      </c>
      <c r="C2325" t="s">
        <v>26</v>
      </c>
      <c r="D2325" t="s">
        <v>27</v>
      </c>
      <c r="E2325" t="s">
        <v>12</v>
      </c>
      <c r="F2325" t="s">
        <v>14</v>
      </c>
      <c r="G2325">
        <v>154</v>
      </c>
      <c r="H2325">
        <v>247.56</v>
      </c>
      <c r="I2325">
        <v>70</v>
      </c>
      <c r="J2325" t="s">
        <v>15</v>
      </c>
      <c r="K2325">
        <v>38124.239999999998</v>
      </c>
      <c r="L2325" t="str">
        <f t="shared" si="144"/>
        <v>Aug</v>
      </c>
      <c r="M2325">
        <f t="shared" si="145"/>
        <v>2025</v>
      </c>
      <c r="N2325">
        <f t="shared" si="146"/>
        <v>38124.239999999998</v>
      </c>
      <c r="O2325" t="str">
        <f t="shared" si="147"/>
        <v>Major Delay</v>
      </c>
    </row>
    <row r="2326" spans="1:15" x14ac:dyDescent="0.25">
      <c r="A2326">
        <v>2325</v>
      </c>
      <c r="B2326" s="2">
        <v>45962</v>
      </c>
      <c r="C2326" t="s">
        <v>11</v>
      </c>
      <c r="D2326" t="s">
        <v>13</v>
      </c>
      <c r="E2326" t="s">
        <v>17</v>
      </c>
      <c r="F2326" t="s">
        <v>24</v>
      </c>
      <c r="G2326">
        <v>166</v>
      </c>
      <c r="H2326">
        <v>400.1</v>
      </c>
      <c r="I2326">
        <v>0</v>
      </c>
      <c r="J2326" t="s">
        <v>15</v>
      </c>
      <c r="K2326">
        <v>66416.600000000006</v>
      </c>
      <c r="L2326" t="str">
        <f t="shared" si="144"/>
        <v>Nov</v>
      </c>
      <c r="M2326">
        <f t="shared" si="145"/>
        <v>2025</v>
      </c>
      <c r="N2326">
        <f t="shared" si="146"/>
        <v>66416.600000000006</v>
      </c>
      <c r="O2326" t="str">
        <f t="shared" si="147"/>
        <v>On Time</v>
      </c>
    </row>
    <row r="2327" spans="1:15" x14ac:dyDescent="0.25">
      <c r="A2327">
        <v>2326</v>
      </c>
      <c r="B2327" s="2">
        <v>45694</v>
      </c>
      <c r="C2327" t="s">
        <v>25</v>
      </c>
      <c r="D2327" t="s">
        <v>19</v>
      </c>
      <c r="E2327" t="s">
        <v>29</v>
      </c>
      <c r="F2327" t="s">
        <v>14</v>
      </c>
      <c r="G2327">
        <v>216</v>
      </c>
      <c r="H2327">
        <v>179.81</v>
      </c>
      <c r="I2327">
        <v>39</v>
      </c>
      <c r="J2327" t="s">
        <v>15</v>
      </c>
      <c r="K2327">
        <v>38838.959999999999</v>
      </c>
      <c r="L2327" t="str">
        <f t="shared" si="144"/>
        <v>Feb</v>
      </c>
      <c r="M2327">
        <f t="shared" si="145"/>
        <v>2025</v>
      </c>
      <c r="N2327">
        <f t="shared" si="146"/>
        <v>38838.959999999999</v>
      </c>
      <c r="O2327" t="str">
        <f t="shared" si="147"/>
        <v>Moderate Delay</v>
      </c>
    </row>
    <row r="2328" spans="1:15" x14ac:dyDescent="0.25">
      <c r="A2328">
        <v>2327</v>
      </c>
      <c r="B2328" s="2">
        <v>45898</v>
      </c>
      <c r="C2328" t="s">
        <v>26</v>
      </c>
      <c r="D2328" t="s">
        <v>17</v>
      </c>
      <c r="E2328" t="s">
        <v>12</v>
      </c>
      <c r="F2328" t="s">
        <v>24</v>
      </c>
      <c r="G2328">
        <v>271</v>
      </c>
      <c r="H2328">
        <v>510.01</v>
      </c>
      <c r="I2328">
        <v>29</v>
      </c>
      <c r="J2328" t="s">
        <v>15</v>
      </c>
      <c r="K2328">
        <v>138212.71</v>
      </c>
      <c r="L2328" t="str">
        <f t="shared" si="144"/>
        <v>Aug</v>
      </c>
      <c r="M2328">
        <f t="shared" si="145"/>
        <v>2025</v>
      </c>
      <c r="N2328">
        <f t="shared" si="146"/>
        <v>138212.71</v>
      </c>
      <c r="O2328" t="str">
        <f t="shared" si="147"/>
        <v>Minor Delay</v>
      </c>
    </row>
    <row r="2329" spans="1:15" x14ac:dyDescent="0.25">
      <c r="A2329">
        <v>2328</v>
      </c>
      <c r="B2329" s="2">
        <v>45719</v>
      </c>
      <c r="C2329" t="s">
        <v>16</v>
      </c>
      <c r="D2329" t="s">
        <v>27</v>
      </c>
      <c r="E2329" t="s">
        <v>19</v>
      </c>
      <c r="F2329" t="s">
        <v>24</v>
      </c>
      <c r="G2329">
        <v>113</v>
      </c>
      <c r="H2329">
        <v>683.19</v>
      </c>
      <c r="I2329">
        <v>8</v>
      </c>
      <c r="J2329" t="s">
        <v>15</v>
      </c>
      <c r="K2329">
        <v>77200.47</v>
      </c>
      <c r="L2329" t="str">
        <f t="shared" si="144"/>
        <v>Mar</v>
      </c>
      <c r="M2329">
        <f t="shared" si="145"/>
        <v>2025</v>
      </c>
      <c r="N2329">
        <f t="shared" si="146"/>
        <v>77200.47</v>
      </c>
      <c r="O2329" t="str">
        <f t="shared" si="147"/>
        <v>Minor Delay</v>
      </c>
    </row>
    <row r="2330" spans="1:15" x14ac:dyDescent="0.25">
      <c r="A2330">
        <v>2329</v>
      </c>
      <c r="B2330" s="2">
        <v>45975</v>
      </c>
      <c r="C2330" t="s">
        <v>18</v>
      </c>
      <c r="D2330" t="s">
        <v>23</v>
      </c>
      <c r="E2330" t="s">
        <v>12</v>
      </c>
      <c r="F2330" t="s">
        <v>24</v>
      </c>
      <c r="G2330">
        <v>91</v>
      </c>
      <c r="H2330">
        <v>171.62</v>
      </c>
      <c r="I2330">
        <v>63</v>
      </c>
      <c r="J2330" t="s">
        <v>30</v>
      </c>
      <c r="K2330">
        <v>15617.42</v>
      </c>
      <c r="L2330" t="str">
        <f t="shared" si="144"/>
        <v>Nov</v>
      </c>
      <c r="M2330">
        <f t="shared" si="145"/>
        <v>2025</v>
      </c>
      <c r="N2330">
        <f t="shared" si="146"/>
        <v>15617.42</v>
      </c>
      <c r="O2330" t="str">
        <f t="shared" si="147"/>
        <v>Major Delay</v>
      </c>
    </row>
    <row r="2331" spans="1:15" x14ac:dyDescent="0.25">
      <c r="A2331">
        <v>2330</v>
      </c>
      <c r="B2331" s="2">
        <v>45665</v>
      </c>
      <c r="C2331" t="s">
        <v>31</v>
      </c>
      <c r="D2331" t="s">
        <v>17</v>
      </c>
      <c r="E2331" t="s">
        <v>27</v>
      </c>
      <c r="F2331" t="s">
        <v>14</v>
      </c>
      <c r="G2331">
        <v>143</v>
      </c>
      <c r="H2331">
        <v>360.34</v>
      </c>
      <c r="I2331">
        <v>44</v>
      </c>
      <c r="J2331" t="s">
        <v>30</v>
      </c>
      <c r="K2331">
        <v>51528.62</v>
      </c>
      <c r="L2331" t="str">
        <f t="shared" si="144"/>
        <v>Jan</v>
      </c>
      <c r="M2331">
        <f t="shared" si="145"/>
        <v>2025</v>
      </c>
      <c r="N2331">
        <f t="shared" si="146"/>
        <v>51528.619999999995</v>
      </c>
      <c r="O2331" t="str">
        <f t="shared" si="147"/>
        <v>Moderate Delay</v>
      </c>
    </row>
    <row r="2332" spans="1:15" x14ac:dyDescent="0.25">
      <c r="A2332">
        <v>2331</v>
      </c>
      <c r="B2332" s="2">
        <v>45893</v>
      </c>
      <c r="C2332" t="s">
        <v>16</v>
      </c>
      <c r="D2332" t="s">
        <v>17</v>
      </c>
      <c r="E2332" t="s">
        <v>20</v>
      </c>
      <c r="F2332" t="s">
        <v>24</v>
      </c>
      <c r="G2332">
        <v>109</v>
      </c>
      <c r="H2332">
        <v>578.32000000000005</v>
      </c>
      <c r="I2332">
        <v>29</v>
      </c>
      <c r="J2332" t="s">
        <v>15</v>
      </c>
      <c r="K2332">
        <v>63036.88</v>
      </c>
      <c r="L2332" t="str">
        <f t="shared" si="144"/>
        <v>Aug</v>
      </c>
      <c r="M2332">
        <f t="shared" si="145"/>
        <v>2025</v>
      </c>
      <c r="N2332">
        <f t="shared" si="146"/>
        <v>63036.880000000005</v>
      </c>
      <c r="O2332" t="str">
        <f t="shared" si="147"/>
        <v>Minor Delay</v>
      </c>
    </row>
    <row r="2333" spans="1:15" x14ac:dyDescent="0.25">
      <c r="A2333">
        <v>2332</v>
      </c>
      <c r="B2333" s="2">
        <v>45843</v>
      </c>
      <c r="C2333" t="s">
        <v>16</v>
      </c>
      <c r="D2333" t="s">
        <v>17</v>
      </c>
      <c r="E2333" t="s">
        <v>22</v>
      </c>
      <c r="F2333" t="s">
        <v>24</v>
      </c>
      <c r="G2333">
        <v>198</v>
      </c>
      <c r="H2333">
        <v>272.33999999999997</v>
      </c>
      <c r="I2333">
        <v>15</v>
      </c>
      <c r="J2333" t="s">
        <v>15</v>
      </c>
      <c r="K2333">
        <v>53923.32</v>
      </c>
      <c r="L2333" t="str">
        <f t="shared" si="144"/>
        <v>Jul</v>
      </c>
      <c r="M2333">
        <f t="shared" si="145"/>
        <v>2025</v>
      </c>
      <c r="N2333">
        <f t="shared" si="146"/>
        <v>53923.319999999992</v>
      </c>
      <c r="O2333" t="str">
        <f t="shared" si="147"/>
        <v>Minor Delay</v>
      </c>
    </row>
    <row r="2334" spans="1:15" x14ac:dyDescent="0.25">
      <c r="A2334">
        <v>2333</v>
      </c>
      <c r="B2334" s="2">
        <v>45993</v>
      </c>
      <c r="C2334" t="s">
        <v>16</v>
      </c>
      <c r="D2334" t="s">
        <v>23</v>
      </c>
      <c r="E2334" t="s">
        <v>22</v>
      </c>
      <c r="F2334" t="s">
        <v>24</v>
      </c>
      <c r="G2334">
        <v>297</v>
      </c>
      <c r="H2334">
        <v>379.3</v>
      </c>
      <c r="I2334">
        <v>57</v>
      </c>
      <c r="J2334" t="s">
        <v>15</v>
      </c>
      <c r="K2334">
        <v>112652.1</v>
      </c>
      <c r="L2334" t="str">
        <f t="shared" si="144"/>
        <v>Dec</v>
      </c>
      <c r="M2334">
        <f t="shared" si="145"/>
        <v>2025</v>
      </c>
      <c r="N2334">
        <f t="shared" si="146"/>
        <v>112652.1</v>
      </c>
      <c r="O2334" t="str">
        <f t="shared" si="147"/>
        <v>Moderate Delay</v>
      </c>
    </row>
    <row r="2335" spans="1:15" x14ac:dyDescent="0.25">
      <c r="A2335">
        <v>2334</v>
      </c>
      <c r="B2335" s="2">
        <v>45948</v>
      </c>
      <c r="C2335" t="s">
        <v>18</v>
      </c>
      <c r="D2335" t="s">
        <v>19</v>
      </c>
      <c r="E2335" t="s">
        <v>23</v>
      </c>
      <c r="F2335" t="s">
        <v>24</v>
      </c>
      <c r="G2335">
        <v>52</v>
      </c>
      <c r="H2335">
        <v>283.7</v>
      </c>
      <c r="I2335">
        <v>15</v>
      </c>
      <c r="J2335" t="s">
        <v>15</v>
      </c>
      <c r="K2335">
        <v>14752.4</v>
      </c>
      <c r="L2335" t="str">
        <f t="shared" si="144"/>
        <v>Oct</v>
      </c>
      <c r="M2335">
        <f t="shared" si="145"/>
        <v>2025</v>
      </c>
      <c r="N2335">
        <f t="shared" si="146"/>
        <v>14752.4</v>
      </c>
      <c r="O2335" t="str">
        <f t="shared" si="147"/>
        <v>Minor Delay</v>
      </c>
    </row>
    <row r="2336" spans="1:15" x14ac:dyDescent="0.25">
      <c r="A2336">
        <v>2335</v>
      </c>
      <c r="B2336" s="2">
        <v>45755</v>
      </c>
      <c r="C2336" t="s">
        <v>11</v>
      </c>
      <c r="D2336" t="s">
        <v>29</v>
      </c>
      <c r="E2336" t="s">
        <v>27</v>
      </c>
      <c r="F2336" t="s">
        <v>14</v>
      </c>
      <c r="G2336">
        <v>148</v>
      </c>
      <c r="H2336">
        <v>159.66999999999999</v>
      </c>
      <c r="I2336">
        <v>29</v>
      </c>
      <c r="J2336" t="s">
        <v>15</v>
      </c>
      <c r="K2336">
        <v>23631.16</v>
      </c>
      <c r="L2336" t="str">
        <f t="shared" si="144"/>
        <v>Apr</v>
      </c>
      <c r="M2336">
        <f t="shared" si="145"/>
        <v>2025</v>
      </c>
      <c r="N2336">
        <f t="shared" si="146"/>
        <v>23631.16</v>
      </c>
      <c r="O2336" t="str">
        <f t="shared" si="147"/>
        <v>Minor Delay</v>
      </c>
    </row>
    <row r="2337" spans="1:15" x14ac:dyDescent="0.25">
      <c r="A2337">
        <v>2336</v>
      </c>
      <c r="B2337" s="2">
        <v>45768</v>
      </c>
      <c r="C2337" t="s">
        <v>18</v>
      </c>
      <c r="D2337" t="s">
        <v>29</v>
      </c>
      <c r="E2337" t="s">
        <v>22</v>
      </c>
      <c r="F2337" t="s">
        <v>21</v>
      </c>
      <c r="G2337">
        <v>85</v>
      </c>
      <c r="H2337">
        <v>740.53</v>
      </c>
      <c r="I2337">
        <v>11</v>
      </c>
      <c r="J2337" t="s">
        <v>15</v>
      </c>
      <c r="K2337">
        <v>62945.05</v>
      </c>
      <c r="L2337" t="str">
        <f t="shared" si="144"/>
        <v>Apr</v>
      </c>
      <c r="M2337">
        <f t="shared" si="145"/>
        <v>2025</v>
      </c>
      <c r="N2337">
        <f t="shared" si="146"/>
        <v>62945.049999999996</v>
      </c>
      <c r="O2337" t="str">
        <f t="shared" si="147"/>
        <v>Minor Delay</v>
      </c>
    </row>
    <row r="2338" spans="1:15" x14ac:dyDescent="0.25">
      <c r="A2338">
        <v>2337</v>
      </c>
      <c r="B2338" s="2">
        <v>45794</v>
      </c>
      <c r="C2338" t="s">
        <v>25</v>
      </c>
      <c r="D2338" t="s">
        <v>27</v>
      </c>
      <c r="E2338" t="s">
        <v>22</v>
      </c>
      <c r="F2338" t="s">
        <v>14</v>
      </c>
      <c r="G2338">
        <v>75</v>
      </c>
      <c r="H2338">
        <v>562.59</v>
      </c>
      <c r="I2338">
        <v>40</v>
      </c>
      <c r="J2338" t="s">
        <v>30</v>
      </c>
      <c r="K2338">
        <v>42194.25</v>
      </c>
      <c r="L2338" t="str">
        <f t="shared" si="144"/>
        <v>May</v>
      </c>
      <c r="M2338">
        <f t="shared" si="145"/>
        <v>2025</v>
      </c>
      <c r="N2338">
        <f t="shared" si="146"/>
        <v>42194.25</v>
      </c>
      <c r="O2338" t="str">
        <f t="shared" si="147"/>
        <v>Moderate Delay</v>
      </c>
    </row>
    <row r="2339" spans="1:15" x14ac:dyDescent="0.25">
      <c r="A2339">
        <v>2338</v>
      </c>
      <c r="B2339" s="2">
        <v>45962</v>
      </c>
      <c r="C2339" t="s">
        <v>25</v>
      </c>
      <c r="D2339" t="s">
        <v>27</v>
      </c>
      <c r="E2339" t="s">
        <v>20</v>
      </c>
      <c r="F2339" t="s">
        <v>21</v>
      </c>
      <c r="G2339">
        <v>75</v>
      </c>
      <c r="H2339">
        <v>607.53</v>
      </c>
      <c r="I2339">
        <v>0</v>
      </c>
      <c r="J2339" t="s">
        <v>30</v>
      </c>
      <c r="K2339">
        <v>45564.75</v>
      </c>
      <c r="L2339" t="str">
        <f t="shared" si="144"/>
        <v>Nov</v>
      </c>
      <c r="M2339">
        <f t="shared" si="145"/>
        <v>2025</v>
      </c>
      <c r="N2339">
        <f t="shared" si="146"/>
        <v>45564.75</v>
      </c>
      <c r="O2339" t="str">
        <f t="shared" si="147"/>
        <v>On Time</v>
      </c>
    </row>
    <row r="2340" spans="1:15" x14ac:dyDescent="0.25">
      <c r="A2340">
        <v>2339</v>
      </c>
      <c r="B2340" s="2">
        <v>45817</v>
      </c>
      <c r="C2340" t="s">
        <v>25</v>
      </c>
      <c r="D2340" t="s">
        <v>29</v>
      </c>
      <c r="E2340" t="s">
        <v>23</v>
      </c>
      <c r="F2340" t="s">
        <v>14</v>
      </c>
      <c r="G2340">
        <v>218</v>
      </c>
      <c r="H2340">
        <v>504.58</v>
      </c>
      <c r="I2340">
        <v>11</v>
      </c>
      <c r="J2340" t="s">
        <v>15</v>
      </c>
      <c r="K2340">
        <v>109998.44</v>
      </c>
      <c r="L2340" t="str">
        <f t="shared" si="144"/>
        <v>Jun</v>
      </c>
      <c r="M2340">
        <f t="shared" si="145"/>
        <v>2025</v>
      </c>
      <c r="N2340">
        <f t="shared" si="146"/>
        <v>109998.44</v>
      </c>
      <c r="O2340" t="str">
        <f t="shared" si="147"/>
        <v>Minor Delay</v>
      </c>
    </row>
    <row r="2341" spans="1:15" x14ac:dyDescent="0.25">
      <c r="A2341">
        <v>2340</v>
      </c>
      <c r="B2341" s="2">
        <v>45726</v>
      </c>
      <c r="C2341" t="s">
        <v>25</v>
      </c>
      <c r="D2341" t="s">
        <v>22</v>
      </c>
      <c r="E2341" t="s">
        <v>19</v>
      </c>
      <c r="F2341" t="s">
        <v>24</v>
      </c>
      <c r="G2341">
        <v>292</v>
      </c>
      <c r="H2341">
        <v>401.09</v>
      </c>
      <c r="I2341">
        <v>2</v>
      </c>
      <c r="J2341" t="s">
        <v>30</v>
      </c>
      <c r="K2341">
        <v>117118.28</v>
      </c>
      <c r="L2341" t="str">
        <f t="shared" si="144"/>
        <v>Mar</v>
      </c>
      <c r="M2341">
        <f t="shared" si="145"/>
        <v>2025</v>
      </c>
      <c r="N2341">
        <f t="shared" si="146"/>
        <v>117118.28</v>
      </c>
      <c r="O2341" t="str">
        <f t="shared" si="147"/>
        <v>Minor Delay</v>
      </c>
    </row>
    <row r="2342" spans="1:15" x14ac:dyDescent="0.25">
      <c r="A2342">
        <v>2341</v>
      </c>
      <c r="B2342" s="2">
        <v>45844</v>
      </c>
      <c r="C2342" t="s">
        <v>31</v>
      </c>
      <c r="D2342" t="s">
        <v>22</v>
      </c>
      <c r="E2342" t="s">
        <v>13</v>
      </c>
      <c r="F2342" t="s">
        <v>14</v>
      </c>
      <c r="G2342">
        <v>107</v>
      </c>
      <c r="H2342">
        <v>241.69</v>
      </c>
      <c r="I2342">
        <v>77</v>
      </c>
      <c r="J2342" t="s">
        <v>15</v>
      </c>
      <c r="K2342">
        <v>25860.83</v>
      </c>
      <c r="L2342" t="str">
        <f t="shared" si="144"/>
        <v>Jul</v>
      </c>
      <c r="M2342">
        <f t="shared" si="145"/>
        <v>2025</v>
      </c>
      <c r="N2342">
        <f t="shared" si="146"/>
        <v>25860.829999999998</v>
      </c>
      <c r="O2342" t="str">
        <f t="shared" si="147"/>
        <v>Major Delay</v>
      </c>
    </row>
    <row r="2343" spans="1:15" x14ac:dyDescent="0.25">
      <c r="A2343">
        <v>2342</v>
      </c>
      <c r="B2343" s="2">
        <v>45698</v>
      </c>
      <c r="C2343" t="s">
        <v>25</v>
      </c>
      <c r="D2343" t="s">
        <v>19</v>
      </c>
      <c r="E2343" t="s">
        <v>12</v>
      </c>
      <c r="F2343" t="s">
        <v>24</v>
      </c>
      <c r="G2343">
        <v>267</v>
      </c>
      <c r="H2343">
        <v>554.66</v>
      </c>
      <c r="I2343">
        <v>0</v>
      </c>
      <c r="J2343" t="s">
        <v>15</v>
      </c>
      <c r="K2343">
        <v>148094.22</v>
      </c>
      <c r="L2343" t="str">
        <f t="shared" si="144"/>
        <v>Feb</v>
      </c>
      <c r="M2343">
        <f t="shared" si="145"/>
        <v>2025</v>
      </c>
      <c r="N2343">
        <f t="shared" si="146"/>
        <v>148094.22</v>
      </c>
      <c r="O2343" t="str">
        <f t="shared" si="147"/>
        <v>On Time</v>
      </c>
    </row>
    <row r="2344" spans="1:15" x14ac:dyDescent="0.25">
      <c r="A2344">
        <v>2343</v>
      </c>
      <c r="B2344" s="2">
        <v>45794</v>
      </c>
      <c r="C2344" t="s">
        <v>26</v>
      </c>
      <c r="D2344" t="s">
        <v>13</v>
      </c>
      <c r="E2344" t="s">
        <v>17</v>
      </c>
      <c r="F2344" t="s">
        <v>24</v>
      </c>
      <c r="G2344">
        <v>249</v>
      </c>
      <c r="H2344">
        <v>598.54999999999995</v>
      </c>
      <c r="I2344">
        <v>47</v>
      </c>
      <c r="J2344" t="s">
        <v>15</v>
      </c>
      <c r="K2344">
        <v>149038.95000000001</v>
      </c>
      <c r="L2344" t="str">
        <f t="shared" si="144"/>
        <v>May</v>
      </c>
      <c r="M2344">
        <f t="shared" si="145"/>
        <v>2025</v>
      </c>
      <c r="N2344">
        <f t="shared" si="146"/>
        <v>149038.94999999998</v>
      </c>
      <c r="O2344" t="str">
        <f t="shared" si="147"/>
        <v>Moderate Delay</v>
      </c>
    </row>
    <row r="2345" spans="1:15" x14ac:dyDescent="0.25">
      <c r="A2345">
        <v>2344</v>
      </c>
      <c r="B2345" s="2">
        <v>45863</v>
      </c>
      <c r="C2345" t="s">
        <v>31</v>
      </c>
      <c r="D2345" t="s">
        <v>22</v>
      </c>
      <c r="E2345" t="s">
        <v>27</v>
      </c>
      <c r="F2345" t="s">
        <v>21</v>
      </c>
      <c r="G2345">
        <v>279</v>
      </c>
      <c r="H2345">
        <v>593.21</v>
      </c>
      <c r="I2345">
        <v>3</v>
      </c>
      <c r="J2345" t="s">
        <v>28</v>
      </c>
      <c r="K2345">
        <v>165505.59</v>
      </c>
      <c r="L2345" t="str">
        <f t="shared" si="144"/>
        <v>Jul</v>
      </c>
      <c r="M2345">
        <f t="shared" si="145"/>
        <v>2025</v>
      </c>
      <c r="N2345">
        <f t="shared" si="146"/>
        <v>165505.59</v>
      </c>
      <c r="O2345" t="str">
        <f t="shared" si="147"/>
        <v>Minor Delay</v>
      </c>
    </row>
    <row r="2346" spans="1:15" x14ac:dyDescent="0.25">
      <c r="A2346">
        <v>2345</v>
      </c>
      <c r="B2346" s="2">
        <v>45842</v>
      </c>
      <c r="C2346" t="s">
        <v>11</v>
      </c>
      <c r="D2346" t="s">
        <v>22</v>
      </c>
      <c r="E2346" t="s">
        <v>19</v>
      </c>
      <c r="F2346" t="s">
        <v>24</v>
      </c>
      <c r="G2346">
        <v>144</v>
      </c>
      <c r="H2346">
        <v>477.6</v>
      </c>
      <c r="I2346">
        <v>39</v>
      </c>
      <c r="J2346" t="s">
        <v>15</v>
      </c>
      <c r="K2346">
        <v>68774.399999999994</v>
      </c>
      <c r="L2346" t="str">
        <f t="shared" si="144"/>
        <v>Jul</v>
      </c>
      <c r="M2346">
        <f t="shared" si="145"/>
        <v>2025</v>
      </c>
      <c r="N2346">
        <f t="shared" si="146"/>
        <v>68774.400000000009</v>
      </c>
      <c r="O2346" t="str">
        <f t="shared" si="147"/>
        <v>Moderate Delay</v>
      </c>
    </row>
    <row r="2347" spans="1:15" x14ac:dyDescent="0.25">
      <c r="A2347">
        <v>2346</v>
      </c>
      <c r="B2347" s="2">
        <v>45690</v>
      </c>
      <c r="C2347" t="s">
        <v>18</v>
      </c>
      <c r="D2347" t="s">
        <v>27</v>
      </c>
      <c r="E2347" t="s">
        <v>17</v>
      </c>
      <c r="F2347" t="s">
        <v>14</v>
      </c>
      <c r="G2347">
        <v>281</v>
      </c>
      <c r="H2347">
        <v>267.45999999999998</v>
      </c>
      <c r="I2347">
        <v>18</v>
      </c>
      <c r="J2347" t="s">
        <v>15</v>
      </c>
      <c r="K2347">
        <v>75156.259999999995</v>
      </c>
      <c r="L2347" t="str">
        <f t="shared" si="144"/>
        <v>Feb</v>
      </c>
      <c r="M2347">
        <f t="shared" si="145"/>
        <v>2025</v>
      </c>
      <c r="N2347">
        <f t="shared" si="146"/>
        <v>75156.259999999995</v>
      </c>
      <c r="O2347" t="str">
        <f t="shared" si="147"/>
        <v>Minor Delay</v>
      </c>
    </row>
    <row r="2348" spans="1:15" x14ac:dyDescent="0.25">
      <c r="A2348">
        <v>2347</v>
      </c>
      <c r="B2348" s="2">
        <v>45847</v>
      </c>
      <c r="C2348" t="s">
        <v>16</v>
      </c>
      <c r="D2348" t="s">
        <v>22</v>
      </c>
      <c r="E2348" t="s">
        <v>23</v>
      </c>
      <c r="F2348" t="s">
        <v>21</v>
      </c>
      <c r="G2348">
        <v>228</v>
      </c>
      <c r="H2348">
        <v>732.11</v>
      </c>
      <c r="I2348">
        <v>0</v>
      </c>
      <c r="J2348" t="s">
        <v>30</v>
      </c>
      <c r="K2348">
        <v>166921.07999999999</v>
      </c>
      <c r="L2348" t="str">
        <f t="shared" si="144"/>
        <v>Jul</v>
      </c>
      <c r="M2348">
        <f t="shared" si="145"/>
        <v>2025</v>
      </c>
      <c r="N2348">
        <f t="shared" si="146"/>
        <v>166921.08000000002</v>
      </c>
      <c r="O2348" t="str">
        <f t="shared" si="147"/>
        <v>On Time</v>
      </c>
    </row>
    <row r="2349" spans="1:15" x14ac:dyDescent="0.25">
      <c r="A2349">
        <v>2348</v>
      </c>
      <c r="B2349" s="2">
        <v>45832</v>
      </c>
      <c r="C2349" t="s">
        <v>11</v>
      </c>
      <c r="D2349" t="s">
        <v>23</v>
      </c>
      <c r="E2349" t="s">
        <v>12</v>
      </c>
      <c r="F2349" t="s">
        <v>24</v>
      </c>
      <c r="G2349">
        <v>202</v>
      </c>
      <c r="H2349">
        <v>165.52</v>
      </c>
      <c r="I2349">
        <v>0</v>
      </c>
      <c r="J2349" t="s">
        <v>15</v>
      </c>
      <c r="K2349">
        <v>33435.040000000001</v>
      </c>
      <c r="L2349" t="str">
        <f t="shared" si="144"/>
        <v>Jun</v>
      </c>
      <c r="M2349">
        <f t="shared" si="145"/>
        <v>2025</v>
      </c>
      <c r="N2349">
        <f t="shared" si="146"/>
        <v>33435.040000000001</v>
      </c>
      <c r="O2349" t="str">
        <f t="shared" si="147"/>
        <v>On Time</v>
      </c>
    </row>
    <row r="2350" spans="1:15" x14ac:dyDescent="0.25">
      <c r="A2350">
        <v>2349</v>
      </c>
      <c r="B2350" s="2">
        <v>45861</v>
      </c>
      <c r="C2350" t="s">
        <v>26</v>
      </c>
      <c r="D2350" t="s">
        <v>22</v>
      </c>
      <c r="E2350" t="s">
        <v>20</v>
      </c>
      <c r="F2350" t="s">
        <v>24</v>
      </c>
      <c r="G2350">
        <v>96</v>
      </c>
      <c r="H2350">
        <v>143.5</v>
      </c>
      <c r="I2350">
        <v>23</v>
      </c>
      <c r="J2350" t="s">
        <v>30</v>
      </c>
      <c r="K2350">
        <v>13776</v>
      </c>
      <c r="L2350" t="str">
        <f t="shared" si="144"/>
        <v>Jul</v>
      </c>
      <c r="M2350">
        <f t="shared" si="145"/>
        <v>2025</v>
      </c>
      <c r="N2350">
        <f t="shared" si="146"/>
        <v>13776</v>
      </c>
      <c r="O2350" t="str">
        <f t="shared" si="147"/>
        <v>Minor Delay</v>
      </c>
    </row>
    <row r="2351" spans="1:15" x14ac:dyDescent="0.25">
      <c r="A2351">
        <v>2350</v>
      </c>
      <c r="B2351" s="2">
        <v>45780</v>
      </c>
      <c r="C2351" t="s">
        <v>26</v>
      </c>
      <c r="D2351" t="s">
        <v>23</v>
      </c>
      <c r="E2351" t="s">
        <v>29</v>
      </c>
      <c r="F2351" t="s">
        <v>21</v>
      </c>
      <c r="G2351">
        <v>200</v>
      </c>
      <c r="H2351">
        <v>790.6</v>
      </c>
      <c r="I2351">
        <v>18</v>
      </c>
      <c r="J2351" t="s">
        <v>15</v>
      </c>
      <c r="K2351">
        <v>158120</v>
      </c>
      <c r="L2351" t="str">
        <f t="shared" si="144"/>
        <v>May</v>
      </c>
      <c r="M2351">
        <f t="shared" si="145"/>
        <v>2025</v>
      </c>
      <c r="N2351">
        <f t="shared" si="146"/>
        <v>158120</v>
      </c>
      <c r="O2351" t="str">
        <f t="shared" si="147"/>
        <v>Minor Delay</v>
      </c>
    </row>
    <row r="2352" spans="1:15" x14ac:dyDescent="0.25">
      <c r="A2352">
        <v>2351</v>
      </c>
      <c r="B2352" s="2">
        <v>45804</v>
      </c>
      <c r="C2352" t="s">
        <v>16</v>
      </c>
      <c r="D2352" t="s">
        <v>17</v>
      </c>
      <c r="E2352" t="s">
        <v>12</v>
      </c>
      <c r="F2352" t="s">
        <v>21</v>
      </c>
      <c r="G2352">
        <v>294</v>
      </c>
      <c r="H2352">
        <v>255.93</v>
      </c>
      <c r="I2352">
        <v>4</v>
      </c>
      <c r="J2352" t="s">
        <v>15</v>
      </c>
      <c r="K2352">
        <v>75243.42</v>
      </c>
      <c r="L2352" t="str">
        <f t="shared" si="144"/>
        <v>May</v>
      </c>
      <c r="M2352">
        <f t="shared" si="145"/>
        <v>2025</v>
      </c>
      <c r="N2352">
        <f t="shared" si="146"/>
        <v>75243.42</v>
      </c>
      <c r="O2352" t="str">
        <f t="shared" si="147"/>
        <v>Minor Delay</v>
      </c>
    </row>
    <row r="2353" spans="1:15" x14ac:dyDescent="0.25">
      <c r="A2353">
        <v>2352</v>
      </c>
      <c r="B2353" s="2">
        <v>45717</v>
      </c>
      <c r="C2353" t="s">
        <v>26</v>
      </c>
      <c r="D2353" t="s">
        <v>29</v>
      </c>
      <c r="E2353" t="s">
        <v>20</v>
      </c>
      <c r="F2353" t="s">
        <v>24</v>
      </c>
      <c r="G2353">
        <v>276</v>
      </c>
      <c r="H2353">
        <v>288.62</v>
      </c>
      <c r="I2353">
        <v>15</v>
      </c>
      <c r="J2353" t="s">
        <v>15</v>
      </c>
      <c r="K2353">
        <v>79659.12</v>
      </c>
      <c r="L2353" t="str">
        <f t="shared" si="144"/>
        <v>Mar</v>
      </c>
      <c r="M2353">
        <f t="shared" si="145"/>
        <v>2025</v>
      </c>
      <c r="N2353">
        <f t="shared" si="146"/>
        <v>79659.12</v>
      </c>
      <c r="O2353" t="str">
        <f t="shared" si="147"/>
        <v>Minor Delay</v>
      </c>
    </row>
    <row r="2354" spans="1:15" x14ac:dyDescent="0.25">
      <c r="A2354">
        <v>2353</v>
      </c>
      <c r="B2354" s="2">
        <v>45948</v>
      </c>
      <c r="C2354" t="s">
        <v>18</v>
      </c>
      <c r="D2354" t="s">
        <v>13</v>
      </c>
      <c r="E2354" t="s">
        <v>27</v>
      </c>
      <c r="F2354" t="s">
        <v>14</v>
      </c>
      <c r="G2354">
        <v>218</v>
      </c>
      <c r="H2354">
        <v>630.04</v>
      </c>
      <c r="I2354">
        <v>29</v>
      </c>
      <c r="J2354" t="s">
        <v>15</v>
      </c>
      <c r="K2354">
        <v>137348.72</v>
      </c>
      <c r="L2354" t="str">
        <f t="shared" si="144"/>
        <v>Oct</v>
      </c>
      <c r="M2354">
        <f t="shared" si="145"/>
        <v>2025</v>
      </c>
      <c r="N2354">
        <f t="shared" si="146"/>
        <v>137348.72</v>
      </c>
      <c r="O2354" t="str">
        <f t="shared" si="147"/>
        <v>Minor Delay</v>
      </c>
    </row>
    <row r="2355" spans="1:15" x14ac:dyDescent="0.25">
      <c r="A2355">
        <v>2354</v>
      </c>
      <c r="B2355" s="2">
        <v>45931</v>
      </c>
      <c r="C2355" t="s">
        <v>25</v>
      </c>
      <c r="D2355" t="s">
        <v>13</v>
      </c>
      <c r="E2355" t="s">
        <v>12</v>
      </c>
      <c r="F2355" t="s">
        <v>21</v>
      </c>
      <c r="G2355">
        <v>237</v>
      </c>
      <c r="H2355">
        <v>150.27000000000001</v>
      </c>
      <c r="I2355">
        <v>82</v>
      </c>
      <c r="J2355" t="s">
        <v>30</v>
      </c>
      <c r="K2355">
        <v>35613.99</v>
      </c>
      <c r="L2355" t="str">
        <f t="shared" si="144"/>
        <v>Oct</v>
      </c>
      <c r="M2355">
        <f t="shared" si="145"/>
        <v>2025</v>
      </c>
      <c r="N2355">
        <f t="shared" si="146"/>
        <v>35613.990000000005</v>
      </c>
      <c r="O2355" t="str">
        <f t="shared" si="147"/>
        <v>Major Delay</v>
      </c>
    </row>
    <row r="2356" spans="1:15" x14ac:dyDescent="0.25">
      <c r="A2356">
        <v>2355</v>
      </c>
      <c r="B2356" s="2">
        <v>45730</v>
      </c>
      <c r="C2356" t="s">
        <v>16</v>
      </c>
      <c r="D2356" t="s">
        <v>22</v>
      </c>
      <c r="E2356" t="s">
        <v>29</v>
      </c>
      <c r="F2356" t="s">
        <v>14</v>
      </c>
      <c r="G2356">
        <v>144</v>
      </c>
      <c r="H2356">
        <v>600.12</v>
      </c>
      <c r="I2356">
        <v>0</v>
      </c>
      <c r="J2356" t="s">
        <v>15</v>
      </c>
      <c r="K2356">
        <v>86417.279999999999</v>
      </c>
      <c r="L2356" t="str">
        <f t="shared" si="144"/>
        <v>Mar</v>
      </c>
      <c r="M2356">
        <f t="shared" si="145"/>
        <v>2025</v>
      </c>
      <c r="N2356">
        <f t="shared" si="146"/>
        <v>86417.279999999999</v>
      </c>
      <c r="O2356" t="str">
        <f t="shared" si="147"/>
        <v>On Time</v>
      </c>
    </row>
    <row r="2357" spans="1:15" x14ac:dyDescent="0.25">
      <c r="A2357">
        <v>2356</v>
      </c>
      <c r="B2357" s="2">
        <v>45765</v>
      </c>
      <c r="C2357" t="s">
        <v>26</v>
      </c>
      <c r="D2357" t="s">
        <v>22</v>
      </c>
      <c r="E2357" t="s">
        <v>29</v>
      </c>
      <c r="F2357" t="s">
        <v>21</v>
      </c>
      <c r="G2357">
        <v>121</v>
      </c>
      <c r="H2357">
        <v>606.95000000000005</v>
      </c>
      <c r="I2357">
        <v>38</v>
      </c>
      <c r="J2357" t="s">
        <v>15</v>
      </c>
      <c r="K2357">
        <v>73440.95</v>
      </c>
      <c r="L2357" t="str">
        <f t="shared" si="144"/>
        <v>Apr</v>
      </c>
      <c r="M2357">
        <f t="shared" si="145"/>
        <v>2025</v>
      </c>
      <c r="N2357">
        <f t="shared" si="146"/>
        <v>73440.950000000012</v>
      </c>
      <c r="O2357" t="str">
        <f t="shared" si="147"/>
        <v>Moderate Delay</v>
      </c>
    </row>
    <row r="2358" spans="1:15" x14ac:dyDescent="0.25">
      <c r="A2358">
        <v>2357</v>
      </c>
      <c r="B2358" s="2">
        <v>45790</v>
      </c>
      <c r="C2358" t="s">
        <v>26</v>
      </c>
      <c r="D2358" t="s">
        <v>27</v>
      </c>
      <c r="E2358" t="s">
        <v>20</v>
      </c>
      <c r="F2358" t="s">
        <v>21</v>
      </c>
      <c r="G2358">
        <v>216</v>
      </c>
      <c r="H2358">
        <v>718.82</v>
      </c>
      <c r="I2358">
        <v>7</v>
      </c>
      <c r="J2358" t="s">
        <v>15</v>
      </c>
      <c r="K2358">
        <v>155265.12</v>
      </c>
      <c r="L2358" t="str">
        <f t="shared" si="144"/>
        <v>May</v>
      </c>
      <c r="M2358">
        <f t="shared" si="145"/>
        <v>2025</v>
      </c>
      <c r="N2358">
        <f t="shared" si="146"/>
        <v>155265.12000000002</v>
      </c>
      <c r="O2358" t="str">
        <f t="shared" si="147"/>
        <v>Minor Delay</v>
      </c>
    </row>
    <row r="2359" spans="1:15" x14ac:dyDescent="0.25">
      <c r="A2359">
        <v>2358</v>
      </c>
      <c r="B2359" s="2">
        <v>46012</v>
      </c>
      <c r="C2359" t="s">
        <v>31</v>
      </c>
      <c r="D2359" t="s">
        <v>29</v>
      </c>
      <c r="E2359" t="s">
        <v>13</v>
      </c>
      <c r="F2359" t="s">
        <v>24</v>
      </c>
      <c r="G2359">
        <v>253</v>
      </c>
      <c r="H2359">
        <v>312.66000000000003</v>
      </c>
      <c r="I2359">
        <v>20</v>
      </c>
      <c r="J2359" t="s">
        <v>15</v>
      </c>
      <c r="K2359">
        <v>79102.98</v>
      </c>
      <c r="L2359" t="str">
        <f t="shared" si="144"/>
        <v>Dec</v>
      </c>
      <c r="M2359">
        <f t="shared" si="145"/>
        <v>2025</v>
      </c>
      <c r="N2359">
        <f t="shared" si="146"/>
        <v>79102.98000000001</v>
      </c>
      <c r="O2359" t="str">
        <f t="shared" si="147"/>
        <v>Minor Delay</v>
      </c>
    </row>
    <row r="2360" spans="1:15" x14ac:dyDescent="0.25">
      <c r="A2360">
        <v>2359</v>
      </c>
      <c r="B2360" s="2">
        <v>45885</v>
      </c>
      <c r="C2360" t="s">
        <v>18</v>
      </c>
      <c r="D2360" t="s">
        <v>29</v>
      </c>
      <c r="E2360" t="s">
        <v>23</v>
      </c>
      <c r="F2360" t="s">
        <v>24</v>
      </c>
      <c r="G2360">
        <v>83</v>
      </c>
      <c r="H2360">
        <v>487.21</v>
      </c>
      <c r="I2360">
        <v>2</v>
      </c>
      <c r="J2360" t="s">
        <v>15</v>
      </c>
      <c r="K2360">
        <v>40438.43</v>
      </c>
      <c r="L2360" t="str">
        <f t="shared" si="144"/>
        <v>Aug</v>
      </c>
      <c r="M2360">
        <f t="shared" si="145"/>
        <v>2025</v>
      </c>
      <c r="N2360">
        <f t="shared" si="146"/>
        <v>40438.43</v>
      </c>
      <c r="O2360" t="str">
        <f t="shared" si="147"/>
        <v>Minor Delay</v>
      </c>
    </row>
    <row r="2361" spans="1:15" x14ac:dyDescent="0.25">
      <c r="A2361">
        <v>2360</v>
      </c>
      <c r="B2361" s="2">
        <v>45715</v>
      </c>
      <c r="C2361" t="s">
        <v>26</v>
      </c>
      <c r="D2361" t="s">
        <v>20</v>
      </c>
      <c r="E2361" t="s">
        <v>13</v>
      </c>
      <c r="F2361" t="s">
        <v>14</v>
      </c>
      <c r="G2361">
        <v>215</v>
      </c>
      <c r="H2361">
        <v>672.29</v>
      </c>
      <c r="I2361">
        <v>32</v>
      </c>
      <c r="J2361" t="s">
        <v>30</v>
      </c>
      <c r="K2361">
        <v>144542.35</v>
      </c>
      <c r="L2361" t="str">
        <f t="shared" si="144"/>
        <v>Feb</v>
      </c>
      <c r="M2361">
        <f t="shared" si="145"/>
        <v>2025</v>
      </c>
      <c r="N2361">
        <f t="shared" si="146"/>
        <v>144542.35</v>
      </c>
      <c r="O2361" t="str">
        <f t="shared" si="147"/>
        <v>Moderate Delay</v>
      </c>
    </row>
    <row r="2362" spans="1:15" x14ac:dyDescent="0.25">
      <c r="A2362">
        <v>2361</v>
      </c>
      <c r="B2362" s="2">
        <v>45882</v>
      </c>
      <c r="C2362" t="s">
        <v>31</v>
      </c>
      <c r="D2362" t="s">
        <v>22</v>
      </c>
      <c r="E2362" t="s">
        <v>29</v>
      </c>
      <c r="F2362" t="s">
        <v>14</v>
      </c>
      <c r="G2362">
        <v>56</v>
      </c>
      <c r="H2362">
        <v>746.4</v>
      </c>
      <c r="I2362">
        <v>0</v>
      </c>
      <c r="J2362" t="s">
        <v>15</v>
      </c>
      <c r="K2362">
        <v>41798.400000000001</v>
      </c>
      <c r="L2362" t="str">
        <f t="shared" si="144"/>
        <v>Aug</v>
      </c>
      <c r="M2362">
        <f t="shared" si="145"/>
        <v>2025</v>
      </c>
      <c r="N2362">
        <f t="shared" si="146"/>
        <v>41798.400000000001</v>
      </c>
      <c r="O2362" t="str">
        <f t="shared" si="147"/>
        <v>On Time</v>
      </c>
    </row>
    <row r="2363" spans="1:15" x14ac:dyDescent="0.25">
      <c r="A2363">
        <v>2362</v>
      </c>
      <c r="B2363" s="2">
        <v>45670</v>
      </c>
      <c r="C2363" t="s">
        <v>11</v>
      </c>
      <c r="D2363" t="s">
        <v>13</v>
      </c>
      <c r="E2363" t="s">
        <v>12</v>
      </c>
      <c r="F2363" t="s">
        <v>24</v>
      </c>
      <c r="G2363">
        <v>269</v>
      </c>
      <c r="H2363">
        <v>564.99</v>
      </c>
      <c r="I2363">
        <v>46</v>
      </c>
      <c r="J2363" t="s">
        <v>15</v>
      </c>
      <c r="K2363">
        <v>151982.31</v>
      </c>
      <c r="L2363" t="str">
        <f t="shared" si="144"/>
        <v>Jan</v>
      </c>
      <c r="M2363">
        <f t="shared" si="145"/>
        <v>2025</v>
      </c>
      <c r="N2363">
        <f t="shared" si="146"/>
        <v>151982.31</v>
      </c>
      <c r="O2363" t="str">
        <f t="shared" si="147"/>
        <v>Moderate Delay</v>
      </c>
    </row>
    <row r="2364" spans="1:15" x14ac:dyDescent="0.25">
      <c r="A2364">
        <v>2363</v>
      </c>
      <c r="B2364" s="2">
        <v>45753</v>
      </c>
      <c r="C2364" t="s">
        <v>26</v>
      </c>
      <c r="D2364" t="s">
        <v>12</v>
      </c>
      <c r="E2364" t="s">
        <v>22</v>
      </c>
      <c r="F2364" t="s">
        <v>24</v>
      </c>
      <c r="G2364">
        <v>219</v>
      </c>
      <c r="H2364">
        <v>686.54</v>
      </c>
      <c r="I2364">
        <v>28</v>
      </c>
      <c r="J2364" t="s">
        <v>15</v>
      </c>
      <c r="K2364">
        <v>150352.26</v>
      </c>
      <c r="L2364" t="str">
        <f t="shared" si="144"/>
        <v>Apr</v>
      </c>
      <c r="M2364">
        <f t="shared" si="145"/>
        <v>2025</v>
      </c>
      <c r="N2364">
        <f t="shared" si="146"/>
        <v>150352.25999999998</v>
      </c>
      <c r="O2364" t="str">
        <f t="shared" si="147"/>
        <v>Minor Delay</v>
      </c>
    </row>
    <row r="2365" spans="1:15" x14ac:dyDescent="0.25">
      <c r="A2365">
        <v>2364</v>
      </c>
      <c r="B2365" s="2">
        <v>45769</v>
      </c>
      <c r="C2365" t="s">
        <v>18</v>
      </c>
      <c r="D2365" t="s">
        <v>19</v>
      </c>
      <c r="E2365" t="s">
        <v>12</v>
      </c>
      <c r="F2365" t="s">
        <v>21</v>
      </c>
      <c r="G2365">
        <v>256</v>
      </c>
      <c r="H2365">
        <v>524.38</v>
      </c>
      <c r="I2365">
        <v>44</v>
      </c>
      <c r="J2365" t="s">
        <v>15</v>
      </c>
      <c r="K2365">
        <v>134241.28</v>
      </c>
      <c r="L2365" t="str">
        <f t="shared" si="144"/>
        <v>Apr</v>
      </c>
      <c r="M2365">
        <f t="shared" si="145"/>
        <v>2025</v>
      </c>
      <c r="N2365">
        <f t="shared" si="146"/>
        <v>134241.28</v>
      </c>
      <c r="O2365" t="str">
        <f t="shared" si="147"/>
        <v>Moderate Delay</v>
      </c>
    </row>
    <row r="2366" spans="1:15" x14ac:dyDescent="0.25">
      <c r="A2366">
        <v>2365</v>
      </c>
      <c r="B2366" s="2">
        <v>45759</v>
      </c>
      <c r="C2366" t="s">
        <v>16</v>
      </c>
      <c r="D2366" t="s">
        <v>29</v>
      </c>
      <c r="E2366" t="s">
        <v>13</v>
      </c>
      <c r="F2366" t="s">
        <v>14</v>
      </c>
      <c r="G2366">
        <v>146</v>
      </c>
      <c r="H2366">
        <v>520.6</v>
      </c>
      <c r="I2366">
        <v>11</v>
      </c>
      <c r="J2366" t="s">
        <v>15</v>
      </c>
      <c r="K2366">
        <v>76007.600000000006</v>
      </c>
      <c r="L2366" t="str">
        <f t="shared" si="144"/>
        <v>Apr</v>
      </c>
      <c r="M2366">
        <f t="shared" si="145"/>
        <v>2025</v>
      </c>
      <c r="N2366">
        <f t="shared" si="146"/>
        <v>76007.600000000006</v>
      </c>
      <c r="O2366" t="str">
        <f t="shared" si="147"/>
        <v>Minor Delay</v>
      </c>
    </row>
    <row r="2367" spans="1:15" x14ac:dyDescent="0.25">
      <c r="A2367">
        <v>2366</v>
      </c>
      <c r="B2367" s="2">
        <v>45965</v>
      </c>
      <c r="C2367" t="s">
        <v>25</v>
      </c>
      <c r="D2367" t="s">
        <v>29</v>
      </c>
      <c r="E2367" t="s">
        <v>13</v>
      </c>
      <c r="F2367" t="s">
        <v>14</v>
      </c>
      <c r="G2367">
        <v>197</v>
      </c>
      <c r="H2367">
        <v>597.42999999999995</v>
      </c>
      <c r="I2367">
        <v>31</v>
      </c>
      <c r="J2367" t="s">
        <v>30</v>
      </c>
      <c r="K2367">
        <v>117693.71</v>
      </c>
      <c r="L2367" t="str">
        <f t="shared" si="144"/>
        <v>Nov</v>
      </c>
      <c r="M2367">
        <f t="shared" si="145"/>
        <v>2025</v>
      </c>
      <c r="N2367">
        <f t="shared" si="146"/>
        <v>117693.70999999999</v>
      </c>
      <c r="O2367" t="str">
        <f t="shared" si="147"/>
        <v>Moderate Delay</v>
      </c>
    </row>
    <row r="2368" spans="1:15" x14ac:dyDescent="0.25">
      <c r="A2368">
        <v>2367</v>
      </c>
      <c r="B2368" s="2">
        <v>45723</v>
      </c>
      <c r="C2368" t="s">
        <v>25</v>
      </c>
      <c r="D2368" t="s">
        <v>19</v>
      </c>
      <c r="E2368" t="s">
        <v>17</v>
      </c>
      <c r="F2368" t="s">
        <v>24</v>
      </c>
      <c r="G2368">
        <v>297</v>
      </c>
      <c r="H2368">
        <v>515.37</v>
      </c>
      <c r="I2368">
        <v>43</v>
      </c>
      <c r="J2368" t="s">
        <v>15</v>
      </c>
      <c r="K2368">
        <v>153064.89000000001</v>
      </c>
      <c r="L2368" t="str">
        <f t="shared" si="144"/>
        <v>Mar</v>
      </c>
      <c r="M2368">
        <f t="shared" si="145"/>
        <v>2025</v>
      </c>
      <c r="N2368">
        <f t="shared" si="146"/>
        <v>153064.89000000001</v>
      </c>
      <c r="O2368" t="str">
        <f t="shared" si="147"/>
        <v>Moderate Delay</v>
      </c>
    </row>
    <row r="2369" spans="1:15" x14ac:dyDescent="0.25">
      <c r="A2369">
        <v>2368</v>
      </c>
      <c r="B2369" s="2">
        <v>45744</v>
      </c>
      <c r="C2369" t="s">
        <v>11</v>
      </c>
      <c r="D2369" t="s">
        <v>19</v>
      </c>
      <c r="E2369" t="s">
        <v>29</v>
      </c>
      <c r="F2369" t="s">
        <v>21</v>
      </c>
      <c r="G2369">
        <v>227</v>
      </c>
      <c r="H2369">
        <v>630.42999999999995</v>
      </c>
      <c r="I2369">
        <v>0</v>
      </c>
      <c r="J2369" t="s">
        <v>15</v>
      </c>
      <c r="K2369">
        <v>143107.60999999999</v>
      </c>
      <c r="L2369" t="str">
        <f t="shared" si="144"/>
        <v>Mar</v>
      </c>
      <c r="M2369">
        <f t="shared" si="145"/>
        <v>2025</v>
      </c>
      <c r="N2369">
        <f t="shared" si="146"/>
        <v>143107.60999999999</v>
      </c>
      <c r="O2369" t="str">
        <f t="shared" si="147"/>
        <v>On Time</v>
      </c>
    </row>
    <row r="2370" spans="1:15" x14ac:dyDescent="0.25">
      <c r="A2370">
        <v>2369</v>
      </c>
      <c r="B2370" s="2">
        <v>45658</v>
      </c>
      <c r="C2370" t="s">
        <v>26</v>
      </c>
      <c r="D2370" t="s">
        <v>19</v>
      </c>
      <c r="E2370" t="s">
        <v>29</v>
      </c>
      <c r="F2370" t="s">
        <v>24</v>
      </c>
      <c r="G2370">
        <v>268</v>
      </c>
      <c r="H2370">
        <v>410.52</v>
      </c>
      <c r="I2370">
        <v>1</v>
      </c>
      <c r="J2370" t="s">
        <v>30</v>
      </c>
      <c r="K2370">
        <v>110019.36</v>
      </c>
      <c r="L2370" t="str">
        <f t="shared" si="144"/>
        <v>Jan</v>
      </c>
      <c r="M2370">
        <f t="shared" si="145"/>
        <v>2025</v>
      </c>
      <c r="N2370">
        <f t="shared" si="146"/>
        <v>110019.36</v>
      </c>
      <c r="O2370" t="str">
        <f t="shared" si="147"/>
        <v>Minor Delay</v>
      </c>
    </row>
    <row r="2371" spans="1:15" x14ac:dyDescent="0.25">
      <c r="A2371">
        <v>2370</v>
      </c>
      <c r="B2371" s="2">
        <v>45724</v>
      </c>
      <c r="C2371" t="s">
        <v>11</v>
      </c>
      <c r="D2371" t="s">
        <v>22</v>
      </c>
      <c r="E2371" t="s">
        <v>19</v>
      </c>
      <c r="F2371" t="s">
        <v>24</v>
      </c>
      <c r="G2371">
        <v>159</v>
      </c>
      <c r="H2371">
        <v>124.46</v>
      </c>
      <c r="I2371">
        <v>0</v>
      </c>
      <c r="J2371" t="s">
        <v>15</v>
      </c>
      <c r="K2371">
        <v>19789.14</v>
      </c>
      <c r="L2371" t="str">
        <f t="shared" ref="L2371:L2434" si="148">TEXT(B2371,"MMM")</f>
        <v>Mar</v>
      </c>
      <c r="M2371">
        <f t="shared" ref="M2371:M2434" si="149">YEAR(B2371)</f>
        <v>2025</v>
      </c>
      <c r="N2371">
        <f t="shared" ref="N2371:N2434" si="150">G2371*H2371</f>
        <v>19789.14</v>
      </c>
      <c r="O2371" t="str">
        <f t="shared" ref="O2371:O2434" si="151">IF(I2371=0,"On Time",IF(I2371&lt;=30,"Minor Delay",IF(I2371&lt;=60,"Moderate Delay","Major Delay")))</f>
        <v>On Time</v>
      </c>
    </row>
    <row r="2372" spans="1:15" x14ac:dyDescent="0.25">
      <c r="A2372">
        <v>2371</v>
      </c>
      <c r="B2372" s="2">
        <v>45861</v>
      </c>
      <c r="C2372" t="s">
        <v>16</v>
      </c>
      <c r="D2372" t="s">
        <v>13</v>
      </c>
      <c r="E2372" t="s">
        <v>27</v>
      </c>
      <c r="F2372" t="s">
        <v>14</v>
      </c>
      <c r="G2372">
        <v>191</v>
      </c>
      <c r="H2372">
        <v>782.33</v>
      </c>
      <c r="I2372">
        <v>35</v>
      </c>
      <c r="J2372" t="s">
        <v>15</v>
      </c>
      <c r="K2372">
        <v>149425.03</v>
      </c>
      <c r="L2372" t="str">
        <f t="shared" si="148"/>
        <v>Jul</v>
      </c>
      <c r="M2372">
        <f t="shared" si="149"/>
        <v>2025</v>
      </c>
      <c r="N2372">
        <f t="shared" si="150"/>
        <v>149425.03</v>
      </c>
      <c r="O2372" t="str">
        <f t="shared" si="151"/>
        <v>Moderate Delay</v>
      </c>
    </row>
    <row r="2373" spans="1:15" x14ac:dyDescent="0.25">
      <c r="A2373">
        <v>2372</v>
      </c>
      <c r="B2373" s="2">
        <v>45760</v>
      </c>
      <c r="C2373" t="s">
        <v>18</v>
      </c>
      <c r="D2373" t="s">
        <v>12</v>
      </c>
      <c r="E2373" t="s">
        <v>19</v>
      </c>
      <c r="F2373" t="s">
        <v>14</v>
      </c>
      <c r="G2373">
        <v>75</v>
      </c>
      <c r="H2373">
        <v>70.48</v>
      </c>
      <c r="I2373">
        <v>24</v>
      </c>
      <c r="J2373" t="s">
        <v>15</v>
      </c>
      <c r="K2373">
        <v>5286</v>
      </c>
      <c r="L2373" t="str">
        <f t="shared" si="148"/>
        <v>Apr</v>
      </c>
      <c r="M2373">
        <f t="shared" si="149"/>
        <v>2025</v>
      </c>
      <c r="N2373">
        <f t="shared" si="150"/>
        <v>5286</v>
      </c>
      <c r="O2373" t="str">
        <f t="shared" si="151"/>
        <v>Minor Delay</v>
      </c>
    </row>
    <row r="2374" spans="1:15" x14ac:dyDescent="0.25">
      <c r="A2374">
        <v>2373</v>
      </c>
      <c r="B2374" s="2">
        <v>45839</v>
      </c>
      <c r="C2374" t="s">
        <v>25</v>
      </c>
      <c r="D2374" t="s">
        <v>17</v>
      </c>
      <c r="E2374" t="s">
        <v>12</v>
      </c>
      <c r="F2374" t="s">
        <v>21</v>
      </c>
      <c r="G2374">
        <v>106</v>
      </c>
      <c r="H2374">
        <v>720.78</v>
      </c>
      <c r="I2374">
        <v>0</v>
      </c>
      <c r="J2374" t="s">
        <v>30</v>
      </c>
      <c r="K2374">
        <v>76402.679999999993</v>
      </c>
      <c r="L2374" t="str">
        <f t="shared" si="148"/>
        <v>Jul</v>
      </c>
      <c r="M2374">
        <f t="shared" si="149"/>
        <v>2025</v>
      </c>
      <c r="N2374">
        <f t="shared" si="150"/>
        <v>76402.679999999993</v>
      </c>
      <c r="O2374" t="str">
        <f t="shared" si="151"/>
        <v>On Time</v>
      </c>
    </row>
    <row r="2375" spans="1:15" x14ac:dyDescent="0.25">
      <c r="A2375">
        <v>2374</v>
      </c>
      <c r="B2375" s="2">
        <v>45999</v>
      </c>
      <c r="C2375" t="s">
        <v>25</v>
      </c>
      <c r="D2375" t="s">
        <v>12</v>
      </c>
      <c r="E2375" t="s">
        <v>27</v>
      </c>
      <c r="F2375" t="s">
        <v>24</v>
      </c>
      <c r="G2375">
        <v>286</v>
      </c>
      <c r="H2375">
        <v>583.51</v>
      </c>
      <c r="I2375">
        <v>8</v>
      </c>
      <c r="J2375" t="s">
        <v>15</v>
      </c>
      <c r="K2375">
        <v>166883.85999999999</v>
      </c>
      <c r="L2375" t="str">
        <f t="shared" si="148"/>
        <v>Dec</v>
      </c>
      <c r="M2375">
        <f t="shared" si="149"/>
        <v>2025</v>
      </c>
      <c r="N2375">
        <f t="shared" si="150"/>
        <v>166883.85999999999</v>
      </c>
      <c r="O2375" t="str">
        <f t="shared" si="151"/>
        <v>Minor Delay</v>
      </c>
    </row>
    <row r="2376" spans="1:15" x14ac:dyDescent="0.25">
      <c r="A2376">
        <v>2375</v>
      </c>
      <c r="B2376" s="2">
        <v>45902</v>
      </c>
      <c r="C2376" t="s">
        <v>11</v>
      </c>
      <c r="D2376" t="s">
        <v>23</v>
      </c>
      <c r="E2376" t="s">
        <v>20</v>
      </c>
      <c r="F2376" t="s">
        <v>24</v>
      </c>
      <c r="G2376">
        <v>163</v>
      </c>
      <c r="H2376">
        <v>617.78</v>
      </c>
      <c r="I2376">
        <v>31</v>
      </c>
      <c r="J2376" t="s">
        <v>30</v>
      </c>
      <c r="K2376">
        <v>100698.14</v>
      </c>
      <c r="L2376" t="str">
        <f t="shared" si="148"/>
        <v>Sep</v>
      </c>
      <c r="M2376">
        <f t="shared" si="149"/>
        <v>2025</v>
      </c>
      <c r="N2376">
        <f t="shared" si="150"/>
        <v>100698.14</v>
      </c>
      <c r="O2376" t="str">
        <f t="shared" si="151"/>
        <v>Moderate Delay</v>
      </c>
    </row>
    <row r="2377" spans="1:15" x14ac:dyDescent="0.25">
      <c r="A2377">
        <v>2376</v>
      </c>
      <c r="B2377" s="2">
        <v>45730</v>
      </c>
      <c r="C2377" t="s">
        <v>11</v>
      </c>
      <c r="D2377" t="s">
        <v>19</v>
      </c>
      <c r="E2377" t="s">
        <v>29</v>
      </c>
      <c r="F2377" t="s">
        <v>21</v>
      </c>
      <c r="G2377">
        <v>180</v>
      </c>
      <c r="H2377">
        <v>72.5</v>
      </c>
      <c r="I2377">
        <v>32</v>
      </c>
      <c r="J2377" t="s">
        <v>15</v>
      </c>
      <c r="K2377">
        <v>13050</v>
      </c>
      <c r="L2377" t="str">
        <f t="shared" si="148"/>
        <v>Mar</v>
      </c>
      <c r="M2377">
        <f t="shared" si="149"/>
        <v>2025</v>
      </c>
      <c r="N2377">
        <f t="shared" si="150"/>
        <v>13050</v>
      </c>
      <c r="O2377" t="str">
        <f t="shared" si="151"/>
        <v>Moderate Delay</v>
      </c>
    </row>
    <row r="2378" spans="1:15" x14ac:dyDescent="0.25">
      <c r="A2378">
        <v>2377</v>
      </c>
      <c r="B2378" s="2">
        <v>45736</v>
      </c>
      <c r="C2378" t="s">
        <v>26</v>
      </c>
      <c r="D2378" t="s">
        <v>23</v>
      </c>
      <c r="E2378" t="s">
        <v>22</v>
      </c>
      <c r="F2378" t="s">
        <v>21</v>
      </c>
      <c r="G2378">
        <v>221</v>
      </c>
      <c r="H2378">
        <v>694.97</v>
      </c>
      <c r="I2378">
        <v>0</v>
      </c>
      <c r="J2378" t="s">
        <v>15</v>
      </c>
      <c r="K2378">
        <v>153588.37</v>
      </c>
      <c r="L2378" t="str">
        <f t="shared" si="148"/>
        <v>Mar</v>
      </c>
      <c r="M2378">
        <f t="shared" si="149"/>
        <v>2025</v>
      </c>
      <c r="N2378">
        <f t="shared" si="150"/>
        <v>153588.37</v>
      </c>
      <c r="O2378" t="str">
        <f t="shared" si="151"/>
        <v>On Time</v>
      </c>
    </row>
    <row r="2379" spans="1:15" x14ac:dyDescent="0.25">
      <c r="A2379">
        <v>2378</v>
      </c>
      <c r="B2379" s="2">
        <v>45839</v>
      </c>
      <c r="C2379" t="s">
        <v>18</v>
      </c>
      <c r="D2379" t="s">
        <v>29</v>
      </c>
      <c r="E2379" t="s">
        <v>19</v>
      </c>
      <c r="F2379" t="s">
        <v>14</v>
      </c>
      <c r="G2379">
        <v>146</v>
      </c>
      <c r="H2379">
        <v>195.45</v>
      </c>
      <c r="I2379">
        <v>3</v>
      </c>
      <c r="J2379" t="s">
        <v>30</v>
      </c>
      <c r="K2379">
        <v>28535.7</v>
      </c>
      <c r="L2379" t="str">
        <f t="shared" si="148"/>
        <v>Jul</v>
      </c>
      <c r="M2379">
        <f t="shared" si="149"/>
        <v>2025</v>
      </c>
      <c r="N2379">
        <f t="shared" si="150"/>
        <v>28535.699999999997</v>
      </c>
      <c r="O2379" t="str">
        <f t="shared" si="151"/>
        <v>Minor Delay</v>
      </c>
    </row>
    <row r="2380" spans="1:15" x14ac:dyDescent="0.25">
      <c r="A2380">
        <v>2379</v>
      </c>
      <c r="B2380" s="2">
        <v>45848</v>
      </c>
      <c r="C2380" t="s">
        <v>25</v>
      </c>
      <c r="D2380" t="s">
        <v>22</v>
      </c>
      <c r="E2380" t="s">
        <v>19</v>
      </c>
      <c r="F2380" t="s">
        <v>14</v>
      </c>
      <c r="G2380">
        <v>280</v>
      </c>
      <c r="H2380">
        <v>348.31</v>
      </c>
      <c r="I2380">
        <v>37</v>
      </c>
      <c r="J2380" t="s">
        <v>15</v>
      </c>
      <c r="K2380">
        <v>97526.8</v>
      </c>
      <c r="L2380" t="str">
        <f t="shared" si="148"/>
        <v>Jul</v>
      </c>
      <c r="M2380">
        <f t="shared" si="149"/>
        <v>2025</v>
      </c>
      <c r="N2380">
        <f t="shared" si="150"/>
        <v>97526.8</v>
      </c>
      <c r="O2380" t="str">
        <f t="shared" si="151"/>
        <v>Moderate Delay</v>
      </c>
    </row>
    <row r="2381" spans="1:15" x14ac:dyDescent="0.25">
      <c r="A2381">
        <v>2380</v>
      </c>
      <c r="B2381" s="2">
        <v>45989</v>
      </c>
      <c r="C2381" t="s">
        <v>16</v>
      </c>
      <c r="D2381" t="s">
        <v>19</v>
      </c>
      <c r="E2381" t="s">
        <v>12</v>
      </c>
      <c r="F2381" t="s">
        <v>21</v>
      </c>
      <c r="G2381">
        <v>64</v>
      </c>
      <c r="H2381">
        <v>260.95</v>
      </c>
      <c r="I2381">
        <v>0</v>
      </c>
      <c r="J2381" t="s">
        <v>15</v>
      </c>
      <c r="K2381">
        <v>16700.8</v>
      </c>
      <c r="L2381" t="str">
        <f t="shared" si="148"/>
        <v>Nov</v>
      </c>
      <c r="M2381">
        <f t="shared" si="149"/>
        <v>2025</v>
      </c>
      <c r="N2381">
        <f t="shared" si="150"/>
        <v>16700.8</v>
      </c>
      <c r="O2381" t="str">
        <f t="shared" si="151"/>
        <v>On Time</v>
      </c>
    </row>
    <row r="2382" spans="1:15" x14ac:dyDescent="0.25">
      <c r="A2382">
        <v>2381</v>
      </c>
      <c r="B2382" s="2">
        <v>45711</v>
      </c>
      <c r="C2382" t="s">
        <v>11</v>
      </c>
      <c r="D2382" t="s">
        <v>20</v>
      </c>
      <c r="E2382" t="s">
        <v>23</v>
      </c>
      <c r="F2382" t="s">
        <v>14</v>
      </c>
      <c r="G2382">
        <v>174</v>
      </c>
      <c r="H2382">
        <v>555.05999999999995</v>
      </c>
      <c r="I2382">
        <v>24</v>
      </c>
      <c r="J2382" t="s">
        <v>15</v>
      </c>
      <c r="K2382">
        <v>96580.44</v>
      </c>
      <c r="L2382" t="str">
        <f t="shared" si="148"/>
        <v>Feb</v>
      </c>
      <c r="M2382">
        <f t="shared" si="149"/>
        <v>2025</v>
      </c>
      <c r="N2382">
        <f t="shared" si="150"/>
        <v>96580.439999999988</v>
      </c>
      <c r="O2382" t="str">
        <f t="shared" si="151"/>
        <v>Minor Delay</v>
      </c>
    </row>
    <row r="2383" spans="1:15" x14ac:dyDescent="0.25">
      <c r="A2383">
        <v>2382</v>
      </c>
      <c r="B2383" s="2">
        <v>45734</v>
      </c>
      <c r="C2383" t="s">
        <v>16</v>
      </c>
      <c r="D2383" t="s">
        <v>12</v>
      </c>
      <c r="E2383" t="s">
        <v>17</v>
      </c>
      <c r="F2383" t="s">
        <v>21</v>
      </c>
      <c r="G2383">
        <v>68</v>
      </c>
      <c r="H2383">
        <v>222.62</v>
      </c>
      <c r="I2383">
        <v>51</v>
      </c>
      <c r="J2383" t="s">
        <v>15</v>
      </c>
      <c r="K2383">
        <v>15138.16</v>
      </c>
      <c r="L2383" t="str">
        <f t="shared" si="148"/>
        <v>Mar</v>
      </c>
      <c r="M2383">
        <f t="shared" si="149"/>
        <v>2025</v>
      </c>
      <c r="N2383">
        <f t="shared" si="150"/>
        <v>15138.16</v>
      </c>
      <c r="O2383" t="str">
        <f t="shared" si="151"/>
        <v>Moderate Delay</v>
      </c>
    </row>
    <row r="2384" spans="1:15" x14ac:dyDescent="0.25">
      <c r="A2384">
        <v>2383</v>
      </c>
      <c r="B2384" s="2">
        <v>45918</v>
      </c>
      <c r="C2384" t="s">
        <v>26</v>
      </c>
      <c r="D2384" t="s">
        <v>17</v>
      </c>
      <c r="E2384" t="s">
        <v>13</v>
      </c>
      <c r="F2384" t="s">
        <v>21</v>
      </c>
      <c r="G2384">
        <v>152</v>
      </c>
      <c r="H2384">
        <v>229.64</v>
      </c>
      <c r="I2384">
        <v>33</v>
      </c>
      <c r="J2384" t="s">
        <v>15</v>
      </c>
      <c r="K2384">
        <v>34905.279999999999</v>
      </c>
      <c r="L2384" t="str">
        <f t="shared" si="148"/>
        <v>Sep</v>
      </c>
      <c r="M2384">
        <f t="shared" si="149"/>
        <v>2025</v>
      </c>
      <c r="N2384">
        <f t="shared" si="150"/>
        <v>34905.279999999999</v>
      </c>
      <c r="O2384" t="str">
        <f t="shared" si="151"/>
        <v>Moderate Delay</v>
      </c>
    </row>
    <row r="2385" spans="1:15" x14ac:dyDescent="0.25">
      <c r="A2385">
        <v>2384</v>
      </c>
      <c r="B2385" s="2">
        <v>45799</v>
      </c>
      <c r="C2385" t="s">
        <v>18</v>
      </c>
      <c r="D2385" t="s">
        <v>12</v>
      </c>
      <c r="E2385" t="s">
        <v>17</v>
      </c>
      <c r="F2385" t="s">
        <v>14</v>
      </c>
      <c r="G2385">
        <v>142</v>
      </c>
      <c r="H2385">
        <v>295.63</v>
      </c>
      <c r="I2385">
        <v>0</v>
      </c>
      <c r="J2385" t="s">
        <v>15</v>
      </c>
      <c r="K2385">
        <v>41979.46</v>
      </c>
      <c r="L2385" t="str">
        <f t="shared" si="148"/>
        <v>May</v>
      </c>
      <c r="M2385">
        <f t="shared" si="149"/>
        <v>2025</v>
      </c>
      <c r="N2385">
        <f t="shared" si="150"/>
        <v>41979.46</v>
      </c>
      <c r="O2385" t="str">
        <f t="shared" si="151"/>
        <v>On Time</v>
      </c>
    </row>
    <row r="2386" spans="1:15" x14ac:dyDescent="0.25">
      <c r="A2386">
        <v>2385</v>
      </c>
      <c r="B2386" s="2">
        <v>45846</v>
      </c>
      <c r="C2386" t="s">
        <v>16</v>
      </c>
      <c r="D2386" t="s">
        <v>29</v>
      </c>
      <c r="E2386" t="s">
        <v>12</v>
      </c>
      <c r="F2386" t="s">
        <v>24</v>
      </c>
      <c r="G2386">
        <v>300</v>
      </c>
      <c r="H2386">
        <v>593.08000000000004</v>
      </c>
      <c r="I2386">
        <v>49</v>
      </c>
      <c r="J2386" t="s">
        <v>30</v>
      </c>
      <c r="K2386">
        <v>177924</v>
      </c>
      <c r="L2386" t="str">
        <f t="shared" si="148"/>
        <v>Jul</v>
      </c>
      <c r="M2386">
        <f t="shared" si="149"/>
        <v>2025</v>
      </c>
      <c r="N2386">
        <f t="shared" si="150"/>
        <v>177924</v>
      </c>
      <c r="O2386" t="str">
        <f t="shared" si="151"/>
        <v>Moderate Delay</v>
      </c>
    </row>
    <row r="2387" spans="1:15" x14ac:dyDescent="0.25">
      <c r="A2387">
        <v>2386</v>
      </c>
      <c r="B2387" s="2">
        <v>45877</v>
      </c>
      <c r="C2387" t="s">
        <v>26</v>
      </c>
      <c r="D2387" t="s">
        <v>22</v>
      </c>
      <c r="E2387" t="s">
        <v>17</v>
      </c>
      <c r="F2387" t="s">
        <v>14</v>
      </c>
      <c r="G2387">
        <v>195</v>
      </c>
      <c r="H2387">
        <v>750.68</v>
      </c>
      <c r="I2387">
        <v>34</v>
      </c>
      <c r="J2387" t="s">
        <v>15</v>
      </c>
      <c r="K2387">
        <v>146382.6</v>
      </c>
      <c r="L2387" t="str">
        <f t="shared" si="148"/>
        <v>Aug</v>
      </c>
      <c r="M2387">
        <f t="shared" si="149"/>
        <v>2025</v>
      </c>
      <c r="N2387">
        <f t="shared" si="150"/>
        <v>146382.59999999998</v>
      </c>
      <c r="O2387" t="str">
        <f t="shared" si="151"/>
        <v>Moderate Delay</v>
      </c>
    </row>
    <row r="2388" spans="1:15" x14ac:dyDescent="0.25">
      <c r="A2388">
        <v>2387</v>
      </c>
      <c r="B2388" s="2">
        <v>45960</v>
      </c>
      <c r="C2388" t="s">
        <v>26</v>
      </c>
      <c r="D2388" t="s">
        <v>17</v>
      </c>
      <c r="E2388" t="s">
        <v>19</v>
      </c>
      <c r="F2388" t="s">
        <v>24</v>
      </c>
      <c r="G2388">
        <v>190</v>
      </c>
      <c r="H2388">
        <v>427.52</v>
      </c>
      <c r="I2388">
        <v>22</v>
      </c>
      <c r="J2388" t="s">
        <v>30</v>
      </c>
      <c r="K2388">
        <v>81228.800000000003</v>
      </c>
      <c r="L2388" t="str">
        <f t="shared" si="148"/>
        <v>Oct</v>
      </c>
      <c r="M2388">
        <f t="shared" si="149"/>
        <v>2025</v>
      </c>
      <c r="N2388">
        <f t="shared" si="150"/>
        <v>81228.800000000003</v>
      </c>
      <c r="O2388" t="str">
        <f t="shared" si="151"/>
        <v>Minor Delay</v>
      </c>
    </row>
    <row r="2389" spans="1:15" x14ac:dyDescent="0.25">
      <c r="A2389">
        <v>2388</v>
      </c>
      <c r="B2389" s="2">
        <v>45787</v>
      </c>
      <c r="C2389" t="s">
        <v>11</v>
      </c>
      <c r="D2389" t="s">
        <v>29</v>
      </c>
      <c r="E2389" t="s">
        <v>13</v>
      </c>
      <c r="F2389" t="s">
        <v>24</v>
      </c>
      <c r="G2389">
        <v>299</v>
      </c>
      <c r="H2389">
        <v>177.14</v>
      </c>
      <c r="I2389">
        <v>11</v>
      </c>
      <c r="J2389" t="s">
        <v>15</v>
      </c>
      <c r="K2389">
        <v>52964.86</v>
      </c>
      <c r="L2389" t="str">
        <f t="shared" si="148"/>
        <v>May</v>
      </c>
      <c r="M2389">
        <f t="shared" si="149"/>
        <v>2025</v>
      </c>
      <c r="N2389">
        <f t="shared" si="150"/>
        <v>52964.859999999993</v>
      </c>
      <c r="O2389" t="str">
        <f t="shared" si="151"/>
        <v>Minor Delay</v>
      </c>
    </row>
    <row r="2390" spans="1:15" x14ac:dyDescent="0.25">
      <c r="A2390">
        <v>2389</v>
      </c>
      <c r="B2390" s="2">
        <v>45727</v>
      </c>
      <c r="C2390" t="s">
        <v>25</v>
      </c>
      <c r="D2390" t="s">
        <v>20</v>
      </c>
      <c r="E2390" t="s">
        <v>12</v>
      </c>
      <c r="F2390" t="s">
        <v>21</v>
      </c>
      <c r="G2390">
        <v>72</v>
      </c>
      <c r="H2390">
        <v>170.76</v>
      </c>
      <c r="I2390">
        <v>35</v>
      </c>
      <c r="J2390" t="s">
        <v>15</v>
      </c>
      <c r="K2390">
        <v>12294.72</v>
      </c>
      <c r="L2390" t="str">
        <f t="shared" si="148"/>
        <v>Mar</v>
      </c>
      <c r="M2390">
        <f t="shared" si="149"/>
        <v>2025</v>
      </c>
      <c r="N2390">
        <f t="shared" si="150"/>
        <v>12294.72</v>
      </c>
      <c r="O2390" t="str">
        <f t="shared" si="151"/>
        <v>Moderate Delay</v>
      </c>
    </row>
    <row r="2391" spans="1:15" x14ac:dyDescent="0.25">
      <c r="A2391">
        <v>2390</v>
      </c>
      <c r="B2391" s="2">
        <v>45894</v>
      </c>
      <c r="C2391" t="s">
        <v>31</v>
      </c>
      <c r="D2391" t="s">
        <v>17</v>
      </c>
      <c r="E2391" t="s">
        <v>20</v>
      </c>
      <c r="F2391" t="s">
        <v>21</v>
      </c>
      <c r="G2391">
        <v>215</v>
      </c>
      <c r="H2391">
        <v>395.89</v>
      </c>
      <c r="I2391">
        <v>27</v>
      </c>
      <c r="J2391" t="s">
        <v>15</v>
      </c>
      <c r="K2391">
        <v>85116.35</v>
      </c>
      <c r="L2391" t="str">
        <f t="shared" si="148"/>
        <v>Aug</v>
      </c>
      <c r="M2391">
        <f t="shared" si="149"/>
        <v>2025</v>
      </c>
      <c r="N2391">
        <f t="shared" si="150"/>
        <v>85116.349999999991</v>
      </c>
      <c r="O2391" t="str">
        <f t="shared" si="151"/>
        <v>Minor Delay</v>
      </c>
    </row>
    <row r="2392" spans="1:15" x14ac:dyDescent="0.25">
      <c r="A2392">
        <v>2391</v>
      </c>
      <c r="B2392" s="2">
        <v>45768</v>
      </c>
      <c r="C2392" t="s">
        <v>16</v>
      </c>
      <c r="D2392" t="s">
        <v>27</v>
      </c>
      <c r="E2392" t="s">
        <v>20</v>
      </c>
      <c r="F2392" t="s">
        <v>14</v>
      </c>
      <c r="G2392">
        <v>159</v>
      </c>
      <c r="H2392">
        <v>423.01</v>
      </c>
      <c r="I2392">
        <v>9</v>
      </c>
      <c r="J2392" t="s">
        <v>15</v>
      </c>
      <c r="K2392">
        <v>67258.59</v>
      </c>
      <c r="L2392" t="str">
        <f t="shared" si="148"/>
        <v>Apr</v>
      </c>
      <c r="M2392">
        <f t="shared" si="149"/>
        <v>2025</v>
      </c>
      <c r="N2392">
        <f t="shared" si="150"/>
        <v>67258.59</v>
      </c>
      <c r="O2392" t="str">
        <f t="shared" si="151"/>
        <v>Minor Delay</v>
      </c>
    </row>
    <row r="2393" spans="1:15" x14ac:dyDescent="0.25">
      <c r="A2393">
        <v>2392</v>
      </c>
      <c r="B2393" s="2">
        <v>45882</v>
      </c>
      <c r="C2393" t="s">
        <v>25</v>
      </c>
      <c r="D2393" t="s">
        <v>29</v>
      </c>
      <c r="E2393" t="s">
        <v>19</v>
      </c>
      <c r="F2393" t="s">
        <v>24</v>
      </c>
      <c r="G2393">
        <v>222</v>
      </c>
      <c r="H2393">
        <v>625.83000000000004</v>
      </c>
      <c r="I2393">
        <v>21</v>
      </c>
      <c r="J2393" t="s">
        <v>15</v>
      </c>
      <c r="K2393">
        <v>138934.26</v>
      </c>
      <c r="L2393" t="str">
        <f t="shared" si="148"/>
        <v>Aug</v>
      </c>
      <c r="M2393">
        <f t="shared" si="149"/>
        <v>2025</v>
      </c>
      <c r="N2393">
        <f t="shared" si="150"/>
        <v>138934.26</v>
      </c>
      <c r="O2393" t="str">
        <f t="shared" si="151"/>
        <v>Minor Delay</v>
      </c>
    </row>
    <row r="2394" spans="1:15" x14ac:dyDescent="0.25">
      <c r="A2394">
        <v>2393</v>
      </c>
      <c r="B2394" s="2">
        <v>45990</v>
      </c>
      <c r="C2394" t="s">
        <v>31</v>
      </c>
      <c r="D2394" t="s">
        <v>22</v>
      </c>
      <c r="E2394" t="s">
        <v>27</v>
      </c>
      <c r="F2394" t="s">
        <v>24</v>
      </c>
      <c r="G2394">
        <v>140</v>
      </c>
      <c r="H2394">
        <v>235.55</v>
      </c>
      <c r="I2394">
        <v>8</v>
      </c>
      <c r="J2394" t="s">
        <v>15</v>
      </c>
      <c r="K2394">
        <v>32977</v>
      </c>
      <c r="L2394" t="str">
        <f t="shared" si="148"/>
        <v>Nov</v>
      </c>
      <c r="M2394">
        <f t="shared" si="149"/>
        <v>2025</v>
      </c>
      <c r="N2394">
        <f t="shared" si="150"/>
        <v>32977</v>
      </c>
      <c r="O2394" t="str">
        <f t="shared" si="151"/>
        <v>Minor Delay</v>
      </c>
    </row>
    <row r="2395" spans="1:15" x14ac:dyDescent="0.25">
      <c r="A2395">
        <v>2394</v>
      </c>
      <c r="B2395" s="2">
        <v>45717</v>
      </c>
      <c r="C2395" t="s">
        <v>31</v>
      </c>
      <c r="D2395" t="s">
        <v>23</v>
      </c>
      <c r="E2395" t="s">
        <v>19</v>
      </c>
      <c r="F2395" t="s">
        <v>14</v>
      </c>
      <c r="G2395">
        <v>211</v>
      </c>
      <c r="H2395">
        <v>629.77</v>
      </c>
      <c r="I2395">
        <v>7</v>
      </c>
      <c r="J2395" t="s">
        <v>15</v>
      </c>
      <c r="K2395">
        <v>132881.47</v>
      </c>
      <c r="L2395" t="str">
        <f t="shared" si="148"/>
        <v>Mar</v>
      </c>
      <c r="M2395">
        <f t="shared" si="149"/>
        <v>2025</v>
      </c>
      <c r="N2395">
        <f t="shared" si="150"/>
        <v>132881.47</v>
      </c>
      <c r="O2395" t="str">
        <f t="shared" si="151"/>
        <v>Minor Delay</v>
      </c>
    </row>
    <row r="2396" spans="1:15" x14ac:dyDescent="0.25">
      <c r="A2396">
        <v>2395</v>
      </c>
      <c r="B2396" s="2">
        <v>45920</v>
      </c>
      <c r="C2396" t="s">
        <v>25</v>
      </c>
      <c r="D2396" t="s">
        <v>19</v>
      </c>
      <c r="E2396" t="s">
        <v>13</v>
      </c>
      <c r="F2396" t="s">
        <v>21</v>
      </c>
      <c r="G2396">
        <v>251</v>
      </c>
      <c r="H2396">
        <v>487.88</v>
      </c>
      <c r="I2396">
        <v>10</v>
      </c>
      <c r="J2396" t="s">
        <v>15</v>
      </c>
      <c r="K2396">
        <v>122457.88</v>
      </c>
      <c r="L2396" t="str">
        <f t="shared" si="148"/>
        <v>Sep</v>
      </c>
      <c r="M2396">
        <f t="shared" si="149"/>
        <v>2025</v>
      </c>
      <c r="N2396">
        <f t="shared" si="150"/>
        <v>122457.88</v>
      </c>
      <c r="O2396" t="str">
        <f t="shared" si="151"/>
        <v>Minor Delay</v>
      </c>
    </row>
    <row r="2397" spans="1:15" x14ac:dyDescent="0.25">
      <c r="A2397">
        <v>2396</v>
      </c>
      <c r="B2397" s="2">
        <v>45958</v>
      </c>
      <c r="C2397" t="s">
        <v>16</v>
      </c>
      <c r="D2397" t="s">
        <v>29</v>
      </c>
      <c r="E2397" t="s">
        <v>12</v>
      </c>
      <c r="F2397" t="s">
        <v>24</v>
      </c>
      <c r="G2397">
        <v>265</v>
      </c>
      <c r="H2397">
        <v>77.400000000000006</v>
      </c>
      <c r="I2397">
        <v>35</v>
      </c>
      <c r="J2397" t="s">
        <v>15</v>
      </c>
      <c r="K2397">
        <v>20511</v>
      </c>
      <c r="L2397" t="str">
        <f t="shared" si="148"/>
        <v>Oct</v>
      </c>
      <c r="M2397">
        <f t="shared" si="149"/>
        <v>2025</v>
      </c>
      <c r="N2397">
        <f t="shared" si="150"/>
        <v>20511</v>
      </c>
      <c r="O2397" t="str">
        <f t="shared" si="151"/>
        <v>Moderate Delay</v>
      </c>
    </row>
    <row r="2398" spans="1:15" x14ac:dyDescent="0.25">
      <c r="A2398">
        <v>2397</v>
      </c>
      <c r="B2398" s="2">
        <v>45802</v>
      </c>
      <c r="C2398" t="s">
        <v>31</v>
      </c>
      <c r="D2398" t="s">
        <v>17</v>
      </c>
      <c r="E2398" t="s">
        <v>23</v>
      </c>
      <c r="F2398" t="s">
        <v>21</v>
      </c>
      <c r="G2398">
        <v>166</v>
      </c>
      <c r="H2398">
        <v>651.66</v>
      </c>
      <c r="I2398">
        <v>19</v>
      </c>
      <c r="J2398" t="s">
        <v>15</v>
      </c>
      <c r="K2398">
        <v>108175.56</v>
      </c>
      <c r="L2398" t="str">
        <f t="shared" si="148"/>
        <v>May</v>
      </c>
      <c r="M2398">
        <f t="shared" si="149"/>
        <v>2025</v>
      </c>
      <c r="N2398">
        <f t="shared" si="150"/>
        <v>108175.56</v>
      </c>
      <c r="O2398" t="str">
        <f t="shared" si="151"/>
        <v>Minor Delay</v>
      </c>
    </row>
    <row r="2399" spans="1:15" x14ac:dyDescent="0.25">
      <c r="A2399">
        <v>2398</v>
      </c>
      <c r="B2399" s="2">
        <v>45945</v>
      </c>
      <c r="C2399" t="s">
        <v>18</v>
      </c>
      <c r="D2399" t="s">
        <v>29</v>
      </c>
      <c r="E2399" t="s">
        <v>20</v>
      </c>
      <c r="F2399" t="s">
        <v>24</v>
      </c>
      <c r="G2399">
        <v>128</v>
      </c>
      <c r="H2399">
        <v>288.8</v>
      </c>
      <c r="I2399">
        <v>22</v>
      </c>
      <c r="J2399" t="s">
        <v>15</v>
      </c>
      <c r="K2399">
        <v>36966.400000000001</v>
      </c>
      <c r="L2399" t="str">
        <f t="shared" si="148"/>
        <v>Oct</v>
      </c>
      <c r="M2399">
        <f t="shared" si="149"/>
        <v>2025</v>
      </c>
      <c r="N2399">
        <f t="shared" si="150"/>
        <v>36966.400000000001</v>
      </c>
      <c r="O2399" t="str">
        <f t="shared" si="151"/>
        <v>Minor Delay</v>
      </c>
    </row>
    <row r="2400" spans="1:15" x14ac:dyDescent="0.25">
      <c r="A2400">
        <v>2399</v>
      </c>
      <c r="B2400" s="2">
        <v>45863</v>
      </c>
      <c r="C2400" t="s">
        <v>26</v>
      </c>
      <c r="D2400" t="s">
        <v>17</v>
      </c>
      <c r="E2400" t="s">
        <v>27</v>
      </c>
      <c r="F2400" t="s">
        <v>21</v>
      </c>
      <c r="G2400">
        <v>164</v>
      </c>
      <c r="H2400">
        <v>498.88</v>
      </c>
      <c r="I2400">
        <v>66</v>
      </c>
      <c r="J2400" t="s">
        <v>15</v>
      </c>
      <c r="K2400">
        <v>81816.320000000007</v>
      </c>
      <c r="L2400" t="str">
        <f t="shared" si="148"/>
        <v>Jul</v>
      </c>
      <c r="M2400">
        <f t="shared" si="149"/>
        <v>2025</v>
      </c>
      <c r="N2400">
        <f t="shared" si="150"/>
        <v>81816.319999999992</v>
      </c>
      <c r="O2400" t="str">
        <f t="shared" si="151"/>
        <v>Major Delay</v>
      </c>
    </row>
    <row r="2401" spans="1:15" x14ac:dyDescent="0.25">
      <c r="A2401">
        <v>2400</v>
      </c>
      <c r="B2401" s="2">
        <v>45835</v>
      </c>
      <c r="C2401" t="s">
        <v>18</v>
      </c>
      <c r="D2401" t="s">
        <v>19</v>
      </c>
      <c r="E2401" t="s">
        <v>20</v>
      </c>
      <c r="F2401" t="s">
        <v>21</v>
      </c>
      <c r="G2401">
        <v>58</v>
      </c>
      <c r="H2401">
        <v>250.13</v>
      </c>
      <c r="I2401">
        <v>0</v>
      </c>
      <c r="J2401" t="s">
        <v>15</v>
      </c>
      <c r="K2401">
        <v>14507.54</v>
      </c>
      <c r="L2401" t="str">
        <f t="shared" si="148"/>
        <v>Jun</v>
      </c>
      <c r="M2401">
        <f t="shared" si="149"/>
        <v>2025</v>
      </c>
      <c r="N2401">
        <f t="shared" si="150"/>
        <v>14507.539999999999</v>
      </c>
      <c r="O2401" t="str">
        <f t="shared" si="151"/>
        <v>On Time</v>
      </c>
    </row>
    <row r="2402" spans="1:15" x14ac:dyDescent="0.25">
      <c r="A2402">
        <v>2401</v>
      </c>
      <c r="B2402" s="2">
        <v>45783</v>
      </c>
      <c r="C2402" t="s">
        <v>26</v>
      </c>
      <c r="D2402" t="s">
        <v>13</v>
      </c>
      <c r="E2402" t="s">
        <v>20</v>
      </c>
      <c r="F2402" t="s">
        <v>24</v>
      </c>
      <c r="G2402">
        <v>228</v>
      </c>
      <c r="H2402">
        <v>223.24</v>
      </c>
      <c r="I2402">
        <v>30</v>
      </c>
      <c r="J2402" t="s">
        <v>15</v>
      </c>
      <c r="K2402">
        <v>50898.720000000001</v>
      </c>
      <c r="L2402" t="str">
        <f t="shared" si="148"/>
        <v>May</v>
      </c>
      <c r="M2402">
        <f t="shared" si="149"/>
        <v>2025</v>
      </c>
      <c r="N2402">
        <f t="shared" si="150"/>
        <v>50898.720000000001</v>
      </c>
      <c r="O2402" t="str">
        <f t="shared" si="151"/>
        <v>Minor Delay</v>
      </c>
    </row>
    <row r="2403" spans="1:15" x14ac:dyDescent="0.25">
      <c r="A2403">
        <v>2402</v>
      </c>
      <c r="B2403" s="2">
        <v>45973</v>
      </c>
      <c r="C2403" t="s">
        <v>11</v>
      </c>
      <c r="D2403" t="s">
        <v>23</v>
      </c>
      <c r="E2403" t="s">
        <v>20</v>
      </c>
      <c r="F2403" t="s">
        <v>24</v>
      </c>
      <c r="G2403">
        <v>162</v>
      </c>
      <c r="H2403">
        <v>118.52</v>
      </c>
      <c r="I2403">
        <v>51</v>
      </c>
      <c r="J2403" t="s">
        <v>30</v>
      </c>
      <c r="K2403">
        <v>19200.240000000002</v>
      </c>
      <c r="L2403" t="str">
        <f t="shared" si="148"/>
        <v>Nov</v>
      </c>
      <c r="M2403">
        <f t="shared" si="149"/>
        <v>2025</v>
      </c>
      <c r="N2403">
        <f t="shared" si="150"/>
        <v>19200.239999999998</v>
      </c>
      <c r="O2403" t="str">
        <f t="shared" si="151"/>
        <v>Moderate Delay</v>
      </c>
    </row>
    <row r="2404" spans="1:15" x14ac:dyDescent="0.25">
      <c r="A2404">
        <v>2403</v>
      </c>
      <c r="B2404" s="2">
        <v>45949</v>
      </c>
      <c r="C2404" t="s">
        <v>25</v>
      </c>
      <c r="D2404" t="s">
        <v>22</v>
      </c>
      <c r="E2404" t="s">
        <v>29</v>
      </c>
      <c r="F2404" t="s">
        <v>24</v>
      </c>
      <c r="G2404">
        <v>107</v>
      </c>
      <c r="H2404">
        <v>297.61</v>
      </c>
      <c r="I2404">
        <v>42</v>
      </c>
      <c r="J2404" t="s">
        <v>15</v>
      </c>
      <c r="K2404">
        <v>31844.27</v>
      </c>
      <c r="L2404" t="str">
        <f t="shared" si="148"/>
        <v>Oct</v>
      </c>
      <c r="M2404">
        <f t="shared" si="149"/>
        <v>2025</v>
      </c>
      <c r="N2404">
        <f t="shared" si="150"/>
        <v>31844.27</v>
      </c>
      <c r="O2404" t="str">
        <f t="shared" si="151"/>
        <v>Moderate Delay</v>
      </c>
    </row>
    <row r="2405" spans="1:15" x14ac:dyDescent="0.25">
      <c r="A2405">
        <v>2404</v>
      </c>
      <c r="B2405" s="2">
        <v>45846</v>
      </c>
      <c r="C2405" t="s">
        <v>26</v>
      </c>
      <c r="D2405" t="s">
        <v>13</v>
      </c>
      <c r="E2405" t="s">
        <v>19</v>
      </c>
      <c r="F2405" t="s">
        <v>14</v>
      </c>
      <c r="G2405">
        <v>91</v>
      </c>
      <c r="H2405">
        <v>451.47</v>
      </c>
      <c r="I2405">
        <v>27</v>
      </c>
      <c r="J2405" t="s">
        <v>15</v>
      </c>
      <c r="K2405">
        <v>41083.769999999997</v>
      </c>
      <c r="L2405" t="str">
        <f t="shared" si="148"/>
        <v>Jul</v>
      </c>
      <c r="M2405">
        <f t="shared" si="149"/>
        <v>2025</v>
      </c>
      <c r="N2405">
        <f t="shared" si="150"/>
        <v>41083.770000000004</v>
      </c>
      <c r="O2405" t="str">
        <f t="shared" si="151"/>
        <v>Minor Delay</v>
      </c>
    </row>
    <row r="2406" spans="1:15" x14ac:dyDescent="0.25">
      <c r="A2406">
        <v>2405</v>
      </c>
      <c r="B2406" s="2">
        <v>45811</v>
      </c>
      <c r="C2406" t="s">
        <v>11</v>
      </c>
      <c r="D2406" t="s">
        <v>19</v>
      </c>
      <c r="E2406" t="s">
        <v>20</v>
      </c>
      <c r="F2406" t="s">
        <v>14</v>
      </c>
      <c r="G2406">
        <v>268</v>
      </c>
      <c r="H2406">
        <v>292.37</v>
      </c>
      <c r="I2406">
        <v>12</v>
      </c>
      <c r="J2406" t="s">
        <v>30</v>
      </c>
      <c r="K2406">
        <v>78355.16</v>
      </c>
      <c r="L2406" t="str">
        <f t="shared" si="148"/>
        <v>Jun</v>
      </c>
      <c r="M2406">
        <f t="shared" si="149"/>
        <v>2025</v>
      </c>
      <c r="N2406">
        <f t="shared" si="150"/>
        <v>78355.16</v>
      </c>
      <c r="O2406" t="str">
        <f t="shared" si="151"/>
        <v>Minor Delay</v>
      </c>
    </row>
    <row r="2407" spans="1:15" x14ac:dyDescent="0.25">
      <c r="A2407">
        <v>2406</v>
      </c>
      <c r="B2407" s="2">
        <v>45836</v>
      </c>
      <c r="C2407" t="s">
        <v>26</v>
      </c>
      <c r="D2407" t="s">
        <v>22</v>
      </c>
      <c r="E2407" t="s">
        <v>20</v>
      </c>
      <c r="F2407" t="s">
        <v>24</v>
      </c>
      <c r="G2407">
        <v>218</v>
      </c>
      <c r="H2407">
        <v>381.62</v>
      </c>
      <c r="I2407">
        <v>49</v>
      </c>
      <c r="J2407" t="s">
        <v>15</v>
      </c>
      <c r="K2407">
        <v>83193.16</v>
      </c>
      <c r="L2407" t="str">
        <f t="shared" si="148"/>
        <v>Jun</v>
      </c>
      <c r="M2407">
        <f t="shared" si="149"/>
        <v>2025</v>
      </c>
      <c r="N2407">
        <f t="shared" si="150"/>
        <v>83193.16</v>
      </c>
      <c r="O2407" t="str">
        <f t="shared" si="151"/>
        <v>Moderate Delay</v>
      </c>
    </row>
    <row r="2408" spans="1:15" x14ac:dyDescent="0.25">
      <c r="A2408">
        <v>2407</v>
      </c>
      <c r="B2408" s="2">
        <v>45807</v>
      </c>
      <c r="C2408" t="s">
        <v>25</v>
      </c>
      <c r="D2408" t="s">
        <v>22</v>
      </c>
      <c r="E2408" t="s">
        <v>23</v>
      </c>
      <c r="F2408" t="s">
        <v>14</v>
      </c>
      <c r="G2408">
        <v>128</v>
      </c>
      <c r="H2408">
        <v>584.69000000000005</v>
      </c>
      <c r="I2408">
        <v>29</v>
      </c>
      <c r="J2408" t="s">
        <v>15</v>
      </c>
      <c r="K2408">
        <v>74840.320000000007</v>
      </c>
      <c r="L2408" t="str">
        <f t="shared" si="148"/>
        <v>May</v>
      </c>
      <c r="M2408">
        <f t="shared" si="149"/>
        <v>2025</v>
      </c>
      <c r="N2408">
        <f t="shared" si="150"/>
        <v>74840.320000000007</v>
      </c>
      <c r="O2408" t="str">
        <f t="shared" si="151"/>
        <v>Minor Delay</v>
      </c>
    </row>
    <row r="2409" spans="1:15" x14ac:dyDescent="0.25">
      <c r="A2409">
        <v>2408</v>
      </c>
      <c r="B2409" s="2">
        <v>45949</v>
      </c>
      <c r="C2409" t="s">
        <v>31</v>
      </c>
      <c r="D2409" t="s">
        <v>12</v>
      </c>
      <c r="E2409" t="s">
        <v>20</v>
      </c>
      <c r="F2409" t="s">
        <v>21</v>
      </c>
      <c r="G2409">
        <v>112</v>
      </c>
      <c r="H2409">
        <v>617.21</v>
      </c>
      <c r="I2409">
        <v>0</v>
      </c>
      <c r="J2409" t="s">
        <v>15</v>
      </c>
      <c r="K2409">
        <v>69127.520000000004</v>
      </c>
      <c r="L2409" t="str">
        <f t="shared" si="148"/>
        <v>Oct</v>
      </c>
      <c r="M2409">
        <f t="shared" si="149"/>
        <v>2025</v>
      </c>
      <c r="N2409">
        <f t="shared" si="150"/>
        <v>69127.520000000004</v>
      </c>
      <c r="O2409" t="str">
        <f t="shared" si="151"/>
        <v>On Time</v>
      </c>
    </row>
    <row r="2410" spans="1:15" x14ac:dyDescent="0.25">
      <c r="A2410">
        <v>2409</v>
      </c>
      <c r="B2410" s="2">
        <v>45954</v>
      </c>
      <c r="C2410" t="s">
        <v>18</v>
      </c>
      <c r="D2410" t="s">
        <v>23</v>
      </c>
      <c r="E2410" t="s">
        <v>22</v>
      </c>
      <c r="F2410" t="s">
        <v>24</v>
      </c>
      <c r="G2410">
        <v>107</v>
      </c>
      <c r="H2410">
        <v>485.44</v>
      </c>
      <c r="I2410">
        <v>16</v>
      </c>
      <c r="J2410" t="s">
        <v>15</v>
      </c>
      <c r="K2410">
        <v>51942.080000000002</v>
      </c>
      <c r="L2410" t="str">
        <f t="shared" si="148"/>
        <v>Oct</v>
      </c>
      <c r="M2410">
        <f t="shared" si="149"/>
        <v>2025</v>
      </c>
      <c r="N2410">
        <f t="shared" si="150"/>
        <v>51942.080000000002</v>
      </c>
      <c r="O2410" t="str">
        <f t="shared" si="151"/>
        <v>Minor Delay</v>
      </c>
    </row>
    <row r="2411" spans="1:15" x14ac:dyDescent="0.25">
      <c r="A2411">
        <v>2410</v>
      </c>
      <c r="B2411" s="2">
        <v>45732</v>
      </c>
      <c r="C2411" t="s">
        <v>11</v>
      </c>
      <c r="D2411" t="s">
        <v>27</v>
      </c>
      <c r="E2411" t="s">
        <v>29</v>
      </c>
      <c r="F2411" t="s">
        <v>14</v>
      </c>
      <c r="G2411">
        <v>201</v>
      </c>
      <c r="H2411">
        <v>302.86</v>
      </c>
      <c r="I2411">
        <v>45</v>
      </c>
      <c r="J2411" t="s">
        <v>15</v>
      </c>
      <c r="K2411">
        <v>60874.86</v>
      </c>
      <c r="L2411" t="str">
        <f t="shared" si="148"/>
        <v>Mar</v>
      </c>
      <c r="M2411">
        <f t="shared" si="149"/>
        <v>2025</v>
      </c>
      <c r="N2411">
        <f t="shared" si="150"/>
        <v>60874.86</v>
      </c>
      <c r="O2411" t="str">
        <f t="shared" si="151"/>
        <v>Moderate Delay</v>
      </c>
    </row>
    <row r="2412" spans="1:15" x14ac:dyDescent="0.25">
      <c r="A2412">
        <v>2411</v>
      </c>
      <c r="B2412" s="2">
        <v>45952</v>
      </c>
      <c r="C2412" t="s">
        <v>25</v>
      </c>
      <c r="D2412" t="s">
        <v>20</v>
      </c>
      <c r="E2412" t="s">
        <v>19</v>
      </c>
      <c r="F2412" t="s">
        <v>21</v>
      </c>
      <c r="G2412">
        <v>214</v>
      </c>
      <c r="H2412">
        <v>630.20000000000005</v>
      </c>
      <c r="I2412">
        <v>0</v>
      </c>
      <c r="J2412" t="s">
        <v>15</v>
      </c>
      <c r="K2412">
        <v>134862.79999999999</v>
      </c>
      <c r="L2412" t="str">
        <f t="shared" si="148"/>
        <v>Oct</v>
      </c>
      <c r="M2412">
        <f t="shared" si="149"/>
        <v>2025</v>
      </c>
      <c r="N2412">
        <f t="shared" si="150"/>
        <v>134862.80000000002</v>
      </c>
      <c r="O2412" t="str">
        <f t="shared" si="151"/>
        <v>On Time</v>
      </c>
    </row>
    <row r="2413" spans="1:15" x14ac:dyDescent="0.25">
      <c r="A2413">
        <v>2412</v>
      </c>
      <c r="B2413" s="2">
        <v>45711</v>
      </c>
      <c r="C2413" t="s">
        <v>16</v>
      </c>
      <c r="D2413" t="s">
        <v>19</v>
      </c>
      <c r="E2413" t="s">
        <v>29</v>
      </c>
      <c r="F2413" t="s">
        <v>21</v>
      </c>
      <c r="G2413">
        <v>164</v>
      </c>
      <c r="H2413">
        <v>155.53</v>
      </c>
      <c r="I2413">
        <v>13</v>
      </c>
      <c r="J2413" t="s">
        <v>15</v>
      </c>
      <c r="K2413">
        <v>25506.92</v>
      </c>
      <c r="L2413" t="str">
        <f t="shared" si="148"/>
        <v>Feb</v>
      </c>
      <c r="M2413">
        <f t="shared" si="149"/>
        <v>2025</v>
      </c>
      <c r="N2413">
        <f t="shared" si="150"/>
        <v>25506.920000000002</v>
      </c>
      <c r="O2413" t="str">
        <f t="shared" si="151"/>
        <v>Minor Delay</v>
      </c>
    </row>
    <row r="2414" spans="1:15" x14ac:dyDescent="0.25">
      <c r="A2414">
        <v>2413</v>
      </c>
      <c r="B2414" s="2">
        <v>45680</v>
      </c>
      <c r="C2414" t="s">
        <v>18</v>
      </c>
      <c r="D2414" t="s">
        <v>12</v>
      </c>
      <c r="E2414" t="s">
        <v>27</v>
      </c>
      <c r="F2414" t="s">
        <v>24</v>
      </c>
      <c r="G2414">
        <v>127</v>
      </c>
      <c r="H2414">
        <v>725.44</v>
      </c>
      <c r="I2414">
        <v>3</v>
      </c>
      <c r="J2414" t="s">
        <v>15</v>
      </c>
      <c r="K2414">
        <v>92130.880000000005</v>
      </c>
      <c r="L2414" t="str">
        <f t="shared" si="148"/>
        <v>Jan</v>
      </c>
      <c r="M2414">
        <f t="shared" si="149"/>
        <v>2025</v>
      </c>
      <c r="N2414">
        <f t="shared" si="150"/>
        <v>92130.880000000005</v>
      </c>
      <c r="O2414" t="str">
        <f t="shared" si="151"/>
        <v>Minor Delay</v>
      </c>
    </row>
    <row r="2415" spans="1:15" x14ac:dyDescent="0.25">
      <c r="A2415">
        <v>2414</v>
      </c>
      <c r="B2415" s="2">
        <v>45830</v>
      </c>
      <c r="C2415" t="s">
        <v>18</v>
      </c>
      <c r="D2415" t="s">
        <v>17</v>
      </c>
      <c r="E2415" t="s">
        <v>22</v>
      </c>
      <c r="F2415" t="s">
        <v>21</v>
      </c>
      <c r="G2415">
        <v>83</v>
      </c>
      <c r="H2415">
        <v>695.77</v>
      </c>
      <c r="I2415">
        <v>18</v>
      </c>
      <c r="J2415" t="s">
        <v>15</v>
      </c>
      <c r="K2415">
        <v>57748.91</v>
      </c>
      <c r="L2415" t="str">
        <f t="shared" si="148"/>
        <v>Jun</v>
      </c>
      <c r="M2415">
        <f t="shared" si="149"/>
        <v>2025</v>
      </c>
      <c r="N2415">
        <f t="shared" si="150"/>
        <v>57748.909999999996</v>
      </c>
      <c r="O2415" t="str">
        <f t="shared" si="151"/>
        <v>Minor Delay</v>
      </c>
    </row>
    <row r="2416" spans="1:15" x14ac:dyDescent="0.25">
      <c r="A2416">
        <v>2415</v>
      </c>
      <c r="B2416" s="2">
        <v>45679</v>
      </c>
      <c r="C2416" t="s">
        <v>26</v>
      </c>
      <c r="D2416" t="s">
        <v>19</v>
      </c>
      <c r="E2416" t="s">
        <v>13</v>
      </c>
      <c r="F2416" t="s">
        <v>24</v>
      </c>
      <c r="G2416">
        <v>195</v>
      </c>
      <c r="H2416">
        <v>380.3</v>
      </c>
      <c r="I2416">
        <v>0</v>
      </c>
      <c r="J2416" t="s">
        <v>15</v>
      </c>
      <c r="K2416">
        <v>74158.5</v>
      </c>
      <c r="L2416" t="str">
        <f t="shared" si="148"/>
        <v>Jan</v>
      </c>
      <c r="M2416">
        <f t="shared" si="149"/>
        <v>2025</v>
      </c>
      <c r="N2416">
        <f t="shared" si="150"/>
        <v>74158.5</v>
      </c>
      <c r="O2416" t="str">
        <f t="shared" si="151"/>
        <v>On Time</v>
      </c>
    </row>
    <row r="2417" spans="1:15" x14ac:dyDescent="0.25">
      <c r="A2417">
        <v>2416</v>
      </c>
      <c r="B2417" s="2">
        <v>45672</v>
      </c>
      <c r="C2417" t="s">
        <v>11</v>
      </c>
      <c r="D2417" t="s">
        <v>19</v>
      </c>
      <c r="E2417" t="s">
        <v>13</v>
      </c>
      <c r="F2417" t="s">
        <v>21</v>
      </c>
      <c r="G2417">
        <v>273</v>
      </c>
      <c r="H2417">
        <v>323.27</v>
      </c>
      <c r="I2417">
        <v>74</v>
      </c>
      <c r="J2417" t="s">
        <v>15</v>
      </c>
      <c r="K2417">
        <v>88252.71</v>
      </c>
      <c r="L2417" t="str">
        <f t="shared" si="148"/>
        <v>Jan</v>
      </c>
      <c r="M2417">
        <f t="shared" si="149"/>
        <v>2025</v>
      </c>
      <c r="N2417">
        <f t="shared" si="150"/>
        <v>88252.709999999992</v>
      </c>
      <c r="O2417" t="str">
        <f t="shared" si="151"/>
        <v>Major Delay</v>
      </c>
    </row>
    <row r="2418" spans="1:15" x14ac:dyDescent="0.25">
      <c r="A2418">
        <v>2417</v>
      </c>
      <c r="B2418" s="2">
        <v>45894</v>
      </c>
      <c r="C2418" t="s">
        <v>26</v>
      </c>
      <c r="D2418" t="s">
        <v>12</v>
      </c>
      <c r="E2418" t="s">
        <v>23</v>
      </c>
      <c r="F2418" t="s">
        <v>24</v>
      </c>
      <c r="G2418">
        <v>271</v>
      </c>
      <c r="H2418">
        <v>323.62</v>
      </c>
      <c r="I2418">
        <v>13</v>
      </c>
      <c r="J2418" t="s">
        <v>15</v>
      </c>
      <c r="K2418">
        <v>87701.02</v>
      </c>
      <c r="L2418" t="str">
        <f t="shared" si="148"/>
        <v>Aug</v>
      </c>
      <c r="M2418">
        <f t="shared" si="149"/>
        <v>2025</v>
      </c>
      <c r="N2418">
        <f t="shared" si="150"/>
        <v>87701.02</v>
      </c>
      <c r="O2418" t="str">
        <f t="shared" si="151"/>
        <v>Minor Delay</v>
      </c>
    </row>
    <row r="2419" spans="1:15" x14ac:dyDescent="0.25">
      <c r="A2419">
        <v>2418</v>
      </c>
      <c r="B2419" s="2">
        <v>45659</v>
      </c>
      <c r="C2419" t="s">
        <v>31</v>
      </c>
      <c r="D2419" t="s">
        <v>22</v>
      </c>
      <c r="E2419" t="s">
        <v>27</v>
      </c>
      <c r="F2419" t="s">
        <v>24</v>
      </c>
      <c r="G2419">
        <v>298</v>
      </c>
      <c r="H2419">
        <v>656.56</v>
      </c>
      <c r="I2419">
        <v>0</v>
      </c>
      <c r="J2419" t="s">
        <v>30</v>
      </c>
      <c r="K2419">
        <v>195654.88</v>
      </c>
      <c r="L2419" t="str">
        <f t="shared" si="148"/>
        <v>Jan</v>
      </c>
      <c r="M2419">
        <f t="shared" si="149"/>
        <v>2025</v>
      </c>
      <c r="N2419">
        <f t="shared" si="150"/>
        <v>195654.87999999998</v>
      </c>
      <c r="O2419" t="str">
        <f t="shared" si="151"/>
        <v>On Time</v>
      </c>
    </row>
    <row r="2420" spans="1:15" x14ac:dyDescent="0.25">
      <c r="A2420">
        <v>2419</v>
      </c>
      <c r="B2420" s="2">
        <v>45791</v>
      </c>
      <c r="C2420" t="s">
        <v>25</v>
      </c>
      <c r="D2420" t="s">
        <v>19</v>
      </c>
      <c r="E2420" t="s">
        <v>12</v>
      </c>
      <c r="F2420" t="s">
        <v>24</v>
      </c>
      <c r="G2420">
        <v>191</v>
      </c>
      <c r="H2420">
        <v>280.77999999999997</v>
      </c>
      <c r="I2420">
        <v>18</v>
      </c>
      <c r="J2420" t="s">
        <v>15</v>
      </c>
      <c r="K2420">
        <v>53628.98</v>
      </c>
      <c r="L2420" t="str">
        <f t="shared" si="148"/>
        <v>May</v>
      </c>
      <c r="M2420">
        <f t="shared" si="149"/>
        <v>2025</v>
      </c>
      <c r="N2420">
        <f t="shared" si="150"/>
        <v>53628.979999999996</v>
      </c>
      <c r="O2420" t="str">
        <f t="shared" si="151"/>
        <v>Minor Delay</v>
      </c>
    </row>
    <row r="2421" spans="1:15" x14ac:dyDescent="0.25">
      <c r="A2421">
        <v>2420</v>
      </c>
      <c r="B2421" s="2">
        <v>45772</v>
      </c>
      <c r="C2421" t="s">
        <v>31</v>
      </c>
      <c r="D2421" t="s">
        <v>12</v>
      </c>
      <c r="E2421" t="s">
        <v>29</v>
      </c>
      <c r="F2421" t="s">
        <v>21</v>
      </c>
      <c r="G2421">
        <v>144</v>
      </c>
      <c r="H2421">
        <v>95.56</v>
      </c>
      <c r="I2421">
        <v>42</v>
      </c>
      <c r="J2421" t="s">
        <v>15</v>
      </c>
      <c r="K2421">
        <v>13760.64</v>
      </c>
      <c r="L2421" t="str">
        <f t="shared" si="148"/>
        <v>Apr</v>
      </c>
      <c r="M2421">
        <f t="shared" si="149"/>
        <v>2025</v>
      </c>
      <c r="N2421">
        <f t="shared" si="150"/>
        <v>13760.64</v>
      </c>
      <c r="O2421" t="str">
        <f t="shared" si="151"/>
        <v>Moderate Delay</v>
      </c>
    </row>
    <row r="2422" spans="1:15" x14ac:dyDescent="0.25">
      <c r="A2422">
        <v>2421</v>
      </c>
      <c r="B2422" s="2">
        <v>45866</v>
      </c>
      <c r="C2422" t="s">
        <v>11</v>
      </c>
      <c r="D2422" t="s">
        <v>29</v>
      </c>
      <c r="E2422" t="s">
        <v>23</v>
      </c>
      <c r="F2422" t="s">
        <v>21</v>
      </c>
      <c r="G2422">
        <v>239</v>
      </c>
      <c r="H2422">
        <v>160.44</v>
      </c>
      <c r="I2422">
        <v>30</v>
      </c>
      <c r="J2422" t="s">
        <v>15</v>
      </c>
      <c r="K2422">
        <v>38345.160000000003</v>
      </c>
      <c r="L2422" t="str">
        <f t="shared" si="148"/>
        <v>Jul</v>
      </c>
      <c r="M2422">
        <f t="shared" si="149"/>
        <v>2025</v>
      </c>
      <c r="N2422">
        <f t="shared" si="150"/>
        <v>38345.159999999996</v>
      </c>
      <c r="O2422" t="str">
        <f t="shared" si="151"/>
        <v>Minor Delay</v>
      </c>
    </row>
    <row r="2423" spans="1:15" x14ac:dyDescent="0.25">
      <c r="A2423">
        <v>2422</v>
      </c>
      <c r="B2423" s="2">
        <v>45866</v>
      </c>
      <c r="C2423" t="s">
        <v>11</v>
      </c>
      <c r="D2423" t="s">
        <v>29</v>
      </c>
      <c r="E2423" t="s">
        <v>22</v>
      </c>
      <c r="F2423" t="s">
        <v>21</v>
      </c>
      <c r="G2423">
        <v>77</v>
      </c>
      <c r="H2423">
        <v>73.849999999999994</v>
      </c>
      <c r="I2423">
        <v>7</v>
      </c>
      <c r="J2423" t="s">
        <v>15</v>
      </c>
      <c r="K2423">
        <v>5686.45</v>
      </c>
      <c r="L2423" t="str">
        <f t="shared" si="148"/>
        <v>Jul</v>
      </c>
      <c r="M2423">
        <f t="shared" si="149"/>
        <v>2025</v>
      </c>
      <c r="N2423">
        <f t="shared" si="150"/>
        <v>5686.45</v>
      </c>
      <c r="O2423" t="str">
        <f t="shared" si="151"/>
        <v>Minor Delay</v>
      </c>
    </row>
    <row r="2424" spans="1:15" x14ac:dyDescent="0.25">
      <c r="A2424">
        <v>2423</v>
      </c>
      <c r="B2424" s="2">
        <v>45916</v>
      </c>
      <c r="C2424" t="s">
        <v>25</v>
      </c>
      <c r="D2424" t="s">
        <v>20</v>
      </c>
      <c r="E2424" t="s">
        <v>17</v>
      </c>
      <c r="F2424" t="s">
        <v>21</v>
      </c>
      <c r="G2424">
        <v>222</v>
      </c>
      <c r="H2424">
        <v>652.74</v>
      </c>
      <c r="I2424">
        <v>0</v>
      </c>
      <c r="J2424" t="s">
        <v>30</v>
      </c>
      <c r="K2424">
        <v>144908.28</v>
      </c>
      <c r="L2424" t="str">
        <f t="shared" si="148"/>
        <v>Sep</v>
      </c>
      <c r="M2424">
        <f t="shared" si="149"/>
        <v>2025</v>
      </c>
      <c r="N2424">
        <f t="shared" si="150"/>
        <v>144908.28</v>
      </c>
      <c r="O2424" t="str">
        <f t="shared" si="151"/>
        <v>On Time</v>
      </c>
    </row>
    <row r="2425" spans="1:15" x14ac:dyDescent="0.25">
      <c r="A2425">
        <v>2424</v>
      </c>
      <c r="B2425" s="2">
        <v>46021</v>
      </c>
      <c r="C2425" t="s">
        <v>25</v>
      </c>
      <c r="D2425" t="s">
        <v>13</v>
      </c>
      <c r="E2425" t="s">
        <v>17</v>
      </c>
      <c r="F2425" t="s">
        <v>14</v>
      </c>
      <c r="G2425">
        <v>195</v>
      </c>
      <c r="H2425">
        <v>696.66</v>
      </c>
      <c r="I2425">
        <v>48</v>
      </c>
      <c r="J2425" t="s">
        <v>15</v>
      </c>
      <c r="K2425">
        <v>135848.70000000001</v>
      </c>
      <c r="L2425" t="str">
        <f t="shared" si="148"/>
        <v>Dec</v>
      </c>
      <c r="M2425">
        <f t="shared" si="149"/>
        <v>2025</v>
      </c>
      <c r="N2425">
        <f t="shared" si="150"/>
        <v>135848.69999999998</v>
      </c>
      <c r="O2425" t="str">
        <f t="shared" si="151"/>
        <v>Moderate Delay</v>
      </c>
    </row>
    <row r="2426" spans="1:15" x14ac:dyDescent="0.25">
      <c r="A2426">
        <v>2425</v>
      </c>
      <c r="B2426" s="2">
        <v>45992</v>
      </c>
      <c r="C2426" t="s">
        <v>16</v>
      </c>
      <c r="D2426" t="s">
        <v>13</v>
      </c>
      <c r="E2426" t="s">
        <v>19</v>
      </c>
      <c r="F2426" t="s">
        <v>21</v>
      </c>
      <c r="G2426">
        <v>219</v>
      </c>
      <c r="H2426">
        <v>779.49</v>
      </c>
      <c r="I2426">
        <v>1</v>
      </c>
      <c r="J2426" t="s">
        <v>15</v>
      </c>
      <c r="K2426">
        <v>170708.31</v>
      </c>
      <c r="L2426" t="str">
        <f t="shared" si="148"/>
        <v>Dec</v>
      </c>
      <c r="M2426">
        <f t="shared" si="149"/>
        <v>2025</v>
      </c>
      <c r="N2426">
        <f t="shared" si="150"/>
        <v>170708.31</v>
      </c>
      <c r="O2426" t="str">
        <f t="shared" si="151"/>
        <v>Minor Delay</v>
      </c>
    </row>
    <row r="2427" spans="1:15" x14ac:dyDescent="0.25">
      <c r="A2427">
        <v>2426</v>
      </c>
      <c r="B2427" s="2">
        <v>45812</v>
      </c>
      <c r="C2427" t="s">
        <v>11</v>
      </c>
      <c r="D2427" t="s">
        <v>19</v>
      </c>
      <c r="E2427" t="s">
        <v>13</v>
      </c>
      <c r="F2427" t="s">
        <v>24</v>
      </c>
      <c r="G2427">
        <v>64</v>
      </c>
      <c r="H2427">
        <v>174.82</v>
      </c>
      <c r="I2427">
        <v>27</v>
      </c>
      <c r="J2427" t="s">
        <v>15</v>
      </c>
      <c r="K2427">
        <v>11188.48</v>
      </c>
      <c r="L2427" t="str">
        <f t="shared" si="148"/>
        <v>Jun</v>
      </c>
      <c r="M2427">
        <f t="shared" si="149"/>
        <v>2025</v>
      </c>
      <c r="N2427">
        <f t="shared" si="150"/>
        <v>11188.48</v>
      </c>
      <c r="O2427" t="str">
        <f t="shared" si="151"/>
        <v>Minor Delay</v>
      </c>
    </row>
    <row r="2428" spans="1:15" x14ac:dyDescent="0.25">
      <c r="A2428">
        <v>2427</v>
      </c>
      <c r="B2428" s="2">
        <v>45741</v>
      </c>
      <c r="C2428" t="s">
        <v>11</v>
      </c>
      <c r="D2428" t="s">
        <v>22</v>
      </c>
      <c r="E2428" t="s">
        <v>13</v>
      </c>
      <c r="F2428" t="s">
        <v>21</v>
      </c>
      <c r="G2428">
        <v>206</v>
      </c>
      <c r="H2428">
        <v>758.8</v>
      </c>
      <c r="I2428">
        <v>0</v>
      </c>
      <c r="J2428" t="s">
        <v>15</v>
      </c>
      <c r="K2428">
        <v>156312.79999999999</v>
      </c>
      <c r="L2428" t="str">
        <f t="shared" si="148"/>
        <v>Mar</v>
      </c>
      <c r="M2428">
        <f t="shared" si="149"/>
        <v>2025</v>
      </c>
      <c r="N2428">
        <f t="shared" si="150"/>
        <v>156312.79999999999</v>
      </c>
      <c r="O2428" t="str">
        <f t="shared" si="151"/>
        <v>On Time</v>
      </c>
    </row>
    <row r="2429" spans="1:15" x14ac:dyDescent="0.25">
      <c r="A2429">
        <v>2428</v>
      </c>
      <c r="B2429" s="2">
        <v>45759</v>
      </c>
      <c r="C2429" t="s">
        <v>11</v>
      </c>
      <c r="D2429" t="s">
        <v>22</v>
      </c>
      <c r="E2429" t="s">
        <v>29</v>
      </c>
      <c r="F2429" t="s">
        <v>14</v>
      </c>
      <c r="G2429">
        <v>183</v>
      </c>
      <c r="H2429">
        <v>795.57</v>
      </c>
      <c r="I2429">
        <v>30</v>
      </c>
      <c r="J2429" t="s">
        <v>15</v>
      </c>
      <c r="K2429">
        <v>145589.31</v>
      </c>
      <c r="L2429" t="str">
        <f t="shared" si="148"/>
        <v>Apr</v>
      </c>
      <c r="M2429">
        <f t="shared" si="149"/>
        <v>2025</v>
      </c>
      <c r="N2429">
        <f t="shared" si="150"/>
        <v>145589.31</v>
      </c>
      <c r="O2429" t="str">
        <f t="shared" si="151"/>
        <v>Minor Delay</v>
      </c>
    </row>
    <row r="2430" spans="1:15" x14ac:dyDescent="0.25">
      <c r="A2430">
        <v>2429</v>
      </c>
      <c r="B2430" s="2">
        <v>45727</v>
      </c>
      <c r="C2430" t="s">
        <v>16</v>
      </c>
      <c r="D2430" t="s">
        <v>19</v>
      </c>
      <c r="E2430" t="s">
        <v>13</v>
      </c>
      <c r="F2430" t="s">
        <v>14</v>
      </c>
      <c r="G2430">
        <v>134</v>
      </c>
      <c r="H2430">
        <v>356.94</v>
      </c>
      <c r="I2430">
        <v>37</v>
      </c>
      <c r="J2430" t="s">
        <v>30</v>
      </c>
      <c r="K2430">
        <v>47829.96</v>
      </c>
      <c r="L2430" t="str">
        <f t="shared" si="148"/>
        <v>Mar</v>
      </c>
      <c r="M2430">
        <f t="shared" si="149"/>
        <v>2025</v>
      </c>
      <c r="N2430">
        <f t="shared" si="150"/>
        <v>47829.96</v>
      </c>
      <c r="O2430" t="str">
        <f t="shared" si="151"/>
        <v>Moderate Delay</v>
      </c>
    </row>
    <row r="2431" spans="1:15" x14ac:dyDescent="0.25">
      <c r="A2431">
        <v>2430</v>
      </c>
      <c r="B2431" s="2">
        <v>45770</v>
      </c>
      <c r="C2431" t="s">
        <v>11</v>
      </c>
      <c r="D2431" t="s">
        <v>19</v>
      </c>
      <c r="E2431" t="s">
        <v>13</v>
      </c>
      <c r="F2431" t="s">
        <v>24</v>
      </c>
      <c r="G2431">
        <v>154</v>
      </c>
      <c r="H2431">
        <v>406.65</v>
      </c>
      <c r="I2431">
        <v>19</v>
      </c>
      <c r="J2431" t="s">
        <v>15</v>
      </c>
      <c r="K2431">
        <v>62624.1</v>
      </c>
      <c r="L2431" t="str">
        <f t="shared" si="148"/>
        <v>Apr</v>
      </c>
      <c r="M2431">
        <f t="shared" si="149"/>
        <v>2025</v>
      </c>
      <c r="N2431">
        <f t="shared" si="150"/>
        <v>62624.1</v>
      </c>
      <c r="O2431" t="str">
        <f t="shared" si="151"/>
        <v>Minor Delay</v>
      </c>
    </row>
    <row r="2432" spans="1:15" x14ac:dyDescent="0.25">
      <c r="A2432">
        <v>2431</v>
      </c>
      <c r="B2432" s="2">
        <v>45891</v>
      </c>
      <c r="C2432" t="s">
        <v>26</v>
      </c>
      <c r="D2432" t="s">
        <v>12</v>
      </c>
      <c r="E2432" t="s">
        <v>20</v>
      </c>
      <c r="F2432" t="s">
        <v>14</v>
      </c>
      <c r="G2432">
        <v>162</v>
      </c>
      <c r="H2432">
        <v>693.37</v>
      </c>
      <c r="I2432">
        <v>37</v>
      </c>
      <c r="J2432" t="s">
        <v>15</v>
      </c>
      <c r="K2432">
        <v>112325.94</v>
      </c>
      <c r="L2432" t="str">
        <f t="shared" si="148"/>
        <v>Aug</v>
      </c>
      <c r="M2432">
        <f t="shared" si="149"/>
        <v>2025</v>
      </c>
      <c r="N2432">
        <f t="shared" si="150"/>
        <v>112325.94</v>
      </c>
      <c r="O2432" t="str">
        <f t="shared" si="151"/>
        <v>Moderate Delay</v>
      </c>
    </row>
    <row r="2433" spans="1:15" x14ac:dyDescent="0.25">
      <c r="A2433">
        <v>2432</v>
      </c>
      <c r="B2433" s="2">
        <v>45687</v>
      </c>
      <c r="C2433" t="s">
        <v>11</v>
      </c>
      <c r="D2433" t="s">
        <v>22</v>
      </c>
      <c r="E2433" t="s">
        <v>19</v>
      </c>
      <c r="F2433" t="s">
        <v>24</v>
      </c>
      <c r="G2433">
        <v>214</v>
      </c>
      <c r="H2433">
        <v>333.94</v>
      </c>
      <c r="I2433">
        <v>42</v>
      </c>
      <c r="J2433" t="s">
        <v>15</v>
      </c>
      <c r="K2433">
        <v>71463.16</v>
      </c>
      <c r="L2433" t="str">
        <f t="shared" si="148"/>
        <v>Jan</v>
      </c>
      <c r="M2433">
        <f t="shared" si="149"/>
        <v>2025</v>
      </c>
      <c r="N2433">
        <f t="shared" si="150"/>
        <v>71463.16</v>
      </c>
      <c r="O2433" t="str">
        <f t="shared" si="151"/>
        <v>Moderate Delay</v>
      </c>
    </row>
    <row r="2434" spans="1:15" x14ac:dyDescent="0.25">
      <c r="A2434">
        <v>2433</v>
      </c>
      <c r="B2434" s="2">
        <v>45955</v>
      </c>
      <c r="C2434" t="s">
        <v>31</v>
      </c>
      <c r="D2434" t="s">
        <v>29</v>
      </c>
      <c r="E2434" t="s">
        <v>23</v>
      </c>
      <c r="F2434" t="s">
        <v>24</v>
      </c>
      <c r="G2434">
        <v>258</v>
      </c>
      <c r="H2434">
        <v>420.85</v>
      </c>
      <c r="I2434">
        <v>21</v>
      </c>
      <c r="J2434" t="s">
        <v>15</v>
      </c>
      <c r="K2434">
        <v>108579.3</v>
      </c>
      <c r="L2434" t="str">
        <f t="shared" si="148"/>
        <v>Oct</v>
      </c>
      <c r="M2434">
        <f t="shared" si="149"/>
        <v>2025</v>
      </c>
      <c r="N2434">
        <f t="shared" si="150"/>
        <v>108579.3</v>
      </c>
      <c r="O2434" t="str">
        <f t="shared" si="151"/>
        <v>Minor Delay</v>
      </c>
    </row>
    <row r="2435" spans="1:15" x14ac:dyDescent="0.25">
      <c r="A2435">
        <v>2434</v>
      </c>
      <c r="B2435" s="2">
        <v>45723</v>
      </c>
      <c r="C2435" t="s">
        <v>31</v>
      </c>
      <c r="D2435" t="s">
        <v>29</v>
      </c>
      <c r="E2435" t="s">
        <v>13</v>
      </c>
      <c r="F2435" t="s">
        <v>24</v>
      </c>
      <c r="G2435">
        <v>167</v>
      </c>
      <c r="H2435">
        <v>110.4</v>
      </c>
      <c r="I2435">
        <v>37</v>
      </c>
      <c r="J2435" t="s">
        <v>30</v>
      </c>
      <c r="K2435">
        <v>18436.8</v>
      </c>
      <c r="L2435" t="str">
        <f t="shared" ref="L2435:L2498" si="152">TEXT(B2435,"MMM")</f>
        <v>Mar</v>
      </c>
      <c r="M2435">
        <f t="shared" ref="M2435:M2498" si="153">YEAR(B2435)</f>
        <v>2025</v>
      </c>
      <c r="N2435">
        <f t="shared" ref="N2435:N2498" si="154">G2435*H2435</f>
        <v>18436.8</v>
      </c>
      <c r="O2435" t="str">
        <f t="shared" ref="O2435:O2498" si="155">IF(I2435=0,"On Time",IF(I2435&lt;=30,"Minor Delay",IF(I2435&lt;=60,"Moderate Delay","Major Delay")))</f>
        <v>Moderate Delay</v>
      </c>
    </row>
    <row r="2436" spans="1:15" x14ac:dyDescent="0.25">
      <c r="A2436">
        <v>2435</v>
      </c>
      <c r="B2436" s="2">
        <v>45890</v>
      </c>
      <c r="C2436" t="s">
        <v>25</v>
      </c>
      <c r="D2436" t="s">
        <v>13</v>
      </c>
      <c r="E2436" t="s">
        <v>29</v>
      </c>
      <c r="F2436" t="s">
        <v>14</v>
      </c>
      <c r="G2436">
        <v>295</v>
      </c>
      <c r="H2436">
        <v>180.92</v>
      </c>
      <c r="I2436">
        <v>26</v>
      </c>
      <c r="J2436" t="s">
        <v>30</v>
      </c>
      <c r="K2436">
        <v>53371.4</v>
      </c>
      <c r="L2436" t="str">
        <f t="shared" si="152"/>
        <v>Aug</v>
      </c>
      <c r="M2436">
        <f t="shared" si="153"/>
        <v>2025</v>
      </c>
      <c r="N2436">
        <f t="shared" si="154"/>
        <v>53371.399999999994</v>
      </c>
      <c r="O2436" t="str">
        <f t="shared" si="155"/>
        <v>Minor Delay</v>
      </c>
    </row>
    <row r="2437" spans="1:15" x14ac:dyDescent="0.25">
      <c r="A2437">
        <v>2436</v>
      </c>
      <c r="B2437" s="2">
        <v>45869</v>
      </c>
      <c r="C2437" t="s">
        <v>26</v>
      </c>
      <c r="D2437" t="s">
        <v>13</v>
      </c>
      <c r="E2437" t="s">
        <v>27</v>
      </c>
      <c r="F2437" t="s">
        <v>21</v>
      </c>
      <c r="G2437">
        <v>276</v>
      </c>
      <c r="H2437">
        <v>464.38</v>
      </c>
      <c r="I2437">
        <v>0</v>
      </c>
      <c r="J2437" t="s">
        <v>15</v>
      </c>
      <c r="K2437">
        <v>128168.88</v>
      </c>
      <c r="L2437" t="str">
        <f t="shared" si="152"/>
        <v>Jul</v>
      </c>
      <c r="M2437">
        <f t="shared" si="153"/>
        <v>2025</v>
      </c>
      <c r="N2437">
        <f t="shared" si="154"/>
        <v>128168.88</v>
      </c>
      <c r="O2437" t="str">
        <f t="shared" si="155"/>
        <v>On Time</v>
      </c>
    </row>
    <row r="2438" spans="1:15" x14ac:dyDescent="0.25">
      <c r="A2438">
        <v>2437</v>
      </c>
      <c r="B2438" s="2">
        <v>45986</v>
      </c>
      <c r="C2438" t="s">
        <v>25</v>
      </c>
      <c r="D2438" t="s">
        <v>12</v>
      </c>
      <c r="E2438" t="s">
        <v>27</v>
      </c>
      <c r="F2438" t="s">
        <v>21</v>
      </c>
      <c r="G2438">
        <v>176</v>
      </c>
      <c r="H2438">
        <v>297.63</v>
      </c>
      <c r="I2438">
        <v>19</v>
      </c>
      <c r="J2438" t="s">
        <v>15</v>
      </c>
      <c r="K2438">
        <v>52382.879999999997</v>
      </c>
      <c r="L2438" t="str">
        <f t="shared" si="152"/>
        <v>Nov</v>
      </c>
      <c r="M2438">
        <f t="shared" si="153"/>
        <v>2025</v>
      </c>
      <c r="N2438">
        <f t="shared" si="154"/>
        <v>52382.879999999997</v>
      </c>
      <c r="O2438" t="str">
        <f t="shared" si="155"/>
        <v>Minor Delay</v>
      </c>
    </row>
    <row r="2439" spans="1:15" x14ac:dyDescent="0.25">
      <c r="A2439">
        <v>2438</v>
      </c>
      <c r="B2439" s="2">
        <v>45683</v>
      </c>
      <c r="C2439" t="s">
        <v>18</v>
      </c>
      <c r="D2439" t="s">
        <v>29</v>
      </c>
      <c r="E2439" t="s">
        <v>22</v>
      </c>
      <c r="F2439" t="s">
        <v>24</v>
      </c>
      <c r="G2439">
        <v>213</v>
      </c>
      <c r="H2439">
        <v>460.8</v>
      </c>
      <c r="I2439">
        <v>31</v>
      </c>
      <c r="J2439" t="s">
        <v>15</v>
      </c>
      <c r="K2439">
        <v>98150.399999999994</v>
      </c>
      <c r="L2439" t="str">
        <f t="shared" si="152"/>
        <v>Jan</v>
      </c>
      <c r="M2439">
        <f t="shared" si="153"/>
        <v>2025</v>
      </c>
      <c r="N2439">
        <f t="shared" si="154"/>
        <v>98150.400000000009</v>
      </c>
      <c r="O2439" t="str">
        <f t="shared" si="155"/>
        <v>Moderate Delay</v>
      </c>
    </row>
    <row r="2440" spans="1:15" x14ac:dyDescent="0.25">
      <c r="A2440">
        <v>2439</v>
      </c>
      <c r="B2440" s="2">
        <v>46004</v>
      </c>
      <c r="C2440" t="s">
        <v>18</v>
      </c>
      <c r="D2440" t="s">
        <v>20</v>
      </c>
      <c r="E2440" t="s">
        <v>29</v>
      </c>
      <c r="F2440" t="s">
        <v>21</v>
      </c>
      <c r="G2440">
        <v>87</v>
      </c>
      <c r="H2440">
        <v>311.20999999999998</v>
      </c>
      <c r="I2440">
        <v>26</v>
      </c>
      <c r="J2440" t="s">
        <v>15</v>
      </c>
      <c r="K2440">
        <v>27075.27</v>
      </c>
      <c r="L2440" t="str">
        <f t="shared" si="152"/>
        <v>Dec</v>
      </c>
      <c r="M2440">
        <f t="shared" si="153"/>
        <v>2025</v>
      </c>
      <c r="N2440">
        <f t="shared" si="154"/>
        <v>27075.269999999997</v>
      </c>
      <c r="O2440" t="str">
        <f t="shared" si="155"/>
        <v>Minor Delay</v>
      </c>
    </row>
    <row r="2441" spans="1:15" x14ac:dyDescent="0.25">
      <c r="A2441">
        <v>2440</v>
      </c>
      <c r="B2441" s="2">
        <v>45855</v>
      </c>
      <c r="C2441" t="s">
        <v>18</v>
      </c>
      <c r="D2441" t="s">
        <v>13</v>
      </c>
      <c r="E2441" t="s">
        <v>17</v>
      </c>
      <c r="F2441" t="s">
        <v>21</v>
      </c>
      <c r="G2441">
        <v>122</v>
      </c>
      <c r="H2441">
        <v>587.33000000000004</v>
      </c>
      <c r="I2441">
        <v>13</v>
      </c>
      <c r="J2441" t="s">
        <v>30</v>
      </c>
      <c r="K2441">
        <v>71654.259999999995</v>
      </c>
      <c r="L2441" t="str">
        <f t="shared" si="152"/>
        <v>Jul</v>
      </c>
      <c r="M2441">
        <f t="shared" si="153"/>
        <v>2025</v>
      </c>
      <c r="N2441">
        <f t="shared" si="154"/>
        <v>71654.260000000009</v>
      </c>
      <c r="O2441" t="str">
        <f t="shared" si="155"/>
        <v>Minor Delay</v>
      </c>
    </row>
    <row r="2442" spans="1:15" x14ac:dyDescent="0.25">
      <c r="A2442">
        <v>2441</v>
      </c>
      <c r="B2442" s="2">
        <v>45906</v>
      </c>
      <c r="C2442" t="s">
        <v>11</v>
      </c>
      <c r="D2442" t="s">
        <v>29</v>
      </c>
      <c r="E2442" t="s">
        <v>23</v>
      </c>
      <c r="F2442" t="s">
        <v>21</v>
      </c>
      <c r="G2442">
        <v>98</v>
      </c>
      <c r="H2442">
        <v>394.01</v>
      </c>
      <c r="I2442">
        <v>21</v>
      </c>
      <c r="J2442" t="s">
        <v>15</v>
      </c>
      <c r="K2442">
        <v>38612.980000000003</v>
      </c>
      <c r="L2442" t="str">
        <f t="shared" si="152"/>
        <v>Sep</v>
      </c>
      <c r="M2442">
        <f t="shared" si="153"/>
        <v>2025</v>
      </c>
      <c r="N2442">
        <f t="shared" si="154"/>
        <v>38612.979999999996</v>
      </c>
      <c r="O2442" t="str">
        <f t="shared" si="155"/>
        <v>Minor Delay</v>
      </c>
    </row>
    <row r="2443" spans="1:15" x14ac:dyDescent="0.25">
      <c r="A2443">
        <v>2442</v>
      </c>
      <c r="B2443" s="2">
        <v>45702</v>
      </c>
      <c r="C2443" t="s">
        <v>16</v>
      </c>
      <c r="D2443" t="s">
        <v>29</v>
      </c>
      <c r="E2443" t="s">
        <v>12</v>
      </c>
      <c r="F2443" t="s">
        <v>14</v>
      </c>
      <c r="G2443">
        <v>185</v>
      </c>
      <c r="H2443">
        <v>398.84</v>
      </c>
      <c r="I2443">
        <v>10</v>
      </c>
      <c r="J2443" t="s">
        <v>15</v>
      </c>
      <c r="K2443">
        <v>73785.399999999994</v>
      </c>
      <c r="L2443" t="str">
        <f t="shared" si="152"/>
        <v>Feb</v>
      </c>
      <c r="M2443">
        <f t="shared" si="153"/>
        <v>2025</v>
      </c>
      <c r="N2443">
        <f t="shared" si="154"/>
        <v>73785.399999999994</v>
      </c>
      <c r="O2443" t="str">
        <f t="shared" si="155"/>
        <v>Minor Delay</v>
      </c>
    </row>
    <row r="2444" spans="1:15" x14ac:dyDescent="0.25">
      <c r="A2444">
        <v>2443</v>
      </c>
      <c r="B2444" s="2">
        <v>46010</v>
      </c>
      <c r="C2444" t="s">
        <v>31</v>
      </c>
      <c r="D2444" t="s">
        <v>19</v>
      </c>
      <c r="E2444" t="s">
        <v>17</v>
      </c>
      <c r="F2444" t="s">
        <v>24</v>
      </c>
      <c r="G2444">
        <v>256</v>
      </c>
      <c r="H2444">
        <v>739.48</v>
      </c>
      <c r="I2444">
        <v>0</v>
      </c>
      <c r="J2444" t="s">
        <v>30</v>
      </c>
      <c r="K2444">
        <v>189306.88</v>
      </c>
      <c r="L2444" t="str">
        <f t="shared" si="152"/>
        <v>Dec</v>
      </c>
      <c r="M2444">
        <f t="shared" si="153"/>
        <v>2025</v>
      </c>
      <c r="N2444">
        <f t="shared" si="154"/>
        <v>189306.88</v>
      </c>
      <c r="O2444" t="str">
        <f t="shared" si="155"/>
        <v>On Time</v>
      </c>
    </row>
    <row r="2445" spans="1:15" x14ac:dyDescent="0.25">
      <c r="A2445">
        <v>2444</v>
      </c>
      <c r="B2445" s="2">
        <v>45683</v>
      </c>
      <c r="C2445" t="s">
        <v>18</v>
      </c>
      <c r="D2445" t="s">
        <v>12</v>
      </c>
      <c r="E2445" t="s">
        <v>27</v>
      </c>
      <c r="F2445" t="s">
        <v>24</v>
      </c>
      <c r="G2445">
        <v>227</v>
      </c>
      <c r="H2445">
        <v>86.68</v>
      </c>
      <c r="I2445">
        <v>0</v>
      </c>
      <c r="J2445" t="s">
        <v>15</v>
      </c>
      <c r="K2445">
        <v>19676.36</v>
      </c>
      <c r="L2445" t="str">
        <f t="shared" si="152"/>
        <v>Jan</v>
      </c>
      <c r="M2445">
        <f t="shared" si="153"/>
        <v>2025</v>
      </c>
      <c r="N2445">
        <f t="shared" si="154"/>
        <v>19676.36</v>
      </c>
      <c r="O2445" t="str">
        <f t="shared" si="155"/>
        <v>On Time</v>
      </c>
    </row>
    <row r="2446" spans="1:15" x14ac:dyDescent="0.25">
      <c r="A2446">
        <v>2445</v>
      </c>
      <c r="B2446" s="2">
        <v>45838</v>
      </c>
      <c r="C2446" t="s">
        <v>16</v>
      </c>
      <c r="D2446" t="s">
        <v>19</v>
      </c>
      <c r="E2446" t="s">
        <v>29</v>
      </c>
      <c r="F2446" t="s">
        <v>21</v>
      </c>
      <c r="G2446">
        <v>298</v>
      </c>
      <c r="H2446">
        <v>518.38</v>
      </c>
      <c r="I2446">
        <v>19</v>
      </c>
      <c r="J2446" t="s">
        <v>15</v>
      </c>
      <c r="K2446">
        <v>154477.24</v>
      </c>
      <c r="L2446" t="str">
        <f t="shared" si="152"/>
        <v>Jun</v>
      </c>
      <c r="M2446">
        <f t="shared" si="153"/>
        <v>2025</v>
      </c>
      <c r="N2446">
        <f t="shared" si="154"/>
        <v>154477.24</v>
      </c>
      <c r="O2446" t="str">
        <f t="shared" si="155"/>
        <v>Minor Delay</v>
      </c>
    </row>
    <row r="2447" spans="1:15" x14ac:dyDescent="0.25">
      <c r="A2447">
        <v>2446</v>
      </c>
      <c r="B2447" s="2">
        <v>45710</v>
      </c>
      <c r="C2447" t="s">
        <v>11</v>
      </c>
      <c r="D2447" t="s">
        <v>12</v>
      </c>
      <c r="E2447" t="s">
        <v>27</v>
      </c>
      <c r="F2447" t="s">
        <v>14</v>
      </c>
      <c r="G2447">
        <v>86</v>
      </c>
      <c r="H2447">
        <v>729.93</v>
      </c>
      <c r="I2447">
        <v>43</v>
      </c>
      <c r="J2447" t="s">
        <v>30</v>
      </c>
      <c r="K2447">
        <v>62773.98</v>
      </c>
      <c r="L2447" t="str">
        <f t="shared" si="152"/>
        <v>Feb</v>
      </c>
      <c r="M2447">
        <f t="shared" si="153"/>
        <v>2025</v>
      </c>
      <c r="N2447">
        <f t="shared" si="154"/>
        <v>62773.979999999996</v>
      </c>
      <c r="O2447" t="str">
        <f t="shared" si="155"/>
        <v>Moderate Delay</v>
      </c>
    </row>
    <row r="2448" spans="1:15" x14ac:dyDescent="0.25">
      <c r="A2448">
        <v>2447</v>
      </c>
      <c r="B2448" s="2">
        <v>45770</v>
      </c>
      <c r="C2448" t="s">
        <v>31</v>
      </c>
      <c r="D2448" t="s">
        <v>23</v>
      </c>
      <c r="E2448" t="s">
        <v>19</v>
      </c>
      <c r="F2448" t="s">
        <v>24</v>
      </c>
      <c r="G2448">
        <v>96</v>
      </c>
      <c r="H2448">
        <v>181.03</v>
      </c>
      <c r="I2448">
        <v>6</v>
      </c>
      <c r="J2448" t="s">
        <v>15</v>
      </c>
      <c r="K2448">
        <v>17378.88</v>
      </c>
      <c r="L2448" t="str">
        <f t="shared" si="152"/>
        <v>Apr</v>
      </c>
      <c r="M2448">
        <f t="shared" si="153"/>
        <v>2025</v>
      </c>
      <c r="N2448">
        <f t="shared" si="154"/>
        <v>17378.88</v>
      </c>
      <c r="O2448" t="str">
        <f t="shared" si="155"/>
        <v>Minor Delay</v>
      </c>
    </row>
    <row r="2449" spans="1:15" x14ac:dyDescent="0.25">
      <c r="A2449">
        <v>2448</v>
      </c>
      <c r="B2449" s="2">
        <v>45850</v>
      </c>
      <c r="C2449" t="s">
        <v>25</v>
      </c>
      <c r="D2449" t="s">
        <v>17</v>
      </c>
      <c r="E2449" t="s">
        <v>29</v>
      </c>
      <c r="F2449" t="s">
        <v>24</v>
      </c>
      <c r="G2449">
        <v>225</v>
      </c>
      <c r="H2449">
        <v>660.07</v>
      </c>
      <c r="I2449">
        <v>35</v>
      </c>
      <c r="J2449" t="s">
        <v>15</v>
      </c>
      <c r="K2449">
        <v>148515.75</v>
      </c>
      <c r="L2449" t="str">
        <f t="shared" si="152"/>
        <v>Jul</v>
      </c>
      <c r="M2449">
        <f t="shared" si="153"/>
        <v>2025</v>
      </c>
      <c r="N2449">
        <f t="shared" si="154"/>
        <v>148515.75</v>
      </c>
      <c r="O2449" t="str">
        <f t="shared" si="155"/>
        <v>Moderate Delay</v>
      </c>
    </row>
    <row r="2450" spans="1:15" x14ac:dyDescent="0.25">
      <c r="A2450">
        <v>2449</v>
      </c>
      <c r="B2450" s="2">
        <v>45757</v>
      </c>
      <c r="C2450" t="s">
        <v>25</v>
      </c>
      <c r="D2450" t="s">
        <v>17</v>
      </c>
      <c r="E2450" t="s">
        <v>19</v>
      </c>
      <c r="F2450" t="s">
        <v>21</v>
      </c>
      <c r="G2450">
        <v>50</v>
      </c>
      <c r="H2450">
        <v>572.34</v>
      </c>
      <c r="I2450">
        <v>26</v>
      </c>
      <c r="J2450" t="s">
        <v>15</v>
      </c>
      <c r="K2450">
        <v>28617</v>
      </c>
      <c r="L2450" t="str">
        <f t="shared" si="152"/>
        <v>Apr</v>
      </c>
      <c r="M2450">
        <f t="shared" si="153"/>
        <v>2025</v>
      </c>
      <c r="N2450">
        <f t="shared" si="154"/>
        <v>28617</v>
      </c>
      <c r="O2450" t="str">
        <f t="shared" si="155"/>
        <v>Minor Delay</v>
      </c>
    </row>
    <row r="2451" spans="1:15" x14ac:dyDescent="0.25">
      <c r="A2451">
        <v>2450</v>
      </c>
      <c r="B2451" s="2">
        <v>45667</v>
      </c>
      <c r="C2451" t="s">
        <v>26</v>
      </c>
      <c r="D2451" t="s">
        <v>23</v>
      </c>
      <c r="E2451" t="s">
        <v>27</v>
      </c>
      <c r="F2451" t="s">
        <v>21</v>
      </c>
      <c r="G2451">
        <v>265</v>
      </c>
      <c r="H2451">
        <v>443.74</v>
      </c>
      <c r="I2451">
        <v>4</v>
      </c>
      <c r="J2451" t="s">
        <v>15</v>
      </c>
      <c r="K2451">
        <v>117591.1</v>
      </c>
      <c r="L2451" t="str">
        <f t="shared" si="152"/>
        <v>Jan</v>
      </c>
      <c r="M2451">
        <f t="shared" si="153"/>
        <v>2025</v>
      </c>
      <c r="N2451">
        <f t="shared" si="154"/>
        <v>117591.1</v>
      </c>
      <c r="O2451" t="str">
        <f t="shared" si="155"/>
        <v>Minor Delay</v>
      </c>
    </row>
    <row r="2452" spans="1:15" x14ac:dyDescent="0.25">
      <c r="A2452">
        <v>2451</v>
      </c>
      <c r="B2452" s="2">
        <v>45796</v>
      </c>
      <c r="C2452" t="s">
        <v>18</v>
      </c>
      <c r="D2452" t="s">
        <v>22</v>
      </c>
      <c r="E2452" t="s">
        <v>13</v>
      </c>
      <c r="F2452" t="s">
        <v>14</v>
      </c>
      <c r="G2452">
        <v>255</v>
      </c>
      <c r="H2452">
        <v>183</v>
      </c>
      <c r="I2452">
        <v>42</v>
      </c>
      <c r="J2452" t="s">
        <v>15</v>
      </c>
      <c r="K2452">
        <v>46665</v>
      </c>
      <c r="L2452" t="str">
        <f t="shared" si="152"/>
        <v>May</v>
      </c>
      <c r="M2452">
        <f t="shared" si="153"/>
        <v>2025</v>
      </c>
      <c r="N2452">
        <f t="shared" si="154"/>
        <v>46665</v>
      </c>
      <c r="O2452" t="str">
        <f t="shared" si="155"/>
        <v>Moderate Delay</v>
      </c>
    </row>
    <row r="2453" spans="1:15" x14ac:dyDescent="0.25">
      <c r="A2453">
        <v>2452</v>
      </c>
      <c r="B2453" s="2">
        <v>45694</v>
      </c>
      <c r="C2453" t="s">
        <v>31</v>
      </c>
      <c r="D2453" t="s">
        <v>27</v>
      </c>
      <c r="E2453" t="s">
        <v>22</v>
      </c>
      <c r="F2453" t="s">
        <v>24</v>
      </c>
      <c r="G2453">
        <v>98</v>
      </c>
      <c r="H2453">
        <v>643.14</v>
      </c>
      <c r="I2453">
        <v>0</v>
      </c>
      <c r="J2453" t="s">
        <v>15</v>
      </c>
      <c r="K2453">
        <v>63027.72</v>
      </c>
      <c r="L2453" t="str">
        <f t="shared" si="152"/>
        <v>Feb</v>
      </c>
      <c r="M2453">
        <f t="shared" si="153"/>
        <v>2025</v>
      </c>
      <c r="N2453">
        <f t="shared" si="154"/>
        <v>63027.72</v>
      </c>
      <c r="O2453" t="str">
        <f t="shared" si="155"/>
        <v>On Time</v>
      </c>
    </row>
    <row r="2454" spans="1:15" x14ac:dyDescent="0.25">
      <c r="A2454">
        <v>2453</v>
      </c>
      <c r="B2454" s="2">
        <v>45861</v>
      </c>
      <c r="C2454" t="s">
        <v>18</v>
      </c>
      <c r="D2454" t="s">
        <v>23</v>
      </c>
      <c r="E2454" t="s">
        <v>29</v>
      </c>
      <c r="F2454" t="s">
        <v>21</v>
      </c>
      <c r="G2454">
        <v>218</v>
      </c>
      <c r="H2454">
        <v>214.81</v>
      </c>
      <c r="I2454">
        <v>51</v>
      </c>
      <c r="J2454" t="s">
        <v>15</v>
      </c>
      <c r="K2454">
        <v>46828.58</v>
      </c>
      <c r="L2454" t="str">
        <f t="shared" si="152"/>
        <v>Jul</v>
      </c>
      <c r="M2454">
        <f t="shared" si="153"/>
        <v>2025</v>
      </c>
      <c r="N2454">
        <f t="shared" si="154"/>
        <v>46828.58</v>
      </c>
      <c r="O2454" t="str">
        <f t="shared" si="155"/>
        <v>Moderate Delay</v>
      </c>
    </row>
    <row r="2455" spans="1:15" x14ac:dyDescent="0.25">
      <c r="A2455">
        <v>2454</v>
      </c>
      <c r="B2455" s="2">
        <v>45752</v>
      </c>
      <c r="C2455" t="s">
        <v>18</v>
      </c>
      <c r="D2455" t="s">
        <v>19</v>
      </c>
      <c r="E2455" t="s">
        <v>22</v>
      </c>
      <c r="F2455" t="s">
        <v>24</v>
      </c>
      <c r="G2455">
        <v>171</v>
      </c>
      <c r="H2455">
        <v>295.99</v>
      </c>
      <c r="I2455">
        <v>9</v>
      </c>
      <c r="J2455" t="s">
        <v>15</v>
      </c>
      <c r="K2455">
        <v>50614.29</v>
      </c>
      <c r="L2455" t="str">
        <f t="shared" si="152"/>
        <v>Apr</v>
      </c>
      <c r="M2455">
        <f t="shared" si="153"/>
        <v>2025</v>
      </c>
      <c r="N2455">
        <f t="shared" si="154"/>
        <v>50614.29</v>
      </c>
      <c r="O2455" t="str">
        <f t="shared" si="155"/>
        <v>Minor Delay</v>
      </c>
    </row>
    <row r="2456" spans="1:15" x14ac:dyDescent="0.25">
      <c r="A2456">
        <v>2455</v>
      </c>
      <c r="B2456" s="2">
        <v>45666</v>
      </c>
      <c r="C2456" t="s">
        <v>18</v>
      </c>
      <c r="D2456" t="s">
        <v>22</v>
      </c>
      <c r="E2456" t="s">
        <v>29</v>
      </c>
      <c r="F2456" t="s">
        <v>14</v>
      </c>
      <c r="G2456">
        <v>276</v>
      </c>
      <c r="H2456">
        <v>355.53</v>
      </c>
      <c r="I2456">
        <v>6</v>
      </c>
      <c r="J2456" t="s">
        <v>15</v>
      </c>
      <c r="K2456">
        <v>98126.28</v>
      </c>
      <c r="L2456" t="str">
        <f t="shared" si="152"/>
        <v>Jan</v>
      </c>
      <c r="M2456">
        <f t="shared" si="153"/>
        <v>2025</v>
      </c>
      <c r="N2456">
        <f t="shared" si="154"/>
        <v>98126.28</v>
      </c>
      <c r="O2456" t="str">
        <f t="shared" si="155"/>
        <v>Minor Delay</v>
      </c>
    </row>
    <row r="2457" spans="1:15" x14ac:dyDescent="0.25">
      <c r="A2457">
        <v>2456</v>
      </c>
      <c r="B2457" s="2">
        <v>45951</v>
      </c>
      <c r="C2457" t="s">
        <v>25</v>
      </c>
      <c r="D2457" t="s">
        <v>13</v>
      </c>
      <c r="E2457" t="s">
        <v>17</v>
      </c>
      <c r="F2457" t="s">
        <v>14</v>
      </c>
      <c r="G2457">
        <v>88</v>
      </c>
      <c r="H2457">
        <v>498.47</v>
      </c>
      <c r="I2457">
        <v>16</v>
      </c>
      <c r="J2457" t="s">
        <v>15</v>
      </c>
      <c r="K2457">
        <v>43865.36</v>
      </c>
      <c r="L2457" t="str">
        <f t="shared" si="152"/>
        <v>Oct</v>
      </c>
      <c r="M2457">
        <f t="shared" si="153"/>
        <v>2025</v>
      </c>
      <c r="N2457">
        <f t="shared" si="154"/>
        <v>43865.36</v>
      </c>
      <c r="O2457" t="str">
        <f t="shared" si="155"/>
        <v>Minor Delay</v>
      </c>
    </row>
    <row r="2458" spans="1:15" x14ac:dyDescent="0.25">
      <c r="A2458">
        <v>2457</v>
      </c>
      <c r="B2458" s="2">
        <v>45769</v>
      </c>
      <c r="C2458" t="s">
        <v>16</v>
      </c>
      <c r="D2458" t="s">
        <v>22</v>
      </c>
      <c r="E2458" t="s">
        <v>20</v>
      </c>
      <c r="F2458" t="s">
        <v>14</v>
      </c>
      <c r="G2458">
        <v>201</v>
      </c>
      <c r="H2458">
        <v>295.13</v>
      </c>
      <c r="I2458">
        <v>21</v>
      </c>
      <c r="J2458" t="s">
        <v>15</v>
      </c>
      <c r="K2458">
        <v>59321.13</v>
      </c>
      <c r="L2458" t="str">
        <f t="shared" si="152"/>
        <v>Apr</v>
      </c>
      <c r="M2458">
        <f t="shared" si="153"/>
        <v>2025</v>
      </c>
      <c r="N2458">
        <f t="shared" si="154"/>
        <v>59321.13</v>
      </c>
      <c r="O2458" t="str">
        <f t="shared" si="155"/>
        <v>Minor Delay</v>
      </c>
    </row>
    <row r="2459" spans="1:15" x14ac:dyDescent="0.25">
      <c r="A2459">
        <v>2458</v>
      </c>
      <c r="B2459" s="2">
        <v>45895</v>
      </c>
      <c r="C2459" t="s">
        <v>25</v>
      </c>
      <c r="D2459" t="s">
        <v>17</v>
      </c>
      <c r="E2459" t="s">
        <v>19</v>
      </c>
      <c r="F2459" t="s">
        <v>21</v>
      </c>
      <c r="G2459">
        <v>257</v>
      </c>
      <c r="H2459">
        <v>174.09</v>
      </c>
      <c r="I2459">
        <v>0</v>
      </c>
      <c r="J2459" t="s">
        <v>15</v>
      </c>
      <c r="K2459">
        <v>44741.13</v>
      </c>
      <c r="L2459" t="str">
        <f t="shared" si="152"/>
        <v>Aug</v>
      </c>
      <c r="M2459">
        <f t="shared" si="153"/>
        <v>2025</v>
      </c>
      <c r="N2459">
        <f t="shared" si="154"/>
        <v>44741.13</v>
      </c>
      <c r="O2459" t="str">
        <f t="shared" si="155"/>
        <v>On Time</v>
      </c>
    </row>
    <row r="2460" spans="1:15" x14ac:dyDescent="0.25">
      <c r="A2460">
        <v>2459</v>
      </c>
      <c r="B2460" s="2">
        <v>45679</v>
      </c>
      <c r="C2460" t="s">
        <v>18</v>
      </c>
      <c r="D2460" t="s">
        <v>23</v>
      </c>
      <c r="E2460" t="s">
        <v>29</v>
      </c>
      <c r="F2460" t="s">
        <v>24</v>
      </c>
      <c r="G2460">
        <v>69</v>
      </c>
      <c r="H2460">
        <v>308.07</v>
      </c>
      <c r="I2460">
        <v>18</v>
      </c>
      <c r="J2460" t="s">
        <v>15</v>
      </c>
      <c r="K2460">
        <v>21256.83</v>
      </c>
      <c r="L2460" t="str">
        <f t="shared" si="152"/>
        <v>Jan</v>
      </c>
      <c r="M2460">
        <f t="shared" si="153"/>
        <v>2025</v>
      </c>
      <c r="N2460">
        <f t="shared" si="154"/>
        <v>21256.829999999998</v>
      </c>
      <c r="O2460" t="str">
        <f t="shared" si="155"/>
        <v>Minor Delay</v>
      </c>
    </row>
    <row r="2461" spans="1:15" x14ac:dyDescent="0.25">
      <c r="A2461">
        <v>2460</v>
      </c>
      <c r="B2461" s="2">
        <v>45707</v>
      </c>
      <c r="C2461" t="s">
        <v>11</v>
      </c>
      <c r="D2461" t="s">
        <v>27</v>
      </c>
      <c r="E2461" t="s">
        <v>22</v>
      </c>
      <c r="F2461" t="s">
        <v>14</v>
      </c>
      <c r="G2461">
        <v>235</v>
      </c>
      <c r="H2461">
        <v>139.16</v>
      </c>
      <c r="I2461">
        <v>49</v>
      </c>
      <c r="J2461" t="s">
        <v>15</v>
      </c>
      <c r="K2461">
        <v>32702.6</v>
      </c>
      <c r="L2461" t="str">
        <f t="shared" si="152"/>
        <v>Feb</v>
      </c>
      <c r="M2461">
        <f t="shared" si="153"/>
        <v>2025</v>
      </c>
      <c r="N2461">
        <f t="shared" si="154"/>
        <v>32702.6</v>
      </c>
      <c r="O2461" t="str">
        <f t="shared" si="155"/>
        <v>Moderate Delay</v>
      </c>
    </row>
    <row r="2462" spans="1:15" x14ac:dyDescent="0.25">
      <c r="A2462">
        <v>2461</v>
      </c>
      <c r="B2462" s="2">
        <v>45797</v>
      </c>
      <c r="C2462" t="s">
        <v>31</v>
      </c>
      <c r="D2462" t="s">
        <v>13</v>
      </c>
      <c r="E2462" t="s">
        <v>12</v>
      </c>
      <c r="F2462" t="s">
        <v>21</v>
      </c>
      <c r="G2462">
        <v>268</v>
      </c>
      <c r="H2462">
        <v>689.73</v>
      </c>
      <c r="I2462">
        <v>15</v>
      </c>
      <c r="J2462" t="s">
        <v>30</v>
      </c>
      <c r="K2462">
        <v>184847.64</v>
      </c>
      <c r="L2462" t="str">
        <f t="shared" si="152"/>
        <v>May</v>
      </c>
      <c r="M2462">
        <f t="shared" si="153"/>
        <v>2025</v>
      </c>
      <c r="N2462">
        <f t="shared" si="154"/>
        <v>184847.64</v>
      </c>
      <c r="O2462" t="str">
        <f t="shared" si="155"/>
        <v>Minor Delay</v>
      </c>
    </row>
    <row r="2463" spans="1:15" x14ac:dyDescent="0.25">
      <c r="A2463">
        <v>2462</v>
      </c>
      <c r="B2463" s="2">
        <v>45735</v>
      </c>
      <c r="C2463" t="s">
        <v>16</v>
      </c>
      <c r="D2463" t="s">
        <v>12</v>
      </c>
      <c r="E2463" t="s">
        <v>19</v>
      </c>
      <c r="F2463" t="s">
        <v>14</v>
      </c>
      <c r="G2463">
        <v>250</v>
      </c>
      <c r="H2463">
        <v>116.44</v>
      </c>
      <c r="I2463">
        <v>5</v>
      </c>
      <c r="J2463" t="s">
        <v>15</v>
      </c>
      <c r="K2463">
        <v>29110</v>
      </c>
      <c r="L2463" t="str">
        <f t="shared" si="152"/>
        <v>Mar</v>
      </c>
      <c r="M2463">
        <f t="shared" si="153"/>
        <v>2025</v>
      </c>
      <c r="N2463">
        <f t="shared" si="154"/>
        <v>29110</v>
      </c>
      <c r="O2463" t="str">
        <f t="shared" si="155"/>
        <v>Minor Delay</v>
      </c>
    </row>
    <row r="2464" spans="1:15" x14ac:dyDescent="0.25">
      <c r="A2464">
        <v>2463</v>
      </c>
      <c r="B2464" s="2">
        <v>46022</v>
      </c>
      <c r="C2464" t="s">
        <v>26</v>
      </c>
      <c r="D2464" t="s">
        <v>27</v>
      </c>
      <c r="E2464" t="s">
        <v>12</v>
      </c>
      <c r="F2464" t="s">
        <v>21</v>
      </c>
      <c r="G2464">
        <v>89</v>
      </c>
      <c r="H2464">
        <v>703.6</v>
      </c>
      <c r="I2464">
        <v>0</v>
      </c>
      <c r="J2464" t="s">
        <v>28</v>
      </c>
      <c r="K2464">
        <v>62620.4</v>
      </c>
      <c r="L2464" t="str">
        <f t="shared" si="152"/>
        <v>Dec</v>
      </c>
      <c r="M2464">
        <f t="shared" si="153"/>
        <v>2025</v>
      </c>
      <c r="N2464">
        <f t="shared" si="154"/>
        <v>62620.4</v>
      </c>
      <c r="O2464" t="str">
        <f t="shared" si="155"/>
        <v>On Time</v>
      </c>
    </row>
    <row r="2465" spans="1:15" x14ac:dyDescent="0.25">
      <c r="A2465">
        <v>2464</v>
      </c>
      <c r="B2465" s="2">
        <v>45711</v>
      </c>
      <c r="C2465" t="s">
        <v>31</v>
      </c>
      <c r="D2465" t="s">
        <v>23</v>
      </c>
      <c r="E2465" t="s">
        <v>13</v>
      </c>
      <c r="F2465" t="s">
        <v>14</v>
      </c>
      <c r="G2465">
        <v>185</v>
      </c>
      <c r="H2465">
        <v>301.77</v>
      </c>
      <c r="I2465">
        <v>11</v>
      </c>
      <c r="J2465" t="s">
        <v>15</v>
      </c>
      <c r="K2465">
        <v>55827.45</v>
      </c>
      <c r="L2465" t="str">
        <f t="shared" si="152"/>
        <v>Feb</v>
      </c>
      <c r="M2465">
        <f t="shared" si="153"/>
        <v>2025</v>
      </c>
      <c r="N2465">
        <f t="shared" si="154"/>
        <v>55827.45</v>
      </c>
      <c r="O2465" t="str">
        <f t="shared" si="155"/>
        <v>Minor Delay</v>
      </c>
    </row>
    <row r="2466" spans="1:15" x14ac:dyDescent="0.25">
      <c r="A2466">
        <v>2465</v>
      </c>
      <c r="B2466" s="2">
        <v>45816</v>
      </c>
      <c r="C2466" t="s">
        <v>26</v>
      </c>
      <c r="D2466" t="s">
        <v>13</v>
      </c>
      <c r="E2466" t="s">
        <v>20</v>
      </c>
      <c r="F2466" t="s">
        <v>14</v>
      </c>
      <c r="G2466">
        <v>264</v>
      </c>
      <c r="H2466">
        <v>679.25</v>
      </c>
      <c r="I2466">
        <v>64</v>
      </c>
      <c r="J2466" t="s">
        <v>15</v>
      </c>
      <c r="K2466">
        <v>179322</v>
      </c>
      <c r="L2466" t="str">
        <f t="shared" si="152"/>
        <v>Jun</v>
      </c>
      <c r="M2466">
        <f t="shared" si="153"/>
        <v>2025</v>
      </c>
      <c r="N2466">
        <f t="shared" si="154"/>
        <v>179322</v>
      </c>
      <c r="O2466" t="str">
        <f t="shared" si="155"/>
        <v>Major Delay</v>
      </c>
    </row>
    <row r="2467" spans="1:15" x14ac:dyDescent="0.25">
      <c r="A2467">
        <v>2466</v>
      </c>
      <c r="B2467" s="2">
        <v>45884</v>
      </c>
      <c r="C2467" t="s">
        <v>25</v>
      </c>
      <c r="D2467" t="s">
        <v>27</v>
      </c>
      <c r="E2467" t="s">
        <v>20</v>
      </c>
      <c r="F2467" t="s">
        <v>21</v>
      </c>
      <c r="G2467">
        <v>172</v>
      </c>
      <c r="H2467">
        <v>240.97</v>
      </c>
      <c r="I2467">
        <v>20</v>
      </c>
      <c r="J2467" t="s">
        <v>15</v>
      </c>
      <c r="K2467">
        <v>41446.839999999997</v>
      </c>
      <c r="L2467" t="str">
        <f t="shared" si="152"/>
        <v>Aug</v>
      </c>
      <c r="M2467">
        <f t="shared" si="153"/>
        <v>2025</v>
      </c>
      <c r="N2467">
        <f t="shared" si="154"/>
        <v>41446.839999999997</v>
      </c>
      <c r="O2467" t="str">
        <f t="shared" si="155"/>
        <v>Minor Delay</v>
      </c>
    </row>
    <row r="2468" spans="1:15" x14ac:dyDescent="0.25">
      <c r="A2468">
        <v>2467</v>
      </c>
      <c r="B2468" s="2">
        <v>45984</v>
      </c>
      <c r="C2468" t="s">
        <v>18</v>
      </c>
      <c r="D2468" t="s">
        <v>22</v>
      </c>
      <c r="E2468" t="s">
        <v>20</v>
      </c>
      <c r="F2468" t="s">
        <v>24</v>
      </c>
      <c r="G2468">
        <v>292</v>
      </c>
      <c r="H2468">
        <v>703.96</v>
      </c>
      <c r="I2468">
        <v>19</v>
      </c>
      <c r="J2468" t="s">
        <v>15</v>
      </c>
      <c r="K2468">
        <v>205556.32</v>
      </c>
      <c r="L2468" t="str">
        <f t="shared" si="152"/>
        <v>Nov</v>
      </c>
      <c r="M2468">
        <f t="shared" si="153"/>
        <v>2025</v>
      </c>
      <c r="N2468">
        <f t="shared" si="154"/>
        <v>205556.32</v>
      </c>
      <c r="O2468" t="str">
        <f t="shared" si="155"/>
        <v>Minor Delay</v>
      </c>
    </row>
    <row r="2469" spans="1:15" x14ac:dyDescent="0.25">
      <c r="A2469">
        <v>2468</v>
      </c>
      <c r="B2469" s="2">
        <v>45769</v>
      </c>
      <c r="C2469" t="s">
        <v>26</v>
      </c>
      <c r="D2469" t="s">
        <v>17</v>
      </c>
      <c r="E2469" t="s">
        <v>29</v>
      </c>
      <c r="F2469" t="s">
        <v>21</v>
      </c>
      <c r="G2469">
        <v>96</v>
      </c>
      <c r="H2469">
        <v>142.72999999999999</v>
      </c>
      <c r="I2469">
        <v>0</v>
      </c>
      <c r="J2469" t="s">
        <v>15</v>
      </c>
      <c r="K2469">
        <v>13702.08</v>
      </c>
      <c r="L2469" t="str">
        <f t="shared" si="152"/>
        <v>Apr</v>
      </c>
      <c r="M2469">
        <f t="shared" si="153"/>
        <v>2025</v>
      </c>
      <c r="N2469">
        <f t="shared" si="154"/>
        <v>13702.079999999998</v>
      </c>
      <c r="O2469" t="str">
        <f t="shared" si="155"/>
        <v>On Time</v>
      </c>
    </row>
    <row r="2470" spans="1:15" x14ac:dyDescent="0.25">
      <c r="A2470">
        <v>2469</v>
      </c>
      <c r="B2470" s="2">
        <v>45749</v>
      </c>
      <c r="C2470" t="s">
        <v>16</v>
      </c>
      <c r="D2470" t="s">
        <v>17</v>
      </c>
      <c r="E2470" t="s">
        <v>29</v>
      </c>
      <c r="F2470" t="s">
        <v>14</v>
      </c>
      <c r="G2470">
        <v>96</v>
      </c>
      <c r="H2470">
        <v>72.66</v>
      </c>
      <c r="I2470">
        <v>17</v>
      </c>
      <c r="J2470" t="s">
        <v>15</v>
      </c>
      <c r="K2470">
        <v>6975.36</v>
      </c>
      <c r="L2470" t="str">
        <f t="shared" si="152"/>
        <v>Apr</v>
      </c>
      <c r="M2470">
        <f t="shared" si="153"/>
        <v>2025</v>
      </c>
      <c r="N2470">
        <f t="shared" si="154"/>
        <v>6975.36</v>
      </c>
      <c r="O2470" t="str">
        <f t="shared" si="155"/>
        <v>Minor Delay</v>
      </c>
    </row>
    <row r="2471" spans="1:15" x14ac:dyDescent="0.25">
      <c r="A2471">
        <v>2470</v>
      </c>
      <c r="B2471" s="2">
        <v>45715</v>
      </c>
      <c r="C2471" t="s">
        <v>26</v>
      </c>
      <c r="D2471" t="s">
        <v>23</v>
      </c>
      <c r="E2471" t="s">
        <v>19</v>
      </c>
      <c r="F2471" t="s">
        <v>21</v>
      </c>
      <c r="G2471">
        <v>174</v>
      </c>
      <c r="H2471">
        <v>753.87</v>
      </c>
      <c r="I2471">
        <v>12</v>
      </c>
      <c r="J2471" t="s">
        <v>30</v>
      </c>
      <c r="K2471">
        <v>131173.38</v>
      </c>
      <c r="L2471" t="str">
        <f t="shared" si="152"/>
        <v>Feb</v>
      </c>
      <c r="M2471">
        <f t="shared" si="153"/>
        <v>2025</v>
      </c>
      <c r="N2471">
        <f t="shared" si="154"/>
        <v>131173.38</v>
      </c>
      <c r="O2471" t="str">
        <f t="shared" si="155"/>
        <v>Minor Delay</v>
      </c>
    </row>
    <row r="2472" spans="1:15" x14ac:dyDescent="0.25">
      <c r="A2472">
        <v>2471</v>
      </c>
      <c r="B2472" s="2">
        <v>45899</v>
      </c>
      <c r="C2472" t="s">
        <v>31</v>
      </c>
      <c r="D2472" t="s">
        <v>12</v>
      </c>
      <c r="E2472" t="s">
        <v>29</v>
      </c>
      <c r="F2472" t="s">
        <v>24</v>
      </c>
      <c r="G2472">
        <v>89</v>
      </c>
      <c r="H2472">
        <v>670.78</v>
      </c>
      <c r="I2472">
        <v>0</v>
      </c>
      <c r="J2472" t="s">
        <v>30</v>
      </c>
      <c r="K2472">
        <v>59699.42</v>
      </c>
      <c r="L2472" t="str">
        <f t="shared" si="152"/>
        <v>Aug</v>
      </c>
      <c r="M2472">
        <f t="shared" si="153"/>
        <v>2025</v>
      </c>
      <c r="N2472">
        <f t="shared" si="154"/>
        <v>59699.42</v>
      </c>
      <c r="O2472" t="str">
        <f t="shared" si="155"/>
        <v>On Time</v>
      </c>
    </row>
    <row r="2473" spans="1:15" x14ac:dyDescent="0.25">
      <c r="A2473">
        <v>2472</v>
      </c>
      <c r="B2473" s="2">
        <v>45991</v>
      </c>
      <c r="C2473" t="s">
        <v>11</v>
      </c>
      <c r="D2473" t="s">
        <v>23</v>
      </c>
      <c r="E2473" t="s">
        <v>12</v>
      </c>
      <c r="F2473" t="s">
        <v>21</v>
      </c>
      <c r="G2473">
        <v>228</v>
      </c>
      <c r="H2473">
        <v>207.38</v>
      </c>
      <c r="I2473">
        <v>39</v>
      </c>
      <c r="J2473" t="s">
        <v>15</v>
      </c>
      <c r="K2473">
        <v>47282.64</v>
      </c>
      <c r="L2473" t="str">
        <f t="shared" si="152"/>
        <v>Nov</v>
      </c>
      <c r="M2473">
        <f t="shared" si="153"/>
        <v>2025</v>
      </c>
      <c r="N2473">
        <f t="shared" si="154"/>
        <v>47282.64</v>
      </c>
      <c r="O2473" t="str">
        <f t="shared" si="155"/>
        <v>Moderate Delay</v>
      </c>
    </row>
    <row r="2474" spans="1:15" x14ac:dyDescent="0.25">
      <c r="A2474">
        <v>2473</v>
      </c>
      <c r="B2474" s="2">
        <v>45770</v>
      </c>
      <c r="C2474" t="s">
        <v>18</v>
      </c>
      <c r="D2474" t="s">
        <v>13</v>
      </c>
      <c r="E2474" t="s">
        <v>12</v>
      </c>
      <c r="F2474" t="s">
        <v>24</v>
      </c>
      <c r="G2474">
        <v>154</v>
      </c>
      <c r="H2474">
        <v>75.489999999999995</v>
      </c>
      <c r="I2474">
        <v>14</v>
      </c>
      <c r="J2474" t="s">
        <v>15</v>
      </c>
      <c r="K2474">
        <v>11625.46</v>
      </c>
      <c r="L2474" t="str">
        <f t="shared" si="152"/>
        <v>Apr</v>
      </c>
      <c r="M2474">
        <f t="shared" si="153"/>
        <v>2025</v>
      </c>
      <c r="N2474">
        <f t="shared" si="154"/>
        <v>11625.46</v>
      </c>
      <c r="O2474" t="str">
        <f t="shared" si="155"/>
        <v>Minor Delay</v>
      </c>
    </row>
    <row r="2475" spans="1:15" x14ac:dyDescent="0.25">
      <c r="A2475">
        <v>2474</v>
      </c>
      <c r="B2475" s="2">
        <v>45758</v>
      </c>
      <c r="C2475" t="s">
        <v>25</v>
      </c>
      <c r="D2475" t="s">
        <v>13</v>
      </c>
      <c r="E2475" t="s">
        <v>17</v>
      </c>
      <c r="F2475" t="s">
        <v>14</v>
      </c>
      <c r="G2475">
        <v>188</v>
      </c>
      <c r="H2475">
        <v>309.13</v>
      </c>
      <c r="I2475">
        <v>5</v>
      </c>
      <c r="J2475" t="s">
        <v>15</v>
      </c>
      <c r="K2475">
        <v>58116.44</v>
      </c>
      <c r="L2475" t="str">
        <f t="shared" si="152"/>
        <v>Apr</v>
      </c>
      <c r="M2475">
        <f t="shared" si="153"/>
        <v>2025</v>
      </c>
      <c r="N2475">
        <f t="shared" si="154"/>
        <v>58116.44</v>
      </c>
      <c r="O2475" t="str">
        <f t="shared" si="155"/>
        <v>Minor Delay</v>
      </c>
    </row>
    <row r="2476" spans="1:15" x14ac:dyDescent="0.25">
      <c r="A2476">
        <v>2475</v>
      </c>
      <c r="B2476" s="2">
        <v>45659</v>
      </c>
      <c r="C2476" t="s">
        <v>26</v>
      </c>
      <c r="D2476" t="s">
        <v>19</v>
      </c>
      <c r="E2476" t="s">
        <v>12</v>
      </c>
      <c r="F2476" t="s">
        <v>21</v>
      </c>
      <c r="G2476">
        <v>61</v>
      </c>
      <c r="H2476">
        <v>301.70999999999998</v>
      </c>
      <c r="I2476">
        <v>28</v>
      </c>
      <c r="J2476" t="s">
        <v>15</v>
      </c>
      <c r="K2476">
        <v>18404.310000000001</v>
      </c>
      <c r="L2476" t="str">
        <f t="shared" si="152"/>
        <v>Jan</v>
      </c>
      <c r="M2476">
        <f t="shared" si="153"/>
        <v>2025</v>
      </c>
      <c r="N2476">
        <f t="shared" si="154"/>
        <v>18404.309999999998</v>
      </c>
      <c r="O2476" t="str">
        <f t="shared" si="155"/>
        <v>Minor Delay</v>
      </c>
    </row>
    <row r="2477" spans="1:15" x14ac:dyDescent="0.25">
      <c r="A2477">
        <v>2476</v>
      </c>
      <c r="B2477" s="2">
        <v>45839</v>
      </c>
      <c r="C2477" t="s">
        <v>31</v>
      </c>
      <c r="D2477" t="s">
        <v>19</v>
      </c>
      <c r="E2477" t="s">
        <v>13</v>
      </c>
      <c r="F2477" t="s">
        <v>21</v>
      </c>
      <c r="G2477">
        <v>91</v>
      </c>
      <c r="H2477">
        <v>744.43</v>
      </c>
      <c r="I2477">
        <v>36</v>
      </c>
      <c r="J2477" t="s">
        <v>30</v>
      </c>
      <c r="K2477">
        <v>67743.13</v>
      </c>
      <c r="L2477" t="str">
        <f t="shared" si="152"/>
        <v>Jul</v>
      </c>
      <c r="M2477">
        <f t="shared" si="153"/>
        <v>2025</v>
      </c>
      <c r="N2477">
        <f t="shared" si="154"/>
        <v>67743.12999999999</v>
      </c>
      <c r="O2477" t="str">
        <f t="shared" si="155"/>
        <v>Moderate Delay</v>
      </c>
    </row>
    <row r="2478" spans="1:15" x14ac:dyDescent="0.25">
      <c r="A2478">
        <v>2477</v>
      </c>
      <c r="B2478" s="2">
        <v>45688</v>
      </c>
      <c r="C2478" t="s">
        <v>18</v>
      </c>
      <c r="D2478" t="s">
        <v>29</v>
      </c>
      <c r="E2478" t="s">
        <v>13</v>
      </c>
      <c r="F2478" t="s">
        <v>24</v>
      </c>
      <c r="G2478">
        <v>186</v>
      </c>
      <c r="H2478">
        <v>576.15</v>
      </c>
      <c r="I2478">
        <v>34</v>
      </c>
      <c r="J2478" t="s">
        <v>15</v>
      </c>
      <c r="K2478">
        <v>107163.9</v>
      </c>
      <c r="L2478" t="str">
        <f t="shared" si="152"/>
        <v>Jan</v>
      </c>
      <c r="M2478">
        <f t="shared" si="153"/>
        <v>2025</v>
      </c>
      <c r="N2478">
        <f t="shared" si="154"/>
        <v>107163.9</v>
      </c>
      <c r="O2478" t="str">
        <f t="shared" si="155"/>
        <v>Moderate Delay</v>
      </c>
    </row>
    <row r="2479" spans="1:15" x14ac:dyDescent="0.25">
      <c r="A2479">
        <v>2478</v>
      </c>
      <c r="B2479" s="2">
        <v>45748</v>
      </c>
      <c r="C2479" t="s">
        <v>31</v>
      </c>
      <c r="D2479" t="s">
        <v>19</v>
      </c>
      <c r="E2479" t="s">
        <v>23</v>
      </c>
      <c r="F2479" t="s">
        <v>14</v>
      </c>
      <c r="G2479">
        <v>275</v>
      </c>
      <c r="H2479">
        <v>705.34</v>
      </c>
      <c r="I2479">
        <v>43</v>
      </c>
      <c r="J2479" t="s">
        <v>15</v>
      </c>
      <c r="K2479">
        <v>193968.5</v>
      </c>
      <c r="L2479" t="str">
        <f t="shared" si="152"/>
        <v>Apr</v>
      </c>
      <c r="M2479">
        <f t="shared" si="153"/>
        <v>2025</v>
      </c>
      <c r="N2479">
        <f t="shared" si="154"/>
        <v>193968.5</v>
      </c>
      <c r="O2479" t="str">
        <f t="shared" si="155"/>
        <v>Moderate Delay</v>
      </c>
    </row>
    <row r="2480" spans="1:15" x14ac:dyDescent="0.25">
      <c r="A2480">
        <v>2479</v>
      </c>
      <c r="B2480" s="2">
        <v>45767</v>
      </c>
      <c r="C2480" t="s">
        <v>18</v>
      </c>
      <c r="D2480" t="s">
        <v>17</v>
      </c>
      <c r="E2480" t="s">
        <v>19</v>
      </c>
      <c r="F2480" t="s">
        <v>24</v>
      </c>
      <c r="G2480">
        <v>280</v>
      </c>
      <c r="H2480">
        <v>612.77</v>
      </c>
      <c r="I2480">
        <v>0</v>
      </c>
      <c r="J2480" t="s">
        <v>30</v>
      </c>
      <c r="K2480">
        <v>171575.6</v>
      </c>
      <c r="L2480" t="str">
        <f t="shared" si="152"/>
        <v>Apr</v>
      </c>
      <c r="M2480">
        <f t="shared" si="153"/>
        <v>2025</v>
      </c>
      <c r="N2480">
        <f t="shared" si="154"/>
        <v>171575.6</v>
      </c>
      <c r="O2480" t="str">
        <f t="shared" si="155"/>
        <v>On Time</v>
      </c>
    </row>
    <row r="2481" spans="1:15" x14ac:dyDescent="0.25">
      <c r="A2481">
        <v>2480</v>
      </c>
      <c r="B2481" s="2">
        <v>45748</v>
      </c>
      <c r="C2481" t="s">
        <v>18</v>
      </c>
      <c r="D2481" t="s">
        <v>27</v>
      </c>
      <c r="E2481" t="s">
        <v>17</v>
      </c>
      <c r="F2481" t="s">
        <v>24</v>
      </c>
      <c r="G2481">
        <v>76</v>
      </c>
      <c r="H2481">
        <v>243.4</v>
      </c>
      <c r="I2481">
        <v>18</v>
      </c>
      <c r="J2481" t="s">
        <v>15</v>
      </c>
      <c r="K2481">
        <v>18498.400000000001</v>
      </c>
      <c r="L2481" t="str">
        <f t="shared" si="152"/>
        <v>Apr</v>
      </c>
      <c r="M2481">
        <f t="shared" si="153"/>
        <v>2025</v>
      </c>
      <c r="N2481">
        <f t="shared" si="154"/>
        <v>18498.400000000001</v>
      </c>
      <c r="O2481" t="str">
        <f t="shared" si="155"/>
        <v>Minor Delay</v>
      </c>
    </row>
    <row r="2482" spans="1:15" x14ac:dyDescent="0.25">
      <c r="A2482">
        <v>2481</v>
      </c>
      <c r="B2482" s="2">
        <v>45696</v>
      </c>
      <c r="C2482" t="s">
        <v>11</v>
      </c>
      <c r="D2482" t="s">
        <v>12</v>
      </c>
      <c r="E2482" t="s">
        <v>13</v>
      </c>
      <c r="F2482" t="s">
        <v>14</v>
      </c>
      <c r="G2482">
        <v>219</v>
      </c>
      <c r="H2482">
        <v>434.32</v>
      </c>
      <c r="I2482">
        <v>49</v>
      </c>
      <c r="J2482" t="s">
        <v>15</v>
      </c>
      <c r="K2482">
        <v>95116.08</v>
      </c>
      <c r="L2482" t="str">
        <f t="shared" si="152"/>
        <v>Feb</v>
      </c>
      <c r="M2482">
        <f t="shared" si="153"/>
        <v>2025</v>
      </c>
      <c r="N2482">
        <f t="shared" si="154"/>
        <v>95116.08</v>
      </c>
      <c r="O2482" t="str">
        <f t="shared" si="155"/>
        <v>Moderate Delay</v>
      </c>
    </row>
    <row r="2483" spans="1:15" x14ac:dyDescent="0.25">
      <c r="A2483">
        <v>2482</v>
      </c>
      <c r="B2483" s="2">
        <v>46002</v>
      </c>
      <c r="C2483" t="s">
        <v>31</v>
      </c>
      <c r="D2483" t="s">
        <v>29</v>
      </c>
      <c r="E2483" t="s">
        <v>12</v>
      </c>
      <c r="F2483" t="s">
        <v>21</v>
      </c>
      <c r="G2483">
        <v>237</v>
      </c>
      <c r="H2483">
        <v>778.4</v>
      </c>
      <c r="I2483">
        <v>64</v>
      </c>
      <c r="J2483" t="s">
        <v>15</v>
      </c>
      <c r="K2483">
        <v>184480.8</v>
      </c>
      <c r="L2483" t="str">
        <f t="shared" si="152"/>
        <v>Dec</v>
      </c>
      <c r="M2483">
        <f t="shared" si="153"/>
        <v>2025</v>
      </c>
      <c r="N2483">
        <f t="shared" si="154"/>
        <v>184480.8</v>
      </c>
      <c r="O2483" t="str">
        <f t="shared" si="155"/>
        <v>Major Delay</v>
      </c>
    </row>
    <row r="2484" spans="1:15" x14ac:dyDescent="0.25">
      <c r="A2484">
        <v>2483</v>
      </c>
      <c r="B2484" s="2">
        <v>45965</v>
      </c>
      <c r="C2484" t="s">
        <v>25</v>
      </c>
      <c r="D2484" t="s">
        <v>29</v>
      </c>
      <c r="E2484" t="s">
        <v>27</v>
      </c>
      <c r="F2484" t="s">
        <v>14</v>
      </c>
      <c r="G2484">
        <v>185</v>
      </c>
      <c r="H2484">
        <v>412.88</v>
      </c>
      <c r="I2484">
        <v>8</v>
      </c>
      <c r="J2484" t="s">
        <v>30</v>
      </c>
      <c r="K2484">
        <v>76382.8</v>
      </c>
      <c r="L2484" t="str">
        <f t="shared" si="152"/>
        <v>Nov</v>
      </c>
      <c r="M2484">
        <f t="shared" si="153"/>
        <v>2025</v>
      </c>
      <c r="N2484">
        <f t="shared" si="154"/>
        <v>76382.8</v>
      </c>
      <c r="O2484" t="str">
        <f t="shared" si="155"/>
        <v>Minor Delay</v>
      </c>
    </row>
    <row r="2485" spans="1:15" x14ac:dyDescent="0.25">
      <c r="A2485">
        <v>2484</v>
      </c>
      <c r="B2485" s="2">
        <v>45904</v>
      </c>
      <c r="C2485" t="s">
        <v>18</v>
      </c>
      <c r="D2485" t="s">
        <v>13</v>
      </c>
      <c r="E2485" t="s">
        <v>20</v>
      </c>
      <c r="F2485" t="s">
        <v>24</v>
      </c>
      <c r="G2485">
        <v>74</v>
      </c>
      <c r="H2485">
        <v>541.48</v>
      </c>
      <c r="I2485">
        <v>0</v>
      </c>
      <c r="J2485" t="s">
        <v>15</v>
      </c>
      <c r="K2485">
        <v>40069.519999999997</v>
      </c>
      <c r="L2485" t="str">
        <f t="shared" si="152"/>
        <v>Sep</v>
      </c>
      <c r="M2485">
        <f t="shared" si="153"/>
        <v>2025</v>
      </c>
      <c r="N2485">
        <f t="shared" si="154"/>
        <v>40069.520000000004</v>
      </c>
      <c r="O2485" t="str">
        <f t="shared" si="155"/>
        <v>On Time</v>
      </c>
    </row>
    <row r="2486" spans="1:15" x14ac:dyDescent="0.25">
      <c r="A2486">
        <v>2485</v>
      </c>
      <c r="B2486" s="2">
        <v>45661</v>
      </c>
      <c r="C2486" t="s">
        <v>25</v>
      </c>
      <c r="D2486" t="s">
        <v>22</v>
      </c>
      <c r="E2486" t="s">
        <v>29</v>
      </c>
      <c r="F2486" t="s">
        <v>21</v>
      </c>
      <c r="G2486">
        <v>183</v>
      </c>
      <c r="H2486">
        <v>134.33000000000001</v>
      </c>
      <c r="I2486">
        <v>8</v>
      </c>
      <c r="J2486" t="s">
        <v>15</v>
      </c>
      <c r="K2486">
        <v>24582.39</v>
      </c>
      <c r="L2486" t="str">
        <f t="shared" si="152"/>
        <v>Jan</v>
      </c>
      <c r="M2486">
        <f t="shared" si="153"/>
        <v>2025</v>
      </c>
      <c r="N2486">
        <f t="shared" si="154"/>
        <v>24582.390000000003</v>
      </c>
      <c r="O2486" t="str">
        <f t="shared" si="155"/>
        <v>Minor Delay</v>
      </c>
    </row>
    <row r="2487" spans="1:15" x14ac:dyDescent="0.25">
      <c r="A2487">
        <v>2486</v>
      </c>
      <c r="B2487" s="2">
        <v>45968</v>
      </c>
      <c r="C2487" t="s">
        <v>18</v>
      </c>
      <c r="D2487" t="s">
        <v>29</v>
      </c>
      <c r="E2487" t="s">
        <v>27</v>
      </c>
      <c r="F2487" t="s">
        <v>24</v>
      </c>
      <c r="G2487">
        <v>79</v>
      </c>
      <c r="H2487">
        <v>400.88</v>
      </c>
      <c r="I2487">
        <v>3</v>
      </c>
      <c r="J2487" t="s">
        <v>15</v>
      </c>
      <c r="K2487">
        <v>31669.52</v>
      </c>
      <c r="L2487" t="str">
        <f t="shared" si="152"/>
        <v>Nov</v>
      </c>
      <c r="M2487">
        <f t="shared" si="153"/>
        <v>2025</v>
      </c>
      <c r="N2487">
        <f t="shared" si="154"/>
        <v>31669.52</v>
      </c>
      <c r="O2487" t="str">
        <f t="shared" si="155"/>
        <v>Minor Delay</v>
      </c>
    </row>
    <row r="2488" spans="1:15" x14ac:dyDescent="0.25">
      <c r="A2488">
        <v>2487</v>
      </c>
      <c r="B2488" s="2">
        <v>45961</v>
      </c>
      <c r="C2488" t="s">
        <v>18</v>
      </c>
      <c r="D2488" t="s">
        <v>12</v>
      </c>
      <c r="E2488" t="s">
        <v>17</v>
      </c>
      <c r="F2488" t="s">
        <v>21</v>
      </c>
      <c r="G2488">
        <v>268</v>
      </c>
      <c r="H2488">
        <v>454.6</v>
      </c>
      <c r="I2488">
        <v>20</v>
      </c>
      <c r="J2488" t="s">
        <v>15</v>
      </c>
      <c r="K2488">
        <v>121832.8</v>
      </c>
      <c r="L2488" t="str">
        <f t="shared" si="152"/>
        <v>Oct</v>
      </c>
      <c r="M2488">
        <f t="shared" si="153"/>
        <v>2025</v>
      </c>
      <c r="N2488">
        <f t="shared" si="154"/>
        <v>121832.8</v>
      </c>
      <c r="O2488" t="str">
        <f t="shared" si="155"/>
        <v>Minor Delay</v>
      </c>
    </row>
    <row r="2489" spans="1:15" x14ac:dyDescent="0.25">
      <c r="A2489">
        <v>2488</v>
      </c>
      <c r="B2489" s="2">
        <v>46003</v>
      </c>
      <c r="C2489" t="s">
        <v>16</v>
      </c>
      <c r="D2489" t="s">
        <v>20</v>
      </c>
      <c r="E2489" t="s">
        <v>29</v>
      </c>
      <c r="F2489" t="s">
        <v>21</v>
      </c>
      <c r="G2489">
        <v>260</v>
      </c>
      <c r="H2489">
        <v>601.59</v>
      </c>
      <c r="I2489">
        <v>58</v>
      </c>
      <c r="J2489" t="s">
        <v>15</v>
      </c>
      <c r="K2489">
        <v>156413.4</v>
      </c>
      <c r="L2489" t="str">
        <f t="shared" si="152"/>
        <v>Dec</v>
      </c>
      <c r="M2489">
        <f t="shared" si="153"/>
        <v>2025</v>
      </c>
      <c r="N2489">
        <f t="shared" si="154"/>
        <v>156413.4</v>
      </c>
      <c r="O2489" t="str">
        <f t="shared" si="155"/>
        <v>Moderate Delay</v>
      </c>
    </row>
    <row r="2490" spans="1:15" x14ac:dyDescent="0.25">
      <c r="A2490">
        <v>2489</v>
      </c>
      <c r="B2490" s="2">
        <v>46014</v>
      </c>
      <c r="C2490" t="s">
        <v>18</v>
      </c>
      <c r="D2490" t="s">
        <v>17</v>
      </c>
      <c r="E2490" t="s">
        <v>22</v>
      </c>
      <c r="F2490" t="s">
        <v>21</v>
      </c>
      <c r="G2490">
        <v>148</v>
      </c>
      <c r="H2490">
        <v>625.15</v>
      </c>
      <c r="I2490">
        <v>2</v>
      </c>
      <c r="J2490" t="s">
        <v>30</v>
      </c>
      <c r="K2490">
        <v>92522.2</v>
      </c>
      <c r="L2490" t="str">
        <f t="shared" si="152"/>
        <v>Dec</v>
      </c>
      <c r="M2490">
        <f t="shared" si="153"/>
        <v>2025</v>
      </c>
      <c r="N2490">
        <f t="shared" si="154"/>
        <v>92522.2</v>
      </c>
      <c r="O2490" t="str">
        <f t="shared" si="155"/>
        <v>Minor Delay</v>
      </c>
    </row>
    <row r="2491" spans="1:15" x14ac:dyDescent="0.25">
      <c r="A2491">
        <v>2490</v>
      </c>
      <c r="B2491" s="2">
        <v>45887</v>
      </c>
      <c r="C2491" t="s">
        <v>11</v>
      </c>
      <c r="D2491" t="s">
        <v>29</v>
      </c>
      <c r="E2491" t="s">
        <v>17</v>
      </c>
      <c r="F2491" t="s">
        <v>24</v>
      </c>
      <c r="G2491">
        <v>207</v>
      </c>
      <c r="H2491">
        <v>435.35</v>
      </c>
      <c r="I2491">
        <v>4</v>
      </c>
      <c r="J2491" t="s">
        <v>15</v>
      </c>
      <c r="K2491">
        <v>90117.45</v>
      </c>
      <c r="L2491" t="str">
        <f t="shared" si="152"/>
        <v>Aug</v>
      </c>
      <c r="M2491">
        <f t="shared" si="153"/>
        <v>2025</v>
      </c>
      <c r="N2491">
        <f t="shared" si="154"/>
        <v>90117.450000000012</v>
      </c>
      <c r="O2491" t="str">
        <f t="shared" si="155"/>
        <v>Minor Delay</v>
      </c>
    </row>
    <row r="2492" spans="1:15" x14ac:dyDescent="0.25">
      <c r="A2492">
        <v>2491</v>
      </c>
      <c r="B2492" s="2">
        <v>45824</v>
      </c>
      <c r="C2492" t="s">
        <v>11</v>
      </c>
      <c r="D2492" t="s">
        <v>29</v>
      </c>
      <c r="E2492" t="s">
        <v>17</v>
      </c>
      <c r="F2492" t="s">
        <v>21</v>
      </c>
      <c r="G2492">
        <v>119</v>
      </c>
      <c r="H2492">
        <v>556.66</v>
      </c>
      <c r="I2492">
        <v>17</v>
      </c>
      <c r="J2492" t="s">
        <v>15</v>
      </c>
      <c r="K2492">
        <v>66242.539999999994</v>
      </c>
      <c r="L2492" t="str">
        <f t="shared" si="152"/>
        <v>Jun</v>
      </c>
      <c r="M2492">
        <f t="shared" si="153"/>
        <v>2025</v>
      </c>
      <c r="N2492">
        <f t="shared" si="154"/>
        <v>66242.539999999994</v>
      </c>
      <c r="O2492" t="str">
        <f t="shared" si="155"/>
        <v>Minor Delay</v>
      </c>
    </row>
    <row r="2493" spans="1:15" x14ac:dyDescent="0.25">
      <c r="A2493">
        <v>2492</v>
      </c>
      <c r="B2493" s="2">
        <v>45954</v>
      </c>
      <c r="C2493" t="s">
        <v>31</v>
      </c>
      <c r="D2493" t="s">
        <v>23</v>
      </c>
      <c r="E2493" t="s">
        <v>29</v>
      </c>
      <c r="F2493" t="s">
        <v>14</v>
      </c>
      <c r="G2493">
        <v>163</v>
      </c>
      <c r="H2493">
        <v>258.41000000000003</v>
      </c>
      <c r="I2493">
        <v>17</v>
      </c>
      <c r="J2493" t="s">
        <v>15</v>
      </c>
      <c r="K2493">
        <v>42120.83</v>
      </c>
      <c r="L2493" t="str">
        <f t="shared" si="152"/>
        <v>Oct</v>
      </c>
      <c r="M2493">
        <f t="shared" si="153"/>
        <v>2025</v>
      </c>
      <c r="N2493">
        <f t="shared" si="154"/>
        <v>42120.83</v>
      </c>
      <c r="O2493" t="str">
        <f t="shared" si="155"/>
        <v>Minor Delay</v>
      </c>
    </row>
    <row r="2494" spans="1:15" x14ac:dyDescent="0.25">
      <c r="A2494">
        <v>2493</v>
      </c>
      <c r="B2494" s="2">
        <v>45960</v>
      </c>
      <c r="C2494" t="s">
        <v>26</v>
      </c>
      <c r="D2494" t="s">
        <v>17</v>
      </c>
      <c r="E2494" t="s">
        <v>20</v>
      </c>
      <c r="F2494" t="s">
        <v>14</v>
      </c>
      <c r="G2494">
        <v>245</v>
      </c>
      <c r="H2494">
        <v>384.03</v>
      </c>
      <c r="I2494">
        <v>0</v>
      </c>
      <c r="J2494" t="s">
        <v>15</v>
      </c>
      <c r="K2494">
        <v>94087.35</v>
      </c>
      <c r="L2494" t="str">
        <f t="shared" si="152"/>
        <v>Oct</v>
      </c>
      <c r="M2494">
        <f t="shared" si="153"/>
        <v>2025</v>
      </c>
      <c r="N2494">
        <f t="shared" si="154"/>
        <v>94087.349999999991</v>
      </c>
      <c r="O2494" t="str">
        <f t="shared" si="155"/>
        <v>On Time</v>
      </c>
    </row>
    <row r="2495" spans="1:15" x14ac:dyDescent="0.25">
      <c r="A2495">
        <v>2494</v>
      </c>
      <c r="B2495" s="2">
        <v>45815</v>
      </c>
      <c r="C2495" t="s">
        <v>25</v>
      </c>
      <c r="D2495" t="s">
        <v>27</v>
      </c>
      <c r="E2495" t="s">
        <v>20</v>
      </c>
      <c r="F2495" t="s">
        <v>21</v>
      </c>
      <c r="G2495">
        <v>177</v>
      </c>
      <c r="H2495">
        <v>248.63</v>
      </c>
      <c r="I2495">
        <v>0</v>
      </c>
      <c r="J2495" t="s">
        <v>15</v>
      </c>
      <c r="K2495">
        <v>44007.51</v>
      </c>
      <c r="L2495" t="str">
        <f t="shared" si="152"/>
        <v>Jun</v>
      </c>
      <c r="M2495">
        <f t="shared" si="153"/>
        <v>2025</v>
      </c>
      <c r="N2495">
        <f t="shared" si="154"/>
        <v>44007.51</v>
      </c>
      <c r="O2495" t="str">
        <f t="shared" si="155"/>
        <v>On Time</v>
      </c>
    </row>
    <row r="2496" spans="1:15" x14ac:dyDescent="0.25">
      <c r="A2496">
        <v>2495</v>
      </c>
      <c r="B2496" s="2">
        <v>45799</v>
      </c>
      <c r="C2496" t="s">
        <v>16</v>
      </c>
      <c r="D2496" t="s">
        <v>23</v>
      </c>
      <c r="E2496" t="s">
        <v>20</v>
      </c>
      <c r="F2496" t="s">
        <v>21</v>
      </c>
      <c r="G2496">
        <v>99</v>
      </c>
      <c r="H2496">
        <v>654.02</v>
      </c>
      <c r="I2496">
        <v>35</v>
      </c>
      <c r="J2496" t="s">
        <v>15</v>
      </c>
      <c r="K2496">
        <v>64747.98</v>
      </c>
      <c r="L2496" t="str">
        <f t="shared" si="152"/>
        <v>May</v>
      </c>
      <c r="M2496">
        <f t="shared" si="153"/>
        <v>2025</v>
      </c>
      <c r="N2496">
        <f t="shared" si="154"/>
        <v>64747.979999999996</v>
      </c>
      <c r="O2496" t="str">
        <f t="shared" si="155"/>
        <v>Moderate Delay</v>
      </c>
    </row>
    <row r="2497" spans="1:15" x14ac:dyDescent="0.25">
      <c r="A2497">
        <v>2496</v>
      </c>
      <c r="B2497" s="2">
        <v>45805</v>
      </c>
      <c r="C2497" t="s">
        <v>18</v>
      </c>
      <c r="D2497" t="s">
        <v>20</v>
      </c>
      <c r="E2497" t="s">
        <v>19</v>
      </c>
      <c r="F2497" t="s">
        <v>21</v>
      </c>
      <c r="G2497">
        <v>291</v>
      </c>
      <c r="H2497">
        <v>526.14</v>
      </c>
      <c r="I2497">
        <v>0</v>
      </c>
      <c r="J2497" t="s">
        <v>15</v>
      </c>
      <c r="K2497">
        <v>153106.74</v>
      </c>
      <c r="L2497" t="str">
        <f t="shared" si="152"/>
        <v>May</v>
      </c>
      <c r="M2497">
        <f t="shared" si="153"/>
        <v>2025</v>
      </c>
      <c r="N2497">
        <f t="shared" si="154"/>
        <v>153106.74</v>
      </c>
      <c r="O2497" t="str">
        <f t="shared" si="155"/>
        <v>On Time</v>
      </c>
    </row>
    <row r="2498" spans="1:15" x14ac:dyDescent="0.25">
      <c r="A2498">
        <v>2497</v>
      </c>
      <c r="B2498" s="2">
        <v>45852</v>
      </c>
      <c r="C2498" t="s">
        <v>26</v>
      </c>
      <c r="D2498" t="s">
        <v>27</v>
      </c>
      <c r="E2498" t="s">
        <v>12</v>
      </c>
      <c r="F2498" t="s">
        <v>21</v>
      </c>
      <c r="G2498">
        <v>186</v>
      </c>
      <c r="H2498">
        <v>80.69</v>
      </c>
      <c r="I2498">
        <v>19</v>
      </c>
      <c r="J2498" t="s">
        <v>15</v>
      </c>
      <c r="K2498">
        <v>15008.34</v>
      </c>
      <c r="L2498" t="str">
        <f t="shared" si="152"/>
        <v>Jul</v>
      </c>
      <c r="M2498">
        <f t="shared" si="153"/>
        <v>2025</v>
      </c>
      <c r="N2498">
        <f t="shared" si="154"/>
        <v>15008.34</v>
      </c>
      <c r="O2498" t="str">
        <f t="shared" si="155"/>
        <v>Minor Delay</v>
      </c>
    </row>
    <row r="2499" spans="1:15" x14ac:dyDescent="0.25">
      <c r="A2499">
        <v>2498</v>
      </c>
      <c r="B2499" s="2">
        <v>45663</v>
      </c>
      <c r="C2499" t="s">
        <v>26</v>
      </c>
      <c r="D2499" t="s">
        <v>27</v>
      </c>
      <c r="E2499" t="s">
        <v>17</v>
      </c>
      <c r="F2499" t="s">
        <v>14</v>
      </c>
      <c r="G2499">
        <v>80</v>
      </c>
      <c r="H2499">
        <v>678.41</v>
      </c>
      <c r="I2499">
        <v>23</v>
      </c>
      <c r="J2499" t="s">
        <v>28</v>
      </c>
      <c r="K2499">
        <v>54272.800000000003</v>
      </c>
      <c r="L2499" t="str">
        <f t="shared" ref="L2499:L2562" si="156">TEXT(B2499,"MMM")</f>
        <v>Jan</v>
      </c>
      <c r="M2499">
        <f t="shared" ref="M2499:M2562" si="157">YEAR(B2499)</f>
        <v>2025</v>
      </c>
      <c r="N2499">
        <f t="shared" ref="N2499:N2562" si="158">G2499*H2499</f>
        <v>54272.799999999996</v>
      </c>
      <c r="O2499" t="str">
        <f t="shared" ref="O2499:O2562" si="159">IF(I2499=0,"On Time",IF(I2499&lt;=30,"Minor Delay",IF(I2499&lt;=60,"Moderate Delay","Major Delay")))</f>
        <v>Minor Delay</v>
      </c>
    </row>
    <row r="2500" spans="1:15" x14ac:dyDescent="0.25">
      <c r="A2500">
        <v>2499</v>
      </c>
      <c r="B2500" s="2">
        <v>45729</v>
      </c>
      <c r="C2500" t="s">
        <v>18</v>
      </c>
      <c r="D2500" t="s">
        <v>29</v>
      </c>
      <c r="E2500" t="s">
        <v>20</v>
      </c>
      <c r="F2500" t="s">
        <v>14</v>
      </c>
      <c r="G2500">
        <v>151</v>
      </c>
      <c r="H2500">
        <v>356.16</v>
      </c>
      <c r="I2500">
        <v>0</v>
      </c>
      <c r="J2500" t="s">
        <v>15</v>
      </c>
      <c r="K2500">
        <v>53780.160000000003</v>
      </c>
      <c r="L2500" t="str">
        <f t="shared" si="156"/>
        <v>Mar</v>
      </c>
      <c r="M2500">
        <f t="shared" si="157"/>
        <v>2025</v>
      </c>
      <c r="N2500">
        <f t="shared" si="158"/>
        <v>53780.160000000003</v>
      </c>
      <c r="O2500" t="str">
        <f t="shared" si="159"/>
        <v>On Time</v>
      </c>
    </row>
    <row r="2501" spans="1:15" x14ac:dyDescent="0.25">
      <c r="A2501">
        <v>2500</v>
      </c>
      <c r="B2501" s="2">
        <v>45796</v>
      </c>
      <c r="C2501" t="s">
        <v>31</v>
      </c>
      <c r="D2501" t="s">
        <v>27</v>
      </c>
      <c r="E2501" t="s">
        <v>29</v>
      </c>
      <c r="F2501" t="s">
        <v>24</v>
      </c>
      <c r="G2501">
        <v>141</v>
      </c>
      <c r="H2501">
        <v>444.86</v>
      </c>
      <c r="I2501">
        <v>2</v>
      </c>
      <c r="J2501" t="s">
        <v>15</v>
      </c>
      <c r="K2501">
        <v>62725.26</v>
      </c>
      <c r="L2501" t="str">
        <f t="shared" si="156"/>
        <v>May</v>
      </c>
      <c r="M2501">
        <f t="shared" si="157"/>
        <v>2025</v>
      </c>
      <c r="N2501">
        <f t="shared" si="158"/>
        <v>62725.26</v>
      </c>
      <c r="O2501" t="str">
        <f t="shared" si="159"/>
        <v>Minor Delay</v>
      </c>
    </row>
    <row r="2502" spans="1:15" x14ac:dyDescent="0.25">
      <c r="A2502">
        <v>2501</v>
      </c>
      <c r="B2502" s="2">
        <v>45998</v>
      </c>
      <c r="C2502" t="s">
        <v>16</v>
      </c>
      <c r="D2502" t="s">
        <v>13</v>
      </c>
      <c r="E2502" t="s">
        <v>23</v>
      </c>
      <c r="F2502" t="s">
        <v>24</v>
      </c>
      <c r="G2502">
        <v>173</v>
      </c>
      <c r="H2502">
        <v>285.79000000000002</v>
      </c>
      <c r="I2502">
        <v>32</v>
      </c>
      <c r="J2502" t="s">
        <v>15</v>
      </c>
      <c r="K2502">
        <v>49441.67</v>
      </c>
      <c r="L2502" t="str">
        <f t="shared" si="156"/>
        <v>Dec</v>
      </c>
      <c r="M2502">
        <f t="shared" si="157"/>
        <v>2025</v>
      </c>
      <c r="N2502">
        <f t="shared" si="158"/>
        <v>49441.670000000006</v>
      </c>
      <c r="O2502" t="str">
        <f t="shared" si="159"/>
        <v>Moderate Delay</v>
      </c>
    </row>
    <row r="2503" spans="1:15" x14ac:dyDescent="0.25">
      <c r="A2503">
        <v>2502</v>
      </c>
      <c r="B2503" s="2">
        <v>45712</v>
      </c>
      <c r="C2503" t="s">
        <v>31</v>
      </c>
      <c r="D2503" t="s">
        <v>20</v>
      </c>
      <c r="E2503" t="s">
        <v>23</v>
      </c>
      <c r="F2503" t="s">
        <v>24</v>
      </c>
      <c r="G2503">
        <v>156</v>
      </c>
      <c r="H2503">
        <v>788.34</v>
      </c>
      <c r="I2503">
        <v>0</v>
      </c>
      <c r="J2503" t="s">
        <v>15</v>
      </c>
      <c r="K2503">
        <v>122981.04</v>
      </c>
      <c r="L2503" t="str">
        <f t="shared" si="156"/>
        <v>Feb</v>
      </c>
      <c r="M2503">
        <f t="shared" si="157"/>
        <v>2025</v>
      </c>
      <c r="N2503">
        <f t="shared" si="158"/>
        <v>122981.04000000001</v>
      </c>
      <c r="O2503" t="str">
        <f t="shared" si="159"/>
        <v>On Time</v>
      </c>
    </row>
    <row r="2504" spans="1:15" x14ac:dyDescent="0.25">
      <c r="A2504">
        <v>2503</v>
      </c>
      <c r="B2504" s="2">
        <v>45847</v>
      </c>
      <c r="C2504" t="s">
        <v>16</v>
      </c>
      <c r="D2504" t="s">
        <v>29</v>
      </c>
      <c r="E2504" t="s">
        <v>27</v>
      </c>
      <c r="F2504" t="s">
        <v>14</v>
      </c>
      <c r="G2504">
        <v>50</v>
      </c>
      <c r="H2504">
        <v>217.51</v>
      </c>
      <c r="I2504">
        <v>2</v>
      </c>
      <c r="J2504" t="s">
        <v>15</v>
      </c>
      <c r="K2504">
        <v>10875.5</v>
      </c>
      <c r="L2504" t="str">
        <f t="shared" si="156"/>
        <v>Jul</v>
      </c>
      <c r="M2504">
        <f t="shared" si="157"/>
        <v>2025</v>
      </c>
      <c r="N2504">
        <f t="shared" si="158"/>
        <v>10875.5</v>
      </c>
      <c r="O2504" t="str">
        <f t="shared" si="159"/>
        <v>Minor Delay</v>
      </c>
    </row>
    <row r="2505" spans="1:15" x14ac:dyDescent="0.25">
      <c r="A2505">
        <v>2504</v>
      </c>
      <c r="B2505" s="2">
        <v>45961</v>
      </c>
      <c r="C2505" t="s">
        <v>31</v>
      </c>
      <c r="D2505" t="s">
        <v>17</v>
      </c>
      <c r="E2505" t="s">
        <v>12</v>
      </c>
      <c r="F2505" t="s">
        <v>24</v>
      </c>
      <c r="G2505">
        <v>215</v>
      </c>
      <c r="H2505">
        <v>210.45</v>
      </c>
      <c r="I2505">
        <v>0</v>
      </c>
      <c r="J2505" t="s">
        <v>30</v>
      </c>
      <c r="K2505">
        <v>45246.75</v>
      </c>
      <c r="L2505" t="str">
        <f t="shared" si="156"/>
        <v>Oct</v>
      </c>
      <c r="M2505">
        <f t="shared" si="157"/>
        <v>2025</v>
      </c>
      <c r="N2505">
        <f t="shared" si="158"/>
        <v>45246.75</v>
      </c>
      <c r="O2505" t="str">
        <f t="shared" si="159"/>
        <v>On Time</v>
      </c>
    </row>
    <row r="2506" spans="1:15" x14ac:dyDescent="0.25">
      <c r="A2506">
        <v>2505</v>
      </c>
      <c r="B2506" s="2">
        <v>45807</v>
      </c>
      <c r="C2506" t="s">
        <v>16</v>
      </c>
      <c r="D2506" t="s">
        <v>22</v>
      </c>
      <c r="E2506" t="s">
        <v>20</v>
      </c>
      <c r="F2506" t="s">
        <v>21</v>
      </c>
      <c r="G2506">
        <v>116</v>
      </c>
      <c r="H2506">
        <v>627.77</v>
      </c>
      <c r="I2506">
        <v>29</v>
      </c>
      <c r="J2506" t="s">
        <v>15</v>
      </c>
      <c r="K2506">
        <v>72821.320000000007</v>
      </c>
      <c r="L2506" t="str">
        <f t="shared" si="156"/>
        <v>May</v>
      </c>
      <c r="M2506">
        <f t="shared" si="157"/>
        <v>2025</v>
      </c>
      <c r="N2506">
        <f t="shared" si="158"/>
        <v>72821.319999999992</v>
      </c>
      <c r="O2506" t="str">
        <f t="shared" si="159"/>
        <v>Minor Delay</v>
      </c>
    </row>
    <row r="2507" spans="1:15" x14ac:dyDescent="0.25">
      <c r="A2507">
        <v>2506</v>
      </c>
      <c r="B2507" s="2">
        <v>45887</v>
      </c>
      <c r="C2507" t="s">
        <v>31</v>
      </c>
      <c r="D2507" t="s">
        <v>23</v>
      </c>
      <c r="E2507" t="s">
        <v>20</v>
      </c>
      <c r="F2507" t="s">
        <v>14</v>
      </c>
      <c r="G2507">
        <v>178</v>
      </c>
      <c r="H2507">
        <v>623.27</v>
      </c>
      <c r="I2507">
        <v>45</v>
      </c>
      <c r="J2507" t="s">
        <v>30</v>
      </c>
      <c r="K2507">
        <v>110942.06</v>
      </c>
      <c r="L2507" t="str">
        <f t="shared" si="156"/>
        <v>Aug</v>
      </c>
      <c r="M2507">
        <f t="shared" si="157"/>
        <v>2025</v>
      </c>
      <c r="N2507">
        <f t="shared" si="158"/>
        <v>110942.06</v>
      </c>
      <c r="O2507" t="str">
        <f t="shared" si="159"/>
        <v>Moderate Delay</v>
      </c>
    </row>
    <row r="2508" spans="1:15" x14ac:dyDescent="0.25">
      <c r="A2508">
        <v>2507</v>
      </c>
      <c r="B2508" s="2">
        <v>45929</v>
      </c>
      <c r="C2508" t="s">
        <v>18</v>
      </c>
      <c r="D2508" t="s">
        <v>13</v>
      </c>
      <c r="E2508" t="s">
        <v>29</v>
      </c>
      <c r="F2508" t="s">
        <v>14</v>
      </c>
      <c r="G2508">
        <v>156</v>
      </c>
      <c r="H2508">
        <v>709.86</v>
      </c>
      <c r="I2508">
        <v>22</v>
      </c>
      <c r="J2508" t="s">
        <v>15</v>
      </c>
      <c r="K2508">
        <v>110738.16</v>
      </c>
      <c r="L2508" t="str">
        <f t="shared" si="156"/>
        <v>Sep</v>
      </c>
      <c r="M2508">
        <f t="shared" si="157"/>
        <v>2025</v>
      </c>
      <c r="N2508">
        <f t="shared" si="158"/>
        <v>110738.16</v>
      </c>
      <c r="O2508" t="str">
        <f t="shared" si="159"/>
        <v>Minor Delay</v>
      </c>
    </row>
    <row r="2509" spans="1:15" x14ac:dyDescent="0.25">
      <c r="A2509">
        <v>2508</v>
      </c>
      <c r="B2509" s="2">
        <v>45848</v>
      </c>
      <c r="C2509" t="s">
        <v>25</v>
      </c>
      <c r="D2509" t="s">
        <v>19</v>
      </c>
      <c r="E2509" t="s">
        <v>20</v>
      </c>
      <c r="F2509" t="s">
        <v>14</v>
      </c>
      <c r="G2509">
        <v>62</v>
      </c>
      <c r="H2509">
        <v>230.89</v>
      </c>
      <c r="I2509">
        <v>14</v>
      </c>
      <c r="J2509" t="s">
        <v>30</v>
      </c>
      <c r="K2509">
        <v>14315.18</v>
      </c>
      <c r="L2509" t="str">
        <f t="shared" si="156"/>
        <v>Jul</v>
      </c>
      <c r="M2509">
        <f t="shared" si="157"/>
        <v>2025</v>
      </c>
      <c r="N2509">
        <f t="shared" si="158"/>
        <v>14315.179999999998</v>
      </c>
      <c r="O2509" t="str">
        <f t="shared" si="159"/>
        <v>Minor Delay</v>
      </c>
    </row>
    <row r="2510" spans="1:15" x14ac:dyDescent="0.25">
      <c r="A2510">
        <v>2509</v>
      </c>
      <c r="B2510" s="2">
        <v>45725</v>
      </c>
      <c r="C2510" t="s">
        <v>31</v>
      </c>
      <c r="D2510" t="s">
        <v>23</v>
      </c>
      <c r="E2510" t="s">
        <v>22</v>
      </c>
      <c r="F2510" t="s">
        <v>21</v>
      </c>
      <c r="G2510">
        <v>290</v>
      </c>
      <c r="H2510">
        <v>92.02</v>
      </c>
      <c r="I2510">
        <v>0</v>
      </c>
      <c r="J2510" t="s">
        <v>30</v>
      </c>
      <c r="K2510">
        <v>26685.8</v>
      </c>
      <c r="L2510" t="str">
        <f t="shared" si="156"/>
        <v>Mar</v>
      </c>
      <c r="M2510">
        <f t="shared" si="157"/>
        <v>2025</v>
      </c>
      <c r="N2510">
        <f t="shared" si="158"/>
        <v>26685.8</v>
      </c>
      <c r="O2510" t="str">
        <f t="shared" si="159"/>
        <v>On Time</v>
      </c>
    </row>
    <row r="2511" spans="1:15" x14ac:dyDescent="0.25">
      <c r="A2511">
        <v>2510</v>
      </c>
      <c r="B2511" s="2">
        <v>45849</v>
      </c>
      <c r="C2511" t="s">
        <v>11</v>
      </c>
      <c r="D2511" t="s">
        <v>27</v>
      </c>
      <c r="E2511" t="s">
        <v>17</v>
      </c>
      <c r="F2511" t="s">
        <v>24</v>
      </c>
      <c r="G2511">
        <v>290</v>
      </c>
      <c r="H2511">
        <v>88.58</v>
      </c>
      <c r="I2511">
        <v>23</v>
      </c>
      <c r="J2511" t="s">
        <v>15</v>
      </c>
      <c r="K2511">
        <v>25688.2</v>
      </c>
      <c r="L2511" t="str">
        <f t="shared" si="156"/>
        <v>Jul</v>
      </c>
      <c r="M2511">
        <f t="shared" si="157"/>
        <v>2025</v>
      </c>
      <c r="N2511">
        <f t="shared" si="158"/>
        <v>25688.2</v>
      </c>
      <c r="O2511" t="str">
        <f t="shared" si="159"/>
        <v>Minor Delay</v>
      </c>
    </row>
    <row r="2512" spans="1:15" x14ac:dyDescent="0.25">
      <c r="A2512">
        <v>2511</v>
      </c>
      <c r="B2512" s="2">
        <v>45823</v>
      </c>
      <c r="C2512" t="s">
        <v>26</v>
      </c>
      <c r="D2512" t="s">
        <v>29</v>
      </c>
      <c r="E2512" t="s">
        <v>12</v>
      </c>
      <c r="F2512" t="s">
        <v>21</v>
      </c>
      <c r="G2512">
        <v>202</v>
      </c>
      <c r="H2512">
        <v>382.78</v>
      </c>
      <c r="I2512">
        <v>0</v>
      </c>
      <c r="J2512" t="s">
        <v>15</v>
      </c>
      <c r="K2512">
        <v>77321.56</v>
      </c>
      <c r="L2512" t="str">
        <f t="shared" si="156"/>
        <v>Jun</v>
      </c>
      <c r="M2512">
        <f t="shared" si="157"/>
        <v>2025</v>
      </c>
      <c r="N2512">
        <f t="shared" si="158"/>
        <v>77321.56</v>
      </c>
      <c r="O2512" t="str">
        <f t="shared" si="159"/>
        <v>On Time</v>
      </c>
    </row>
    <row r="2513" spans="1:15" x14ac:dyDescent="0.25">
      <c r="A2513">
        <v>2512</v>
      </c>
      <c r="B2513" s="2">
        <v>45750</v>
      </c>
      <c r="C2513" t="s">
        <v>16</v>
      </c>
      <c r="D2513" t="s">
        <v>29</v>
      </c>
      <c r="E2513" t="s">
        <v>19</v>
      </c>
      <c r="F2513" t="s">
        <v>21</v>
      </c>
      <c r="G2513">
        <v>52</v>
      </c>
      <c r="H2513">
        <v>305.52</v>
      </c>
      <c r="I2513">
        <v>23</v>
      </c>
      <c r="J2513" t="s">
        <v>15</v>
      </c>
      <c r="K2513">
        <v>15887.04</v>
      </c>
      <c r="L2513" t="str">
        <f t="shared" si="156"/>
        <v>Apr</v>
      </c>
      <c r="M2513">
        <f t="shared" si="157"/>
        <v>2025</v>
      </c>
      <c r="N2513">
        <f t="shared" si="158"/>
        <v>15887.039999999999</v>
      </c>
      <c r="O2513" t="str">
        <f t="shared" si="159"/>
        <v>Minor Delay</v>
      </c>
    </row>
    <row r="2514" spans="1:15" x14ac:dyDescent="0.25">
      <c r="A2514">
        <v>2513</v>
      </c>
      <c r="B2514" s="2">
        <v>45673</v>
      </c>
      <c r="C2514" t="s">
        <v>26</v>
      </c>
      <c r="D2514" t="s">
        <v>23</v>
      </c>
      <c r="E2514" t="s">
        <v>27</v>
      </c>
      <c r="F2514" t="s">
        <v>24</v>
      </c>
      <c r="G2514">
        <v>128</v>
      </c>
      <c r="H2514">
        <v>415.5</v>
      </c>
      <c r="I2514">
        <v>0</v>
      </c>
      <c r="J2514" t="s">
        <v>15</v>
      </c>
      <c r="K2514">
        <v>53184</v>
      </c>
      <c r="L2514" t="str">
        <f t="shared" si="156"/>
        <v>Jan</v>
      </c>
      <c r="M2514">
        <f t="shared" si="157"/>
        <v>2025</v>
      </c>
      <c r="N2514">
        <f t="shared" si="158"/>
        <v>53184</v>
      </c>
      <c r="O2514" t="str">
        <f t="shared" si="159"/>
        <v>On Time</v>
      </c>
    </row>
    <row r="2515" spans="1:15" x14ac:dyDescent="0.25">
      <c r="A2515">
        <v>2514</v>
      </c>
      <c r="B2515" s="2">
        <v>45963</v>
      </c>
      <c r="C2515" t="s">
        <v>11</v>
      </c>
      <c r="D2515" t="s">
        <v>22</v>
      </c>
      <c r="E2515" t="s">
        <v>17</v>
      </c>
      <c r="F2515" t="s">
        <v>21</v>
      </c>
      <c r="G2515">
        <v>161</v>
      </c>
      <c r="H2515">
        <v>301.43</v>
      </c>
      <c r="I2515">
        <v>40</v>
      </c>
      <c r="J2515" t="s">
        <v>15</v>
      </c>
      <c r="K2515">
        <v>48530.23</v>
      </c>
      <c r="L2515" t="str">
        <f t="shared" si="156"/>
        <v>Nov</v>
      </c>
      <c r="M2515">
        <f t="shared" si="157"/>
        <v>2025</v>
      </c>
      <c r="N2515">
        <f t="shared" si="158"/>
        <v>48530.23</v>
      </c>
      <c r="O2515" t="str">
        <f t="shared" si="159"/>
        <v>Moderate Delay</v>
      </c>
    </row>
    <row r="2516" spans="1:15" x14ac:dyDescent="0.25">
      <c r="A2516">
        <v>2515</v>
      </c>
      <c r="B2516" s="2">
        <v>45818</v>
      </c>
      <c r="C2516" t="s">
        <v>16</v>
      </c>
      <c r="D2516" t="s">
        <v>19</v>
      </c>
      <c r="E2516" t="s">
        <v>23</v>
      </c>
      <c r="F2516" t="s">
        <v>24</v>
      </c>
      <c r="G2516">
        <v>262</v>
      </c>
      <c r="H2516">
        <v>120.56</v>
      </c>
      <c r="I2516">
        <v>34</v>
      </c>
      <c r="J2516" t="s">
        <v>15</v>
      </c>
      <c r="K2516">
        <v>31586.720000000001</v>
      </c>
      <c r="L2516" t="str">
        <f t="shared" si="156"/>
        <v>Jun</v>
      </c>
      <c r="M2516">
        <f t="shared" si="157"/>
        <v>2025</v>
      </c>
      <c r="N2516">
        <f t="shared" si="158"/>
        <v>31586.720000000001</v>
      </c>
      <c r="O2516" t="str">
        <f t="shared" si="159"/>
        <v>Moderate Delay</v>
      </c>
    </row>
    <row r="2517" spans="1:15" x14ac:dyDescent="0.25">
      <c r="A2517">
        <v>2516</v>
      </c>
      <c r="B2517" s="2">
        <v>46017</v>
      </c>
      <c r="C2517" t="s">
        <v>31</v>
      </c>
      <c r="D2517" t="s">
        <v>12</v>
      </c>
      <c r="E2517" t="s">
        <v>19</v>
      </c>
      <c r="F2517" t="s">
        <v>14</v>
      </c>
      <c r="G2517">
        <v>50</v>
      </c>
      <c r="H2517">
        <v>608.36</v>
      </c>
      <c r="I2517">
        <v>37</v>
      </c>
      <c r="J2517" t="s">
        <v>15</v>
      </c>
      <c r="K2517">
        <v>30418</v>
      </c>
      <c r="L2517" t="str">
        <f t="shared" si="156"/>
        <v>Dec</v>
      </c>
      <c r="M2517">
        <f t="shared" si="157"/>
        <v>2025</v>
      </c>
      <c r="N2517">
        <f t="shared" si="158"/>
        <v>30418</v>
      </c>
      <c r="O2517" t="str">
        <f t="shared" si="159"/>
        <v>Moderate Delay</v>
      </c>
    </row>
    <row r="2518" spans="1:15" x14ac:dyDescent="0.25">
      <c r="A2518">
        <v>2517</v>
      </c>
      <c r="B2518" s="2">
        <v>45692</v>
      </c>
      <c r="C2518" t="s">
        <v>25</v>
      </c>
      <c r="D2518" t="s">
        <v>29</v>
      </c>
      <c r="E2518" t="s">
        <v>12</v>
      </c>
      <c r="F2518" t="s">
        <v>24</v>
      </c>
      <c r="G2518">
        <v>110</v>
      </c>
      <c r="H2518">
        <v>743.12</v>
      </c>
      <c r="I2518">
        <v>0</v>
      </c>
      <c r="J2518" t="s">
        <v>15</v>
      </c>
      <c r="K2518">
        <v>81743.199999999997</v>
      </c>
      <c r="L2518" t="str">
        <f t="shared" si="156"/>
        <v>Feb</v>
      </c>
      <c r="M2518">
        <f t="shared" si="157"/>
        <v>2025</v>
      </c>
      <c r="N2518">
        <f t="shared" si="158"/>
        <v>81743.199999999997</v>
      </c>
      <c r="O2518" t="str">
        <f t="shared" si="159"/>
        <v>On Time</v>
      </c>
    </row>
    <row r="2519" spans="1:15" x14ac:dyDescent="0.25">
      <c r="A2519">
        <v>2518</v>
      </c>
      <c r="B2519" s="2">
        <v>45796</v>
      </c>
      <c r="C2519" t="s">
        <v>31</v>
      </c>
      <c r="D2519" t="s">
        <v>29</v>
      </c>
      <c r="E2519" t="s">
        <v>20</v>
      </c>
      <c r="F2519" t="s">
        <v>21</v>
      </c>
      <c r="G2519">
        <v>189</v>
      </c>
      <c r="H2519">
        <v>601.30999999999995</v>
      </c>
      <c r="I2519">
        <v>0</v>
      </c>
      <c r="J2519" t="s">
        <v>15</v>
      </c>
      <c r="K2519">
        <v>113647.59</v>
      </c>
      <c r="L2519" t="str">
        <f t="shared" si="156"/>
        <v>May</v>
      </c>
      <c r="M2519">
        <f t="shared" si="157"/>
        <v>2025</v>
      </c>
      <c r="N2519">
        <f t="shared" si="158"/>
        <v>113647.59</v>
      </c>
      <c r="O2519" t="str">
        <f t="shared" si="159"/>
        <v>On Time</v>
      </c>
    </row>
    <row r="2520" spans="1:15" x14ac:dyDescent="0.25">
      <c r="A2520">
        <v>2519</v>
      </c>
      <c r="B2520" s="2">
        <v>46022</v>
      </c>
      <c r="C2520" t="s">
        <v>25</v>
      </c>
      <c r="D2520" t="s">
        <v>27</v>
      </c>
      <c r="E2520" t="s">
        <v>22</v>
      </c>
      <c r="F2520" t="s">
        <v>24</v>
      </c>
      <c r="G2520">
        <v>191</v>
      </c>
      <c r="H2520">
        <v>300.3</v>
      </c>
      <c r="I2520">
        <v>35</v>
      </c>
      <c r="J2520" t="s">
        <v>15</v>
      </c>
      <c r="K2520">
        <v>57357.3</v>
      </c>
      <c r="L2520" t="str">
        <f t="shared" si="156"/>
        <v>Dec</v>
      </c>
      <c r="M2520">
        <f t="shared" si="157"/>
        <v>2025</v>
      </c>
      <c r="N2520">
        <f t="shared" si="158"/>
        <v>57357.3</v>
      </c>
      <c r="O2520" t="str">
        <f t="shared" si="159"/>
        <v>Moderate Delay</v>
      </c>
    </row>
    <row r="2521" spans="1:15" x14ac:dyDescent="0.25">
      <c r="A2521">
        <v>2520</v>
      </c>
      <c r="B2521" s="2">
        <v>46022</v>
      </c>
      <c r="C2521" t="s">
        <v>26</v>
      </c>
      <c r="D2521" t="s">
        <v>22</v>
      </c>
      <c r="E2521" t="s">
        <v>29</v>
      </c>
      <c r="F2521" t="s">
        <v>14</v>
      </c>
      <c r="G2521">
        <v>153</v>
      </c>
      <c r="H2521">
        <v>145.59</v>
      </c>
      <c r="I2521">
        <v>53</v>
      </c>
      <c r="J2521" t="s">
        <v>15</v>
      </c>
      <c r="K2521">
        <v>22275.27</v>
      </c>
      <c r="L2521" t="str">
        <f t="shared" si="156"/>
        <v>Dec</v>
      </c>
      <c r="M2521">
        <f t="shared" si="157"/>
        <v>2025</v>
      </c>
      <c r="N2521">
        <f t="shared" si="158"/>
        <v>22275.27</v>
      </c>
      <c r="O2521" t="str">
        <f t="shared" si="159"/>
        <v>Moderate Delay</v>
      </c>
    </row>
    <row r="2522" spans="1:15" x14ac:dyDescent="0.25">
      <c r="A2522">
        <v>2521</v>
      </c>
      <c r="B2522" s="2">
        <v>45972</v>
      </c>
      <c r="C2522" t="s">
        <v>16</v>
      </c>
      <c r="D2522" t="s">
        <v>20</v>
      </c>
      <c r="E2522" t="s">
        <v>22</v>
      </c>
      <c r="F2522" t="s">
        <v>24</v>
      </c>
      <c r="G2522">
        <v>67</v>
      </c>
      <c r="H2522">
        <v>100.51</v>
      </c>
      <c r="I2522">
        <v>46</v>
      </c>
      <c r="J2522" t="s">
        <v>15</v>
      </c>
      <c r="K2522">
        <v>6734.17</v>
      </c>
      <c r="L2522" t="str">
        <f t="shared" si="156"/>
        <v>Nov</v>
      </c>
      <c r="M2522">
        <f t="shared" si="157"/>
        <v>2025</v>
      </c>
      <c r="N2522">
        <f t="shared" si="158"/>
        <v>6734.17</v>
      </c>
      <c r="O2522" t="str">
        <f t="shared" si="159"/>
        <v>Moderate Delay</v>
      </c>
    </row>
    <row r="2523" spans="1:15" x14ac:dyDescent="0.25">
      <c r="A2523">
        <v>2522</v>
      </c>
      <c r="B2523" s="2">
        <v>45964</v>
      </c>
      <c r="C2523" t="s">
        <v>16</v>
      </c>
      <c r="D2523" t="s">
        <v>22</v>
      </c>
      <c r="E2523" t="s">
        <v>23</v>
      </c>
      <c r="F2523" t="s">
        <v>24</v>
      </c>
      <c r="G2523">
        <v>164</v>
      </c>
      <c r="H2523">
        <v>396.04</v>
      </c>
      <c r="I2523">
        <v>4</v>
      </c>
      <c r="J2523" t="s">
        <v>15</v>
      </c>
      <c r="K2523">
        <v>64950.559999999998</v>
      </c>
      <c r="L2523" t="str">
        <f t="shared" si="156"/>
        <v>Nov</v>
      </c>
      <c r="M2523">
        <f t="shared" si="157"/>
        <v>2025</v>
      </c>
      <c r="N2523">
        <f t="shared" si="158"/>
        <v>64950.560000000005</v>
      </c>
      <c r="O2523" t="str">
        <f t="shared" si="159"/>
        <v>Minor Delay</v>
      </c>
    </row>
    <row r="2524" spans="1:15" x14ac:dyDescent="0.25">
      <c r="A2524">
        <v>2523</v>
      </c>
      <c r="B2524" s="2">
        <v>45984</v>
      </c>
      <c r="C2524" t="s">
        <v>11</v>
      </c>
      <c r="D2524" t="s">
        <v>19</v>
      </c>
      <c r="E2524" t="s">
        <v>17</v>
      </c>
      <c r="F2524" t="s">
        <v>24</v>
      </c>
      <c r="G2524">
        <v>247</v>
      </c>
      <c r="H2524">
        <v>164.45</v>
      </c>
      <c r="I2524">
        <v>0</v>
      </c>
      <c r="J2524" t="s">
        <v>15</v>
      </c>
      <c r="K2524">
        <v>40619.15</v>
      </c>
      <c r="L2524" t="str">
        <f t="shared" si="156"/>
        <v>Nov</v>
      </c>
      <c r="M2524">
        <f t="shared" si="157"/>
        <v>2025</v>
      </c>
      <c r="N2524">
        <f t="shared" si="158"/>
        <v>40619.149999999994</v>
      </c>
      <c r="O2524" t="str">
        <f t="shared" si="159"/>
        <v>On Time</v>
      </c>
    </row>
    <row r="2525" spans="1:15" x14ac:dyDescent="0.25">
      <c r="A2525">
        <v>2524</v>
      </c>
      <c r="B2525" s="2">
        <v>45894</v>
      </c>
      <c r="C2525" t="s">
        <v>16</v>
      </c>
      <c r="D2525" t="s">
        <v>23</v>
      </c>
      <c r="E2525" t="s">
        <v>12</v>
      </c>
      <c r="F2525" t="s">
        <v>24</v>
      </c>
      <c r="G2525">
        <v>198</v>
      </c>
      <c r="H2525">
        <v>282.20999999999998</v>
      </c>
      <c r="I2525">
        <v>31</v>
      </c>
      <c r="J2525" t="s">
        <v>30</v>
      </c>
      <c r="K2525">
        <v>55877.58</v>
      </c>
      <c r="L2525" t="str">
        <f t="shared" si="156"/>
        <v>Aug</v>
      </c>
      <c r="M2525">
        <f t="shared" si="157"/>
        <v>2025</v>
      </c>
      <c r="N2525">
        <f t="shared" si="158"/>
        <v>55877.579999999994</v>
      </c>
      <c r="O2525" t="str">
        <f t="shared" si="159"/>
        <v>Moderate Delay</v>
      </c>
    </row>
    <row r="2526" spans="1:15" x14ac:dyDescent="0.25">
      <c r="A2526">
        <v>2525</v>
      </c>
      <c r="B2526" s="2">
        <v>45791</v>
      </c>
      <c r="C2526" t="s">
        <v>26</v>
      </c>
      <c r="D2526" t="s">
        <v>20</v>
      </c>
      <c r="E2526" t="s">
        <v>19</v>
      </c>
      <c r="F2526" t="s">
        <v>21</v>
      </c>
      <c r="G2526">
        <v>102</v>
      </c>
      <c r="H2526">
        <v>87.12</v>
      </c>
      <c r="I2526">
        <v>23</v>
      </c>
      <c r="J2526" t="s">
        <v>15</v>
      </c>
      <c r="K2526">
        <v>8886.24</v>
      </c>
      <c r="L2526" t="str">
        <f t="shared" si="156"/>
        <v>May</v>
      </c>
      <c r="M2526">
        <f t="shared" si="157"/>
        <v>2025</v>
      </c>
      <c r="N2526">
        <f t="shared" si="158"/>
        <v>8886.24</v>
      </c>
      <c r="O2526" t="str">
        <f t="shared" si="159"/>
        <v>Minor Delay</v>
      </c>
    </row>
    <row r="2527" spans="1:15" x14ac:dyDescent="0.25">
      <c r="A2527">
        <v>2526</v>
      </c>
      <c r="B2527" s="2">
        <v>45929</v>
      </c>
      <c r="C2527" t="s">
        <v>11</v>
      </c>
      <c r="D2527" t="s">
        <v>19</v>
      </c>
      <c r="E2527" t="s">
        <v>12</v>
      </c>
      <c r="F2527" t="s">
        <v>24</v>
      </c>
      <c r="G2527">
        <v>71</v>
      </c>
      <c r="H2527">
        <v>706.65</v>
      </c>
      <c r="I2527">
        <v>49</v>
      </c>
      <c r="J2527" t="s">
        <v>15</v>
      </c>
      <c r="K2527">
        <v>50172.15</v>
      </c>
      <c r="L2527" t="str">
        <f t="shared" si="156"/>
        <v>Sep</v>
      </c>
      <c r="M2527">
        <f t="shared" si="157"/>
        <v>2025</v>
      </c>
      <c r="N2527">
        <f t="shared" si="158"/>
        <v>50172.15</v>
      </c>
      <c r="O2527" t="str">
        <f t="shared" si="159"/>
        <v>Moderate Delay</v>
      </c>
    </row>
    <row r="2528" spans="1:15" x14ac:dyDescent="0.25">
      <c r="A2528">
        <v>2527</v>
      </c>
      <c r="B2528" s="2">
        <v>45987</v>
      </c>
      <c r="C2528" t="s">
        <v>31</v>
      </c>
      <c r="D2528" t="s">
        <v>19</v>
      </c>
      <c r="E2528" t="s">
        <v>23</v>
      </c>
      <c r="F2528" t="s">
        <v>21</v>
      </c>
      <c r="G2528">
        <v>300</v>
      </c>
      <c r="H2528">
        <v>194.84</v>
      </c>
      <c r="I2528">
        <v>47</v>
      </c>
      <c r="J2528" t="s">
        <v>15</v>
      </c>
      <c r="K2528">
        <v>58452</v>
      </c>
      <c r="L2528" t="str">
        <f t="shared" si="156"/>
        <v>Nov</v>
      </c>
      <c r="M2528">
        <f t="shared" si="157"/>
        <v>2025</v>
      </c>
      <c r="N2528">
        <f t="shared" si="158"/>
        <v>58452</v>
      </c>
      <c r="O2528" t="str">
        <f t="shared" si="159"/>
        <v>Moderate Delay</v>
      </c>
    </row>
    <row r="2529" spans="1:15" x14ac:dyDescent="0.25">
      <c r="A2529">
        <v>2528</v>
      </c>
      <c r="B2529" s="2">
        <v>45838</v>
      </c>
      <c r="C2529" t="s">
        <v>11</v>
      </c>
      <c r="D2529" t="s">
        <v>29</v>
      </c>
      <c r="E2529" t="s">
        <v>12</v>
      </c>
      <c r="F2529" t="s">
        <v>24</v>
      </c>
      <c r="G2529">
        <v>189</v>
      </c>
      <c r="H2529">
        <v>411.66</v>
      </c>
      <c r="I2529">
        <v>8</v>
      </c>
      <c r="J2529" t="s">
        <v>15</v>
      </c>
      <c r="K2529">
        <v>77803.740000000005</v>
      </c>
      <c r="L2529" t="str">
        <f t="shared" si="156"/>
        <v>Jun</v>
      </c>
      <c r="M2529">
        <f t="shared" si="157"/>
        <v>2025</v>
      </c>
      <c r="N2529">
        <f t="shared" si="158"/>
        <v>77803.740000000005</v>
      </c>
      <c r="O2529" t="str">
        <f t="shared" si="159"/>
        <v>Minor Delay</v>
      </c>
    </row>
    <row r="2530" spans="1:15" x14ac:dyDescent="0.25">
      <c r="A2530">
        <v>2529</v>
      </c>
      <c r="B2530" s="2">
        <v>45752</v>
      </c>
      <c r="C2530" t="s">
        <v>26</v>
      </c>
      <c r="D2530" t="s">
        <v>27</v>
      </c>
      <c r="E2530" t="s">
        <v>17</v>
      </c>
      <c r="F2530" t="s">
        <v>21</v>
      </c>
      <c r="G2530">
        <v>66</v>
      </c>
      <c r="H2530">
        <v>291.95999999999998</v>
      </c>
      <c r="I2530">
        <v>47</v>
      </c>
      <c r="J2530" t="s">
        <v>15</v>
      </c>
      <c r="K2530">
        <v>19269.36</v>
      </c>
      <c r="L2530" t="str">
        <f t="shared" si="156"/>
        <v>Apr</v>
      </c>
      <c r="M2530">
        <f t="shared" si="157"/>
        <v>2025</v>
      </c>
      <c r="N2530">
        <f t="shared" si="158"/>
        <v>19269.359999999997</v>
      </c>
      <c r="O2530" t="str">
        <f t="shared" si="159"/>
        <v>Moderate Delay</v>
      </c>
    </row>
    <row r="2531" spans="1:15" x14ac:dyDescent="0.25">
      <c r="A2531">
        <v>2530</v>
      </c>
      <c r="B2531" s="2">
        <v>45773</v>
      </c>
      <c r="C2531" t="s">
        <v>18</v>
      </c>
      <c r="D2531" t="s">
        <v>19</v>
      </c>
      <c r="E2531" t="s">
        <v>17</v>
      </c>
      <c r="F2531" t="s">
        <v>21</v>
      </c>
      <c r="G2531">
        <v>62</v>
      </c>
      <c r="H2531">
        <v>135.13</v>
      </c>
      <c r="I2531">
        <v>46</v>
      </c>
      <c r="J2531" t="s">
        <v>15</v>
      </c>
      <c r="K2531">
        <v>8378.06</v>
      </c>
      <c r="L2531" t="str">
        <f t="shared" si="156"/>
        <v>Apr</v>
      </c>
      <c r="M2531">
        <f t="shared" si="157"/>
        <v>2025</v>
      </c>
      <c r="N2531">
        <f t="shared" si="158"/>
        <v>8378.06</v>
      </c>
      <c r="O2531" t="str">
        <f t="shared" si="159"/>
        <v>Moderate Delay</v>
      </c>
    </row>
    <row r="2532" spans="1:15" x14ac:dyDescent="0.25">
      <c r="A2532">
        <v>2531</v>
      </c>
      <c r="B2532" s="2">
        <v>45875</v>
      </c>
      <c r="C2532" t="s">
        <v>25</v>
      </c>
      <c r="D2532" t="s">
        <v>12</v>
      </c>
      <c r="E2532" t="s">
        <v>17</v>
      </c>
      <c r="F2532" t="s">
        <v>24</v>
      </c>
      <c r="G2532">
        <v>98</v>
      </c>
      <c r="H2532">
        <v>276.48</v>
      </c>
      <c r="I2532">
        <v>39</v>
      </c>
      <c r="J2532" t="s">
        <v>15</v>
      </c>
      <c r="K2532">
        <v>27095.040000000001</v>
      </c>
      <c r="L2532" t="str">
        <f t="shared" si="156"/>
        <v>Aug</v>
      </c>
      <c r="M2532">
        <f t="shared" si="157"/>
        <v>2025</v>
      </c>
      <c r="N2532">
        <f t="shared" si="158"/>
        <v>27095.040000000001</v>
      </c>
      <c r="O2532" t="str">
        <f t="shared" si="159"/>
        <v>Moderate Delay</v>
      </c>
    </row>
    <row r="2533" spans="1:15" x14ac:dyDescent="0.25">
      <c r="A2533">
        <v>2532</v>
      </c>
      <c r="B2533" s="2">
        <v>45741</v>
      </c>
      <c r="C2533" t="s">
        <v>31</v>
      </c>
      <c r="D2533" t="s">
        <v>20</v>
      </c>
      <c r="E2533" t="s">
        <v>17</v>
      </c>
      <c r="F2533" t="s">
        <v>24</v>
      </c>
      <c r="G2533">
        <v>200</v>
      </c>
      <c r="H2533">
        <v>749.79</v>
      </c>
      <c r="I2533">
        <v>0</v>
      </c>
      <c r="J2533" t="s">
        <v>28</v>
      </c>
      <c r="K2533">
        <v>149958</v>
      </c>
      <c r="L2533" t="str">
        <f t="shared" si="156"/>
        <v>Mar</v>
      </c>
      <c r="M2533">
        <f t="shared" si="157"/>
        <v>2025</v>
      </c>
      <c r="N2533">
        <f t="shared" si="158"/>
        <v>149958</v>
      </c>
      <c r="O2533" t="str">
        <f t="shared" si="159"/>
        <v>On Time</v>
      </c>
    </row>
    <row r="2534" spans="1:15" x14ac:dyDescent="0.25">
      <c r="A2534">
        <v>2533</v>
      </c>
      <c r="B2534" s="2">
        <v>45860</v>
      </c>
      <c r="C2534" t="s">
        <v>11</v>
      </c>
      <c r="D2534" t="s">
        <v>19</v>
      </c>
      <c r="E2534" t="s">
        <v>23</v>
      </c>
      <c r="F2534" t="s">
        <v>21</v>
      </c>
      <c r="G2534">
        <v>204</v>
      </c>
      <c r="H2534">
        <v>485.94</v>
      </c>
      <c r="I2534">
        <v>46</v>
      </c>
      <c r="J2534" t="s">
        <v>15</v>
      </c>
      <c r="K2534">
        <v>99131.76</v>
      </c>
      <c r="L2534" t="str">
        <f t="shared" si="156"/>
        <v>Jul</v>
      </c>
      <c r="M2534">
        <f t="shared" si="157"/>
        <v>2025</v>
      </c>
      <c r="N2534">
        <f t="shared" si="158"/>
        <v>99131.76</v>
      </c>
      <c r="O2534" t="str">
        <f t="shared" si="159"/>
        <v>Moderate Delay</v>
      </c>
    </row>
    <row r="2535" spans="1:15" x14ac:dyDescent="0.25">
      <c r="A2535">
        <v>2534</v>
      </c>
      <c r="B2535" s="2">
        <v>45970</v>
      </c>
      <c r="C2535" t="s">
        <v>31</v>
      </c>
      <c r="D2535" t="s">
        <v>22</v>
      </c>
      <c r="E2535" t="s">
        <v>13</v>
      </c>
      <c r="F2535" t="s">
        <v>21</v>
      </c>
      <c r="G2535">
        <v>199</v>
      </c>
      <c r="H2535">
        <v>644.82000000000005</v>
      </c>
      <c r="I2535">
        <v>0</v>
      </c>
      <c r="J2535" t="s">
        <v>15</v>
      </c>
      <c r="K2535">
        <v>128319.18</v>
      </c>
      <c r="L2535" t="str">
        <f t="shared" si="156"/>
        <v>Nov</v>
      </c>
      <c r="M2535">
        <f t="shared" si="157"/>
        <v>2025</v>
      </c>
      <c r="N2535">
        <f t="shared" si="158"/>
        <v>128319.18000000001</v>
      </c>
      <c r="O2535" t="str">
        <f t="shared" si="159"/>
        <v>On Time</v>
      </c>
    </row>
    <row r="2536" spans="1:15" x14ac:dyDescent="0.25">
      <c r="A2536">
        <v>2535</v>
      </c>
      <c r="B2536" s="2">
        <v>45930</v>
      </c>
      <c r="C2536" t="s">
        <v>31</v>
      </c>
      <c r="D2536" t="s">
        <v>12</v>
      </c>
      <c r="E2536" t="s">
        <v>13</v>
      </c>
      <c r="F2536" t="s">
        <v>21</v>
      </c>
      <c r="G2536">
        <v>137</v>
      </c>
      <c r="H2536">
        <v>414.97</v>
      </c>
      <c r="I2536">
        <v>0</v>
      </c>
      <c r="J2536" t="s">
        <v>15</v>
      </c>
      <c r="K2536">
        <v>56850.89</v>
      </c>
      <c r="L2536" t="str">
        <f t="shared" si="156"/>
        <v>Sep</v>
      </c>
      <c r="M2536">
        <f t="shared" si="157"/>
        <v>2025</v>
      </c>
      <c r="N2536">
        <f t="shared" si="158"/>
        <v>56850.890000000007</v>
      </c>
      <c r="O2536" t="str">
        <f t="shared" si="159"/>
        <v>On Time</v>
      </c>
    </row>
    <row r="2537" spans="1:15" x14ac:dyDescent="0.25">
      <c r="A2537">
        <v>2536</v>
      </c>
      <c r="B2537" s="2">
        <v>45706</v>
      </c>
      <c r="C2537" t="s">
        <v>25</v>
      </c>
      <c r="D2537" t="s">
        <v>22</v>
      </c>
      <c r="E2537" t="s">
        <v>29</v>
      </c>
      <c r="F2537" t="s">
        <v>14</v>
      </c>
      <c r="G2537">
        <v>188</v>
      </c>
      <c r="H2537">
        <v>499.89</v>
      </c>
      <c r="I2537">
        <v>5</v>
      </c>
      <c r="J2537" t="s">
        <v>15</v>
      </c>
      <c r="K2537">
        <v>93979.32</v>
      </c>
      <c r="L2537" t="str">
        <f t="shared" si="156"/>
        <v>Feb</v>
      </c>
      <c r="M2537">
        <f t="shared" si="157"/>
        <v>2025</v>
      </c>
      <c r="N2537">
        <f t="shared" si="158"/>
        <v>93979.319999999992</v>
      </c>
      <c r="O2537" t="str">
        <f t="shared" si="159"/>
        <v>Minor Delay</v>
      </c>
    </row>
    <row r="2538" spans="1:15" x14ac:dyDescent="0.25">
      <c r="A2538">
        <v>2537</v>
      </c>
      <c r="B2538" s="2">
        <v>45745</v>
      </c>
      <c r="C2538" t="s">
        <v>25</v>
      </c>
      <c r="D2538" t="s">
        <v>23</v>
      </c>
      <c r="E2538" t="s">
        <v>22</v>
      </c>
      <c r="F2538" t="s">
        <v>24</v>
      </c>
      <c r="G2538">
        <v>149</v>
      </c>
      <c r="H2538">
        <v>264.93</v>
      </c>
      <c r="I2538">
        <v>60</v>
      </c>
      <c r="J2538" t="s">
        <v>15</v>
      </c>
      <c r="K2538">
        <v>39474.57</v>
      </c>
      <c r="L2538" t="str">
        <f t="shared" si="156"/>
        <v>Mar</v>
      </c>
      <c r="M2538">
        <f t="shared" si="157"/>
        <v>2025</v>
      </c>
      <c r="N2538">
        <f t="shared" si="158"/>
        <v>39474.57</v>
      </c>
      <c r="O2538" t="str">
        <f t="shared" si="159"/>
        <v>Moderate Delay</v>
      </c>
    </row>
    <row r="2539" spans="1:15" x14ac:dyDescent="0.25">
      <c r="A2539">
        <v>2538</v>
      </c>
      <c r="B2539" s="2">
        <v>45882</v>
      </c>
      <c r="C2539" t="s">
        <v>11</v>
      </c>
      <c r="D2539" t="s">
        <v>20</v>
      </c>
      <c r="E2539" t="s">
        <v>22</v>
      </c>
      <c r="F2539" t="s">
        <v>21</v>
      </c>
      <c r="G2539">
        <v>283</v>
      </c>
      <c r="H2539">
        <v>708.86</v>
      </c>
      <c r="I2539">
        <v>3</v>
      </c>
      <c r="J2539" t="s">
        <v>30</v>
      </c>
      <c r="K2539">
        <v>200607.38</v>
      </c>
      <c r="L2539" t="str">
        <f t="shared" si="156"/>
        <v>Aug</v>
      </c>
      <c r="M2539">
        <f t="shared" si="157"/>
        <v>2025</v>
      </c>
      <c r="N2539">
        <f t="shared" si="158"/>
        <v>200607.38</v>
      </c>
      <c r="O2539" t="str">
        <f t="shared" si="159"/>
        <v>Minor Delay</v>
      </c>
    </row>
    <row r="2540" spans="1:15" x14ac:dyDescent="0.25">
      <c r="A2540">
        <v>2539</v>
      </c>
      <c r="B2540" s="2">
        <v>45983</v>
      </c>
      <c r="C2540" t="s">
        <v>25</v>
      </c>
      <c r="D2540" t="s">
        <v>20</v>
      </c>
      <c r="E2540" t="s">
        <v>22</v>
      </c>
      <c r="F2540" t="s">
        <v>21</v>
      </c>
      <c r="G2540">
        <v>139</v>
      </c>
      <c r="H2540">
        <v>618.13</v>
      </c>
      <c r="I2540">
        <v>41</v>
      </c>
      <c r="J2540" t="s">
        <v>15</v>
      </c>
      <c r="K2540">
        <v>85920.07</v>
      </c>
      <c r="L2540" t="str">
        <f t="shared" si="156"/>
        <v>Nov</v>
      </c>
      <c r="M2540">
        <f t="shared" si="157"/>
        <v>2025</v>
      </c>
      <c r="N2540">
        <f t="shared" si="158"/>
        <v>85920.069999999992</v>
      </c>
      <c r="O2540" t="str">
        <f t="shared" si="159"/>
        <v>Moderate Delay</v>
      </c>
    </row>
    <row r="2541" spans="1:15" x14ac:dyDescent="0.25">
      <c r="A2541">
        <v>2540</v>
      </c>
      <c r="B2541" s="2">
        <v>45731</v>
      </c>
      <c r="C2541" t="s">
        <v>16</v>
      </c>
      <c r="D2541" t="s">
        <v>13</v>
      </c>
      <c r="E2541" t="s">
        <v>19</v>
      </c>
      <c r="F2541" t="s">
        <v>24</v>
      </c>
      <c r="G2541">
        <v>240</v>
      </c>
      <c r="H2541">
        <v>492.02</v>
      </c>
      <c r="I2541">
        <v>41</v>
      </c>
      <c r="J2541" t="s">
        <v>15</v>
      </c>
      <c r="K2541">
        <v>118084.8</v>
      </c>
      <c r="L2541" t="str">
        <f t="shared" si="156"/>
        <v>Mar</v>
      </c>
      <c r="M2541">
        <f t="shared" si="157"/>
        <v>2025</v>
      </c>
      <c r="N2541">
        <f t="shared" si="158"/>
        <v>118084.79999999999</v>
      </c>
      <c r="O2541" t="str">
        <f t="shared" si="159"/>
        <v>Moderate Delay</v>
      </c>
    </row>
    <row r="2542" spans="1:15" x14ac:dyDescent="0.25">
      <c r="A2542">
        <v>2541</v>
      </c>
      <c r="B2542" s="2">
        <v>45811</v>
      </c>
      <c r="C2542" t="s">
        <v>31</v>
      </c>
      <c r="D2542" t="s">
        <v>12</v>
      </c>
      <c r="E2542" t="s">
        <v>19</v>
      </c>
      <c r="F2542" t="s">
        <v>21</v>
      </c>
      <c r="G2542">
        <v>98</v>
      </c>
      <c r="H2542">
        <v>533.08000000000004</v>
      </c>
      <c r="I2542">
        <v>42</v>
      </c>
      <c r="J2542" t="s">
        <v>15</v>
      </c>
      <c r="K2542">
        <v>52241.84</v>
      </c>
      <c r="L2542" t="str">
        <f t="shared" si="156"/>
        <v>Jun</v>
      </c>
      <c r="M2542">
        <f t="shared" si="157"/>
        <v>2025</v>
      </c>
      <c r="N2542">
        <f t="shared" si="158"/>
        <v>52241.840000000004</v>
      </c>
      <c r="O2542" t="str">
        <f t="shared" si="159"/>
        <v>Moderate Delay</v>
      </c>
    </row>
    <row r="2543" spans="1:15" x14ac:dyDescent="0.25">
      <c r="A2543">
        <v>2542</v>
      </c>
      <c r="B2543" s="2">
        <v>45955</v>
      </c>
      <c r="C2543" t="s">
        <v>31</v>
      </c>
      <c r="D2543" t="s">
        <v>13</v>
      </c>
      <c r="E2543" t="s">
        <v>17</v>
      </c>
      <c r="F2543" t="s">
        <v>24</v>
      </c>
      <c r="G2543">
        <v>284</v>
      </c>
      <c r="H2543">
        <v>774.46</v>
      </c>
      <c r="I2543">
        <v>4</v>
      </c>
      <c r="J2543" t="s">
        <v>30</v>
      </c>
      <c r="K2543">
        <v>219946.64</v>
      </c>
      <c r="L2543" t="str">
        <f t="shared" si="156"/>
        <v>Oct</v>
      </c>
      <c r="M2543">
        <f t="shared" si="157"/>
        <v>2025</v>
      </c>
      <c r="N2543">
        <f t="shared" si="158"/>
        <v>219946.64</v>
      </c>
      <c r="O2543" t="str">
        <f t="shared" si="159"/>
        <v>Minor Delay</v>
      </c>
    </row>
    <row r="2544" spans="1:15" x14ac:dyDescent="0.25">
      <c r="A2544">
        <v>2543</v>
      </c>
      <c r="B2544" s="2">
        <v>45763</v>
      </c>
      <c r="C2544" t="s">
        <v>18</v>
      </c>
      <c r="D2544" t="s">
        <v>12</v>
      </c>
      <c r="E2544" t="s">
        <v>22</v>
      </c>
      <c r="F2544" t="s">
        <v>24</v>
      </c>
      <c r="G2544">
        <v>244</v>
      </c>
      <c r="H2544">
        <v>706.65</v>
      </c>
      <c r="I2544">
        <v>0</v>
      </c>
      <c r="J2544" t="s">
        <v>15</v>
      </c>
      <c r="K2544">
        <v>172422.6</v>
      </c>
      <c r="L2544" t="str">
        <f t="shared" si="156"/>
        <v>Apr</v>
      </c>
      <c r="M2544">
        <f t="shared" si="157"/>
        <v>2025</v>
      </c>
      <c r="N2544">
        <f t="shared" si="158"/>
        <v>172422.6</v>
      </c>
      <c r="O2544" t="str">
        <f t="shared" si="159"/>
        <v>On Time</v>
      </c>
    </row>
    <row r="2545" spans="1:15" x14ac:dyDescent="0.25">
      <c r="A2545">
        <v>2544</v>
      </c>
      <c r="B2545" s="2">
        <v>45769</v>
      </c>
      <c r="C2545" t="s">
        <v>25</v>
      </c>
      <c r="D2545" t="s">
        <v>12</v>
      </c>
      <c r="E2545" t="s">
        <v>19</v>
      </c>
      <c r="F2545" t="s">
        <v>14</v>
      </c>
      <c r="G2545">
        <v>103</v>
      </c>
      <c r="H2545">
        <v>450.84</v>
      </c>
      <c r="I2545">
        <v>16</v>
      </c>
      <c r="J2545" t="s">
        <v>15</v>
      </c>
      <c r="K2545">
        <v>46436.52</v>
      </c>
      <c r="L2545" t="str">
        <f t="shared" si="156"/>
        <v>Apr</v>
      </c>
      <c r="M2545">
        <f t="shared" si="157"/>
        <v>2025</v>
      </c>
      <c r="N2545">
        <f t="shared" si="158"/>
        <v>46436.52</v>
      </c>
      <c r="O2545" t="str">
        <f t="shared" si="159"/>
        <v>Minor Delay</v>
      </c>
    </row>
    <row r="2546" spans="1:15" x14ac:dyDescent="0.25">
      <c r="A2546">
        <v>2545</v>
      </c>
      <c r="B2546" s="2">
        <v>45699</v>
      </c>
      <c r="C2546" t="s">
        <v>31</v>
      </c>
      <c r="D2546" t="s">
        <v>17</v>
      </c>
      <c r="E2546" t="s">
        <v>12</v>
      </c>
      <c r="F2546" t="s">
        <v>14</v>
      </c>
      <c r="G2546">
        <v>206</v>
      </c>
      <c r="H2546">
        <v>789.69</v>
      </c>
      <c r="I2546">
        <v>0</v>
      </c>
      <c r="J2546" t="s">
        <v>15</v>
      </c>
      <c r="K2546">
        <v>162676.14000000001</v>
      </c>
      <c r="L2546" t="str">
        <f t="shared" si="156"/>
        <v>Feb</v>
      </c>
      <c r="M2546">
        <f t="shared" si="157"/>
        <v>2025</v>
      </c>
      <c r="N2546">
        <f t="shared" si="158"/>
        <v>162676.14000000001</v>
      </c>
      <c r="O2546" t="str">
        <f t="shared" si="159"/>
        <v>On Time</v>
      </c>
    </row>
    <row r="2547" spans="1:15" x14ac:dyDescent="0.25">
      <c r="A2547">
        <v>2546</v>
      </c>
      <c r="B2547" s="2">
        <v>45669</v>
      </c>
      <c r="C2547" t="s">
        <v>25</v>
      </c>
      <c r="D2547" t="s">
        <v>22</v>
      </c>
      <c r="E2547" t="s">
        <v>13</v>
      </c>
      <c r="F2547" t="s">
        <v>21</v>
      </c>
      <c r="G2547">
        <v>218</v>
      </c>
      <c r="H2547">
        <v>738.52</v>
      </c>
      <c r="I2547">
        <v>21</v>
      </c>
      <c r="J2547" t="s">
        <v>30</v>
      </c>
      <c r="K2547">
        <v>160997.35999999999</v>
      </c>
      <c r="L2547" t="str">
        <f t="shared" si="156"/>
        <v>Jan</v>
      </c>
      <c r="M2547">
        <f t="shared" si="157"/>
        <v>2025</v>
      </c>
      <c r="N2547">
        <f t="shared" si="158"/>
        <v>160997.35999999999</v>
      </c>
      <c r="O2547" t="str">
        <f t="shared" si="159"/>
        <v>Minor Delay</v>
      </c>
    </row>
    <row r="2548" spans="1:15" x14ac:dyDescent="0.25">
      <c r="A2548">
        <v>2547</v>
      </c>
      <c r="B2548" s="2">
        <v>45885</v>
      </c>
      <c r="C2548" t="s">
        <v>18</v>
      </c>
      <c r="D2548" t="s">
        <v>29</v>
      </c>
      <c r="E2548" t="s">
        <v>12</v>
      </c>
      <c r="F2548" t="s">
        <v>21</v>
      </c>
      <c r="G2548">
        <v>62</v>
      </c>
      <c r="H2548">
        <v>334.1</v>
      </c>
      <c r="I2548">
        <v>49</v>
      </c>
      <c r="J2548" t="s">
        <v>30</v>
      </c>
      <c r="K2548">
        <v>20714.2</v>
      </c>
      <c r="L2548" t="str">
        <f t="shared" si="156"/>
        <v>Aug</v>
      </c>
      <c r="M2548">
        <f t="shared" si="157"/>
        <v>2025</v>
      </c>
      <c r="N2548">
        <f t="shared" si="158"/>
        <v>20714.2</v>
      </c>
      <c r="O2548" t="str">
        <f t="shared" si="159"/>
        <v>Moderate Delay</v>
      </c>
    </row>
    <row r="2549" spans="1:15" x14ac:dyDescent="0.25">
      <c r="A2549">
        <v>2548</v>
      </c>
      <c r="B2549" s="2">
        <v>45849</v>
      </c>
      <c r="C2549" t="s">
        <v>16</v>
      </c>
      <c r="D2549" t="s">
        <v>19</v>
      </c>
      <c r="E2549" t="s">
        <v>23</v>
      </c>
      <c r="F2549" t="s">
        <v>21</v>
      </c>
      <c r="G2549">
        <v>262</v>
      </c>
      <c r="H2549">
        <v>546.16999999999996</v>
      </c>
      <c r="I2549">
        <v>59</v>
      </c>
      <c r="J2549" t="s">
        <v>15</v>
      </c>
      <c r="K2549">
        <v>143096.54</v>
      </c>
      <c r="L2549" t="str">
        <f t="shared" si="156"/>
        <v>Jul</v>
      </c>
      <c r="M2549">
        <f t="shared" si="157"/>
        <v>2025</v>
      </c>
      <c r="N2549">
        <f t="shared" si="158"/>
        <v>143096.53999999998</v>
      </c>
      <c r="O2549" t="str">
        <f t="shared" si="159"/>
        <v>Moderate Delay</v>
      </c>
    </row>
    <row r="2550" spans="1:15" x14ac:dyDescent="0.25">
      <c r="A2550">
        <v>2549</v>
      </c>
      <c r="B2550" s="2">
        <v>45895</v>
      </c>
      <c r="C2550" t="s">
        <v>25</v>
      </c>
      <c r="D2550" t="s">
        <v>27</v>
      </c>
      <c r="E2550" t="s">
        <v>13</v>
      </c>
      <c r="F2550" t="s">
        <v>14</v>
      </c>
      <c r="G2550">
        <v>246</v>
      </c>
      <c r="H2550">
        <v>678.74</v>
      </c>
      <c r="I2550">
        <v>14</v>
      </c>
      <c r="J2550" t="s">
        <v>15</v>
      </c>
      <c r="K2550">
        <v>166970.04</v>
      </c>
      <c r="L2550" t="str">
        <f t="shared" si="156"/>
        <v>Aug</v>
      </c>
      <c r="M2550">
        <f t="shared" si="157"/>
        <v>2025</v>
      </c>
      <c r="N2550">
        <f t="shared" si="158"/>
        <v>166970.04</v>
      </c>
      <c r="O2550" t="str">
        <f t="shared" si="159"/>
        <v>Minor Delay</v>
      </c>
    </row>
    <row r="2551" spans="1:15" x14ac:dyDescent="0.25">
      <c r="A2551">
        <v>2550</v>
      </c>
      <c r="B2551" s="2">
        <v>45952</v>
      </c>
      <c r="C2551" t="s">
        <v>11</v>
      </c>
      <c r="D2551" t="s">
        <v>12</v>
      </c>
      <c r="E2551" t="s">
        <v>29</v>
      </c>
      <c r="F2551" t="s">
        <v>21</v>
      </c>
      <c r="G2551">
        <v>70</v>
      </c>
      <c r="H2551">
        <v>67.72</v>
      </c>
      <c r="I2551">
        <v>31</v>
      </c>
      <c r="J2551" t="s">
        <v>30</v>
      </c>
      <c r="K2551">
        <v>4740.3999999999996</v>
      </c>
      <c r="L2551" t="str">
        <f t="shared" si="156"/>
        <v>Oct</v>
      </c>
      <c r="M2551">
        <f t="shared" si="157"/>
        <v>2025</v>
      </c>
      <c r="N2551">
        <f t="shared" si="158"/>
        <v>4740.3999999999996</v>
      </c>
      <c r="O2551" t="str">
        <f t="shared" si="159"/>
        <v>Moderate Delay</v>
      </c>
    </row>
    <row r="2552" spans="1:15" x14ac:dyDescent="0.25">
      <c r="A2552">
        <v>2551</v>
      </c>
      <c r="B2552" s="2">
        <v>45951</v>
      </c>
      <c r="C2552" t="s">
        <v>18</v>
      </c>
      <c r="D2552" t="s">
        <v>27</v>
      </c>
      <c r="E2552" t="s">
        <v>29</v>
      </c>
      <c r="F2552" t="s">
        <v>24</v>
      </c>
      <c r="G2552">
        <v>84</v>
      </c>
      <c r="H2552">
        <v>538.28</v>
      </c>
      <c r="I2552">
        <v>14</v>
      </c>
      <c r="J2552" t="s">
        <v>15</v>
      </c>
      <c r="K2552">
        <v>45215.519999999997</v>
      </c>
      <c r="L2552" t="str">
        <f t="shared" si="156"/>
        <v>Oct</v>
      </c>
      <c r="M2552">
        <f t="shared" si="157"/>
        <v>2025</v>
      </c>
      <c r="N2552">
        <f t="shared" si="158"/>
        <v>45215.519999999997</v>
      </c>
      <c r="O2552" t="str">
        <f t="shared" si="159"/>
        <v>Minor Delay</v>
      </c>
    </row>
    <row r="2553" spans="1:15" x14ac:dyDescent="0.25">
      <c r="A2553">
        <v>2552</v>
      </c>
      <c r="B2553" s="2">
        <v>46011</v>
      </c>
      <c r="C2553" t="s">
        <v>31</v>
      </c>
      <c r="D2553" t="s">
        <v>13</v>
      </c>
      <c r="E2553" t="s">
        <v>12</v>
      </c>
      <c r="F2553" t="s">
        <v>24</v>
      </c>
      <c r="G2553">
        <v>261</v>
      </c>
      <c r="H2553">
        <v>455.91</v>
      </c>
      <c r="I2553">
        <v>31</v>
      </c>
      <c r="J2553" t="s">
        <v>15</v>
      </c>
      <c r="K2553">
        <v>118992.51</v>
      </c>
      <c r="L2553" t="str">
        <f t="shared" si="156"/>
        <v>Dec</v>
      </c>
      <c r="M2553">
        <f t="shared" si="157"/>
        <v>2025</v>
      </c>
      <c r="N2553">
        <f t="shared" si="158"/>
        <v>118992.51000000001</v>
      </c>
      <c r="O2553" t="str">
        <f t="shared" si="159"/>
        <v>Moderate Delay</v>
      </c>
    </row>
    <row r="2554" spans="1:15" x14ac:dyDescent="0.25">
      <c r="A2554">
        <v>2553</v>
      </c>
      <c r="B2554" s="2">
        <v>45679</v>
      </c>
      <c r="C2554" t="s">
        <v>26</v>
      </c>
      <c r="D2554" t="s">
        <v>27</v>
      </c>
      <c r="E2554" t="s">
        <v>12</v>
      </c>
      <c r="F2554" t="s">
        <v>24</v>
      </c>
      <c r="G2554">
        <v>65</v>
      </c>
      <c r="H2554">
        <v>710.7</v>
      </c>
      <c r="I2554">
        <v>7</v>
      </c>
      <c r="J2554" t="s">
        <v>15</v>
      </c>
      <c r="K2554">
        <v>46195.5</v>
      </c>
      <c r="L2554" t="str">
        <f t="shared" si="156"/>
        <v>Jan</v>
      </c>
      <c r="M2554">
        <f t="shared" si="157"/>
        <v>2025</v>
      </c>
      <c r="N2554">
        <f t="shared" si="158"/>
        <v>46195.5</v>
      </c>
      <c r="O2554" t="str">
        <f t="shared" si="159"/>
        <v>Minor Delay</v>
      </c>
    </row>
    <row r="2555" spans="1:15" x14ac:dyDescent="0.25">
      <c r="A2555">
        <v>2554</v>
      </c>
      <c r="B2555" s="2">
        <v>46014</v>
      </c>
      <c r="C2555" t="s">
        <v>31</v>
      </c>
      <c r="D2555" t="s">
        <v>12</v>
      </c>
      <c r="E2555" t="s">
        <v>17</v>
      </c>
      <c r="F2555" t="s">
        <v>24</v>
      </c>
      <c r="G2555">
        <v>102</v>
      </c>
      <c r="H2555">
        <v>340.54</v>
      </c>
      <c r="I2555">
        <v>57</v>
      </c>
      <c r="J2555" t="s">
        <v>15</v>
      </c>
      <c r="K2555">
        <v>34735.08</v>
      </c>
      <c r="L2555" t="str">
        <f t="shared" si="156"/>
        <v>Dec</v>
      </c>
      <c r="M2555">
        <f t="shared" si="157"/>
        <v>2025</v>
      </c>
      <c r="N2555">
        <f t="shared" si="158"/>
        <v>34735.08</v>
      </c>
      <c r="O2555" t="str">
        <f t="shared" si="159"/>
        <v>Moderate Delay</v>
      </c>
    </row>
    <row r="2556" spans="1:15" x14ac:dyDescent="0.25">
      <c r="A2556">
        <v>2555</v>
      </c>
      <c r="B2556" s="2">
        <v>45769</v>
      </c>
      <c r="C2556" t="s">
        <v>25</v>
      </c>
      <c r="D2556" t="s">
        <v>20</v>
      </c>
      <c r="E2556" t="s">
        <v>12</v>
      </c>
      <c r="F2556" t="s">
        <v>24</v>
      </c>
      <c r="G2556">
        <v>180</v>
      </c>
      <c r="H2556">
        <v>593.26</v>
      </c>
      <c r="I2556">
        <v>4</v>
      </c>
      <c r="J2556" t="s">
        <v>15</v>
      </c>
      <c r="K2556">
        <v>106786.8</v>
      </c>
      <c r="L2556" t="str">
        <f t="shared" si="156"/>
        <v>Apr</v>
      </c>
      <c r="M2556">
        <f t="shared" si="157"/>
        <v>2025</v>
      </c>
      <c r="N2556">
        <f t="shared" si="158"/>
        <v>106786.8</v>
      </c>
      <c r="O2556" t="str">
        <f t="shared" si="159"/>
        <v>Minor Delay</v>
      </c>
    </row>
    <row r="2557" spans="1:15" x14ac:dyDescent="0.25">
      <c r="A2557">
        <v>2556</v>
      </c>
      <c r="B2557" s="2">
        <v>45978</v>
      </c>
      <c r="C2557" t="s">
        <v>26</v>
      </c>
      <c r="D2557" t="s">
        <v>13</v>
      </c>
      <c r="E2557" t="s">
        <v>12</v>
      </c>
      <c r="F2557" t="s">
        <v>21</v>
      </c>
      <c r="G2557">
        <v>132</v>
      </c>
      <c r="H2557">
        <v>781.82</v>
      </c>
      <c r="I2557">
        <v>30</v>
      </c>
      <c r="J2557" t="s">
        <v>30</v>
      </c>
      <c r="K2557">
        <v>103200.24</v>
      </c>
      <c r="L2557" t="str">
        <f t="shared" si="156"/>
        <v>Nov</v>
      </c>
      <c r="M2557">
        <f t="shared" si="157"/>
        <v>2025</v>
      </c>
      <c r="N2557">
        <f t="shared" si="158"/>
        <v>103200.24</v>
      </c>
      <c r="O2557" t="str">
        <f t="shared" si="159"/>
        <v>Minor Delay</v>
      </c>
    </row>
    <row r="2558" spans="1:15" x14ac:dyDescent="0.25">
      <c r="A2558">
        <v>2557</v>
      </c>
      <c r="B2558" s="2">
        <v>45845</v>
      </c>
      <c r="C2558" t="s">
        <v>25</v>
      </c>
      <c r="D2558" t="s">
        <v>17</v>
      </c>
      <c r="E2558" t="s">
        <v>12</v>
      </c>
      <c r="F2558" t="s">
        <v>24</v>
      </c>
      <c r="G2558">
        <v>165</v>
      </c>
      <c r="H2558">
        <v>552.59</v>
      </c>
      <c r="I2558">
        <v>39</v>
      </c>
      <c r="J2558" t="s">
        <v>15</v>
      </c>
      <c r="K2558">
        <v>91177.35</v>
      </c>
      <c r="L2558" t="str">
        <f t="shared" si="156"/>
        <v>Jul</v>
      </c>
      <c r="M2558">
        <f t="shared" si="157"/>
        <v>2025</v>
      </c>
      <c r="N2558">
        <f t="shared" si="158"/>
        <v>91177.35</v>
      </c>
      <c r="O2558" t="str">
        <f t="shared" si="159"/>
        <v>Moderate Delay</v>
      </c>
    </row>
    <row r="2559" spans="1:15" x14ac:dyDescent="0.25">
      <c r="A2559">
        <v>2558</v>
      </c>
      <c r="B2559" s="2">
        <v>45957</v>
      </c>
      <c r="C2559" t="s">
        <v>18</v>
      </c>
      <c r="D2559" t="s">
        <v>17</v>
      </c>
      <c r="E2559" t="s">
        <v>19</v>
      </c>
      <c r="F2559" t="s">
        <v>21</v>
      </c>
      <c r="G2559">
        <v>97</v>
      </c>
      <c r="H2559">
        <v>324.23</v>
      </c>
      <c r="I2559">
        <v>31</v>
      </c>
      <c r="J2559" t="s">
        <v>15</v>
      </c>
      <c r="K2559">
        <v>31450.31</v>
      </c>
      <c r="L2559" t="str">
        <f t="shared" si="156"/>
        <v>Oct</v>
      </c>
      <c r="M2559">
        <f t="shared" si="157"/>
        <v>2025</v>
      </c>
      <c r="N2559">
        <f t="shared" si="158"/>
        <v>31450.31</v>
      </c>
      <c r="O2559" t="str">
        <f t="shared" si="159"/>
        <v>Moderate Delay</v>
      </c>
    </row>
    <row r="2560" spans="1:15" x14ac:dyDescent="0.25">
      <c r="A2560">
        <v>2559</v>
      </c>
      <c r="B2560" s="2">
        <v>45852</v>
      </c>
      <c r="C2560" t="s">
        <v>26</v>
      </c>
      <c r="D2560" t="s">
        <v>12</v>
      </c>
      <c r="E2560" t="s">
        <v>29</v>
      </c>
      <c r="F2560" t="s">
        <v>14</v>
      </c>
      <c r="G2560">
        <v>150</v>
      </c>
      <c r="H2560">
        <v>767.82</v>
      </c>
      <c r="I2560">
        <v>0</v>
      </c>
      <c r="J2560" t="s">
        <v>30</v>
      </c>
      <c r="K2560">
        <v>115173</v>
      </c>
      <c r="L2560" t="str">
        <f t="shared" si="156"/>
        <v>Jul</v>
      </c>
      <c r="M2560">
        <f t="shared" si="157"/>
        <v>2025</v>
      </c>
      <c r="N2560">
        <f t="shared" si="158"/>
        <v>115173.00000000001</v>
      </c>
      <c r="O2560" t="str">
        <f t="shared" si="159"/>
        <v>On Time</v>
      </c>
    </row>
    <row r="2561" spans="1:15" x14ac:dyDescent="0.25">
      <c r="A2561">
        <v>2560</v>
      </c>
      <c r="B2561" s="2">
        <v>45906</v>
      </c>
      <c r="C2561" t="s">
        <v>11</v>
      </c>
      <c r="D2561" t="s">
        <v>19</v>
      </c>
      <c r="E2561" t="s">
        <v>27</v>
      </c>
      <c r="F2561" t="s">
        <v>24</v>
      </c>
      <c r="G2561">
        <v>57</v>
      </c>
      <c r="H2561">
        <v>692.89</v>
      </c>
      <c r="I2561">
        <v>0</v>
      </c>
      <c r="J2561" t="s">
        <v>15</v>
      </c>
      <c r="K2561">
        <v>39494.730000000003</v>
      </c>
      <c r="L2561" t="str">
        <f t="shared" si="156"/>
        <v>Sep</v>
      </c>
      <c r="M2561">
        <f t="shared" si="157"/>
        <v>2025</v>
      </c>
      <c r="N2561">
        <f t="shared" si="158"/>
        <v>39494.729999999996</v>
      </c>
      <c r="O2561" t="str">
        <f t="shared" si="159"/>
        <v>On Time</v>
      </c>
    </row>
    <row r="2562" spans="1:15" x14ac:dyDescent="0.25">
      <c r="A2562">
        <v>2561</v>
      </c>
      <c r="B2562" s="2">
        <v>45867</v>
      </c>
      <c r="C2562" t="s">
        <v>16</v>
      </c>
      <c r="D2562" t="s">
        <v>17</v>
      </c>
      <c r="E2562" t="s">
        <v>20</v>
      </c>
      <c r="F2562" t="s">
        <v>24</v>
      </c>
      <c r="G2562">
        <v>284</v>
      </c>
      <c r="H2562">
        <v>244.54</v>
      </c>
      <c r="I2562">
        <v>24</v>
      </c>
      <c r="J2562" t="s">
        <v>30</v>
      </c>
      <c r="K2562">
        <v>69449.36</v>
      </c>
      <c r="L2562" t="str">
        <f t="shared" si="156"/>
        <v>Jul</v>
      </c>
      <c r="M2562">
        <f t="shared" si="157"/>
        <v>2025</v>
      </c>
      <c r="N2562">
        <f t="shared" si="158"/>
        <v>69449.36</v>
      </c>
      <c r="O2562" t="str">
        <f t="shared" si="159"/>
        <v>Minor Delay</v>
      </c>
    </row>
    <row r="2563" spans="1:15" x14ac:dyDescent="0.25">
      <c r="A2563">
        <v>2562</v>
      </c>
      <c r="B2563" s="2">
        <v>46018</v>
      </c>
      <c r="C2563" t="s">
        <v>25</v>
      </c>
      <c r="D2563" t="s">
        <v>23</v>
      </c>
      <c r="E2563" t="s">
        <v>12</v>
      </c>
      <c r="F2563" t="s">
        <v>24</v>
      </c>
      <c r="G2563">
        <v>69</v>
      </c>
      <c r="H2563">
        <v>85.87</v>
      </c>
      <c r="I2563">
        <v>29</v>
      </c>
      <c r="J2563" t="s">
        <v>15</v>
      </c>
      <c r="K2563">
        <v>5925.03</v>
      </c>
      <c r="L2563" t="str">
        <f t="shared" ref="L2563:L2626" si="160">TEXT(B2563,"MMM")</f>
        <v>Dec</v>
      </c>
      <c r="M2563">
        <f t="shared" ref="M2563:M2626" si="161">YEAR(B2563)</f>
        <v>2025</v>
      </c>
      <c r="N2563">
        <f t="shared" ref="N2563:N2626" si="162">G2563*H2563</f>
        <v>5925.0300000000007</v>
      </c>
      <c r="O2563" t="str">
        <f t="shared" ref="O2563:O2626" si="163">IF(I2563=0,"On Time",IF(I2563&lt;=30,"Minor Delay",IF(I2563&lt;=60,"Moderate Delay","Major Delay")))</f>
        <v>Minor Delay</v>
      </c>
    </row>
    <row r="2564" spans="1:15" x14ac:dyDescent="0.25">
      <c r="A2564">
        <v>2563</v>
      </c>
      <c r="B2564" s="2">
        <v>45982</v>
      </c>
      <c r="C2564" t="s">
        <v>11</v>
      </c>
      <c r="D2564" t="s">
        <v>20</v>
      </c>
      <c r="E2564" t="s">
        <v>22</v>
      </c>
      <c r="F2564" t="s">
        <v>24</v>
      </c>
      <c r="G2564">
        <v>187</v>
      </c>
      <c r="H2564">
        <v>705.42</v>
      </c>
      <c r="I2564">
        <v>6</v>
      </c>
      <c r="J2564" t="s">
        <v>30</v>
      </c>
      <c r="K2564">
        <v>131913.54</v>
      </c>
      <c r="L2564" t="str">
        <f t="shared" si="160"/>
        <v>Nov</v>
      </c>
      <c r="M2564">
        <f t="shared" si="161"/>
        <v>2025</v>
      </c>
      <c r="N2564">
        <f t="shared" si="162"/>
        <v>131913.53999999998</v>
      </c>
      <c r="O2564" t="str">
        <f t="shared" si="163"/>
        <v>Minor Delay</v>
      </c>
    </row>
    <row r="2565" spans="1:15" x14ac:dyDescent="0.25">
      <c r="A2565">
        <v>2564</v>
      </c>
      <c r="B2565" s="2">
        <v>45721</v>
      </c>
      <c r="C2565" t="s">
        <v>16</v>
      </c>
      <c r="D2565" t="s">
        <v>13</v>
      </c>
      <c r="E2565" t="s">
        <v>17</v>
      </c>
      <c r="F2565" t="s">
        <v>14</v>
      </c>
      <c r="G2565">
        <v>221</v>
      </c>
      <c r="H2565">
        <v>474.56</v>
      </c>
      <c r="I2565">
        <v>4</v>
      </c>
      <c r="J2565" t="s">
        <v>15</v>
      </c>
      <c r="K2565">
        <v>104877.75999999999</v>
      </c>
      <c r="L2565" t="str">
        <f t="shared" si="160"/>
        <v>Mar</v>
      </c>
      <c r="M2565">
        <f t="shared" si="161"/>
        <v>2025</v>
      </c>
      <c r="N2565">
        <f t="shared" si="162"/>
        <v>104877.75999999999</v>
      </c>
      <c r="O2565" t="str">
        <f t="shared" si="163"/>
        <v>Minor Delay</v>
      </c>
    </row>
    <row r="2566" spans="1:15" x14ac:dyDescent="0.25">
      <c r="A2566">
        <v>2565</v>
      </c>
      <c r="B2566" s="2">
        <v>45662</v>
      </c>
      <c r="C2566" t="s">
        <v>26</v>
      </c>
      <c r="D2566" t="s">
        <v>20</v>
      </c>
      <c r="E2566" t="s">
        <v>19</v>
      </c>
      <c r="F2566" t="s">
        <v>14</v>
      </c>
      <c r="G2566">
        <v>174</v>
      </c>
      <c r="H2566">
        <v>370.58</v>
      </c>
      <c r="I2566">
        <v>0</v>
      </c>
      <c r="J2566" t="s">
        <v>15</v>
      </c>
      <c r="K2566">
        <v>64480.92</v>
      </c>
      <c r="L2566" t="str">
        <f t="shared" si="160"/>
        <v>Jan</v>
      </c>
      <c r="M2566">
        <f t="shared" si="161"/>
        <v>2025</v>
      </c>
      <c r="N2566">
        <f t="shared" si="162"/>
        <v>64480.92</v>
      </c>
      <c r="O2566" t="str">
        <f t="shared" si="163"/>
        <v>On Time</v>
      </c>
    </row>
    <row r="2567" spans="1:15" x14ac:dyDescent="0.25">
      <c r="A2567">
        <v>2566</v>
      </c>
      <c r="B2567" s="2">
        <v>45982</v>
      </c>
      <c r="C2567" t="s">
        <v>26</v>
      </c>
      <c r="D2567" t="s">
        <v>12</v>
      </c>
      <c r="E2567" t="s">
        <v>22</v>
      </c>
      <c r="F2567" t="s">
        <v>21</v>
      </c>
      <c r="G2567">
        <v>119</v>
      </c>
      <c r="H2567">
        <v>395.43</v>
      </c>
      <c r="I2567">
        <v>47</v>
      </c>
      <c r="J2567" t="s">
        <v>15</v>
      </c>
      <c r="K2567">
        <v>47056.17</v>
      </c>
      <c r="L2567" t="str">
        <f t="shared" si="160"/>
        <v>Nov</v>
      </c>
      <c r="M2567">
        <f t="shared" si="161"/>
        <v>2025</v>
      </c>
      <c r="N2567">
        <f t="shared" si="162"/>
        <v>47056.17</v>
      </c>
      <c r="O2567" t="str">
        <f t="shared" si="163"/>
        <v>Moderate Delay</v>
      </c>
    </row>
    <row r="2568" spans="1:15" x14ac:dyDescent="0.25">
      <c r="A2568">
        <v>2567</v>
      </c>
      <c r="B2568" s="2">
        <v>45766</v>
      </c>
      <c r="C2568" t="s">
        <v>16</v>
      </c>
      <c r="D2568" t="s">
        <v>19</v>
      </c>
      <c r="E2568" t="s">
        <v>17</v>
      </c>
      <c r="F2568" t="s">
        <v>21</v>
      </c>
      <c r="G2568">
        <v>155</v>
      </c>
      <c r="H2568">
        <v>485.6</v>
      </c>
      <c r="I2568">
        <v>48</v>
      </c>
      <c r="J2568" t="s">
        <v>15</v>
      </c>
      <c r="K2568">
        <v>75268</v>
      </c>
      <c r="L2568" t="str">
        <f t="shared" si="160"/>
        <v>Apr</v>
      </c>
      <c r="M2568">
        <f t="shared" si="161"/>
        <v>2025</v>
      </c>
      <c r="N2568">
        <f t="shared" si="162"/>
        <v>75268</v>
      </c>
      <c r="O2568" t="str">
        <f t="shared" si="163"/>
        <v>Moderate Delay</v>
      </c>
    </row>
    <row r="2569" spans="1:15" x14ac:dyDescent="0.25">
      <c r="A2569">
        <v>2568</v>
      </c>
      <c r="B2569" s="2">
        <v>45746</v>
      </c>
      <c r="C2569" t="s">
        <v>31</v>
      </c>
      <c r="D2569" t="s">
        <v>13</v>
      </c>
      <c r="E2569" t="s">
        <v>19</v>
      </c>
      <c r="F2569" t="s">
        <v>21</v>
      </c>
      <c r="G2569">
        <v>245</v>
      </c>
      <c r="H2569">
        <v>695.07</v>
      </c>
      <c r="I2569">
        <v>28</v>
      </c>
      <c r="J2569" t="s">
        <v>30</v>
      </c>
      <c r="K2569">
        <v>170292.15</v>
      </c>
      <c r="L2569" t="str">
        <f t="shared" si="160"/>
        <v>Mar</v>
      </c>
      <c r="M2569">
        <f t="shared" si="161"/>
        <v>2025</v>
      </c>
      <c r="N2569">
        <f t="shared" si="162"/>
        <v>170292.15000000002</v>
      </c>
      <c r="O2569" t="str">
        <f t="shared" si="163"/>
        <v>Minor Delay</v>
      </c>
    </row>
    <row r="2570" spans="1:15" x14ac:dyDescent="0.25">
      <c r="A2570">
        <v>2569</v>
      </c>
      <c r="B2570" s="2">
        <v>45796</v>
      </c>
      <c r="C2570" t="s">
        <v>26</v>
      </c>
      <c r="D2570" t="s">
        <v>27</v>
      </c>
      <c r="E2570" t="s">
        <v>20</v>
      </c>
      <c r="F2570" t="s">
        <v>24</v>
      </c>
      <c r="G2570">
        <v>78</v>
      </c>
      <c r="H2570">
        <v>693.2</v>
      </c>
      <c r="I2570">
        <v>23</v>
      </c>
      <c r="J2570" t="s">
        <v>15</v>
      </c>
      <c r="K2570">
        <v>54069.599999999999</v>
      </c>
      <c r="L2570" t="str">
        <f t="shared" si="160"/>
        <v>May</v>
      </c>
      <c r="M2570">
        <f t="shared" si="161"/>
        <v>2025</v>
      </c>
      <c r="N2570">
        <f t="shared" si="162"/>
        <v>54069.600000000006</v>
      </c>
      <c r="O2570" t="str">
        <f t="shared" si="163"/>
        <v>Minor Delay</v>
      </c>
    </row>
    <row r="2571" spans="1:15" x14ac:dyDescent="0.25">
      <c r="A2571">
        <v>2570</v>
      </c>
      <c r="B2571" s="2">
        <v>45909</v>
      </c>
      <c r="C2571" t="s">
        <v>16</v>
      </c>
      <c r="D2571" t="s">
        <v>20</v>
      </c>
      <c r="E2571" t="s">
        <v>29</v>
      </c>
      <c r="F2571" t="s">
        <v>24</v>
      </c>
      <c r="G2571">
        <v>118</v>
      </c>
      <c r="H2571">
        <v>717.32</v>
      </c>
      <c r="I2571">
        <v>67</v>
      </c>
      <c r="J2571" t="s">
        <v>15</v>
      </c>
      <c r="K2571">
        <v>84643.76</v>
      </c>
      <c r="L2571" t="str">
        <f t="shared" si="160"/>
        <v>Sep</v>
      </c>
      <c r="M2571">
        <f t="shared" si="161"/>
        <v>2025</v>
      </c>
      <c r="N2571">
        <f t="shared" si="162"/>
        <v>84643.760000000009</v>
      </c>
      <c r="O2571" t="str">
        <f t="shared" si="163"/>
        <v>Major Delay</v>
      </c>
    </row>
    <row r="2572" spans="1:15" x14ac:dyDescent="0.25">
      <c r="A2572">
        <v>2571</v>
      </c>
      <c r="B2572" s="2">
        <v>45712</v>
      </c>
      <c r="C2572" t="s">
        <v>18</v>
      </c>
      <c r="D2572" t="s">
        <v>17</v>
      </c>
      <c r="E2572" t="s">
        <v>12</v>
      </c>
      <c r="F2572" t="s">
        <v>24</v>
      </c>
      <c r="G2572">
        <v>248</v>
      </c>
      <c r="H2572">
        <v>593.41999999999996</v>
      </c>
      <c r="I2572">
        <v>28</v>
      </c>
      <c r="J2572" t="s">
        <v>30</v>
      </c>
      <c r="K2572">
        <v>147168.16</v>
      </c>
      <c r="L2572" t="str">
        <f t="shared" si="160"/>
        <v>Feb</v>
      </c>
      <c r="M2572">
        <f t="shared" si="161"/>
        <v>2025</v>
      </c>
      <c r="N2572">
        <f t="shared" si="162"/>
        <v>147168.16</v>
      </c>
      <c r="O2572" t="str">
        <f t="shared" si="163"/>
        <v>Minor Delay</v>
      </c>
    </row>
    <row r="2573" spans="1:15" x14ac:dyDescent="0.25">
      <c r="A2573">
        <v>2572</v>
      </c>
      <c r="B2573" s="2">
        <v>45917</v>
      </c>
      <c r="C2573" t="s">
        <v>18</v>
      </c>
      <c r="D2573" t="s">
        <v>27</v>
      </c>
      <c r="E2573" t="s">
        <v>12</v>
      </c>
      <c r="F2573" t="s">
        <v>14</v>
      </c>
      <c r="G2573">
        <v>190</v>
      </c>
      <c r="H2573">
        <v>407.72</v>
      </c>
      <c r="I2573">
        <v>5</v>
      </c>
      <c r="J2573" t="s">
        <v>15</v>
      </c>
      <c r="K2573">
        <v>77466.8</v>
      </c>
      <c r="L2573" t="str">
        <f t="shared" si="160"/>
        <v>Sep</v>
      </c>
      <c r="M2573">
        <f t="shared" si="161"/>
        <v>2025</v>
      </c>
      <c r="N2573">
        <f t="shared" si="162"/>
        <v>77466.8</v>
      </c>
      <c r="O2573" t="str">
        <f t="shared" si="163"/>
        <v>Minor Delay</v>
      </c>
    </row>
    <row r="2574" spans="1:15" x14ac:dyDescent="0.25">
      <c r="A2574">
        <v>2573</v>
      </c>
      <c r="B2574" s="2">
        <v>45777</v>
      </c>
      <c r="C2574" t="s">
        <v>11</v>
      </c>
      <c r="D2574" t="s">
        <v>22</v>
      </c>
      <c r="E2574" t="s">
        <v>19</v>
      </c>
      <c r="F2574" t="s">
        <v>24</v>
      </c>
      <c r="G2574">
        <v>122</v>
      </c>
      <c r="H2574">
        <v>623.13</v>
      </c>
      <c r="I2574">
        <v>0</v>
      </c>
      <c r="J2574" t="s">
        <v>15</v>
      </c>
      <c r="K2574">
        <v>76021.86</v>
      </c>
      <c r="L2574" t="str">
        <f t="shared" si="160"/>
        <v>Apr</v>
      </c>
      <c r="M2574">
        <f t="shared" si="161"/>
        <v>2025</v>
      </c>
      <c r="N2574">
        <f t="shared" si="162"/>
        <v>76021.86</v>
      </c>
      <c r="O2574" t="str">
        <f t="shared" si="163"/>
        <v>On Time</v>
      </c>
    </row>
    <row r="2575" spans="1:15" x14ac:dyDescent="0.25">
      <c r="A2575">
        <v>2574</v>
      </c>
      <c r="B2575" s="2">
        <v>45976</v>
      </c>
      <c r="C2575" t="s">
        <v>16</v>
      </c>
      <c r="D2575" t="s">
        <v>13</v>
      </c>
      <c r="E2575" t="s">
        <v>12</v>
      </c>
      <c r="F2575" t="s">
        <v>24</v>
      </c>
      <c r="G2575">
        <v>99</v>
      </c>
      <c r="H2575">
        <v>439.36</v>
      </c>
      <c r="I2575">
        <v>34</v>
      </c>
      <c r="J2575" t="s">
        <v>15</v>
      </c>
      <c r="K2575">
        <v>43496.639999999999</v>
      </c>
      <c r="L2575" t="str">
        <f t="shared" si="160"/>
        <v>Nov</v>
      </c>
      <c r="M2575">
        <f t="shared" si="161"/>
        <v>2025</v>
      </c>
      <c r="N2575">
        <f t="shared" si="162"/>
        <v>43496.639999999999</v>
      </c>
      <c r="O2575" t="str">
        <f t="shared" si="163"/>
        <v>Moderate Delay</v>
      </c>
    </row>
    <row r="2576" spans="1:15" x14ac:dyDescent="0.25">
      <c r="A2576">
        <v>2575</v>
      </c>
      <c r="B2576" s="2">
        <v>45753</v>
      </c>
      <c r="C2576" t="s">
        <v>31</v>
      </c>
      <c r="D2576" t="s">
        <v>17</v>
      </c>
      <c r="E2576" t="s">
        <v>13</v>
      </c>
      <c r="F2576" t="s">
        <v>14</v>
      </c>
      <c r="G2576">
        <v>151</v>
      </c>
      <c r="H2576">
        <v>158.6</v>
      </c>
      <c r="I2576">
        <v>18</v>
      </c>
      <c r="J2576" t="s">
        <v>15</v>
      </c>
      <c r="K2576">
        <v>23948.6</v>
      </c>
      <c r="L2576" t="str">
        <f t="shared" si="160"/>
        <v>Apr</v>
      </c>
      <c r="M2576">
        <f t="shared" si="161"/>
        <v>2025</v>
      </c>
      <c r="N2576">
        <f t="shared" si="162"/>
        <v>23948.6</v>
      </c>
      <c r="O2576" t="str">
        <f t="shared" si="163"/>
        <v>Minor Delay</v>
      </c>
    </row>
    <row r="2577" spans="1:15" x14ac:dyDescent="0.25">
      <c r="A2577">
        <v>2576</v>
      </c>
      <c r="B2577" s="2">
        <v>45993</v>
      </c>
      <c r="C2577" t="s">
        <v>11</v>
      </c>
      <c r="D2577" t="s">
        <v>23</v>
      </c>
      <c r="E2577" t="s">
        <v>12</v>
      </c>
      <c r="F2577" t="s">
        <v>14</v>
      </c>
      <c r="G2577">
        <v>278</v>
      </c>
      <c r="H2577">
        <v>122.89</v>
      </c>
      <c r="I2577">
        <v>35</v>
      </c>
      <c r="J2577" t="s">
        <v>15</v>
      </c>
      <c r="K2577">
        <v>34163.42</v>
      </c>
      <c r="L2577" t="str">
        <f t="shared" si="160"/>
        <v>Dec</v>
      </c>
      <c r="M2577">
        <f t="shared" si="161"/>
        <v>2025</v>
      </c>
      <c r="N2577">
        <f t="shared" si="162"/>
        <v>34163.42</v>
      </c>
      <c r="O2577" t="str">
        <f t="shared" si="163"/>
        <v>Moderate Delay</v>
      </c>
    </row>
    <row r="2578" spans="1:15" x14ac:dyDescent="0.25">
      <c r="A2578">
        <v>2577</v>
      </c>
      <c r="B2578" s="2">
        <v>45894</v>
      </c>
      <c r="C2578" t="s">
        <v>11</v>
      </c>
      <c r="D2578" t="s">
        <v>22</v>
      </c>
      <c r="E2578" t="s">
        <v>27</v>
      </c>
      <c r="F2578" t="s">
        <v>14</v>
      </c>
      <c r="G2578">
        <v>118</v>
      </c>
      <c r="H2578">
        <v>620.89</v>
      </c>
      <c r="I2578">
        <v>27</v>
      </c>
      <c r="J2578" t="s">
        <v>15</v>
      </c>
      <c r="K2578">
        <v>73265.02</v>
      </c>
      <c r="L2578" t="str">
        <f t="shared" si="160"/>
        <v>Aug</v>
      </c>
      <c r="M2578">
        <f t="shared" si="161"/>
        <v>2025</v>
      </c>
      <c r="N2578">
        <f t="shared" si="162"/>
        <v>73265.02</v>
      </c>
      <c r="O2578" t="str">
        <f t="shared" si="163"/>
        <v>Minor Delay</v>
      </c>
    </row>
    <row r="2579" spans="1:15" x14ac:dyDescent="0.25">
      <c r="A2579">
        <v>2578</v>
      </c>
      <c r="B2579" s="2">
        <v>45947</v>
      </c>
      <c r="C2579" t="s">
        <v>11</v>
      </c>
      <c r="D2579" t="s">
        <v>23</v>
      </c>
      <c r="E2579" t="s">
        <v>12</v>
      </c>
      <c r="F2579" t="s">
        <v>14</v>
      </c>
      <c r="G2579">
        <v>119</v>
      </c>
      <c r="H2579">
        <v>334.71</v>
      </c>
      <c r="I2579">
        <v>23</v>
      </c>
      <c r="J2579" t="s">
        <v>15</v>
      </c>
      <c r="K2579">
        <v>39830.49</v>
      </c>
      <c r="L2579" t="str">
        <f t="shared" si="160"/>
        <v>Oct</v>
      </c>
      <c r="M2579">
        <f t="shared" si="161"/>
        <v>2025</v>
      </c>
      <c r="N2579">
        <f t="shared" si="162"/>
        <v>39830.49</v>
      </c>
      <c r="O2579" t="str">
        <f t="shared" si="163"/>
        <v>Minor Delay</v>
      </c>
    </row>
    <row r="2580" spans="1:15" x14ac:dyDescent="0.25">
      <c r="A2580">
        <v>2579</v>
      </c>
      <c r="B2580" s="2">
        <v>45688</v>
      </c>
      <c r="C2580" t="s">
        <v>31</v>
      </c>
      <c r="D2580" t="s">
        <v>27</v>
      </c>
      <c r="E2580" t="s">
        <v>12</v>
      </c>
      <c r="F2580" t="s">
        <v>24</v>
      </c>
      <c r="G2580">
        <v>232</v>
      </c>
      <c r="H2580">
        <v>515.92999999999995</v>
      </c>
      <c r="I2580">
        <v>48</v>
      </c>
      <c r="J2580" t="s">
        <v>15</v>
      </c>
      <c r="K2580">
        <v>119695.76</v>
      </c>
      <c r="L2580" t="str">
        <f t="shared" si="160"/>
        <v>Jan</v>
      </c>
      <c r="M2580">
        <f t="shared" si="161"/>
        <v>2025</v>
      </c>
      <c r="N2580">
        <f t="shared" si="162"/>
        <v>119695.76</v>
      </c>
      <c r="O2580" t="str">
        <f t="shared" si="163"/>
        <v>Moderate Delay</v>
      </c>
    </row>
    <row r="2581" spans="1:15" x14ac:dyDescent="0.25">
      <c r="A2581">
        <v>2580</v>
      </c>
      <c r="B2581" s="2">
        <v>45672</v>
      </c>
      <c r="C2581" t="s">
        <v>31</v>
      </c>
      <c r="D2581" t="s">
        <v>23</v>
      </c>
      <c r="E2581" t="s">
        <v>27</v>
      </c>
      <c r="F2581" t="s">
        <v>21</v>
      </c>
      <c r="G2581">
        <v>238</v>
      </c>
      <c r="H2581">
        <v>472.94</v>
      </c>
      <c r="I2581">
        <v>40</v>
      </c>
      <c r="J2581" t="s">
        <v>15</v>
      </c>
      <c r="K2581">
        <v>112559.72</v>
      </c>
      <c r="L2581" t="str">
        <f t="shared" si="160"/>
        <v>Jan</v>
      </c>
      <c r="M2581">
        <f t="shared" si="161"/>
        <v>2025</v>
      </c>
      <c r="N2581">
        <f t="shared" si="162"/>
        <v>112559.72</v>
      </c>
      <c r="O2581" t="str">
        <f t="shared" si="163"/>
        <v>Moderate Delay</v>
      </c>
    </row>
    <row r="2582" spans="1:15" x14ac:dyDescent="0.25">
      <c r="A2582">
        <v>2581</v>
      </c>
      <c r="B2582" s="2">
        <v>45952</v>
      </c>
      <c r="C2582" t="s">
        <v>18</v>
      </c>
      <c r="D2582" t="s">
        <v>17</v>
      </c>
      <c r="E2582" t="s">
        <v>23</v>
      </c>
      <c r="F2582" t="s">
        <v>14</v>
      </c>
      <c r="G2582">
        <v>96</v>
      </c>
      <c r="H2582">
        <v>191.32</v>
      </c>
      <c r="I2582">
        <v>45</v>
      </c>
      <c r="J2582" t="s">
        <v>15</v>
      </c>
      <c r="K2582">
        <v>18366.72</v>
      </c>
      <c r="L2582" t="str">
        <f t="shared" si="160"/>
        <v>Oct</v>
      </c>
      <c r="M2582">
        <f t="shared" si="161"/>
        <v>2025</v>
      </c>
      <c r="N2582">
        <f t="shared" si="162"/>
        <v>18366.72</v>
      </c>
      <c r="O2582" t="str">
        <f t="shared" si="163"/>
        <v>Moderate Delay</v>
      </c>
    </row>
    <row r="2583" spans="1:15" x14ac:dyDescent="0.25">
      <c r="A2583">
        <v>2582</v>
      </c>
      <c r="B2583" s="2">
        <v>45806</v>
      </c>
      <c r="C2583" t="s">
        <v>16</v>
      </c>
      <c r="D2583" t="s">
        <v>29</v>
      </c>
      <c r="E2583" t="s">
        <v>19</v>
      </c>
      <c r="F2583" t="s">
        <v>24</v>
      </c>
      <c r="G2583">
        <v>263</v>
      </c>
      <c r="H2583">
        <v>718.65</v>
      </c>
      <c r="I2583">
        <v>33</v>
      </c>
      <c r="J2583" t="s">
        <v>15</v>
      </c>
      <c r="K2583">
        <v>189004.95</v>
      </c>
      <c r="L2583" t="str">
        <f t="shared" si="160"/>
        <v>May</v>
      </c>
      <c r="M2583">
        <f t="shared" si="161"/>
        <v>2025</v>
      </c>
      <c r="N2583">
        <f t="shared" si="162"/>
        <v>189004.94999999998</v>
      </c>
      <c r="O2583" t="str">
        <f t="shared" si="163"/>
        <v>Moderate Delay</v>
      </c>
    </row>
    <row r="2584" spans="1:15" x14ac:dyDescent="0.25">
      <c r="A2584">
        <v>2583</v>
      </c>
      <c r="B2584" s="2">
        <v>45872</v>
      </c>
      <c r="C2584" t="s">
        <v>16</v>
      </c>
      <c r="D2584" t="s">
        <v>19</v>
      </c>
      <c r="E2584" t="s">
        <v>29</v>
      </c>
      <c r="F2584" t="s">
        <v>14</v>
      </c>
      <c r="G2584">
        <v>186</v>
      </c>
      <c r="H2584">
        <v>673.04</v>
      </c>
      <c r="I2584">
        <v>35</v>
      </c>
      <c r="J2584" t="s">
        <v>15</v>
      </c>
      <c r="K2584">
        <v>125185.44</v>
      </c>
      <c r="L2584" t="str">
        <f t="shared" si="160"/>
        <v>Aug</v>
      </c>
      <c r="M2584">
        <f t="shared" si="161"/>
        <v>2025</v>
      </c>
      <c r="N2584">
        <f t="shared" si="162"/>
        <v>125185.43999999999</v>
      </c>
      <c r="O2584" t="str">
        <f t="shared" si="163"/>
        <v>Moderate Delay</v>
      </c>
    </row>
    <row r="2585" spans="1:15" x14ac:dyDescent="0.25">
      <c r="A2585">
        <v>2584</v>
      </c>
      <c r="B2585" s="2">
        <v>46010</v>
      </c>
      <c r="C2585" t="s">
        <v>18</v>
      </c>
      <c r="D2585" t="s">
        <v>17</v>
      </c>
      <c r="E2585" t="s">
        <v>12</v>
      </c>
      <c r="F2585" t="s">
        <v>14</v>
      </c>
      <c r="G2585">
        <v>62</v>
      </c>
      <c r="H2585">
        <v>411.42</v>
      </c>
      <c r="I2585">
        <v>25</v>
      </c>
      <c r="J2585" t="s">
        <v>15</v>
      </c>
      <c r="K2585">
        <v>25508.04</v>
      </c>
      <c r="L2585" t="str">
        <f t="shared" si="160"/>
        <v>Dec</v>
      </c>
      <c r="M2585">
        <f t="shared" si="161"/>
        <v>2025</v>
      </c>
      <c r="N2585">
        <f t="shared" si="162"/>
        <v>25508.04</v>
      </c>
      <c r="O2585" t="str">
        <f t="shared" si="163"/>
        <v>Minor Delay</v>
      </c>
    </row>
    <row r="2586" spans="1:15" x14ac:dyDescent="0.25">
      <c r="A2586">
        <v>2585</v>
      </c>
      <c r="B2586" s="2">
        <v>46013</v>
      </c>
      <c r="C2586" t="s">
        <v>25</v>
      </c>
      <c r="D2586" t="s">
        <v>17</v>
      </c>
      <c r="E2586" t="s">
        <v>27</v>
      </c>
      <c r="F2586" t="s">
        <v>14</v>
      </c>
      <c r="G2586">
        <v>64</v>
      </c>
      <c r="H2586">
        <v>751.35</v>
      </c>
      <c r="I2586">
        <v>23</v>
      </c>
      <c r="J2586" t="s">
        <v>15</v>
      </c>
      <c r="K2586">
        <v>48086.400000000001</v>
      </c>
      <c r="L2586" t="str">
        <f t="shared" si="160"/>
        <v>Dec</v>
      </c>
      <c r="M2586">
        <f t="shared" si="161"/>
        <v>2025</v>
      </c>
      <c r="N2586">
        <f t="shared" si="162"/>
        <v>48086.400000000001</v>
      </c>
      <c r="O2586" t="str">
        <f t="shared" si="163"/>
        <v>Minor Delay</v>
      </c>
    </row>
    <row r="2587" spans="1:15" x14ac:dyDescent="0.25">
      <c r="A2587">
        <v>2586</v>
      </c>
      <c r="B2587" s="2">
        <v>45870</v>
      </c>
      <c r="C2587" t="s">
        <v>25</v>
      </c>
      <c r="D2587" t="s">
        <v>19</v>
      </c>
      <c r="E2587" t="s">
        <v>20</v>
      </c>
      <c r="F2587" t="s">
        <v>14</v>
      </c>
      <c r="G2587">
        <v>67</v>
      </c>
      <c r="H2587">
        <v>482.72</v>
      </c>
      <c r="I2587">
        <v>25</v>
      </c>
      <c r="J2587" t="s">
        <v>15</v>
      </c>
      <c r="K2587">
        <v>32342.240000000002</v>
      </c>
      <c r="L2587" t="str">
        <f t="shared" si="160"/>
        <v>Aug</v>
      </c>
      <c r="M2587">
        <f t="shared" si="161"/>
        <v>2025</v>
      </c>
      <c r="N2587">
        <f t="shared" si="162"/>
        <v>32342.240000000002</v>
      </c>
      <c r="O2587" t="str">
        <f t="shared" si="163"/>
        <v>Minor Delay</v>
      </c>
    </row>
    <row r="2588" spans="1:15" x14ac:dyDescent="0.25">
      <c r="A2588">
        <v>2587</v>
      </c>
      <c r="B2588" s="2">
        <v>45663</v>
      </c>
      <c r="C2588" t="s">
        <v>26</v>
      </c>
      <c r="D2588" t="s">
        <v>27</v>
      </c>
      <c r="E2588" t="s">
        <v>13</v>
      </c>
      <c r="F2588" t="s">
        <v>24</v>
      </c>
      <c r="G2588">
        <v>171</v>
      </c>
      <c r="H2588">
        <v>507.64</v>
      </c>
      <c r="I2588">
        <v>31</v>
      </c>
      <c r="J2588" t="s">
        <v>15</v>
      </c>
      <c r="K2588">
        <v>86806.44</v>
      </c>
      <c r="L2588" t="str">
        <f t="shared" si="160"/>
        <v>Jan</v>
      </c>
      <c r="M2588">
        <f t="shared" si="161"/>
        <v>2025</v>
      </c>
      <c r="N2588">
        <f t="shared" si="162"/>
        <v>86806.44</v>
      </c>
      <c r="O2588" t="str">
        <f t="shared" si="163"/>
        <v>Moderate Delay</v>
      </c>
    </row>
    <row r="2589" spans="1:15" x14ac:dyDescent="0.25">
      <c r="A2589">
        <v>2588</v>
      </c>
      <c r="B2589" s="2">
        <v>45671</v>
      </c>
      <c r="C2589" t="s">
        <v>18</v>
      </c>
      <c r="D2589" t="s">
        <v>22</v>
      </c>
      <c r="E2589" t="s">
        <v>13</v>
      </c>
      <c r="F2589" t="s">
        <v>14</v>
      </c>
      <c r="G2589">
        <v>207</v>
      </c>
      <c r="H2589">
        <v>401.49</v>
      </c>
      <c r="I2589">
        <v>22</v>
      </c>
      <c r="J2589" t="s">
        <v>15</v>
      </c>
      <c r="K2589">
        <v>83108.429999999993</v>
      </c>
      <c r="L2589" t="str">
        <f t="shared" si="160"/>
        <v>Jan</v>
      </c>
      <c r="M2589">
        <f t="shared" si="161"/>
        <v>2025</v>
      </c>
      <c r="N2589">
        <f t="shared" si="162"/>
        <v>83108.430000000008</v>
      </c>
      <c r="O2589" t="str">
        <f t="shared" si="163"/>
        <v>Minor Delay</v>
      </c>
    </row>
    <row r="2590" spans="1:15" x14ac:dyDescent="0.25">
      <c r="A2590">
        <v>2589</v>
      </c>
      <c r="B2590" s="2">
        <v>45745</v>
      </c>
      <c r="C2590" t="s">
        <v>11</v>
      </c>
      <c r="D2590" t="s">
        <v>13</v>
      </c>
      <c r="E2590" t="s">
        <v>27</v>
      </c>
      <c r="F2590" t="s">
        <v>14</v>
      </c>
      <c r="G2590">
        <v>77</v>
      </c>
      <c r="H2590">
        <v>211.1</v>
      </c>
      <c r="I2590">
        <v>32</v>
      </c>
      <c r="J2590" t="s">
        <v>15</v>
      </c>
      <c r="K2590">
        <v>16254.7</v>
      </c>
      <c r="L2590" t="str">
        <f t="shared" si="160"/>
        <v>Mar</v>
      </c>
      <c r="M2590">
        <f t="shared" si="161"/>
        <v>2025</v>
      </c>
      <c r="N2590">
        <f t="shared" si="162"/>
        <v>16254.699999999999</v>
      </c>
      <c r="O2590" t="str">
        <f t="shared" si="163"/>
        <v>Moderate Delay</v>
      </c>
    </row>
    <row r="2591" spans="1:15" x14ac:dyDescent="0.25">
      <c r="A2591">
        <v>2590</v>
      </c>
      <c r="B2591" s="2">
        <v>45993</v>
      </c>
      <c r="C2591" t="s">
        <v>18</v>
      </c>
      <c r="D2591" t="s">
        <v>20</v>
      </c>
      <c r="E2591" t="s">
        <v>12</v>
      </c>
      <c r="F2591" t="s">
        <v>24</v>
      </c>
      <c r="G2591">
        <v>86</v>
      </c>
      <c r="H2591">
        <v>197.37</v>
      </c>
      <c r="I2591">
        <v>0</v>
      </c>
      <c r="J2591" t="s">
        <v>15</v>
      </c>
      <c r="K2591">
        <v>16973.82</v>
      </c>
      <c r="L2591" t="str">
        <f t="shared" si="160"/>
        <v>Dec</v>
      </c>
      <c r="M2591">
        <f t="shared" si="161"/>
        <v>2025</v>
      </c>
      <c r="N2591">
        <f t="shared" si="162"/>
        <v>16973.82</v>
      </c>
      <c r="O2591" t="str">
        <f t="shared" si="163"/>
        <v>On Time</v>
      </c>
    </row>
    <row r="2592" spans="1:15" x14ac:dyDescent="0.25">
      <c r="A2592">
        <v>2591</v>
      </c>
      <c r="B2592" s="2">
        <v>46021</v>
      </c>
      <c r="C2592" t="s">
        <v>26</v>
      </c>
      <c r="D2592" t="s">
        <v>23</v>
      </c>
      <c r="E2592" t="s">
        <v>17</v>
      </c>
      <c r="F2592" t="s">
        <v>21</v>
      </c>
      <c r="G2592">
        <v>154</v>
      </c>
      <c r="H2592">
        <v>646.34</v>
      </c>
      <c r="I2592">
        <v>32</v>
      </c>
      <c r="J2592" t="s">
        <v>15</v>
      </c>
      <c r="K2592">
        <v>99536.36</v>
      </c>
      <c r="L2592" t="str">
        <f t="shared" si="160"/>
        <v>Dec</v>
      </c>
      <c r="M2592">
        <f t="shared" si="161"/>
        <v>2025</v>
      </c>
      <c r="N2592">
        <f t="shared" si="162"/>
        <v>99536.36</v>
      </c>
      <c r="O2592" t="str">
        <f t="shared" si="163"/>
        <v>Moderate Delay</v>
      </c>
    </row>
    <row r="2593" spans="1:15" x14ac:dyDescent="0.25">
      <c r="A2593">
        <v>2592</v>
      </c>
      <c r="B2593" s="2">
        <v>45661</v>
      </c>
      <c r="C2593" t="s">
        <v>18</v>
      </c>
      <c r="D2593" t="s">
        <v>12</v>
      </c>
      <c r="E2593" t="s">
        <v>27</v>
      </c>
      <c r="F2593" t="s">
        <v>24</v>
      </c>
      <c r="G2593">
        <v>128</v>
      </c>
      <c r="H2593">
        <v>241.21</v>
      </c>
      <c r="I2593">
        <v>19</v>
      </c>
      <c r="J2593" t="s">
        <v>15</v>
      </c>
      <c r="K2593">
        <v>30874.880000000001</v>
      </c>
      <c r="L2593" t="str">
        <f t="shared" si="160"/>
        <v>Jan</v>
      </c>
      <c r="M2593">
        <f t="shared" si="161"/>
        <v>2025</v>
      </c>
      <c r="N2593">
        <f t="shared" si="162"/>
        <v>30874.880000000001</v>
      </c>
      <c r="O2593" t="str">
        <f t="shared" si="163"/>
        <v>Minor Delay</v>
      </c>
    </row>
    <row r="2594" spans="1:15" x14ac:dyDescent="0.25">
      <c r="A2594">
        <v>2593</v>
      </c>
      <c r="B2594" s="2">
        <v>45812</v>
      </c>
      <c r="C2594" t="s">
        <v>26</v>
      </c>
      <c r="D2594" t="s">
        <v>29</v>
      </c>
      <c r="E2594" t="s">
        <v>23</v>
      </c>
      <c r="F2594" t="s">
        <v>14</v>
      </c>
      <c r="G2594">
        <v>97</v>
      </c>
      <c r="H2594">
        <v>326.8</v>
      </c>
      <c r="I2594">
        <v>40</v>
      </c>
      <c r="J2594" t="s">
        <v>15</v>
      </c>
      <c r="K2594">
        <v>31699.599999999999</v>
      </c>
      <c r="L2594" t="str">
        <f t="shared" si="160"/>
        <v>Jun</v>
      </c>
      <c r="M2594">
        <f t="shared" si="161"/>
        <v>2025</v>
      </c>
      <c r="N2594">
        <f t="shared" si="162"/>
        <v>31699.600000000002</v>
      </c>
      <c r="O2594" t="str">
        <f t="shared" si="163"/>
        <v>Moderate Delay</v>
      </c>
    </row>
    <row r="2595" spans="1:15" x14ac:dyDescent="0.25">
      <c r="A2595">
        <v>2594</v>
      </c>
      <c r="B2595" s="2">
        <v>45958</v>
      </c>
      <c r="C2595" t="s">
        <v>26</v>
      </c>
      <c r="D2595" t="s">
        <v>29</v>
      </c>
      <c r="E2595" t="s">
        <v>23</v>
      </c>
      <c r="F2595" t="s">
        <v>14</v>
      </c>
      <c r="G2595">
        <v>86</v>
      </c>
      <c r="H2595">
        <v>766.22</v>
      </c>
      <c r="I2595">
        <v>33</v>
      </c>
      <c r="J2595" t="s">
        <v>30</v>
      </c>
      <c r="K2595">
        <v>65894.92</v>
      </c>
      <c r="L2595" t="str">
        <f t="shared" si="160"/>
        <v>Oct</v>
      </c>
      <c r="M2595">
        <f t="shared" si="161"/>
        <v>2025</v>
      </c>
      <c r="N2595">
        <f t="shared" si="162"/>
        <v>65894.92</v>
      </c>
      <c r="O2595" t="str">
        <f t="shared" si="163"/>
        <v>Moderate Delay</v>
      </c>
    </row>
    <row r="2596" spans="1:15" x14ac:dyDescent="0.25">
      <c r="A2596">
        <v>2595</v>
      </c>
      <c r="B2596" s="2">
        <v>45814</v>
      </c>
      <c r="C2596" t="s">
        <v>25</v>
      </c>
      <c r="D2596" t="s">
        <v>13</v>
      </c>
      <c r="E2596" t="s">
        <v>22</v>
      </c>
      <c r="F2596" t="s">
        <v>24</v>
      </c>
      <c r="G2596">
        <v>254</v>
      </c>
      <c r="H2596">
        <v>683.5</v>
      </c>
      <c r="I2596">
        <v>38</v>
      </c>
      <c r="J2596" t="s">
        <v>15</v>
      </c>
      <c r="K2596">
        <v>173609</v>
      </c>
      <c r="L2596" t="str">
        <f t="shared" si="160"/>
        <v>Jun</v>
      </c>
      <c r="M2596">
        <f t="shared" si="161"/>
        <v>2025</v>
      </c>
      <c r="N2596">
        <f t="shared" si="162"/>
        <v>173609</v>
      </c>
      <c r="O2596" t="str">
        <f t="shared" si="163"/>
        <v>Moderate Delay</v>
      </c>
    </row>
    <row r="2597" spans="1:15" x14ac:dyDescent="0.25">
      <c r="A2597">
        <v>2596</v>
      </c>
      <c r="B2597" s="2">
        <v>45986</v>
      </c>
      <c r="C2597" t="s">
        <v>25</v>
      </c>
      <c r="D2597" t="s">
        <v>29</v>
      </c>
      <c r="E2597" t="s">
        <v>20</v>
      </c>
      <c r="F2597" t="s">
        <v>24</v>
      </c>
      <c r="G2597">
        <v>130</v>
      </c>
      <c r="H2597">
        <v>129.84</v>
      </c>
      <c r="I2597">
        <v>3</v>
      </c>
      <c r="J2597" t="s">
        <v>30</v>
      </c>
      <c r="K2597">
        <v>16879.2</v>
      </c>
      <c r="L2597" t="str">
        <f t="shared" si="160"/>
        <v>Nov</v>
      </c>
      <c r="M2597">
        <f t="shared" si="161"/>
        <v>2025</v>
      </c>
      <c r="N2597">
        <f t="shared" si="162"/>
        <v>16879.2</v>
      </c>
      <c r="O2597" t="str">
        <f t="shared" si="163"/>
        <v>Minor Delay</v>
      </c>
    </row>
    <row r="2598" spans="1:15" x14ac:dyDescent="0.25">
      <c r="A2598">
        <v>2597</v>
      </c>
      <c r="B2598" s="2">
        <v>45698</v>
      </c>
      <c r="C2598" t="s">
        <v>25</v>
      </c>
      <c r="D2598" t="s">
        <v>20</v>
      </c>
      <c r="E2598" t="s">
        <v>17</v>
      </c>
      <c r="F2598" t="s">
        <v>24</v>
      </c>
      <c r="G2598">
        <v>204</v>
      </c>
      <c r="H2598">
        <v>665.57</v>
      </c>
      <c r="I2598">
        <v>18</v>
      </c>
      <c r="J2598" t="s">
        <v>30</v>
      </c>
      <c r="K2598">
        <v>135776.28</v>
      </c>
      <c r="L2598" t="str">
        <f t="shared" si="160"/>
        <v>Feb</v>
      </c>
      <c r="M2598">
        <f t="shared" si="161"/>
        <v>2025</v>
      </c>
      <c r="N2598">
        <f t="shared" si="162"/>
        <v>135776.28</v>
      </c>
      <c r="O2598" t="str">
        <f t="shared" si="163"/>
        <v>Minor Delay</v>
      </c>
    </row>
    <row r="2599" spans="1:15" x14ac:dyDescent="0.25">
      <c r="A2599">
        <v>2598</v>
      </c>
      <c r="B2599" s="2">
        <v>45834</v>
      </c>
      <c r="C2599" t="s">
        <v>25</v>
      </c>
      <c r="D2599" t="s">
        <v>29</v>
      </c>
      <c r="E2599" t="s">
        <v>22</v>
      </c>
      <c r="F2599" t="s">
        <v>24</v>
      </c>
      <c r="G2599">
        <v>199</v>
      </c>
      <c r="H2599">
        <v>459.64</v>
      </c>
      <c r="I2599">
        <v>14</v>
      </c>
      <c r="J2599" t="s">
        <v>15</v>
      </c>
      <c r="K2599">
        <v>91468.36</v>
      </c>
      <c r="L2599" t="str">
        <f t="shared" si="160"/>
        <v>Jun</v>
      </c>
      <c r="M2599">
        <f t="shared" si="161"/>
        <v>2025</v>
      </c>
      <c r="N2599">
        <f t="shared" si="162"/>
        <v>91468.36</v>
      </c>
      <c r="O2599" t="str">
        <f t="shared" si="163"/>
        <v>Minor Delay</v>
      </c>
    </row>
    <row r="2600" spans="1:15" x14ac:dyDescent="0.25">
      <c r="A2600">
        <v>2599</v>
      </c>
      <c r="B2600" s="2">
        <v>45712</v>
      </c>
      <c r="C2600" t="s">
        <v>16</v>
      </c>
      <c r="D2600" t="s">
        <v>13</v>
      </c>
      <c r="E2600" t="s">
        <v>19</v>
      </c>
      <c r="F2600" t="s">
        <v>21</v>
      </c>
      <c r="G2600">
        <v>220</v>
      </c>
      <c r="H2600">
        <v>141.72999999999999</v>
      </c>
      <c r="I2600">
        <v>49</v>
      </c>
      <c r="J2600" t="s">
        <v>30</v>
      </c>
      <c r="K2600">
        <v>31180.6</v>
      </c>
      <c r="L2600" t="str">
        <f t="shared" si="160"/>
        <v>Feb</v>
      </c>
      <c r="M2600">
        <f t="shared" si="161"/>
        <v>2025</v>
      </c>
      <c r="N2600">
        <f t="shared" si="162"/>
        <v>31180.6</v>
      </c>
      <c r="O2600" t="str">
        <f t="shared" si="163"/>
        <v>Moderate Delay</v>
      </c>
    </row>
    <row r="2601" spans="1:15" x14ac:dyDescent="0.25">
      <c r="A2601">
        <v>2600</v>
      </c>
      <c r="B2601" s="2">
        <v>45878</v>
      </c>
      <c r="C2601" t="s">
        <v>31</v>
      </c>
      <c r="D2601" t="s">
        <v>12</v>
      </c>
      <c r="E2601" t="s">
        <v>19</v>
      </c>
      <c r="F2601" t="s">
        <v>24</v>
      </c>
      <c r="G2601">
        <v>243</v>
      </c>
      <c r="H2601">
        <v>580.30999999999995</v>
      </c>
      <c r="I2601">
        <v>11</v>
      </c>
      <c r="J2601" t="s">
        <v>15</v>
      </c>
      <c r="K2601">
        <v>141015.32999999999</v>
      </c>
      <c r="L2601" t="str">
        <f t="shared" si="160"/>
        <v>Aug</v>
      </c>
      <c r="M2601">
        <f t="shared" si="161"/>
        <v>2025</v>
      </c>
      <c r="N2601">
        <f t="shared" si="162"/>
        <v>141015.32999999999</v>
      </c>
      <c r="O2601" t="str">
        <f t="shared" si="163"/>
        <v>Minor Delay</v>
      </c>
    </row>
    <row r="2602" spans="1:15" x14ac:dyDescent="0.25">
      <c r="A2602">
        <v>2601</v>
      </c>
      <c r="B2602" s="2">
        <v>45788</v>
      </c>
      <c r="C2602" t="s">
        <v>18</v>
      </c>
      <c r="D2602" t="s">
        <v>27</v>
      </c>
      <c r="E2602" t="s">
        <v>17</v>
      </c>
      <c r="F2602" t="s">
        <v>21</v>
      </c>
      <c r="G2602">
        <v>159</v>
      </c>
      <c r="H2602">
        <v>645.46</v>
      </c>
      <c r="I2602">
        <v>45</v>
      </c>
      <c r="J2602" t="s">
        <v>15</v>
      </c>
      <c r="K2602">
        <v>102628.14</v>
      </c>
      <c r="L2602" t="str">
        <f t="shared" si="160"/>
        <v>May</v>
      </c>
      <c r="M2602">
        <f t="shared" si="161"/>
        <v>2025</v>
      </c>
      <c r="N2602">
        <f t="shared" si="162"/>
        <v>102628.14</v>
      </c>
      <c r="O2602" t="str">
        <f t="shared" si="163"/>
        <v>Moderate Delay</v>
      </c>
    </row>
    <row r="2603" spans="1:15" x14ac:dyDescent="0.25">
      <c r="A2603">
        <v>2602</v>
      </c>
      <c r="B2603" s="2">
        <v>45852</v>
      </c>
      <c r="C2603" t="s">
        <v>16</v>
      </c>
      <c r="D2603" t="s">
        <v>19</v>
      </c>
      <c r="E2603" t="s">
        <v>27</v>
      </c>
      <c r="F2603" t="s">
        <v>14</v>
      </c>
      <c r="G2603">
        <v>178</v>
      </c>
      <c r="H2603">
        <v>448.88</v>
      </c>
      <c r="I2603">
        <v>3</v>
      </c>
      <c r="J2603" t="s">
        <v>15</v>
      </c>
      <c r="K2603">
        <v>79900.639999999999</v>
      </c>
      <c r="L2603" t="str">
        <f t="shared" si="160"/>
        <v>Jul</v>
      </c>
      <c r="M2603">
        <f t="shared" si="161"/>
        <v>2025</v>
      </c>
      <c r="N2603">
        <f t="shared" si="162"/>
        <v>79900.639999999999</v>
      </c>
      <c r="O2603" t="str">
        <f t="shared" si="163"/>
        <v>Minor Delay</v>
      </c>
    </row>
    <row r="2604" spans="1:15" x14ac:dyDescent="0.25">
      <c r="A2604">
        <v>2603</v>
      </c>
      <c r="B2604" s="2">
        <v>45919</v>
      </c>
      <c r="C2604" t="s">
        <v>25</v>
      </c>
      <c r="D2604" t="s">
        <v>23</v>
      </c>
      <c r="E2604" t="s">
        <v>13</v>
      </c>
      <c r="F2604" t="s">
        <v>14</v>
      </c>
      <c r="G2604">
        <v>162</v>
      </c>
      <c r="H2604">
        <v>667.44</v>
      </c>
      <c r="I2604">
        <v>9</v>
      </c>
      <c r="J2604" t="s">
        <v>15</v>
      </c>
      <c r="K2604">
        <v>108125.28</v>
      </c>
      <c r="L2604" t="str">
        <f t="shared" si="160"/>
        <v>Sep</v>
      </c>
      <c r="M2604">
        <f t="shared" si="161"/>
        <v>2025</v>
      </c>
      <c r="N2604">
        <f t="shared" si="162"/>
        <v>108125.28000000001</v>
      </c>
      <c r="O2604" t="str">
        <f t="shared" si="163"/>
        <v>Minor Delay</v>
      </c>
    </row>
    <row r="2605" spans="1:15" x14ac:dyDescent="0.25">
      <c r="A2605">
        <v>2604</v>
      </c>
      <c r="B2605" s="2">
        <v>45807</v>
      </c>
      <c r="C2605" t="s">
        <v>31</v>
      </c>
      <c r="D2605" t="s">
        <v>13</v>
      </c>
      <c r="E2605" t="s">
        <v>27</v>
      </c>
      <c r="F2605" t="s">
        <v>21</v>
      </c>
      <c r="G2605">
        <v>83</v>
      </c>
      <c r="H2605">
        <v>123.46</v>
      </c>
      <c r="I2605">
        <v>16</v>
      </c>
      <c r="J2605" t="s">
        <v>15</v>
      </c>
      <c r="K2605">
        <v>10247.18</v>
      </c>
      <c r="L2605" t="str">
        <f t="shared" si="160"/>
        <v>May</v>
      </c>
      <c r="M2605">
        <f t="shared" si="161"/>
        <v>2025</v>
      </c>
      <c r="N2605">
        <f t="shared" si="162"/>
        <v>10247.18</v>
      </c>
      <c r="O2605" t="str">
        <f t="shared" si="163"/>
        <v>Minor Delay</v>
      </c>
    </row>
    <row r="2606" spans="1:15" x14ac:dyDescent="0.25">
      <c r="A2606">
        <v>2605</v>
      </c>
      <c r="B2606" s="2">
        <v>45950</v>
      </c>
      <c r="C2606" t="s">
        <v>25</v>
      </c>
      <c r="D2606" t="s">
        <v>13</v>
      </c>
      <c r="E2606" t="s">
        <v>20</v>
      </c>
      <c r="F2606" t="s">
        <v>21</v>
      </c>
      <c r="G2606">
        <v>245</v>
      </c>
      <c r="H2606">
        <v>451.52</v>
      </c>
      <c r="I2606">
        <v>43</v>
      </c>
      <c r="J2606" t="s">
        <v>30</v>
      </c>
      <c r="K2606">
        <v>110622.39999999999</v>
      </c>
      <c r="L2606" t="str">
        <f t="shared" si="160"/>
        <v>Oct</v>
      </c>
      <c r="M2606">
        <f t="shared" si="161"/>
        <v>2025</v>
      </c>
      <c r="N2606">
        <f t="shared" si="162"/>
        <v>110622.39999999999</v>
      </c>
      <c r="O2606" t="str">
        <f t="shared" si="163"/>
        <v>Moderate Delay</v>
      </c>
    </row>
    <row r="2607" spans="1:15" x14ac:dyDescent="0.25">
      <c r="A2607">
        <v>2606</v>
      </c>
      <c r="B2607" s="2">
        <v>45759</v>
      </c>
      <c r="C2607" t="s">
        <v>26</v>
      </c>
      <c r="D2607" t="s">
        <v>17</v>
      </c>
      <c r="E2607" t="s">
        <v>29</v>
      </c>
      <c r="F2607" t="s">
        <v>14</v>
      </c>
      <c r="G2607">
        <v>121</v>
      </c>
      <c r="H2607">
        <v>459.85</v>
      </c>
      <c r="I2607">
        <v>0</v>
      </c>
      <c r="J2607" t="s">
        <v>15</v>
      </c>
      <c r="K2607">
        <v>55641.85</v>
      </c>
      <c r="L2607" t="str">
        <f t="shared" si="160"/>
        <v>Apr</v>
      </c>
      <c r="M2607">
        <f t="shared" si="161"/>
        <v>2025</v>
      </c>
      <c r="N2607">
        <f t="shared" si="162"/>
        <v>55641.850000000006</v>
      </c>
      <c r="O2607" t="str">
        <f t="shared" si="163"/>
        <v>On Time</v>
      </c>
    </row>
    <row r="2608" spans="1:15" x14ac:dyDescent="0.25">
      <c r="A2608">
        <v>2607</v>
      </c>
      <c r="B2608" s="2">
        <v>45678</v>
      </c>
      <c r="C2608" t="s">
        <v>31</v>
      </c>
      <c r="D2608" t="s">
        <v>23</v>
      </c>
      <c r="E2608" t="s">
        <v>27</v>
      </c>
      <c r="F2608" t="s">
        <v>14</v>
      </c>
      <c r="G2608">
        <v>80</v>
      </c>
      <c r="H2608">
        <v>225.76</v>
      </c>
      <c r="I2608">
        <v>45</v>
      </c>
      <c r="J2608" t="s">
        <v>15</v>
      </c>
      <c r="K2608">
        <v>18060.8</v>
      </c>
      <c r="L2608" t="str">
        <f t="shared" si="160"/>
        <v>Jan</v>
      </c>
      <c r="M2608">
        <f t="shared" si="161"/>
        <v>2025</v>
      </c>
      <c r="N2608">
        <f t="shared" si="162"/>
        <v>18060.8</v>
      </c>
      <c r="O2608" t="str">
        <f t="shared" si="163"/>
        <v>Moderate Delay</v>
      </c>
    </row>
    <row r="2609" spans="1:15" x14ac:dyDescent="0.25">
      <c r="A2609">
        <v>2608</v>
      </c>
      <c r="B2609" s="2">
        <v>45662</v>
      </c>
      <c r="C2609" t="s">
        <v>11</v>
      </c>
      <c r="D2609" t="s">
        <v>29</v>
      </c>
      <c r="E2609" t="s">
        <v>19</v>
      </c>
      <c r="F2609" t="s">
        <v>14</v>
      </c>
      <c r="G2609">
        <v>92</v>
      </c>
      <c r="H2609">
        <v>207.48</v>
      </c>
      <c r="I2609">
        <v>14</v>
      </c>
      <c r="J2609" t="s">
        <v>15</v>
      </c>
      <c r="K2609">
        <v>19088.16</v>
      </c>
      <c r="L2609" t="str">
        <f t="shared" si="160"/>
        <v>Jan</v>
      </c>
      <c r="M2609">
        <f t="shared" si="161"/>
        <v>2025</v>
      </c>
      <c r="N2609">
        <f t="shared" si="162"/>
        <v>19088.16</v>
      </c>
      <c r="O2609" t="str">
        <f t="shared" si="163"/>
        <v>Minor Delay</v>
      </c>
    </row>
    <row r="2610" spans="1:15" x14ac:dyDescent="0.25">
      <c r="A2610">
        <v>2609</v>
      </c>
      <c r="B2610" s="2">
        <v>45841</v>
      </c>
      <c r="C2610" t="s">
        <v>26</v>
      </c>
      <c r="D2610" t="s">
        <v>29</v>
      </c>
      <c r="E2610" t="s">
        <v>13</v>
      </c>
      <c r="F2610" t="s">
        <v>14</v>
      </c>
      <c r="G2610">
        <v>274</v>
      </c>
      <c r="H2610">
        <v>214.02</v>
      </c>
      <c r="I2610">
        <v>21</v>
      </c>
      <c r="J2610" t="s">
        <v>15</v>
      </c>
      <c r="K2610">
        <v>58641.48</v>
      </c>
      <c r="L2610" t="str">
        <f t="shared" si="160"/>
        <v>Jul</v>
      </c>
      <c r="M2610">
        <f t="shared" si="161"/>
        <v>2025</v>
      </c>
      <c r="N2610">
        <f t="shared" si="162"/>
        <v>58641.48</v>
      </c>
      <c r="O2610" t="str">
        <f t="shared" si="163"/>
        <v>Minor Delay</v>
      </c>
    </row>
    <row r="2611" spans="1:15" x14ac:dyDescent="0.25">
      <c r="A2611">
        <v>2610</v>
      </c>
      <c r="B2611" s="2">
        <v>45785</v>
      </c>
      <c r="C2611" t="s">
        <v>26</v>
      </c>
      <c r="D2611" t="s">
        <v>27</v>
      </c>
      <c r="E2611" t="s">
        <v>17</v>
      </c>
      <c r="F2611" t="s">
        <v>21</v>
      </c>
      <c r="G2611">
        <v>232</v>
      </c>
      <c r="H2611">
        <v>795.61</v>
      </c>
      <c r="I2611">
        <v>28</v>
      </c>
      <c r="J2611" t="s">
        <v>15</v>
      </c>
      <c r="K2611">
        <v>184581.52</v>
      </c>
      <c r="L2611" t="str">
        <f t="shared" si="160"/>
        <v>May</v>
      </c>
      <c r="M2611">
        <f t="shared" si="161"/>
        <v>2025</v>
      </c>
      <c r="N2611">
        <f t="shared" si="162"/>
        <v>184581.52</v>
      </c>
      <c r="O2611" t="str">
        <f t="shared" si="163"/>
        <v>Minor Delay</v>
      </c>
    </row>
    <row r="2612" spans="1:15" x14ac:dyDescent="0.25">
      <c r="A2612">
        <v>2611</v>
      </c>
      <c r="B2612" s="2">
        <v>45659</v>
      </c>
      <c r="C2612" t="s">
        <v>31</v>
      </c>
      <c r="D2612" t="s">
        <v>12</v>
      </c>
      <c r="E2612" t="s">
        <v>13</v>
      </c>
      <c r="F2612" t="s">
        <v>21</v>
      </c>
      <c r="G2612">
        <v>196</v>
      </c>
      <c r="H2612">
        <v>628.41</v>
      </c>
      <c r="I2612">
        <v>10</v>
      </c>
      <c r="J2612" t="s">
        <v>15</v>
      </c>
      <c r="K2612">
        <v>123168.36</v>
      </c>
      <c r="L2612" t="str">
        <f t="shared" si="160"/>
        <v>Jan</v>
      </c>
      <c r="M2612">
        <f t="shared" si="161"/>
        <v>2025</v>
      </c>
      <c r="N2612">
        <f t="shared" si="162"/>
        <v>123168.36</v>
      </c>
      <c r="O2612" t="str">
        <f t="shared" si="163"/>
        <v>Minor Delay</v>
      </c>
    </row>
    <row r="2613" spans="1:15" x14ac:dyDescent="0.25">
      <c r="A2613">
        <v>2612</v>
      </c>
      <c r="B2613" s="2">
        <v>45669</v>
      </c>
      <c r="C2613" t="s">
        <v>31</v>
      </c>
      <c r="D2613" t="s">
        <v>17</v>
      </c>
      <c r="E2613" t="s">
        <v>13</v>
      </c>
      <c r="F2613" t="s">
        <v>14</v>
      </c>
      <c r="G2613">
        <v>148</v>
      </c>
      <c r="H2613">
        <v>480.11</v>
      </c>
      <c r="I2613">
        <v>15</v>
      </c>
      <c r="J2613" t="s">
        <v>15</v>
      </c>
      <c r="K2613">
        <v>71056.28</v>
      </c>
      <c r="L2613" t="str">
        <f t="shared" si="160"/>
        <v>Jan</v>
      </c>
      <c r="M2613">
        <f t="shared" si="161"/>
        <v>2025</v>
      </c>
      <c r="N2613">
        <f t="shared" si="162"/>
        <v>71056.28</v>
      </c>
      <c r="O2613" t="str">
        <f t="shared" si="163"/>
        <v>Minor Delay</v>
      </c>
    </row>
    <row r="2614" spans="1:15" x14ac:dyDescent="0.25">
      <c r="A2614">
        <v>2613</v>
      </c>
      <c r="B2614" s="2">
        <v>45729</v>
      </c>
      <c r="C2614" t="s">
        <v>25</v>
      </c>
      <c r="D2614" t="s">
        <v>29</v>
      </c>
      <c r="E2614" t="s">
        <v>23</v>
      </c>
      <c r="F2614" t="s">
        <v>24</v>
      </c>
      <c r="G2614">
        <v>101</v>
      </c>
      <c r="H2614">
        <v>751.03</v>
      </c>
      <c r="I2614">
        <v>18</v>
      </c>
      <c r="J2614" t="s">
        <v>15</v>
      </c>
      <c r="K2614">
        <v>75854.03</v>
      </c>
      <c r="L2614" t="str">
        <f t="shared" si="160"/>
        <v>Mar</v>
      </c>
      <c r="M2614">
        <f t="shared" si="161"/>
        <v>2025</v>
      </c>
      <c r="N2614">
        <f t="shared" si="162"/>
        <v>75854.03</v>
      </c>
      <c r="O2614" t="str">
        <f t="shared" si="163"/>
        <v>Minor Delay</v>
      </c>
    </row>
    <row r="2615" spans="1:15" x14ac:dyDescent="0.25">
      <c r="A2615">
        <v>2614</v>
      </c>
      <c r="B2615" s="2">
        <v>45856</v>
      </c>
      <c r="C2615" t="s">
        <v>16</v>
      </c>
      <c r="D2615" t="s">
        <v>20</v>
      </c>
      <c r="E2615" t="s">
        <v>13</v>
      </c>
      <c r="F2615" t="s">
        <v>21</v>
      </c>
      <c r="G2615">
        <v>253</v>
      </c>
      <c r="H2615">
        <v>602.46</v>
      </c>
      <c r="I2615">
        <v>0</v>
      </c>
      <c r="J2615" t="s">
        <v>15</v>
      </c>
      <c r="K2615">
        <v>152422.38</v>
      </c>
      <c r="L2615" t="str">
        <f t="shared" si="160"/>
        <v>Jul</v>
      </c>
      <c r="M2615">
        <f t="shared" si="161"/>
        <v>2025</v>
      </c>
      <c r="N2615">
        <f t="shared" si="162"/>
        <v>152422.38</v>
      </c>
      <c r="O2615" t="str">
        <f t="shared" si="163"/>
        <v>On Time</v>
      </c>
    </row>
    <row r="2616" spans="1:15" x14ac:dyDescent="0.25">
      <c r="A2616">
        <v>2615</v>
      </c>
      <c r="B2616" s="2">
        <v>45903</v>
      </c>
      <c r="C2616" t="s">
        <v>26</v>
      </c>
      <c r="D2616" t="s">
        <v>12</v>
      </c>
      <c r="E2616" t="s">
        <v>20</v>
      </c>
      <c r="F2616" t="s">
        <v>24</v>
      </c>
      <c r="G2616">
        <v>112</v>
      </c>
      <c r="H2616">
        <v>90.07</v>
      </c>
      <c r="I2616">
        <v>53</v>
      </c>
      <c r="J2616" t="s">
        <v>30</v>
      </c>
      <c r="K2616">
        <v>10087.84</v>
      </c>
      <c r="L2616" t="str">
        <f t="shared" si="160"/>
        <v>Sep</v>
      </c>
      <c r="M2616">
        <f t="shared" si="161"/>
        <v>2025</v>
      </c>
      <c r="N2616">
        <f t="shared" si="162"/>
        <v>10087.84</v>
      </c>
      <c r="O2616" t="str">
        <f t="shared" si="163"/>
        <v>Moderate Delay</v>
      </c>
    </row>
    <row r="2617" spans="1:15" x14ac:dyDescent="0.25">
      <c r="A2617">
        <v>2616</v>
      </c>
      <c r="B2617" s="2">
        <v>46008</v>
      </c>
      <c r="C2617" t="s">
        <v>11</v>
      </c>
      <c r="D2617" t="s">
        <v>27</v>
      </c>
      <c r="E2617" t="s">
        <v>23</v>
      </c>
      <c r="F2617" t="s">
        <v>14</v>
      </c>
      <c r="G2617">
        <v>161</v>
      </c>
      <c r="H2617">
        <v>147.87</v>
      </c>
      <c r="I2617">
        <v>24</v>
      </c>
      <c r="J2617" t="s">
        <v>15</v>
      </c>
      <c r="K2617">
        <v>23807.07</v>
      </c>
      <c r="L2617" t="str">
        <f t="shared" si="160"/>
        <v>Dec</v>
      </c>
      <c r="M2617">
        <f t="shared" si="161"/>
        <v>2025</v>
      </c>
      <c r="N2617">
        <f t="shared" si="162"/>
        <v>23807.07</v>
      </c>
      <c r="O2617" t="str">
        <f t="shared" si="163"/>
        <v>Minor Delay</v>
      </c>
    </row>
    <row r="2618" spans="1:15" x14ac:dyDescent="0.25">
      <c r="A2618">
        <v>2617</v>
      </c>
      <c r="B2618" s="2">
        <v>45700</v>
      </c>
      <c r="C2618" t="s">
        <v>16</v>
      </c>
      <c r="D2618" t="s">
        <v>19</v>
      </c>
      <c r="E2618" t="s">
        <v>27</v>
      </c>
      <c r="F2618" t="s">
        <v>21</v>
      </c>
      <c r="G2618">
        <v>275</v>
      </c>
      <c r="H2618">
        <v>123.02</v>
      </c>
      <c r="I2618">
        <v>48</v>
      </c>
      <c r="J2618" t="s">
        <v>15</v>
      </c>
      <c r="K2618">
        <v>33830.5</v>
      </c>
      <c r="L2618" t="str">
        <f t="shared" si="160"/>
        <v>Feb</v>
      </c>
      <c r="M2618">
        <f t="shared" si="161"/>
        <v>2025</v>
      </c>
      <c r="N2618">
        <f t="shared" si="162"/>
        <v>33830.5</v>
      </c>
      <c r="O2618" t="str">
        <f t="shared" si="163"/>
        <v>Moderate Delay</v>
      </c>
    </row>
    <row r="2619" spans="1:15" x14ac:dyDescent="0.25">
      <c r="A2619">
        <v>2618</v>
      </c>
      <c r="B2619" s="2">
        <v>45914</v>
      </c>
      <c r="C2619" t="s">
        <v>11</v>
      </c>
      <c r="D2619" t="s">
        <v>23</v>
      </c>
      <c r="E2619" t="s">
        <v>17</v>
      </c>
      <c r="F2619" t="s">
        <v>21</v>
      </c>
      <c r="G2619">
        <v>296</v>
      </c>
      <c r="H2619">
        <v>655.59</v>
      </c>
      <c r="I2619">
        <v>38</v>
      </c>
      <c r="J2619" t="s">
        <v>15</v>
      </c>
      <c r="K2619">
        <v>194054.64</v>
      </c>
      <c r="L2619" t="str">
        <f t="shared" si="160"/>
        <v>Sep</v>
      </c>
      <c r="M2619">
        <f t="shared" si="161"/>
        <v>2025</v>
      </c>
      <c r="N2619">
        <f t="shared" si="162"/>
        <v>194054.64</v>
      </c>
      <c r="O2619" t="str">
        <f t="shared" si="163"/>
        <v>Moderate Delay</v>
      </c>
    </row>
    <row r="2620" spans="1:15" x14ac:dyDescent="0.25">
      <c r="A2620">
        <v>2619</v>
      </c>
      <c r="B2620" s="2">
        <v>45983</v>
      </c>
      <c r="C2620" t="s">
        <v>26</v>
      </c>
      <c r="D2620" t="s">
        <v>13</v>
      </c>
      <c r="E2620" t="s">
        <v>23</v>
      </c>
      <c r="F2620" t="s">
        <v>21</v>
      </c>
      <c r="G2620">
        <v>53</v>
      </c>
      <c r="H2620">
        <v>110.63</v>
      </c>
      <c r="I2620">
        <v>32</v>
      </c>
      <c r="J2620" t="s">
        <v>15</v>
      </c>
      <c r="K2620">
        <v>5863.39</v>
      </c>
      <c r="L2620" t="str">
        <f t="shared" si="160"/>
        <v>Nov</v>
      </c>
      <c r="M2620">
        <f t="shared" si="161"/>
        <v>2025</v>
      </c>
      <c r="N2620">
        <f t="shared" si="162"/>
        <v>5863.3899999999994</v>
      </c>
      <c r="O2620" t="str">
        <f t="shared" si="163"/>
        <v>Moderate Delay</v>
      </c>
    </row>
    <row r="2621" spans="1:15" x14ac:dyDescent="0.25">
      <c r="A2621">
        <v>2620</v>
      </c>
      <c r="B2621" s="2">
        <v>45886</v>
      </c>
      <c r="C2621" t="s">
        <v>26</v>
      </c>
      <c r="D2621" t="s">
        <v>17</v>
      </c>
      <c r="E2621" t="s">
        <v>13</v>
      </c>
      <c r="F2621" t="s">
        <v>24</v>
      </c>
      <c r="G2621">
        <v>291</v>
      </c>
      <c r="H2621">
        <v>485.32</v>
      </c>
      <c r="I2621">
        <v>60</v>
      </c>
      <c r="J2621" t="s">
        <v>15</v>
      </c>
      <c r="K2621">
        <v>141228.12</v>
      </c>
      <c r="L2621" t="str">
        <f t="shared" si="160"/>
        <v>Aug</v>
      </c>
      <c r="M2621">
        <f t="shared" si="161"/>
        <v>2025</v>
      </c>
      <c r="N2621">
        <f t="shared" si="162"/>
        <v>141228.12</v>
      </c>
      <c r="O2621" t="str">
        <f t="shared" si="163"/>
        <v>Moderate Delay</v>
      </c>
    </row>
    <row r="2622" spans="1:15" x14ac:dyDescent="0.25">
      <c r="A2622">
        <v>2621</v>
      </c>
      <c r="B2622" s="2">
        <v>45865</v>
      </c>
      <c r="C2622" t="s">
        <v>18</v>
      </c>
      <c r="D2622" t="s">
        <v>23</v>
      </c>
      <c r="E2622" t="s">
        <v>22</v>
      </c>
      <c r="F2622" t="s">
        <v>24</v>
      </c>
      <c r="G2622">
        <v>87</v>
      </c>
      <c r="H2622">
        <v>589.91999999999996</v>
      </c>
      <c r="I2622">
        <v>46</v>
      </c>
      <c r="J2622" t="s">
        <v>15</v>
      </c>
      <c r="K2622">
        <v>51323.040000000001</v>
      </c>
      <c r="L2622" t="str">
        <f t="shared" si="160"/>
        <v>Jul</v>
      </c>
      <c r="M2622">
        <f t="shared" si="161"/>
        <v>2025</v>
      </c>
      <c r="N2622">
        <f t="shared" si="162"/>
        <v>51323.039999999994</v>
      </c>
      <c r="O2622" t="str">
        <f t="shared" si="163"/>
        <v>Moderate Delay</v>
      </c>
    </row>
    <row r="2623" spans="1:15" x14ac:dyDescent="0.25">
      <c r="A2623">
        <v>2622</v>
      </c>
      <c r="B2623" s="2">
        <v>46019</v>
      </c>
      <c r="C2623" t="s">
        <v>31</v>
      </c>
      <c r="D2623" t="s">
        <v>13</v>
      </c>
      <c r="E2623" t="s">
        <v>19</v>
      </c>
      <c r="F2623" t="s">
        <v>14</v>
      </c>
      <c r="G2623">
        <v>226</v>
      </c>
      <c r="H2623">
        <v>435.18</v>
      </c>
      <c r="I2623">
        <v>37</v>
      </c>
      <c r="J2623" t="s">
        <v>30</v>
      </c>
      <c r="K2623">
        <v>98350.68</v>
      </c>
      <c r="L2623" t="str">
        <f t="shared" si="160"/>
        <v>Dec</v>
      </c>
      <c r="M2623">
        <f t="shared" si="161"/>
        <v>2025</v>
      </c>
      <c r="N2623">
        <f t="shared" si="162"/>
        <v>98350.680000000008</v>
      </c>
      <c r="O2623" t="str">
        <f t="shared" si="163"/>
        <v>Moderate Delay</v>
      </c>
    </row>
    <row r="2624" spans="1:15" x14ac:dyDescent="0.25">
      <c r="A2624">
        <v>2623</v>
      </c>
      <c r="B2624" s="2">
        <v>45963</v>
      </c>
      <c r="C2624" t="s">
        <v>26</v>
      </c>
      <c r="D2624" t="s">
        <v>19</v>
      </c>
      <c r="E2624" t="s">
        <v>27</v>
      </c>
      <c r="F2624" t="s">
        <v>14</v>
      </c>
      <c r="G2624">
        <v>88</v>
      </c>
      <c r="H2624">
        <v>771.12</v>
      </c>
      <c r="I2624">
        <v>14</v>
      </c>
      <c r="J2624" t="s">
        <v>15</v>
      </c>
      <c r="K2624">
        <v>67858.559999999998</v>
      </c>
      <c r="L2624" t="str">
        <f t="shared" si="160"/>
        <v>Nov</v>
      </c>
      <c r="M2624">
        <f t="shared" si="161"/>
        <v>2025</v>
      </c>
      <c r="N2624">
        <f t="shared" si="162"/>
        <v>67858.559999999998</v>
      </c>
      <c r="O2624" t="str">
        <f t="shared" si="163"/>
        <v>Minor Delay</v>
      </c>
    </row>
    <row r="2625" spans="1:15" x14ac:dyDescent="0.25">
      <c r="A2625">
        <v>2624</v>
      </c>
      <c r="B2625" s="2">
        <v>45792</v>
      </c>
      <c r="C2625" t="s">
        <v>25</v>
      </c>
      <c r="D2625" t="s">
        <v>12</v>
      </c>
      <c r="E2625" t="s">
        <v>27</v>
      </c>
      <c r="F2625" t="s">
        <v>24</v>
      </c>
      <c r="G2625">
        <v>281</v>
      </c>
      <c r="H2625">
        <v>160.6</v>
      </c>
      <c r="I2625">
        <v>24</v>
      </c>
      <c r="J2625" t="s">
        <v>15</v>
      </c>
      <c r="K2625">
        <v>45128.6</v>
      </c>
      <c r="L2625" t="str">
        <f t="shared" si="160"/>
        <v>May</v>
      </c>
      <c r="M2625">
        <f t="shared" si="161"/>
        <v>2025</v>
      </c>
      <c r="N2625">
        <f t="shared" si="162"/>
        <v>45128.6</v>
      </c>
      <c r="O2625" t="str">
        <f t="shared" si="163"/>
        <v>Minor Delay</v>
      </c>
    </row>
    <row r="2626" spans="1:15" x14ac:dyDescent="0.25">
      <c r="A2626">
        <v>2625</v>
      </c>
      <c r="B2626" s="2">
        <v>45868</v>
      </c>
      <c r="C2626" t="s">
        <v>26</v>
      </c>
      <c r="D2626" t="s">
        <v>22</v>
      </c>
      <c r="E2626" t="s">
        <v>19</v>
      </c>
      <c r="F2626" t="s">
        <v>14</v>
      </c>
      <c r="G2626">
        <v>293</v>
      </c>
      <c r="H2626">
        <v>748.61</v>
      </c>
      <c r="I2626">
        <v>4</v>
      </c>
      <c r="J2626" t="s">
        <v>15</v>
      </c>
      <c r="K2626">
        <v>219342.73</v>
      </c>
      <c r="L2626" t="str">
        <f t="shared" si="160"/>
        <v>Jul</v>
      </c>
      <c r="M2626">
        <f t="shared" si="161"/>
        <v>2025</v>
      </c>
      <c r="N2626">
        <f t="shared" si="162"/>
        <v>219342.73</v>
      </c>
      <c r="O2626" t="str">
        <f t="shared" si="163"/>
        <v>Minor Delay</v>
      </c>
    </row>
    <row r="2627" spans="1:15" x14ac:dyDescent="0.25">
      <c r="A2627">
        <v>2626</v>
      </c>
      <c r="B2627" s="2">
        <v>45975</v>
      </c>
      <c r="C2627" t="s">
        <v>16</v>
      </c>
      <c r="D2627" t="s">
        <v>12</v>
      </c>
      <c r="E2627" t="s">
        <v>19</v>
      </c>
      <c r="F2627" t="s">
        <v>21</v>
      </c>
      <c r="G2627">
        <v>293</v>
      </c>
      <c r="H2627">
        <v>163.22</v>
      </c>
      <c r="I2627">
        <v>42</v>
      </c>
      <c r="J2627" t="s">
        <v>15</v>
      </c>
      <c r="K2627">
        <v>47823.46</v>
      </c>
      <c r="L2627" t="str">
        <f t="shared" ref="L2627:L2690" si="164">TEXT(B2627,"MMM")</f>
        <v>Nov</v>
      </c>
      <c r="M2627">
        <f t="shared" ref="M2627:M2690" si="165">YEAR(B2627)</f>
        <v>2025</v>
      </c>
      <c r="N2627">
        <f t="shared" ref="N2627:N2690" si="166">G2627*H2627</f>
        <v>47823.46</v>
      </c>
      <c r="O2627" t="str">
        <f t="shared" ref="O2627:O2690" si="167">IF(I2627=0,"On Time",IF(I2627&lt;=30,"Minor Delay",IF(I2627&lt;=60,"Moderate Delay","Major Delay")))</f>
        <v>Moderate Delay</v>
      </c>
    </row>
    <row r="2628" spans="1:15" x14ac:dyDescent="0.25">
      <c r="A2628">
        <v>2627</v>
      </c>
      <c r="B2628" s="2">
        <v>46009</v>
      </c>
      <c r="C2628" t="s">
        <v>18</v>
      </c>
      <c r="D2628" t="s">
        <v>12</v>
      </c>
      <c r="E2628" t="s">
        <v>29</v>
      </c>
      <c r="F2628" t="s">
        <v>14</v>
      </c>
      <c r="G2628">
        <v>210</v>
      </c>
      <c r="H2628">
        <v>190.75</v>
      </c>
      <c r="I2628">
        <v>4</v>
      </c>
      <c r="J2628" t="s">
        <v>15</v>
      </c>
      <c r="K2628">
        <v>40057.5</v>
      </c>
      <c r="L2628" t="str">
        <f t="shared" si="164"/>
        <v>Dec</v>
      </c>
      <c r="M2628">
        <f t="shared" si="165"/>
        <v>2025</v>
      </c>
      <c r="N2628">
        <f t="shared" si="166"/>
        <v>40057.5</v>
      </c>
      <c r="O2628" t="str">
        <f t="shared" si="167"/>
        <v>Minor Delay</v>
      </c>
    </row>
    <row r="2629" spans="1:15" x14ac:dyDescent="0.25">
      <c r="A2629">
        <v>2628</v>
      </c>
      <c r="B2629" s="2">
        <v>45716</v>
      </c>
      <c r="C2629" t="s">
        <v>16</v>
      </c>
      <c r="D2629" t="s">
        <v>23</v>
      </c>
      <c r="E2629" t="s">
        <v>20</v>
      </c>
      <c r="F2629" t="s">
        <v>14</v>
      </c>
      <c r="G2629">
        <v>168</v>
      </c>
      <c r="H2629">
        <v>505.2</v>
      </c>
      <c r="I2629">
        <v>3</v>
      </c>
      <c r="J2629" t="s">
        <v>15</v>
      </c>
      <c r="K2629">
        <v>84873.600000000006</v>
      </c>
      <c r="L2629" t="str">
        <f t="shared" si="164"/>
        <v>Feb</v>
      </c>
      <c r="M2629">
        <f t="shared" si="165"/>
        <v>2025</v>
      </c>
      <c r="N2629">
        <f t="shared" si="166"/>
        <v>84873.599999999991</v>
      </c>
      <c r="O2629" t="str">
        <f t="shared" si="167"/>
        <v>Minor Delay</v>
      </c>
    </row>
    <row r="2630" spans="1:15" x14ac:dyDescent="0.25">
      <c r="A2630">
        <v>2629</v>
      </c>
      <c r="B2630" s="2">
        <v>45867</v>
      </c>
      <c r="C2630" t="s">
        <v>16</v>
      </c>
      <c r="D2630" t="s">
        <v>23</v>
      </c>
      <c r="E2630" t="s">
        <v>20</v>
      </c>
      <c r="F2630" t="s">
        <v>14</v>
      </c>
      <c r="G2630">
        <v>71</v>
      </c>
      <c r="H2630">
        <v>154.56</v>
      </c>
      <c r="I2630">
        <v>20</v>
      </c>
      <c r="J2630" t="s">
        <v>15</v>
      </c>
      <c r="K2630">
        <v>10973.76</v>
      </c>
      <c r="L2630" t="str">
        <f t="shared" si="164"/>
        <v>Jul</v>
      </c>
      <c r="M2630">
        <f t="shared" si="165"/>
        <v>2025</v>
      </c>
      <c r="N2630">
        <f t="shared" si="166"/>
        <v>10973.76</v>
      </c>
      <c r="O2630" t="str">
        <f t="shared" si="167"/>
        <v>Minor Delay</v>
      </c>
    </row>
    <row r="2631" spans="1:15" x14ac:dyDescent="0.25">
      <c r="A2631">
        <v>2630</v>
      </c>
      <c r="B2631" s="2">
        <v>45760</v>
      </c>
      <c r="C2631" t="s">
        <v>11</v>
      </c>
      <c r="D2631" t="s">
        <v>12</v>
      </c>
      <c r="E2631" t="s">
        <v>19</v>
      </c>
      <c r="F2631" t="s">
        <v>21</v>
      </c>
      <c r="G2631">
        <v>238</v>
      </c>
      <c r="H2631">
        <v>792.75</v>
      </c>
      <c r="I2631">
        <v>33</v>
      </c>
      <c r="J2631" t="s">
        <v>15</v>
      </c>
      <c r="K2631">
        <v>188674.5</v>
      </c>
      <c r="L2631" t="str">
        <f t="shared" si="164"/>
        <v>Apr</v>
      </c>
      <c r="M2631">
        <f t="shared" si="165"/>
        <v>2025</v>
      </c>
      <c r="N2631">
        <f t="shared" si="166"/>
        <v>188674.5</v>
      </c>
      <c r="O2631" t="str">
        <f t="shared" si="167"/>
        <v>Moderate Delay</v>
      </c>
    </row>
    <row r="2632" spans="1:15" x14ac:dyDescent="0.25">
      <c r="A2632">
        <v>2631</v>
      </c>
      <c r="B2632" s="2">
        <v>45703</v>
      </c>
      <c r="C2632" t="s">
        <v>11</v>
      </c>
      <c r="D2632" t="s">
        <v>12</v>
      </c>
      <c r="E2632" t="s">
        <v>17</v>
      </c>
      <c r="F2632" t="s">
        <v>14</v>
      </c>
      <c r="G2632">
        <v>217</v>
      </c>
      <c r="H2632">
        <v>729.29</v>
      </c>
      <c r="I2632">
        <v>57</v>
      </c>
      <c r="J2632" t="s">
        <v>15</v>
      </c>
      <c r="K2632">
        <v>158255.93</v>
      </c>
      <c r="L2632" t="str">
        <f t="shared" si="164"/>
        <v>Feb</v>
      </c>
      <c r="M2632">
        <f t="shared" si="165"/>
        <v>2025</v>
      </c>
      <c r="N2632">
        <f t="shared" si="166"/>
        <v>158255.93</v>
      </c>
      <c r="O2632" t="str">
        <f t="shared" si="167"/>
        <v>Moderate Delay</v>
      </c>
    </row>
    <row r="2633" spans="1:15" x14ac:dyDescent="0.25">
      <c r="A2633">
        <v>2632</v>
      </c>
      <c r="B2633" s="2">
        <v>45824</v>
      </c>
      <c r="C2633" t="s">
        <v>11</v>
      </c>
      <c r="D2633" t="s">
        <v>17</v>
      </c>
      <c r="E2633" t="s">
        <v>20</v>
      </c>
      <c r="F2633" t="s">
        <v>21</v>
      </c>
      <c r="G2633">
        <v>283</v>
      </c>
      <c r="H2633">
        <v>780.43</v>
      </c>
      <c r="I2633">
        <v>6</v>
      </c>
      <c r="J2633" t="s">
        <v>15</v>
      </c>
      <c r="K2633">
        <v>220861.69</v>
      </c>
      <c r="L2633" t="str">
        <f t="shared" si="164"/>
        <v>Jun</v>
      </c>
      <c r="M2633">
        <f t="shared" si="165"/>
        <v>2025</v>
      </c>
      <c r="N2633">
        <f t="shared" si="166"/>
        <v>220861.68999999997</v>
      </c>
      <c r="O2633" t="str">
        <f t="shared" si="167"/>
        <v>Minor Delay</v>
      </c>
    </row>
    <row r="2634" spans="1:15" x14ac:dyDescent="0.25">
      <c r="A2634">
        <v>2633</v>
      </c>
      <c r="B2634" s="2">
        <v>45814</v>
      </c>
      <c r="C2634" t="s">
        <v>25</v>
      </c>
      <c r="D2634" t="s">
        <v>17</v>
      </c>
      <c r="E2634" t="s">
        <v>13</v>
      </c>
      <c r="F2634" t="s">
        <v>14</v>
      </c>
      <c r="G2634">
        <v>278</v>
      </c>
      <c r="H2634">
        <v>166.8</v>
      </c>
      <c r="I2634">
        <v>0</v>
      </c>
      <c r="J2634" t="s">
        <v>30</v>
      </c>
      <c r="K2634">
        <v>46370.400000000001</v>
      </c>
      <c r="L2634" t="str">
        <f t="shared" si="164"/>
        <v>Jun</v>
      </c>
      <c r="M2634">
        <f t="shared" si="165"/>
        <v>2025</v>
      </c>
      <c r="N2634">
        <f t="shared" si="166"/>
        <v>46370.400000000001</v>
      </c>
      <c r="O2634" t="str">
        <f t="shared" si="167"/>
        <v>On Time</v>
      </c>
    </row>
    <row r="2635" spans="1:15" x14ac:dyDescent="0.25">
      <c r="A2635">
        <v>2634</v>
      </c>
      <c r="B2635" s="2">
        <v>45670</v>
      </c>
      <c r="C2635" t="s">
        <v>16</v>
      </c>
      <c r="D2635" t="s">
        <v>23</v>
      </c>
      <c r="E2635" t="s">
        <v>20</v>
      </c>
      <c r="F2635" t="s">
        <v>21</v>
      </c>
      <c r="G2635">
        <v>72</v>
      </c>
      <c r="H2635">
        <v>306.33999999999997</v>
      </c>
      <c r="I2635">
        <v>47</v>
      </c>
      <c r="J2635" t="s">
        <v>15</v>
      </c>
      <c r="K2635">
        <v>22056.48</v>
      </c>
      <c r="L2635" t="str">
        <f t="shared" si="164"/>
        <v>Jan</v>
      </c>
      <c r="M2635">
        <f t="shared" si="165"/>
        <v>2025</v>
      </c>
      <c r="N2635">
        <f t="shared" si="166"/>
        <v>22056.48</v>
      </c>
      <c r="O2635" t="str">
        <f t="shared" si="167"/>
        <v>Moderate Delay</v>
      </c>
    </row>
    <row r="2636" spans="1:15" x14ac:dyDescent="0.25">
      <c r="A2636">
        <v>2635</v>
      </c>
      <c r="B2636" s="2">
        <v>45816</v>
      </c>
      <c r="C2636" t="s">
        <v>18</v>
      </c>
      <c r="D2636" t="s">
        <v>20</v>
      </c>
      <c r="E2636" t="s">
        <v>19</v>
      </c>
      <c r="F2636" t="s">
        <v>14</v>
      </c>
      <c r="G2636">
        <v>116</v>
      </c>
      <c r="H2636">
        <v>233.81</v>
      </c>
      <c r="I2636">
        <v>0</v>
      </c>
      <c r="J2636" t="s">
        <v>15</v>
      </c>
      <c r="K2636">
        <v>27121.96</v>
      </c>
      <c r="L2636" t="str">
        <f t="shared" si="164"/>
        <v>Jun</v>
      </c>
      <c r="M2636">
        <f t="shared" si="165"/>
        <v>2025</v>
      </c>
      <c r="N2636">
        <f t="shared" si="166"/>
        <v>27121.96</v>
      </c>
      <c r="O2636" t="str">
        <f t="shared" si="167"/>
        <v>On Time</v>
      </c>
    </row>
    <row r="2637" spans="1:15" x14ac:dyDescent="0.25">
      <c r="A2637">
        <v>2636</v>
      </c>
      <c r="B2637" s="2">
        <v>45741</v>
      </c>
      <c r="C2637" t="s">
        <v>26</v>
      </c>
      <c r="D2637" t="s">
        <v>17</v>
      </c>
      <c r="E2637" t="s">
        <v>29</v>
      </c>
      <c r="F2637" t="s">
        <v>14</v>
      </c>
      <c r="G2637">
        <v>241</v>
      </c>
      <c r="H2637">
        <v>562.75</v>
      </c>
      <c r="I2637">
        <v>10</v>
      </c>
      <c r="J2637" t="s">
        <v>30</v>
      </c>
      <c r="K2637">
        <v>135622.75</v>
      </c>
      <c r="L2637" t="str">
        <f t="shared" si="164"/>
        <v>Mar</v>
      </c>
      <c r="M2637">
        <f t="shared" si="165"/>
        <v>2025</v>
      </c>
      <c r="N2637">
        <f t="shared" si="166"/>
        <v>135622.75</v>
      </c>
      <c r="O2637" t="str">
        <f t="shared" si="167"/>
        <v>Minor Delay</v>
      </c>
    </row>
    <row r="2638" spans="1:15" x14ac:dyDescent="0.25">
      <c r="A2638">
        <v>2637</v>
      </c>
      <c r="B2638" s="2">
        <v>45889</v>
      </c>
      <c r="C2638" t="s">
        <v>16</v>
      </c>
      <c r="D2638" t="s">
        <v>29</v>
      </c>
      <c r="E2638" t="s">
        <v>20</v>
      </c>
      <c r="F2638" t="s">
        <v>21</v>
      </c>
      <c r="G2638">
        <v>150</v>
      </c>
      <c r="H2638">
        <v>687</v>
      </c>
      <c r="I2638">
        <v>12</v>
      </c>
      <c r="J2638" t="s">
        <v>15</v>
      </c>
      <c r="K2638">
        <v>103050</v>
      </c>
      <c r="L2638" t="str">
        <f t="shared" si="164"/>
        <v>Aug</v>
      </c>
      <c r="M2638">
        <f t="shared" si="165"/>
        <v>2025</v>
      </c>
      <c r="N2638">
        <f t="shared" si="166"/>
        <v>103050</v>
      </c>
      <c r="O2638" t="str">
        <f t="shared" si="167"/>
        <v>Minor Delay</v>
      </c>
    </row>
    <row r="2639" spans="1:15" x14ac:dyDescent="0.25">
      <c r="A2639">
        <v>2638</v>
      </c>
      <c r="B2639" s="2">
        <v>45724</v>
      </c>
      <c r="C2639" t="s">
        <v>26</v>
      </c>
      <c r="D2639" t="s">
        <v>17</v>
      </c>
      <c r="E2639" t="s">
        <v>29</v>
      </c>
      <c r="F2639" t="s">
        <v>14</v>
      </c>
      <c r="G2639">
        <v>294</v>
      </c>
      <c r="H2639">
        <v>745.68</v>
      </c>
      <c r="I2639">
        <v>0</v>
      </c>
      <c r="J2639" t="s">
        <v>30</v>
      </c>
      <c r="K2639">
        <v>219229.92</v>
      </c>
      <c r="L2639" t="str">
        <f t="shared" si="164"/>
        <v>Mar</v>
      </c>
      <c r="M2639">
        <f t="shared" si="165"/>
        <v>2025</v>
      </c>
      <c r="N2639">
        <f t="shared" si="166"/>
        <v>219229.91999999998</v>
      </c>
      <c r="O2639" t="str">
        <f t="shared" si="167"/>
        <v>On Time</v>
      </c>
    </row>
    <row r="2640" spans="1:15" x14ac:dyDescent="0.25">
      <c r="A2640">
        <v>2639</v>
      </c>
      <c r="B2640" s="2">
        <v>45919</v>
      </c>
      <c r="C2640" t="s">
        <v>26</v>
      </c>
      <c r="D2640" t="s">
        <v>17</v>
      </c>
      <c r="E2640" t="s">
        <v>27</v>
      </c>
      <c r="F2640" t="s">
        <v>21</v>
      </c>
      <c r="G2640">
        <v>125</v>
      </c>
      <c r="H2640">
        <v>410.25</v>
      </c>
      <c r="I2640">
        <v>37</v>
      </c>
      <c r="J2640" t="s">
        <v>15</v>
      </c>
      <c r="K2640">
        <v>51281.25</v>
      </c>
      <c r="L2640" t="str">
        <f t="shared" si="164"/>
        <v>Sep</v>
      </c>
      <c r="M2640">
        <f t="shared" si="165"/>
        <v>2025</v>
      </c>
      <c r="N2640">
        <f t="shared" si="166"/>
        <v>51281.25</v>
      </c>
      <c r="O2640" t="str">
        <f t="shared" si="167"/>
        <v>Moderate Delay</v>
      </c>
    </row>
    <row r="2641" spans="1:15" x14ac:dyDescent="0.25">
      <c r="A2641">
        <v>2640</v>
      </c>
      <c r="B2641" s="2">
        <v>45665</v>
      </c>
      <c r="C2641" t="s">
        <v>16</v>
      </c>
      <c r="D2641" t="s">
        <v>19</v>
      </c>
      <c r="E2641" t="s">
        <v>17</v>
      </c>
      <c r="F2641" t="s">
        <v>24</v>
      </c>
      <c r="G2641">
        <v>299</v>
      </c>
      <c r="H2641">
        <v>750.16</v>
      </c>
      <c r="I2641">
        <v>0</v>
      </c>
      <c r="J2641" t="s">
        <v>30</v>
      </c>
      <c r="K2641">
        <v>224297.84</v>
      </c>
      <c r="L2641" t="str">
        <f t="shared" si="164"/>
        <v>Jan</v>
      </c>
      <c r="M2641">
        <f t="shared" si="165"/>
        <v>2025</v>
      </c>
      <c r="N2641">
        <f t="shared" si="166"/>
        <v>224297.84</v>
      </c>
      <c r="O2641" t="str">
        <f t="shared" si="167"/>
        <v>On Time</v>
      </c>
    </row>
    <row r="2642" spans="1:15" x14ac:dyDescent="0.25">
      <c r="A2642">
        <v>2641</v>
      </c>
      <c r="B2642" s="2">
        <v>45812</v>
      </c>
      <c r="C2642" t="s">
        <v>11</v>
      </c>
      <c r="D2642" t="s">
        <v>23</v>
      </c>
      <c r="E2642" t="s">
        <v>27</v>
      </c>
      <c r="F2642" t="s">
        <v>14</v>
      </c>
      <c r="G2642">
        <v>110</v>
      </c>
      <c r="H2642">
        <v>291.77</v>
      </c>
      <c r="I2642">
        <v>17</v>
      </c>
      <c r="J2642" t="s">
        <v>15</v>
      </c>
      <c r="K2642">
        <v>32094.7</v>
      </c>
      <c r="L2642" t="str">
        <f t="shared" si="164"/>
        <v>Jun</v>
      </c>
      <c r="M2642">
        <f t="shared" si="165"/>
        <v>2025</v>
      </c>
      <c r="N2642">
        <f t="shared" si="166"/>
        <v>32094.699999999997</v>
      </c>
      <c r="O2642" t="str">
        <f t="shared" si="167"/>
        <v>Minor Delay</v>
      </c>
    </row>
    <row r="2643" spans="1:15" x14ac:dyDescent="0.25">
      <c r="A2643">
        <v>2642</v>
      </c>
      <c r="B2643" s="2">
        <v>45938</v>
      </c>
      <c r="C2643" t="s">
        <v>11</v>
      </c>
      <c r="D2643" t="s">
        <v>17</v>
      </c>
      <c r="E2643" t="s">
        <v>20</v>
      </c>
      <c r="F2643" t="s">
        <v>14</v>
      </c>
      <c r="G2643">
        <v>88</v>
      </c>
      <c r="H2643">
        <v>124.29</v>
      </c>
      <c r="I2643">
        <v>36</v>
      </c>
      <c r="J2643" t="s">
        <v>15</v>
      </c>
      <c r="K2643">
        <v>10937.52</v>
      </c>
      <c r="L2643" t="str">
        <f t="shared" si="164"/>
        <v>Oct</v>
      </c>
      <c r="M2643">
        <f t="shared" si="165"/>
        <v>2025</v>
      </c>
      <c r="N2643">
        <f t="shared" si="166"/>
        <v>10937.52</v>
      </c>
      <c r="O2643" t="str">
        <f t="shared" si="167"/>
        <v>Moderate Delay</v>
      </c>
    </row>
    <row r="2644" spans="1:15" x14ac:dyDescent="0.25">
      <c r="A2644">
        <v>2643</v>
      </c>
      <c r="B2644" s="2">
        <v>45967</v>
      </c>
      <c r="C2644" t="s">
        <v>25</v>
      </c>
      <c r="D2644" t="s">
        <v>17</v>
      </c>
      <c r="E2644" t="s">
        <v>23</v>
      </c>
      <c r="F2644" t="s">
        <v>24</v>
      </c>
      <c r="G2644">
        <v>91</v>
      </c>
      <c r="H2644">
        <v>324.12</v>
      </c>
      <c r="I2644">
        <v>6</v>
      </c>
      <c r="J2644" t="s">
        <v>30</v>
      </c>
      <c r="K2644">
        <v>29494.92</v>
      </c>
      <c r="L2644" t="str">
        <f t="shared" si="164"/>
        <v>Nov</v>
      </c>
      <c r="M2644">
        <f t="shared" si="165"/>
        <v>2025</v>
      </c>
      <c r="N2644">
        <f t="shared" si="166"/>
        <v>29494.920000000002</v>
      </c>
      <c r="O2644" t="str">
        <f t="shared" si="167"/>
        <v>Minor Delay</v>
      </c>
    </row>
    <row r="2645" spans="1:15" x14ac:dyDescent="0.25">
      <c r="A2645">
        <v>2644</v>
      </c>
      <c r="B2645" s="2">
        <v>45987</v>
      </c>
      <c r="C2645" t="s">
        <v>16</v>
      </c>
      <c r="D2645" t="s">
        <v>23</v>
      </c>
      <c r="E2645" t="s">
        <v>22</v>
      </c>
      <c r="F2645" t="s">
        <v>14</v>
      </c>
      <c r="G2645">
        <v>75</v>
      </c>
      <c r="H2645">
        <v>556.23</v>
      </c>
      <c r="I2645">
        <v>13</v>
      </c>
      <c r="J2645" t="s">
        <v>15</v>
      </c>
      <c r="K2645">
        <v>41717.25</v>
      </c>
      <c r="L2645" t="str">
        <f t="shared" si="164"/>
        <v>Nov</v>
      </c>
      <c r="M2645">
        <f t="shared" si="165"/>
        <v>2025</v>
      </c>
      <c r="N2645">
        <f t="shared" si="166"/>
        <v>41717.25</v>
      </c>
      <c r="O2645" t="str">
        <f t="shared" si="167"/>
        <v>Minor Delay</v>
      </c>
    </row>
    <row r="2646" spans="1:15" x14ac:dyDescent="0.25">
      <c r="A2646">
        <v>2645</v>
      </c>
      <c r="B2646" s="2">
        <v>45929</v>
      </c>
      <c r="C2646" t="s">
        <v>11</v>
      </c>
      <c r="D2646" t="s">
        <v>19</v>
      </c>
      <c r="E2646" t="s">
        <v>12</v>
      </c>
      <c r="F2646" t="s">
        <v>24</v>
      </c>
      <c r="G2646">
        <v>113</v>
      </c>
      <c r="H2646">
        <v>61.87</v>
      </c>
      <c r="I2646">
        <v>11</v>
      </c>
      <c r="J2646" t="s">
        <v>15</v>
      </c>
      <c r="K2646">
        <v>6991.31</v>
      </c>
      <c r="L2646" t="str">
        <f t="shared" si="164"/>
        <v>Sep</v>
      </c>
      <c r="M2646">
        <f t="shared" si="165"/>
        <v>2025</v>
      </c>
      <c r="N2646">
        <f t="shared" si="166"/>
        <v>6991.3099999999995</v>
      </c>
      <c r="O2646" t="str">
        <f t="shared" si="167"/>
        <v>Minor Delay</v>
      </c>
    </row>
    <row r="2647" spans="1:15" x14ac:dyDescent="0.25">
      <c r="A2647">
        <v>2646</v>
      </c>
      <c r="B2647" s="2">
        <v>45691</v>
      </c>
      <c r="C2647" t="s">
        <v>31</v>
      </c>
      <c r="D2647" t="s">
        <v>23</v>
      </c>
      <c r="E2647" t="s">
        <v>29</v>
      </c>
      <c r="F2647" t="s">
        <v>21</v>
      </c>
      <c r="G2647">
        <v>120</v>
      </c>
      <c r="H2647">
        <v>494.15</v>
      </c>
      <c r="I2647">
        <v>4</v>
      </c>
      <c r="J2647" t="s">
        <v>15</v>
      </c>
      <c r="K2647">
        <v>59298</v>
      </c>
      <c r="L2647" t="str">
        <f t="shared" si="164"/>
        <v>Feb</v>
      </c>
      <c r="M2647">
        <f t="shared" si="165"/>
        <v>2025</v>
      </c>
      <c r="N2647">
        <f t="shared" si="166"/>
        <v>59298</v>
      </c>
      <c r="O2647" t="str">
        <f t="shared" si="167"/>
        <v>Minor Delay</v>
      </c>
    </row>
    <row r="2648" spans="1:15" x14ac:dyDescent="0.25">
      <c r="A2648">
        <v>2647</v>
      </c>
      <c r="B2648" s="2">
        <v>45865</v>
      </c>
      <c r="C2648" t="s">
        <v>26</v>
      </c>
      <c r="D2648" t="s">
        <v>13</v>
      </c>
      <c r="E2648" t="s">
        <v>20</v>
      </c>
      <c r="F2648" t="s">
        <v>14</v>
      </c>
      <c r="G2648">
        <v>138</v>
      </c>
      <c r="H2648">
        <v>686.59</v>
      </c>
      <c r="I2648">
        <v>51</v>
      </c>
      <c r="J2648" t="s">
        <v>15</v>
      </c>
      <c r="K2648">
        <v>94749.42</v>
      </c>
      <c r="L2648" t="str">
        <f t="shared" si="164"/>
        <v>Jul</v>
      </c>
      <c r="M2648">
        <f t="shared" si="165"/>
        <v>2025</v>
      </c>
      <c r="N2648">
        <f t="shared" si="166"/>
        <v>94749.42</v>
      </c>
      <c r="O2648" t="str">
        <f t="shared" si="167"/>
        <v>Moderate Delay</v>
      </c>
    </row>
    <row r="2649" spans="1:15" x14ac:dyDescent="0.25">
      <c r="A2649">
        <v>2648</v>
      </c>
      <c r="B2649" s="2">
        <v>45817</v>
      </c>
      <c r="C2649" t="s">
        <v>11</v>
      </c>
      <c r="D2649" t="s">
        <v>29</v>
      </c>
      <c r="E2649" t="s">
        <v>17</v>
      </c>
      <c r="F2649" t="s">
        <v>21</v>
      </c>
      <c r="G2649">
        <v>241</v>
      </c>
      <c r="H2649">
        <v>266.43</v>
      </c>
      <c r="I2649">
        <v>0</v>
      </c>
      <c r="J2649" t="s">
        <v>30</v>
      </c>
      <c r="K2649">
        <v>64209.63</v>
      </c>
      <c r="L2649" t="str">
        <f t="shared" si="164"/>
        <v>Jun</v>
      </c>
      <c r="M2649">
        <f t="shared" si="165"/>
        <v>2025</v>
      </c>
      <c r="N2649">
        <f t="shared" si="166"/>
        <v>64209.630000000005</v>
      </c>
      <c r="O2649" t="str">
        <f t="shared" si="167"/>
        <v>On Time</v>
      </c>
    </row>
    <row r="2650" spans="1:15" x14ac:dyDescent="0.25">
      <c r="A2650">
        <v>2649</v>
      </c>
      <c r="B2650" s="2">
        <v>45673</v>
      </c>
      <c r="C2650" t="s">
        <v>16</v>
      </c>
      <c r="D2650" t="s">
        <v>29</v>
      </c>
      <c r="E2650" t="s">
        <v>23</v>
      </c>
      <c r="F2650" t="s">
        <v>21</v>
      </c>
      <c r="G2650">
        <v>152</v>
      </c>
      <c r="H2650">
        <v>97.71</v>
      </c>
      <c r="I2650">
        <v>0</v>
      </c>
      <c r="J2650" t="s">
        <v>15</v>
      </c>
      <c r="K2650">
        <v>14851.92</v>
      </c>
      <c r="L2650" t="str">
        <f t="shared" si="164"/>
        <v>Jan</v>
      </c>
      <c r="M2650">
        <f t="shared" si="165"/>
        <v>2025</v>
      </c>
      <c r="N2650">
        <f t="shared" si="166"/>
        <v>14851.919999999998</v>
      </c>
      <c r="O2650" t="str">
        <f t="shared" si="167"/>
        <v>On Time</v>
      </c>
    </row>
    <row r="2651" spans="1:15" x14ac:dyDescent="0.25">
      <c r="A2651">
        <v>2650</v>
      </c>
      <c r="B2651" s="2">
        <v>45730</v>
      </c>
      <c r="C2651" t="s">
        <v>16</v>
      </c>
      <c r="D2651" t="s">
        <v>19</v>
      </c>
      <c r="E2651" t="s">
        <v>27</v>
      </c>
      <c r="F2651" t="s">
        <v>21</v>
      </c>
      <c r="G2651">
        <v>236</v>
      </c>
      <c r="H2651">
        <v>534.98</v>
      </c>
      <c r="I2651">
        <v>0</v>
      </c>
      <c r="J2651" t="s">
        <v>15</v>
      </c>
      <c r="K2651">
        <v>126255.28</v>
      </c>
      <c r="L2651" t="str">
        <f t="shared" si="164"/>
        <v>Mar</v>
      </c>
      <c r="M2651">
        <f t="shared" si="165"/>
        <v>2025</v>
      </c>
      <c r="N2651">
        <f t="shared" si="166"/>
        <v>126255.28</v>
      </c>
      <c r="O2651" t="str">
        <f t="shared" si="167"/>
        <v>On Time</v>
      </c>
    </row>
    <row r="2652" spans="1:15" x14ac:dyDescent="0.25">
      <c r="A2652">
        <v>2651</v>
      </c>
      <c r="B2652" s="2">
        <v>45761</v>
      </c>
      <c r="C2652" t="s">
        <v>11</v>
      </c>
      <c r="D2652" t="s">
        <v>13</v>
      </c>
      <c r="E2652" t="s">
        <v>12</v>
      </c>
      <c r="F2652" t="s">
        <v>14</v>
      </c>
      <c r="G2652">
        <v>228</v>
      </c>
      <c r="H2652">
        <v>209.22</v>
      </c>
      <c r="I2652">
        <v>0</v>
      </c>
      <c r="J2652" t="s">
        <v>15</v>
      </c>
      <c r="K2652">
        <v>47702.16</v>
      </c>
      <c r="L2652" t="str">
        <f t="shared" si="164"/>
        <v>Apr</v>
      </c>
      <c r="M2652">
        <f t="shared" si="165"/>
        <v>2025</v>
      </c>
      <c r="N2652">
        <f t="shared" si="166"/>
        <v>47702.159999999996</v>
      </c>
      <c r="O2652" t="str">
        <f t="shared" si="167"/>
        <v>On Time</v>
      </c>
    </row>
    <row r="2653" spans="1:15" x14ac:dyDescent="0.25">
      <c r="A2653">
        <v>2652</v>
      </c>
      <c r="B2653" s="2">
        <v>45703</v>
      </c>
      <c r="C2653" t="s">
        <v>26</v>
      </c>
      <c r="D2653" t="s">
        <v>13</v>
      </c>
      <c r="E2653" t="s">
        <v>29</v>
      </c>
      <c r="F2653" t="s">
        <v>14</v>
      </c>
      <c r="G2653">
        <v>290</v>
      </c>
      <c r="H2653">
        <v>69.77</v>
      </c>
      <c r="I2653">
        <v>2</v>
      </c>
      <c r="J2653" t="s">
        <v>15</v>
      </c>
      <c r="K2653">
        <v>20233.3</v>
      </c>
      <c r="L2653" t="str">
        <f t="shared" si="164"/>
        <v>Feb</v>
      </c>
      <c r="M2653">
        <f t="shared" si="165"/>
        <v>2025</v>
      </c>
      <c r="N2653">
        <f t="shared" si="166"/>
        <v>20233.3</v>
      </c>
      <c r="O2653" t="str">
        <f t="shared" si="167"/>
        <v>Minor Delay</v>
      </c>
    </row>
    <row r="2654" spans="1:15" x14ac:dyDescent="0.25">
      <c r="A2654">
        <v>2653</v>
      </c>
      <c r="B2654" s="2">
        <v>45781</v>
      </c>
      <c r="C2654" t="s">
        <v>16</v>
      </c>
      <c r="D2654" t="s">
        <v>20</v>
      </c>
      <c r="E2654" t="s">
        <v>12</v>
      </c>
      <c r="F2654" t="s">
        <v>21</v>
      </c>
      <c r="G2654">
        <v>177</v>
      </c>
      <c r="H2654">
        <v>613.17999999999995</v>
      </c>
      <c r="I2654">
        <v>0</v>
      </c>
      <c r="J2654" t="s">
        <v>15</v>
      </c>
      <c r="K2654">
        <v>108532.86</v>
      </c>
      <c r="L2654" t="str">
        <f t="shared" si="164"/>
        <v>May</v>
      </c>
      <c r="M2654">
        <f t="shared" si="165"/>
        <v>2025</v>
      </c>
      <c r="N2654">
        <f t="shared" si="166"/>
        <v>108532.85999999999</v>
      </c>
      <c r="O2654" t="str">
        <f t="shared" si="167"/>
        <v>On Time</v>
      </c>
    </row>
    <row r="2655" spans="1:15" x14ac:dyDescent="0.25">
      <c r="A2655">
        <v>2654</v>
      </c>
      <c r="B2655" s="2">
        <v>45711</v>
      </c>
      <c r="C2655" t="s">
        <v>25</v>
      </c>
      <c r="D2655" t="s">
        <v>17</v>
      </c>
      <c r="E2655" t="s">
        <v>13</v>
      </c>
      <c r="F2655" t="s">
        <v>24</v>
      </c>
      <c r="G2655">
        <v>276</v>
      </c>
      <c r="H2655">
        <v>746.21</v>
      </c>
      <c r="I2655">
        <v>5</v>
      </c>
      <c r="J2655" t="s">
        <v>15</v>
      </c>
      <c r="K2655">
        <v>205953.96</v>
      </c>
      <c r="L2655" t="str">
        <f t="shared" si="164"/>
        <v>Feb</v>
      </c>
      <c r="M2655">
        <f t="shared" si="165"/>
        <v>2025</v>
      </c>
      <c r="N2655">
        <f t="shared" si="166"/>
        <v>205953.96000000002</v>
      </c>
      <c r="O2655" t="str">
        <f t="shared" si="167"/>
        <v>Minor Delay</v>
      </c>
    </row>
    <row r="2656" spans="1:15" x14ac:dyDescent="0.25">
      <c r="A2656">
        <v>2655</v>
      </c>
      <c r="B2656" s="2">
        <v>45917</v>
      </c>
      <c r="C2656" t="s">
        <v>26</v>
      </c>
      <c r="D2656" t="s">
        <v>22</v>
      </c>
      <c r="E2656" t="s">
        <v>13</v>
      </c>
      <c r="F2656" t="s">
        <v>14</v>
      </c>
      <c r="G2656">
        <v>198</v>
      </c>
      <c r="H2656">
        <v>539.53</v>
      </c>
      <c r="I2656">
        <v>40</v>
      </c>
      <c r="J2656" t="s">
        <v>30</v>
      </c>
      <c r="K2656">
        <v>106826.94</v>
      </c>
      <c r="L2656" t="str">
        <f t="shared" si="164"/>
        <v>Sep</v>
      </c>
      <c r="M2656">
        <f t="shared" si="165"/>
        <v>2025</v>
      </c>
      <c r="N2656">
        <f t="shared" si="166"/>
        <v>106826.93999999999</v>
      </c>
      <c r="O2656" t="str">
        <f t="shared" si="167"/>
        <v>Moderate Delay</v>
      </c>
    </row>
    <row r="2657" spans="1:15" x14ac:dyDescent="0.25">
      <c r="A2657">
        <v>2656</v>
      </c>
      <c r="B2657" s="2">
        <v>45662</v>
      </c>
      <c r="C2657" t="s">
        <v>25</v>
      </c>
      <c r="D2657" t="s">
        <v>22</v>
      </c>
      <c r="E2657" t="s">
        <v>17</v>
      </c>
      <c r="F2657" t="s">
        <v>14</v>
      </c>
      <c r="G2657">
        <v>69</v>
      </c>
      <c r="H2657">
        <v>212.46</v>
      </c>
      <c r="I2657">
        <v>0</v>
      </c>
      <c r="J2657" t="s">
        <v>15</v>
      </c>
      <c r="K2657">
        <v>14659.74</v>
      </c>
      <c r="L2657" t="str">
        <f t="shared" si="164"/>
        <v>Jan</v>
      </c>
      <c r="M2657">
        <f t="shared" si="165"/>
        <v>2025</v>
      </c>
      <c r="N2657">
        <f t="shared" si="166"/>
        <v>14659.74</v>
      </c>
      <c r="O2657" t="str">
        <f t="shared" si="167"/>
        <v>On Time</v>
      </c>
    </row>
    <row r="2658" spans="1:15" x14ac:dyDescent="0.25">
      <c r="A2658">
        <v>2657</v>
      </c>
      <c r="B2658" s="2">
        <v>45929</v>
      </c>
      <c r="C2658" t="s">
        <v>11</v>
      </c>
      <c r="D2658" t="s">
        <v>19</v>
      </c>
      <c r="E2658" t="s">
        <v>17</v>
      </c>
      <c r="F2658" t="s">
        <v>21</v>
      </c>
      <c r="G2658">
        <v>80</v>
      </c>
      <c r="H2658">
        <v>76.75</v>
      </c>
      <c r="I2658">
        <v>48</v>
      </c>
      <c r="J2658" t="s">
        <v>15</v>
      </c>
      <c r="K2658">
        <v>6140</v>
      </c>
      <c r="L2658" t="str">
        <f t="shared" si="164"/>
        <v>Sep</v>
      </c>
      <c r="M2658">
        <f t="shared" si="165"/>
        <v>2025</v>
      </c>
      <c r="N2658">
        <f t="shared" si="166"/>
        <v>6140</v>
      </c>
      <c r="O2658" t="str">
        <f t="shared" si="167"/>
        <v>Moderate Delay</v>
      </c>
    </row>
    <row r="2659" spans="1:15" x14ac:dyDescent="0.25">
      <c r="A2659">
        <v>2658</v>
      </c>
      <c r="B2659" s="2">
        <v>45899</v>
      </c>
      <c r="C2659" t="s">
        <v>11</v>
      </c>
      <c r="D2659" t="s">
        <v>20</v>
      </c>
      <c r="E2659" t="s">
        <v>13</v>
      </c>
      <c r="F2659" t="s">
        <v>24</v>
      </c>
      <c r="G2659">
        <v>203</v>
      </c>
      <c r="H2659">
        <v>622.74</v>
      </c>
      <c r="I2659">
        <v>5</v>
      </c>
      <c r="J2659" t="s">
        <v>15</v>
      </c>
      <c r="K2659">
        <v>126416.22</v>
      </c>
      <c r="L2659" t="str">
        <f t="shared" si="164"/>
        <v>Aug</v>
      </c>
      <c r="M2659">
        <f t="shared" si="165"/>
        <v>2025</v>
      </c>
      <c r="N2659">
        <f t="shared" si="166"/>
        <v>126416.22</v>
      </c>
      <c r="O2659" t="str">
        <f t="shared" si="167"/>
        <v>Minor Delay</v>
      </c>
    </row>
    <row r="2660" spans="1:15" x14ac:dyDescent="0.25">
      <c r="A2660">
        <v>2659</v>
      </c>
      <c r="B2660" s="2">
        <v>45870</v>
      </c>
      <c r="C2660" t="s">
        <v>16</v>
      </c>
      <c r="D2660" t="s">
        <v>20</v>
      </c>
      <c r="E2660" t="s">
        <v>12</v>
      </c>
      <c r="F2660" t="s">
        <v>24</v>
      </c>
      <c r="G2660">
        <v>57</v>
      </c>
      <c r="H2660">
        <v>468.87</v>
      </c>
      <c r="I2660">
        <v>0</v>
      </c>
      <c r="J2660" t="s">
        <v>15</v>
      </c>
      <c r="K2660">
        <v>26725.59</v>
      </c>
      <c r="L2660" t="str">
        <f t="shared" si="164"/>
        <v>Aug</v>
      </c>
      <c r="M2660">
        <f t="shared" si="165"/>
        <v>2025</v>
      </c>
      <c r="N2660">
        <f t="shared" si="166"/>
        <v>26725.59</v>
      </c>
      <c r="O2660" t="str">
        <f t="shared" si="167"/>
        <v>On Time</v>
      </c>
    </row>
    <row r="2661" spans="1:15" x14ac:dyDescent="0.25">
      <c r="A2661">
        <v>2660</v>
      </c>
      <c r="B2661" s="2">
        <v>45761</v>
      </c>
      <c r="C2661" t="s">
        <v>25</v>
      </c>
      <c r="D2661" t="s">
        <v>29</v>
      </c>
      <c r="E2661" t="s">
        <v>19</v>
      </c>
      <c r="F2661" t="s">
        <v>21</v>
      </c>
      <c r="G2661">
        <v>275</v>
      </c>
      <c r="H2661">
        <v>621.04</v>
      </c>
      <c r="I2661">
        <v>16</v>
      </c>
      <c r="J2661" t="s">
        <v>15</v>
      </c>
      <c r="K2661">
        <v>170786</v>
      </c>
      <c r="L2661" t="str">
        <f t="shared" si="164"/>
        <v>Apr</v>
      </c>
      <c r="M2661">
        <f t="shared" si="165"/>
        <v>2025</v>
      </c>
      <c r="N2661">
        <f t="shared" si="166"/>
        <v>170786</v>
      </c>
      <c r="O2661" t="str">
        <f t="shared" si="167"/>
        <v>Minor Delay</v>
      </c>
    </row>
    <row r="2662" spans="1:15" x14ac:dyDescent="0.25">
      <c r="A2662">
        <v>2661</v>
      </c>
      <c r="B2662" s="2">
        <v>45904</v>
      </c>
      <c r="C2662" t="s">
        <v>18</v>
      </c>
      <c r="D2662" t="s">
        <v>17</v>
      </c>
      <c r="E2662" t="s">
        <v>23</v>
      </c>
      <c r="F2662" t="s">
        <v>14</v>
      </c>
      <c r="G2662">
        <v>187</v>
      </c>
      <c r="H2662">
        <v>206.49</v>
      </c>
      <c r="I2662">
        <v>10</v>
      </c>
      <c r="J2662" t="s">
        <v>15</v>
      </c>
      <c r="K2662">
        <v>38613.629999999997</v>
      </c>
      <c r="L2662" t="str">
        <f t="shared" si="164"/>
        <v>Sep</v>
      </c>
      <c r="M2662">
        <f t="shared" si="165"/>
        <v>2025</v>
      </c>
      <c r="N2662">
        <f t="shared" si="166"/>
        <v>38613.630000000005</v>
      </c>
      <c r="O2662" t="str">
        <f t="shared" si="167"/>
        <v>Minor Delay</v>
      </c>
    </row>
    <row r="2663" spans="1:15" x14ac:dyDescent="0.25">
      <c r="A2663">
        <v>2662</v>
      </c>
      <c r="B2663" s="2">
        <v>45661</v>
      </c>
      <c r="C2663" t="s">
        <v>11</v>
      </c>
      <c r="D2663" t="s">
        <v>17</v>
      </c>
      <c r="E2663" t="s">
        <v>12</v>
      </c>
      <c r="F2663" t="s">
        <v>24</v>
      </c>
      <c r="G2663">
        <v>190</v>
      </c>
      <c r="H2663">
        <v>71.040000000000006</v>
      </c>
      <c r="I2663">
        <v>35</v>
      </c>
      <c r="J2663" t="s">
        <v>15</v>
      </c>
      <c r="K2663">
        <v>13497.6</v>
      </c>
      <c r="L2663" t="str">
        <f t="shared" si="164"/>
        <v>Jan</v>
      </c>
      <c r="M2663">
        <f t="shared" si="165"/>
        <v>2025</v>
      </c>
      <c r="N2663">
        <f t="shared" si="166"/>
        <v>13497.6</v>
      </c>
      <c r="O2663" t="str">
        <f t="shared" si="167"/>
        <v>Moderate Delay</v>
      </c>
    </row>
    <row r="2664" spans="1:15" x14ac:dyDescent="0.25">
      <c r="A2664">
        <v>2663</v>
      </c>
      <c r="B2664" s="2">
        <v>45838</v>
      </c>
      <c r="C2664" t="s">
        <v>18</v>
      </c>
      <c r="D2664" t="s">
        <v>27</v>
      </c>
      <c r="E2664" t="s">
        <v>22</v>
      </c>
      <c r="F2664" t="s">
        <v>21</v>
      </c>
      <c r="G2664">
        <v>58</v>
      </c>
      <c r="H2664">
        <v>70.900000000000006</v>
      </c>
      <c r="I2664">
        <v>0</v>
      </c>
      <c r="J2664" t="s">
        <v>15</v>
      </c>
      <c r="K2664">
        <v>4112.2</v>
      </c>
      <c r="L2664" t="str">
        <f t="shared" si="164"/>
        <v>Jun</v>
      </c>
      <c r="M2664">
        <f t="shared" si="165"/>
        <v>2025</v>
      </c>
      <c r="N2664">
        <f t="shared" si="166"/>
        <v>4112.2000000000007</v>
      </c>
      <c r="O2664" t="str">
        <f t="shared" si="167"/>
        <v>On Time</v>
      </c>
    </row>
    <row r="2665" spans="1:15" x14ac:dyDescent="0.25">
      <c r="A2665">
        <v>2664</v>
      </c>
      <c r="B2665" s="2">
        <v>45860</v>
      </c>
      <c r="C2665" t="s">
        <v>11</v>
      </c>
      <c r="D2665" t="s">
        <v>29</v>
      </c>
      <c r="E2665" t="s">
        <v>23</v>
      </c>
      <c r="F2665" t="s">
        <v>14</v>
      </c>
      <c r="G2665">
        <v>298</v>
      </c>
      <c r="H2665">
        <v>669.94</v>
      </c>
      <c r="I2665">
        <v>0</v>
      </c>
      <c r="J2665" t="s">
        <v>15</v>
      </c>
      <c r="K2665">
        <v>199642.12</v>
      </c>
      <c r="L2665" t="str">
        <f t="shared" si="164"/>
        <v>Jul</v>
      </c>
      <c r="M2665">
        <f t="shared" si="165"/>
        <v>2025</v>
      </c>
      <c r="N2665">
        <f t="shared" si="166"/>
        <v>199642.12000000002</v>
      </c>
      <c r="O2665" t="str">
        <f t="shared" si="167"/>
        <v>On Time</v>
      </c>
    </row>
    <row r="2666" spans="1:15" x14ac:dyDescent="0.25">
      <c r="A2666">
        <v>2665</v>
      </c>
      <c r="B2666" s="2">
        <v>45966</v>
      </c>
      <c r="C2666" t="s">
        <v>25</v>
      </c>
      <c r="D2666" t="s">
        <v>13</v>
      </c>
      <c r="E2666" t="s">
        <v>20</v>
      </c>
      <c r="F2666" t="s">
        <v>24</v>
      </c>
      <c r="G2666">
        <v>191</v>
      </c>
      <c r="H2666">
        <v>320.77999999999997</v>
      </c>
      <c r="I2666">
        <v>0</v>
      </c>
      <c r="J2666" t="s">
        <v>15</v>
      </c>
      <c r="K2666">
        <v>61268.98</v>
      </c>
      <c r="L2666" t="str">
        <f t="shared" si="164"/>
        <v>Nov</v>
      </c>
      <c r="M2666">
        <f t="shared" si="165"/>
        <v>2025</v>
      </c>
      <c r="N2666">
        <f t="shared" si="166"/>
        <v>61268.979999999996</v>
      </c>
      <c r="O2666" t="str">
        <f t="shared" si="167"/>
        <v>On Time</v>
      </c>
    </row>
    <row r="2667" spans="1:15" x14ac:dyDescent="0.25">
      <c r="A2667">
        <v>2666</v>
      </c>
      <c r="B2667" s="2">
        <v>46007</v>
      </c>
      <c r="C2667" t="s">
        <v>25</v>
      </c>
      <c r="D2667" t="s">
        <v>17</v>
      </c>
      <c r="E2667" t="s">
        <v>27</v>
      </c>
      <c r="F2667" t="s">
        <v>24</v>
      </c>
      <c r="G2667">
        <v>66</v>
      </c>
      <c r="H2667">
        <v>383.33</v>
      </c>
      <c r="I2667">
        <v>26</v>
      </c>
      <c r="J2667" t="s">
        <v>15</v>
      </c>
      <c r="K2667">
        <v>25299.78</v>
      </c>
      <c r="L2667" t="str">
        <f t="shared" si="164"/>
        <v>Dec</v>
      </c>
      <c r="M2667">
        <f t="shared" si="165"/>
        <v>2025</v>
      </c>
      <c r="N2667">
        <f t="shared" si="166"/>
        <v>25299.78</v>
      </c>
      <c r="O2667" t="str">
        <f t="shared" si="167"/>
        <v>Minor Delay</v>
      </c>
    </row>
    <row r="2668" spans="1:15" x14ac:dyDescent="0.25">
      <c r="A2668">
        <v>2667</v>
      </c>
      <c r="B2668" s="2">
        <v>46014</v>
      </c>
      <c r="C2668" t="s">
        <v>25</v>
      </c>
      <c r="D2668" t="s">
        <v>19</v>
      </c>
      <c r="E2668" t="s">
        <v>17</v>
      </c>
      <c r="F2668" t="s">
        <v>14</v>
      </c>
      <c r="G2668">
        <v>72</v>
      </c>
      <c r="H2668">
        <v>298.17</v>
      </c>
      <c r="I2668">
        <v>15</v>
      </c>
      <c r="J2668" t="s">
        <v>30</v>
      </c>
      <c r="K2668">
        <v>21468.240000000002</v>
      </c>
      <c r="L2668" t="str">
        <f t="shared" si="164"/>
        <v>Dec</v>
      </c>
      <c r="M2668">
        <f t="shared" si="165"/>
        <v>2025</v>
      </c>
      <c r="N2668">
        <f t="shared" si="166"/>
        <v>21468.240000000002</v>
      </c>
      <c r="O2668" t="str">
        <f t="shared" si="167"/>
        <v>Minor Delay</v>
      </c>
    </row>
    <row r="2669" spans="1:15" x14ac:dyDescent="0.25">
      <c r="A2669">
        <v>2668</v>
      </c>
      <c r="B2669" s="2">
        <v>45695</v>
      </c>
      <c r="C2669" t="s">
        <v>16</v>
      </c>
      <c r="D2669" t="s">
        <v>29</v>
      </c>
      <c r="E2669" t="s">
        <v>20</v>
      </c>
      <c r="F2669" t="s">
        <v>24</v>
      </c>
      <c r="G2669">
        <v>287</v>
      </c>
      <c r="H2669">
        <v>67.14</v>
      </c>
      <c r="I2669">
        <v>0</v>
      </c>
      <c r="J2669" t="s">
        <v>15</v>
      </c>
      <c r="K2669">
        <v>19269.18</v>
      </c>
      <c r="L2669" t="str">
        <f t="shared" si="164"/>
        <v>Feb</v>
      </c>
      <c r="M2669">
        <f t="shared" si="165"/>
        <v>2025</v>
      </c>
      <c r="N2669">
        <f t="shared" si="166"/>
        <v>19269.18</v>
      </c>
      <c r="O2669" t="str">
        <f t="shared" si="167"/>
        <v>On Time</v>
      </c>
    </row>
    <row r="2670" spans="1:15" x14ac:dyDescent="0.25">
      <c r="A2670">
        <v>2669</v>
      </c>
      <c r="B2670" s="2">
        <v>45738</v>
      </c>
      <c r="C2670" t="s">
        <v>26</v>
      </c>
      <c r="D2670" t="s">
        <v>13</v>
      </c>
      <c r="E2670" t="s">
        <v>22</v>
      </c>
      <c r="F2670" t="s">
        <v>14</v>
      </c>
      <c r="G2670">
        <v>229</v>
      </c>
      <c r="H2670">
        <v>613.55999999999995</v>
      </c>
      <c r="I2670">
        <v>43</v>
      </c>
      <c r="J2670" t="s">
        <v>15</v>
      </c>
      <c r="K2670">
        <v>140505.24</v>
      </c>
      <c r="L2670" t="str">
        <f t="shared" si="164"/>
        <v>Mar</v>
      </c>
      <c r="M2670">
        <f t="shared" si="165"/>
        <v>2025</v>
      </c>
      <c r="N2670">
        <f t="shared" si="166"/>
        <v>140505.24</v>
      </c>
      <c r="O2670" t="str">
        <f t="shared" si="167"/>
        <v>Moderate Delay</v>
      </c>
    </row>
    <row r="2671" spans="1:15" x14ac:dyDescent="0.25">
      <c r="A2671">
        <v>2670</v>
      </c>
      <c r="B2671" s="2">
        <v>45935</v>
      </c>
      <c r="C2671" t="s">
        <v>26</v>
      </c>
      <c r="D2671" t="s">
        <v>29</v>
      </c>
      <c r="E2671" t="s">
        <v>22</v>
      </c>
      <c r="F2671" t="s">
        <v>21</v>
      </c>
      <c r="G2671">
        <v>66</v>
      </c>
      <c r="H2671">
        <v>223.09</v>
      </c>
      <c r="I2671">
        <v>40</v>
      </c>
      <c r="J2671" t="s">
        <v>15</v>
      </c>
      <c r="K2671">
        <v>14723.94</v>
      </c>
      <c r="L2671" t="str">
        <f t="shared" si="164"/>
        <v>Oct</v>
      </c>
      <c r="M2671">
        <f t="shared" si="165"/>
        <v>2025</v>
      </c>
      <c r="N2671">
        <f t="shared" si="166"/>
        <v>14723.94</v>
      </c>
      <c r="O2671" t="str">
        <f t="shared" si="167"/>
        <v>Moderate Delay</v>
      </c>
    </row>
    <row r="2672" spans="1:15" x14ac:dyDescent="0.25">
      <c r="A2672">
        <v>2671</v>
      </c>
      <c r="B2672" s="2">
        <v>45965</v>
      </c>
      <c r="C2672" t="s">
        <v>16</v>
      </c>
      <c r="D2672" t="s">
        <v>12</v>
      </c>
      <c r="E2672" t="s">
        <v>20</v>
      </c>
      <c r="F2672" t="s">
        <v>14</v>
      </c>
      <c r="G2672">
        <v>130</v>
      </c>
      <c r="H2672">
        <v>695.03</v>
      </c>
      <c r="I2672">
        <v>31</v>
      </c>
      <c r="J2672" t="s">
        <v>30</v>
      </c>
      <c r="K2672">
        <v>90353.9</v>
      </c>
      <c r="L2672" t="str">
        <f t="shared" si="164"/>
        <v>Nov</v>
      </c>
      <c r="M2672">
        <f t="shared" si="165"/>
        <v>2025</v>
      </c>
      <c r="N2672">
        <f t="shared" si="166"/>
        <v>90353.9</v>
      </c>
      <c r="O2672" t="str">
        <f t="shared" si="167"/>
        <v>Moderate Delay</v>
      </c>
    </row>
    <row r="2673" spans="1:15" x14ac:dyDescent="0.25">
      <c r="A2673">
        <v>2672</v>
      </c>
      <c r="B2673" s="2">
        <v>45844</v>
      </c>
      <c r="C2673" t="s">
        <v>25</v>
      </c>
      <c r="D2673" t="s">
        <v>17</v>
      </c>
      <c r="E2673" t="s">
        <v>27</v>
      </c>
      <c r="F2673" t="s">
        <v>21</v>
      </c>
      <c r="G2673">
        <v>149</v>
      </c>
      <c r="H2673">
        <v>576.73</v>
      </c>
      <c r="I2673">
        <v>23</v>
      </c>
      <c r="J2673" t="s">
        <v>15</v>
      </c>
      <c r="K2673">
        <v>85932.77</v>
      </c>
      <c r="L2673" t="str">
        <f t="shared" si="164"/>
        <v>Jul</v>
      </c>
      <c r="M2673">
        <f t="shared" si="165"/>
        <v>2025</v>
      </c>
      <c r="N2673">
        <f t="shared" si="166"/>
        <v>85932.77</v>
      </c>
      <c r="O2673" t="str">
        <f t="shared" si="167"/>
        <v>Minor Delay</v>
      </c>
    </row>
    <row r="2674" spans="1:15" x14ac:dyDescent="0.25">
      <c r="A2674">
        <v>2673</v>
      </c>
      <c r="B2674" s="2">
        <v>45999</v>
      </c>
      <c r="C2674" t="s">
        <v>31</v>
      </c>
      <c r="D2674" t="s">
        <v>19</v>
      </c>
      <c r="E2674" t="s">
        <v>23</v>
      </c>
      <c r="F2674" t="s">
        <v>24</v>
      </c>
      <c r="G2674">
        <v>109</v>
      </c>
      <c r="H2674">
        <v>289.3</v>
      </c>
      <c r="I2674">
        <v>21</v>
      </c>
      <c r="J2674" t="s">
        <v>15</v>
      </c>
      <c r="K2674">
        <v>31533.7</v>
      </c>
      <c r="L2674" t="str">
        <f t="shared" si="164"/>
        <v>Dec</v>
      </c>
      <c r="M2674">
        <f t="shared" si="165"/>
        <v>2025</v>
      </c>
      <c r="N2674">
        <f t="shared" si="166"/>
        <v>31533.7</v>
      </c>
      <c r="O2674" t="str">
        <f t="shared" si="167"/>
        <v>Minor Delay</v>
      </c>
    </row>
    <row r="2675" spans="1:15" x14ac:dyDescent="0.25">
      <c r="A2675">
        <v>2674</v>
      </c>
      <c r="B2675" s="2">
        <v>45913</v>
      </c>
      <c r="C2675" t="s">
        <v>18</v>
      </c>
      <c r="D2675" t="s">
        <v>12</v>
      </c>
      <c r="E2675" t="s">
        <v>22</v>
      </c>
      <c r="F2675" t="s">
        <v>24</v>
      </c>
      <c r="G2675">
        <v>246</v>
      </c>
      <c r="H2675">
        <v>795.28</v>
      </c>
      <c r="I2675">
        <v>21</v>
      </c>
      <c r="J2675" t="s">
        <v>15</v>
      </c>
      <c r="K2675">
        <v>195638.88</v>
      </c>
      <c r="L2675" t="str">
        <f t="shared" si="164"/>
        <v>Sep</v>
      </c>
      <c r="M2675">
        <f t="shared" si="165"/>
        <v>2025</v>
      </c>
      <c r="N2675">
        <f t="shared" si="166"/>
        <v>195638.88</v>
      </c>
      <c r="O2675" t="str">
        <f t="shared" si="167"/>
        <v>Minor Delay</v>
      </c>
    </row>
    <row r="2676" spans="1:15" x14ac:dyDescent="0.25">
      <c r="A2676">
        <v>2675</v>
      </c>
      <c r="B2676" s="2">
        <v>45821</v>
      </c>
      <c r="C2676" t="s">
        <v>18</v>
      </c>
      <c r="D2676" t="s">
        <v>17</v>
      </c>
      <c r="E2676" t="s">
        <v>12</v>
      </c>
      <c r="F2676" t="s">
        <v>14</v>
      </c>
      <c r="G2676">
        <v>191</v>
      </c>
      <c r="H2676">
        <v>309.35000000000002</v>
      </c>
      <c r="I2676">
        <v>18</v>
      </c>
      <c r="J2676" t="s">
        <v>15</v>
      </c>
      <c r="K2676">
        <v>59085.85</v>
      </c>
      <c r="L2676" t="str">
        <f t="shared" si="164"/>
        <v>Jun</v>
      </c>
      <c r="M2676">
        <f t="shared" si="165"/>
        <v>2025</v>
      </c>
      <c r="N2676">
        <f t="shared" si="166"/>
        <v>59085.850000000006</v>
      </c>
      <c r="O2676" t="str">
        <f t="shared" si="167"/>
        <v>Minor Delay</v>
      </c>
    </row>
    <row r="2677" spans="1:15" x14ac:dyDescent="0.25">
      <c r="A2677">
        <v>2676</v>
      </c>
      <c r="B2677" s="2">
        <v>45887</v>
      </c>
      <c r="C2677" t="s">
        <v>18</v>
      </c>
      <c r="D2677" t="s">
        <v>27</v>
      </c>
      <c r="E2677" t="s">
        <v>12</v>
      </c>
      <c r="F2677" t="s">
        <v>24</v>
      </c>
      <c r="G2677">
        <v>256</v>
      </c>
      <c r="H2677">
        <v>132.88</v>
      </c>
      <c r="I2677">
        <v>0</v>
      </c>
      <c r="J2677" t="s">
        <v>15</v>
      </c>
      <c r="K2677">
        <v>34017.279999999999</v>
      </c>
      <c r="L2677" t="str">
        <f t="shared" si="164"/>
        <v>Aug</v>
      </c>
      <c r="M2677">
        <f t="shared" si="165"/>
        <v>2025</v>
      </c>
      <c r="N2677">
        <f t="shared" si="166"/>
        <v>34017.279999999999</v>
      </c>
      <c r="O2677" t="str">
        <f t="shared" si="167"/>
        <v>On Time</v>
      </c>
    </row>
    <row r="2678" spans="1:15" x14ac:dyDescent="0.25">
      <c r="A2678">
        <v>2677</v>
      </c>
      <c r="B2678" s="2">
        <v>45917</v>
      </c>
      <c r="C2678" t="s">
        <v>16</v>
      </c>
      <c r="D2678" t="s">
        <v>22</v>
      </c>
      <c r="E2678" t="s">
        <v>27</v>
      </c>
      <c r="F2678" t="s">
        <v>24</v>
      </c>
      <c r="G2678">
        <v>142</v>
      </c>
      <c r="H2678">
        <v>252.1</v>
      </c>
      <c r="I2678">
        <v>0</v>
      </c>
      <c r="J2678" t="s">
        <v>15</v>
      </c>
      <c r="K2678">
        <v>35798.199999999997</v>
      </c>
      <c r="L2678" t="str">
        <f t="shared" si="164"/>
        <v>Sep</v>
      </c>
      <c r="M2678">
        <f t="shared" si="165"/>
        <v>2025</v>
      </c>
      <c r="N2678">
        <f t="shared" si="166"/>
        <v>35798.199999999997</v>
      </c>
      <c r="O2678" t="str">
        <f t="shared" si="167"/>
        <v>On Time</v>
      </c>
    </row>
    <row r="2679" spans="1:15" x14ac:dyDescent="0.25">
      <c r="A2679">
        <v>2678</v>
      </c>
      <c r="B2679" s="2">
        <v>45774</v>
      </c>
      <c r="C2679" t="s">
        <v>25</v>
      </c>
      <c r="D2679" t="s">
        <v>20</v>
      </c>
      <c r="E2679" t="s">
        <v>29</v>
      </c>
      <c r="F2679" t="s">
        <v>24</v>
      </c>
      <c r="G2679">
        <v>54</v>
      </c>
      <c r="H2679">
        <v>173.6</v>
      </c>
      <c r="I2679">
        <v>61</v>
      </c>
      <c r="J2679" t="s">
        <v>15</v>
      </c>
      <c r="K2679">
        <v>9374.4</v>
      </c>
      <c r="L2679" t="str">
        <f t="shared" si="164"/>
        <v>Apr</v>
      </c>
      <c r="M2679">
        <f t="shared" si="165"/>
        <v>2025</v>
      </c>
      <c r="N2679">
        <f t="shared" si="166"/>
        <v>9374.4</v>
      </c>
      <c r="O2679" t="str">
        <f t="shared" si="167"/>
        <v>Major Delay</v>
      </c>
    </row>
    <row r="2680" spans="1:15" x14ac:dyDescent="0.25">
      <c r="A2680">
        <v>2679</v>
      </c>
      <c r="B2680" s="2">
        <v>45801</v>
      </c>
      <c r="C2680" t="s">
        <v>18</v>
      </c>
      <c r="D2680" t="s">
        <v>17</v>
      </c>
      <c r="E2680" t="s">
        <v>22</v>
      </c>
      <c r="F2680" t="s">
        <v>24</v>
      </c>
      <c r="G2680">
        <v>169</v>
      </c>
      <c r="H2680">
        <v>164.6</v>
      </c>
      <c r="I2680">
        <v>3</v>
      </c>
      <c r="J2680" t="s">
        <v>15</v>
      </c>
      <c r="K2680">
        <v>27817.4</v>
      </c>
      <c r="L2680" t="str">
        <f t="shared" si="164"/>
        <v>May</v>
      </c>
      <c r="M2680">
        <f t="shared" si="165"/>
        <v>2025</v>
      </c>
      <c r="N2680">
        <f t="shared" si="166"/>
        <v>27817.399999999998</v>
      </c>
      <c r="O2680" t="str">
        <f t="shared" si="167"/>
        <v>Minor Delay</v>
      </c>
    </row>
    <row r="2681" spans="1:15" x14ac:dyDescent="0.25">
      <c r="A2681">
        <v>2680</v>
      </c>
      <c r="B2681" s="2">
        <v>45914</v>
      </c>
      <c r="C2681" t="s">
        <v>18</v>
      </c>
      <c r="D2681" t="s">
        <v>19</v>
      </c>
      <c r="E2681" t="s">
        <v>13</v>
      </c>
      <c r="F2681" t="s">
        <v>14</v>
      </c>
      <c r="G2681">
        <v>142</v>
      </c>
      <c r="H2681">
        <v>344.36</v>
      </c>
      <c r="I2681">
        <v>40</v>
      </c>
      <c r="J2681" t="s">
        <v>15</v>
      </c>
      <c r="K2681">
        <v>48899.12</v>
      </c>
      <c r="L2681" t="str">
        <f t="shared" si="164"/>
        <v>Sep</v>
      </c>
      <c r="M2681">
        <f t="shared" si="165"/>
        <v>2025</v>
      </c>
      <c r="N2681">
        <f t="shared" si="166"/>
        <v>48899.12</v>
      </c>
      <c r="O2681" t="str">
        <f t="shared" si="167"/>
        <v>Moderate Delay</v>
      </c>
    </row>
    <row r="2682" spans="1:15" x14ac:dyDescent="0.25">
      <c r="A2682">
        <v>2681</v>
      </c>
      <c r="B2682" s="2">
        <v>45904</v>
      </c>
      <c r="C2682" t="s">
        <v>25</v>
      </c>
      <c r="D2682" t="s">
        <v>20</v>
      </c>
      <c r="E2682" t="s">
        <v>19</v>
      </c>
      <c r="F2682" t="s">
        <v>21</v>
      </c>
      <c r="G2682">
        <v>65</v>
      </c>
      <c r="H2682">
        <v>220.22</v>
      </c>
      <c r="I2682">
        <v>0</v>
      </c>
      <c r="J2682" t="s">
        <v>15</v>
      </c>
      <c r="K2682">
        <v>14314.3</v>
      </c>
      <c r="L2682" t="str">
        <f t="shared" si="164"/>
        <v>Sep</v>
      </c>
      <c r="M2682">
        <f t="shared" si="165"/>
        <v>2025</v>
      </c>
      <c r="N2682">
        <f t="shared" si="166"/>
        <v>14314.3</v>
      </c>
      <c r="O2682" t="str">
        <f t="shared" si="167"/>
        <v>On Time</v>
      </c>
    </row>
    <row r="2683" spans="1:15" x14ac:dyDescent="0.25">
      <c r="A2683">
        <v>2682</v>
      </c>
      <c r="B2683" s="2">
        <v>45884</v>
      </c>
      <c r="C2683" t="s">
        <v>26</v>
      </c>
      <c r="D2683" t="s">
        <v>13</v>
      </c>
      <c r="E2683" t="s">
        <v>19</v>
      </c>
      <c r="F2683" t="s">
        <v>14</v>
      </c>
      <c r="G2683">
        <v>265</v>
      </c>
      <c r="H2683">
        <v>283.27</v>
      </c>
      <c r="I2683">
        <v>21</v>
      </c>
      <c r="J2683" t="s">
        <v>30</v>
      </c>
      <c r="K2683">
        <v>75066.55</v>
      </c>
      <c r="L2683" t="str">
        <f t="shared" si="164"/>
        <v>Aug</v>
      </c>
      <c r="M2683">
        <f t="shared" si="165"/>
        <v>2025</v>
      </c>
      <c r="N2683">
        <f t="shared" si="166"/>
        <v>75066.549999999988</v>
      </c>
      <c r="O2683" t="str">
        <f t="shared" si="167"/>
        <v>Minor Delay</v>
      </c>
    </row>
    <row r="2684" spans="1:15" x14ac:dyDescent="0.25">
      <c r="A2684">
        <v>2683</v>
      </c>
      <c r="B2684" s="2">
        <v>45854</v>
      </c>
      <c r="C2684" t="s">
        <v>16</v>
      </c>
      <c r="D2684" t="s">
        <v>20</v>
      </c>
      <c r="E2684" t="s">
        <v>29</v>
      </c>
      <c r="F2684" t="s">
        <v>14</v>
      </c>
      <c r="G2684">
        <v>194</v>
      </c>
      <c r="H2684">
        <v>187.84</v>
      </c>
      <c r="I2684">
        <v>17</v>
      </c>
      <c r="J2684" t="s">
        <v>15</v>
      </c>
      <c r="K2684">
        <v>36440.959999999999</v>
      </c>
      <c r="L2684" t="str">
        <f t="shared" si="164"/>
        <v>Jul</v>
      </c>
      <c r="M2684">
        <f t="shared" si="165"/>
        <v>2025</v>
      </c>
      <c r="N2684">
        <f t="shared" si="166"/>
        <v>36440.959999999999</v>
      </c>
      <c r="O2684" t="str">
        <f t="shared" si="167"/>
        <v>Minor Delay</v>
      </c>
    </row>
    <row r="2685" spans="1:15" x14ac:dyDescent="0.25">
      <c r="A2685">
        <v>2684</v>
      </c>
      <c r="B2685" s="2">
        <v>45888</v>
      </c>
      <c r="C2685" t="s">
        <v>11</v>
      </c>
      <c r="D2685" t="s">
        <v>17</v>
      </c>
      <c r="E2685" t="s">
        <v>29</v>
      </c>
      <c r="F2685" t="s">
        <v>21</v>
      </c>
      <c r="G2685">
        <v>182</v>
      </c>
      <c r="H2685">
        <v>677.09</v>
      </c>
      <c r="I2685">
        <v>61</v>
      </c>
      <c r="J2685" t="s">
        <v>28</v>
      </c>
      <c r="K2685">
        <v>123230.38</v>
      </c>
      <c r="L2685" t="str">
        <f t="shared" si="164"/>
        <v>Aug</v>
      </c>
      <c r="M2685">
        <f t="shared" si="165"/>
        <v>2025</v>
      </c>
      <c r="N2685">
        <f t="shared" si="166"/>
        <v>123230.38</v>
      </c>
      <c r="O2685" t="str">
        <f t="shared" si="167"/>
        <v>Major Delay</v>
      </c>
    </row>
    <row r="2686" spans="1:15" x14ac:dyDescent="0.25">
      <c r="A2686">
        <v>2685</v>
      </c>
      <c r="B2686" s="2">
        <v>45877</v>
      </c>
      <c r="C2686" t="s">
        <v>26</v>
      </c>
      <c r="D2686" t="s">
        <v>20</v>
      </c>
      <c r="E2686" t="s">
        <v>17</v>
      </c>
      <c r="F2686" t="s">
        <v>14</v>
      </c>
      <c r="G2686">
        <v>52</v>
      </c>
      <c r="H2686">
        <v>389.54</v>
      </c>
      <c r="I2686">
        <v>49</v>
      </c>
      <c r="J2686" t="s">
        <v>15</v>
      </c>
      <c r="K2686">
        <v>20256.080000000002</v>
      </c>
      <c r="L2686" t="str">
        <f t="shared" si="164"/>
        <v>Aug</v>
      </c>
      <c r="M2686">
        <f t="shared" si="165"/>
        <v>2025</v>
      </c>
      <c r="N2686">
        <f t="shared" si="166"/>
        <v>20256.080000000002</v>
      </c>
      <c r="O2686" t="str">
        <f t="shared" si="167"/>
        <v>Moderate Delay</v>
      </c>
    </row>
    <row r="2687" spans="1:15" x14ac:dyDescent="0.25">
      <c r="A2687">
        <v>2686</v>
      </c>
      <c r="B2687" s="2">
        <v>45831</v>
      </c>
      <c r="C2687" t="s">
        <v>11</v>
      </c>
      <c r="D2687" t="s">
        <v>12</v>
      </c>
      <c r="E2687" t="s">
        <v>23</v>
      </c>
      <c r="F2687" t="s">
        <v>21</v>
      </c>
      <c r="G2687">
        <v>190</v>
      </c>
      <c r="H2687">
        <v>775.5</v>
      </c>
      <c r="I2687">
        <v>0</v>
      </c>
      <c r="J2687" t="s">
        <v>15</v>
      </c>
      <c r="K2687">
        <v>147345</v>
      </c>
      <c r="L2687" t="str">
        <f t="shared" si="164"/>
        <v>Jun</v>
      </c>
      <c r="M2687">
        <f t="shared" si="165"/>
        <v>2025</v>
      </c>
      <c r="N2687">
        <f t="shared" si="166"/>
        <v>147345</v>
      </c>
      <c r="O2687" t="str">
        <f t="shared" si="167"/>
        <v>On Time</v>
      </c>
    </row>
    <row r="2688" spans="1:15" x14ac:dyDescent="0.25">
      <c r="A2688">
        <v>2687</v>
      </c>
      <c r="B2688" s="2">
        <v>45841</v>
      </c>
      <c r="C2688" t="s">
        <v>31</v>
      </c>
      <c r="D2688" t="s">
        <v>17</v>
      </c>
      <c r="E2688" t="s">
        <v>29</v>
      </c>
      <c r="F2688" t="s">
        <v>14</v>
      </c>
      <c r="G2688">
        <v>105</v>
      </c>
      <c r="H2688">
        <v>720.91</v>
      </c>
      <c r="I2688">
        <v>0</v>
      </c>
      <c r="J2688" t="s">
        <v>15</v>
      </c>
      <c r="K2688">
        <v>75695.55</v>
      </c>
      <c r="L2688" t="str">
        <f t="shared" si="164"/>
        <v>Jul</v>
      </c>
      <c r="M2688">
        <f t="shared" si="165"/>
        <v>2025</v>
      </c>
      <c r="N2688">
        <f t="shared" si="166"/>
        <v>75695.55</v>
      </c>
      <c r="O2688" t="str">
        <f t="shared" si="167"/>
        <v>On Time</v>
      </c>
    </row>
    <row r="2689" spans="1:15" x14ac:dyDescent="0.25">
      <c r="A2689">
        <v>2688</v>
      </c>
      <c r="B2689" s="2">
        <v>46001</v>
      </c>
      <c r="C2689" t="s">
        <v>25</v>
      </c>
      <c r="D2689" t="s">
        <v>13</v>
      </c>
      <c r="E2689" t="s">
        <v>20</v>
      </c>
      <c r="F2689" t="s">
        <v>14</v>
      </c>
      <c r="G2689">
        <v>254</v>
      </c>
      <c r="H2689">
        <v>254.8</v>
      </c>
      <c r="I2689">
        <v>32</v>
      </c>
      <c r="J2689" t="s">
        <v>30</v>
      </c>
      <c r="K2689">
        <v>64719.199999999997</v>
      </c>
      <c r="L2689" t="str">
        <f t="shared" si="164"/>
        <v>Dec</v>
      </c>
      <c r="M2689">
        <f t="shared" si="165"/>
        <v>2025</v>
      </c>
      <c r="N2689">
        <f t="shared" si="166"/>
        <v>64719.200000000004</v>
      </c>
      <c r="O2689" t="str">
        <f t="shared" si="167"/>
        <v>Moderate Delay</v>
      </c>
    </row>
    <row r="2690" spans="1:15" x14ac:dyDescent="0.25">
      <c r="A2690">
        <v>2689</v>
      </c>
      <c r="B2690" s="2">
        <v>45960</v>
      </c>
      <c r="C2690" t="s">
        <v>25</v>
      </c>
      <c r="D2690" t="s">
        <v>27</v>
      </c>
      <c r="E2690" t="s">
        <v>17</v>
      </c>
      <c r="F2690" t="s">
        <v>14</v>
      </c>
      <c r="G2690">
        <v>95</v>
      </c>
      <c r="H2690">
        <v>102.58</v>
      </c>
      <c r="I2690">
        <v>7</v>
      </c>
      <c r="J2690" t="s">
        <v>15</v>
      </c>
      <c r="K2690">
        <v>9745.1</v>
      </c>
      <c r="L2690" t="str">
        <f t="shared" si="164"/>
        <v>Oct</v>
      </c>
      <c r="M2690">
        <f t="shared" si="165"/>
        <v>2025</v>
      </c>
      <c r="N2690">
        <f t="shared" si="166"/>
        <v>9745.1</v>
      </c>
      <c r="O2690" t="str">
        <f t="shared" si="167"/>
        <v>Minor Delay</v>
      </c>
    </row>
    <row r="2691" spans="1:15" x14ac:dyDescent="0.25">
      <c r="A2691">
        <v>2690</v>
      </c>
      <c r="B2691" s="2">
        <v>45671</v>
      </c>
      <c r="C2691" t="s">
        <v>25</v>
      </c>
      <c r="D2691" t="s">
        <v>13</v>
      </c>
      <c r="E2691" t="s">
        <v>17</v>
      </c>
      <c r="F2691" t="s">
        <v>21</v>
      </c>
      <c r="G2691">
        <v>291</v>
      </c>
      <c r="H2691">
        <v>677.34</v>
      </c>
      <c r="I2691">
        <v>40</v>
      </c>
      <c r="J2691" t="s">
        <v>15</v>
      </c>
      <c r="K2691">
        <v>197105.94</v>
      </c>
      <c r="L2691" t="str">
        <f t="shared" ref="L2691:L2754" si="168">TEXT(B2691,"MMM")</f>
        <v>Jan</v>
      </c>
      <c r="M2691">
        <f t="shared" ref="M2691:M2754" si="169">YEAR(B2691)</f>
        <v>2025</v>
      </c>
      <c r="N2691">
        <f t="shared" ref="N2691:N2754" si="170">G2691*H2691</f>
        <v>197105.94</v>
      </c>
      <c r="O2691" t="str">
        <f t="shared" ref="O2691:O2754" si="171">IF(I2691=0,"On Time",IF(I2691&lt;=30,"Minor Delay",IF(I2691&lt;=60,"Moderate Delay","Major Delay")))</f>
        <v>Moderate Delay</v>
      </c>
    </row>
    <row r="2692" spans="1:15" x14ac:dyDescent="0.25">
      <c r="A2692">
        <v>2691</v>
      </c>
      <c r="B2692" s="2">
        <v>45953</v>
      </c>
      <c r="C2692" t="s">
        <v>18</v>
      </c>
      <c r="D2692" t="s">
        <v>20</v>
      </c>
      <c r="E2692" t="s">
        <v>19</v>
      </c>
      <c r="F2692" t="s">
        <v>21</v>
      </c>
      <c r="G2692">
        <v>71</v>
      </c>
      <c r="H2692">
        <v>768.17</v>
      </c>
      <c r="I2692">
        <v>0</v>
      </c>
      <c r="J2692" t="s">
        <v>15</v>
      </c>
      <c r="K2692">
        <v>54540.07</v>
      </c>
      <c r="L2692" t="str">
        <f t="shared" si="168"/>
        <v>Oct</v>
      </c>
      <c r="M2692">
        <f t="shared" si="169"/>
        <v>2025</v>
      </c>
      <c r="N2692">
        <f t="shared" si="170"/>
        <v>54540.07</v>
      </c>
      <c r="O2692" t="str">
        <f t="shared" si="171"/>
        <v>On Time</v>
      </c>
    </row>
    <row r="2693" spans="1:15" x14ac:dyDescent="0.25">
      <c r="A2693">
        <v>2692</v>
      </c>
      <c r="B2693" s="2">
        <v>45818</v>
      </c>
      <c r="C2693" t="s">
        <v>11</v>
      </c>
      <c r="D2693" t="s">
        <v>23</v>
      </c>
      <c r="E2693" t="s">
        <v>13</v>
      </c>
      <c r="F2693" t="s">
        <v>21</v>
      </c>
      <c r="G2693">
        <v>217</v>
      </c>
      <c r="H2693">
        <v>606.02</v>
      </c>
      <c r="I2693">
        <v>63</v>
      </c>
      <c r="J2693" t="s">
        <v>15</v>
      </c>
      <c r="K2693">
        <v>131506.34</v>
      </c>
      <c r="L2693" t="str">
        <f t="shared" si="168"/>
        <v>Jun</v>
      </c>
      <c r="M2693">
        <f t="shared" si="169"/>
        <v>2025</v>
      </c>
      <c r="N2693">
        <f t="shared" si="170"/>
        <v>131506.34</v>
      </c>
      <c r="O2693" t="str">
        <f t="shared" si="171"/>
        <v>Major Delay</v>
      </c>
    </row>
    <row r="2694" spans="1:15" x14ac:dyDescent="0.25">
      <c r="A2694">
        <v>2693</v>
      </c>
      <c r="B2694" s="2">
        <v>45914</v>
      </c>
      <c r="C2694" t="s">
        <v>31</v>
      </c>
      <c r="D2694" t="s">
        <v>13</v>
      </c>
      <c r="E2694" t="s">
        <v>27</v>
      </c>
      <c r="F2694" t="s">
        <v>24</v>
      </c>
      <c r="G2694">
        <v>177</v>
      </c>
      <c r="H2694">
        <v>585.9</v>
      </c>
      <c r="I2694">
        <v>11</v>
      </c>
      <c r="J2694" t="s">
        <v>30</v>
      </c>
      <c r="K2694">
        <v>103704.3</v>
      </c>
      <c r="L2694" t="str">
        <f t="shared" si="168"/>
        <v>Sep</v>
      </c>
      <c r="M2694">
        <f t="shared" si="169"/>
        <v>2025</v>
      </c>
      <c r="N2694">
        <f t="shared" si="170"/>
        <v>103704.3</v>
      </c>
      <c r="O2694" t="str">
        <f t="shared" si="171"/>
        <v>Minor Delay</v>
      </c>
    </row>
    <row r="2695" spans="1:15" x14ac:dyDescent="0.25">
      <c r="A2695">
        <v>2694</v>
      </c>
      <c r="B2695" s="2">
        <v>45927</v>
      </c>
      <c r="C2695" t="s">
        <v>26</v>
      </c>
      <c r="D2695" t="s">
        <v>13</v>
      </c>
      <c r="E2695" t="s">
        <v>23</v>
      </c>
      <c r="F2695" t="s">
        <v>14</v>
      </c>
      <c r="G2695">
        <v>266</v>
      </c>
      <c r="H2695">
        <v>193.89</v>
      </c>
      <c r="I2695">
        <v>32</v>
      </c>
      <c r="J2695" t="s">
        <v>15</v>
      </c>
      <c r="K2695">
        <v>51574.74</v>
      </c>
      <c r="L2695" t="str">
        <f t="shared" si="168"/>
        <v>Sep</v>
      </c>
      <c r="M2695">
        <f t="shared" si="169"/>
        <v>2025</v>
      </c>
      <c r="N2695">
        <f t="shared" si="170"/>
        <v>51574.74</v>
      </c>
      <c r="O2695" t="str">
        <f t="shared" si="171"/>
        <v>Moderate Delay</v>
      </c>
    </row>
    <row r="2696" spans="1:15" x14ac:dyDescent="0.25">
      <c r="A2696">
        <v>2695</v>
      </c>
      <c r="B2696" s="2">
        <v>45891</v>
      </c>
      <c r="C2696" t="s">
        <v>25</v>
      </c>
      <c r="D2696" t="s">
        <v>17</v>
      </c>
      <c r="E2696" t="s">
        <v>29</v>
      </c>
      <c r="F2696" t="s">
        <v>14</v>
      </c>
      <c r="G2696">
        <v>96</v>
      </c>
      <c r="H2696">
        <v>104.13</v>
      </c>
      <c r="I2696">
        <v>46</v>
      </c>
      <c r="J2696" t="s">
        <v>15</v>
      </c>
      <c r="K2696">
        <v>9996.48</v>
      </c>
      <c r="L2696" t="str">
        <f t="shared" si="168"/>
        <v>Aug</v>
      </c>
      <c r="M2696">
        <f t="shared" si="169"/>
        <v>2025</v>
      </c>
      <c r="N2696">
        <f t="shared" si="170"/>
        <v>9996.48</v>
      </c>
      <c r="O2696" t="str">
        <f t="shared" si="171"/>
        <v>Moderate Delay</v>
      </c>
    </row>
    <row r="2697" spans="1:15" x14ac:dyDescent="0.25">
      <c r="A2697">
        <v>2696</v>
      </c>
      <c r="B2697" s="2">
        <v>45696</v>
      </c>
      <c r="C2697" t="s">
        <v>18</v>
      </c>
      <c r="D2697" t="s">
        <v>12</v>
      </c>
      <c r="E2697" t="s">
        <v>29</v>
      </c>
      <c r="F2697" t="s">
        <v>24</v>
      </c>
      <c r="G2697">
        <v>216</v>
      </c>
      <c r="H2697">
        <v>716.39</v>
      </c>
      <c r="I2697">
        <v>73</v>
      </c>
      <c r="J2697" t="s">
        <v>15</v>
      </c>
      <c r="K2697">
        <v>154740.24</v>
      </c>
      <c r="L2697" t="str">
        <f t="shared" si="168"/>
        <v>Feb</v>
      </c>
      <c r="M2697">
        <f t="shared" si="169"/>
        <v>2025</v>
      </c>
      <c r="N2697">
        <f t="shared" si="170"/>
        <v>154740.24</v>
      </c>
      <c r="O2697" t="str">
        <f t="shared" si="171"/>
        <v>Major Delay</v>
      </c>
    </row>
    <row r="2698" spans="1:15" x14ac:dyDescent="0.25">
      <c r="A2698">
        <v>2697</v>
      </c>
      <c r="B2698" s="2">
        <v>45712</v>
      </c>
      <c r="C2698" t="s">
        <v>18</v>
      </c>
      <c r="D2698" t="s">
        <v>12</v>
      </c>
      <c r="E2698" t="s">
        <v>27</v>
      </c>
      <c r="F2698" t="s">
        <v>14</v>
      </c>
      <c r="G2698">
        <v>64</v>
      </c>
      <c r="H2698">
        <v>636.78</v>
      </c>
      <c r="I2698">
        <v>48</v>
      </c>
      <c r="J2698" t="s">
        <v>15</v>
      </c>
      <c r="K2698">
        <v>40753.919999999998</v>
      </c>
      <c r="L2698" t="str">
        <f t="shared" si="168"/>
        <v>Feb</v>
      </c>
      <c r="M2698">
        <f t="shared" si="169"/>
        <v>2025</v>
      </c>
      <c r="N2698">
        <f t="shared" si="170"/>
        <v>40753.919999999998</v>
      </c>
      <c r="O2698" t="str">
        <f t="shared" si="171"/>
        <v>Moderate Delay</v>
      </c>
    </row>
    <row r="2699" spans="1:15" x14ac:dyDescent="0.25">
      <c r="A2699">
        <v>2698</v>
      </c>
      <c r="B2699" s="2">
        <v>45940</v>
      </c>
      <c r="C2699" t="s">
        <v>18</v>
      </c>
      <c r="D2699" t="s">
        <v>23</v>
      </c>
      <c r="E2699" t="s">
        <v>22</v>
      </c>
      <c r="F2699" t="s">
        <v>21</v>
      </c>
      <c r="G2699">
        <v>191</v>
      </c>
      <c r="H2699">
        <v>232.19</v>
      </c>
      <c r="I2699">
        <v>63</v>
      </c>
      <c r="J2699" t="s">
        <v>15</v>
      </c>
      <c r="K2699">
        <v>44348.29</v>
      </c>
      <c r="L2699" t="str">
        <f t="shared" si="168"/>
        <v>Oct</v>
      </c>
      <c r="M2699">
        <f t="shared" si="169"/>
        <v>2025</v>
      </c>
      <c r="N2699">
        <f t="shared" si="170"/>
        <v>44348.29</v>
      </c>
      <c r="O2699" t="str">
        <f t="shared" si="171"/>
        <v>Major Delay</v>
      </c>
    </row>
    <row r="2700" spans="1:15" x14ac:dyDescent="0.25">
      <c r="A2700">
        <v>2699</v>
      </c>
      <c r="B2700" s="2">
        <v>45954</v>
      </c>
      <c r="C2700" t="s">
        <v>16</v>
      </c>
      <c r="D2700" t="s">
        <v>12</v>
      </c>
      <c r="E2700" t="s">
        <v>20</v>
      </c>
      <c r="F2700" t="s">
        <v>14</v>
      </c>
      <c r="G2700">
        <v>199</v>
      </c>
      <c r="H2700">
        <v>693.79</v>
      </c>
      <c r="I2700">
        <v>22</v>
      </c>
      <c r="J2700" t="s">
        <v>15</v>
      </c>
      <c r="K2700">
        <v>138064.21</v>
      </c>
      <c r="L2700" t="str">
        <f t="shared" si="168"/>
        <v>Oct</v>
      </c>
      <c r="M2700">
        <f t="shared" si="169"/>
        <v>2025</v>
      </c>
      <c r="N2700">
        <f t="shared" si="170"/>
        <v>138064.21</v>
      </c>
      <c r="O2700" t="str">
        <f t="shared" si="171"/>
        <v>Minor Delay</v>
      </c>
    </row>
    <row r="2701" spans="1:15" x14ac:dyDescent="0.25">
      <c r="A2701">
        <v>2700</v>
      </c>
      <c r="B2701" s="2">
        <v>45706</v>
      </c>
      <c r="C2701" t="s">
        <v>26</v>
      </c>
      <c r="D2701" t="s">
        <v>17</v>
      </c>
      <c r="E2701" t="s">
        <v>13</v>
      </c>
      <c r="F2701" t="s">
        <v>14</v>
      </c>
      <c r="G2701">
        <v>223</v>
      </c>
      <c r="H2701">
        <v>354.17</v>
      </c>
      <c r="I2701">
        <v>25</v>
      </c>
      <c r="J2701" t="s">
        <v>15</v>
      </c>
      <c r="K2701">
        <v>78979.91</v>
      </c>
      <c r="L2701" t="str">
        <f t="shared" si="168"/>
        <v>Feb</v>
      </c>
      <c r="M2701">
        <f t="shared" si="169"/>
        <v>2025</v>
      </c>
      <c r="N2701">
        <f t="shared" si="170"/>
        <v>78979.91</v>
      </c>
      <c r="O2701" t="str">
        <f t="shared" si="171"/>
        <v>Minor Delay</v>
      </c>
    </row>
    <row r="2702" spans="1:15" x14ac:dyDescent="0.25">
      <c r="A2702">
        <v>2701</v>
      </c>
      <c r="B2702" s="2">
        <v>45874</v>
      </c>
      <c r="C2702" t="s">
        <v>31</v>
      </c>
      <c r="D2702" t="s">
        <v>12</v>
      </c>
      <c r="E2702" t="s">
        <v>13</v>
      </c>
      <c r="F2702" t="s">
        <v>14</v>
      </c>
      <c r="G2702">
        <v>272</v>
      </c>
      <c r="H2702">
        <v>112.88</v>
      </c>
      <c r="I2702">
        <v>0</v>
      </c>
      <c r="J2702" t="s">
        <v>15</v>
      </c>
      <c r="K2702">
        <v>30703.360000000001</v>
      </c>
      <c r="L2702" t="str">
        <f t="shared" si="168"/>
        <v>Aug</v>
      </c>
      <c r="M2702">
        <f t="shared" si="169"/>
        <v>2025</v>
      </c>
      <c r="N2702">
        <f t="shared" si="170"/>
        <v>30703.360000000001</v>
      </c>
      <c r="O2702" t="str">
        <f t="shared" si="171"/>
        <v>On Time</v>
      </c>
    </row>
    <row r="2703" spans="1:15" x14ac:dyDescent="0.25">
      <c r="A2703">
        <v>2702</v>
      </c>
      <c r="B2703" s="2">
        <v>45862</v>
      </c>
      <c r="C2703" t="s">
        <v>11</v>
      </c>
      <c r="D2703" t="s">
        <v>19</v>
      </c>
      <c r="E2703" t="s">
        <v>12</v>
      </c>
      <c r="F2703" t="s">
        <v>24</v>
      </c>
      <c r="G2703">
        <v>277</v>
      </c>
      <c r="H2703">
        <v>636.11</v>
      </c>
      <c r="I2703">
        <v>31</v>
      </c>
      <c r="J2703" t="s">
        <v>30</v>
      </c>
      <c r="K2703">
        <v>176202.47</v>
      </c>
      <c r="L2703" t="str">
        <f t="shared" si="168"/>
        <v>Jul</v>
      </c>
      <c r="M2703">
        <f t="shared" si="169"/>
        <v>2025</v>
      </c>
      <c r="N2703">
        <f t="shared" si="170"/>
        <v>176202.47</v>
      </c>
      <c r="O2703" t="str">
        <f t="shared" si="171"/>
        <v>Moderate Delay</v>
      </c>
    </row>
    <row r="2704" spans="1:15" x14ac:dyDescent="0.25">
      <c r="A2704">
        <v>2703</v>
      </c>
      <c r="B2704" s="2">
        <v>45807</v>
      </c>
      <c r="C2704" t="s">
        <v>31</v>
      </c>
      <c r="D2704" t="s">
        <v>13</v>
      </c>
      <c r="E2704" t="s">
        <v>12</v>
      </c>
      <c r="F2704" t="s">
        <v>14</v>
      </c>
      <c r="G2704">
        <v>103</v>
      </c>
      <c r="H2704">
        <v>196.71</v>
      </c>
      <c r="I2704">
        <v>28</v>
      </c>
      <c r="J2704" t="s">
        <v>30</v>
      </c>
      <c r="K2704">
        <v>20261.13</v>
      </c>
      <c r="L2704" t="str">
        <f t="shared" si="168"/>
        <v>May</v>
      </c>
      <c r="M2704">
        <f t="shared" si="169"/>
        <v>2025</v>
      </c>
      <c r="N2704">
        <f t="shared" si="170"/>
        <v>20261.13</v>
      </c>
      <c r="O2704" t="str">
        <f t="shared" si="171"/>
        <v>Minor Delay</v>
      </c>
    </row>
    <row r="2705" spans="1:15" x14ac:dyDescent="0.25">
      <c r="A2705">
        <v>2704</v>
      </c>
      <c r="B2705" s="2">
        <v>45715</v>
      </c>
      <c r="C2705" t="s">
        <v>18</v>
      </c>
      <c r="D2705" t="s">
        <v>17</v>
      </c>
      <c r="E2705" t="s">
        <v>19</v>
      </c>
      <c r="F2705" t="s">
        <v>14</v>
      </c>
      <c r="G2705">
        <v>194</v>
      </c>
      <c r="H2705">
        <v>266.19</v>
      </c>
      <c r="I2705">
        <v>6</v>
      </c>
      <c r="J2705" t="s">
        <v>15</v>
      </c>
      <c r="K2705">
        <v>51640.86</v>
      </c>
      <c r="L2705" t="str">
        <f t="shared" si="168"/>
        <v>Feb</v>
      </c>
      <c r="M2705">
        <f t="shared" si="169"/>
        <v>2025</v>
      </c>
      <c r="N2705">
        <f t="shared" si="170"/>
        <v>51640.86</v>
      </c>
      <c r="O2705" t="str">
        <f t="shared" si="171"/>
        <v>Minor Delay</v>
      </c>
    </row>
    <row r="2706" spans="1:15" x14ac:dyDescent="0.25">
      <c r="A2706">
        <v>2705</v>
      </c>
      <c r="B2706" s="2">
        <v>45934</v>
      </c>
      <c r="C2706" t="s">
        <v>11</v>
      </c>
      <c r="D2706" t="s">
        <v>19</v>
      </c>
      <c r="E2706" t="s">
        <v>13</v>
      </c>
      <c r="F2706" t="s">
        <v>21</v>
      </c>
      <c r="G2706">
        <v>58</v>
      </c>
      <c r="H2706">
        <v>608.66</v>
      </c>
      <c r="I2706">
        <v>20</v>
      </c>
      <c r="J2706" t="s">
        <v>15</v>
      </c>
      <c r="K2706">
        <v>35302.28</v>
      </c>
      <c r="L2706" t="str">
        <f t="shared" si="168"/>
        <v>Oct</v>
      </c>
      <c r="M2706">
        <f t="shared" si="169"/>
        <v>2025</v>
      </c>
      <c r="N2706">
        <f t="shared" si="170"/>
        <v>35302.28</v>
      </c>
      <c r="O2706" t="str">
        <f t="shared" si="171"/>
        <v>Minor Delay</v>
      </c>
    </row>
    <row r="2707" spans="1:15" x14ac:dyDescent="0.25">
      <c r="A2707">
        <v>2706</v>
      </c>
      <c r="B2707" s="2">
        <v>45713</v>
      </c>
      <c r="C2707" t="s">
        <v>25</v>
      </c>
      <c r="D2707" t="s">
        <v>22</v>
      </c>
      <c r="E2707" t="s">
        <v>17</v>
      </c>
      <c r="F2707" t="s">
        <v>21</v>
      </c>
      <c r="G2707">
        <v>106</v>
      </c>
      <c r="H2707">
        <v>606.24</v>
      </c>
      <c r="I2707">
        <v>0</v>
      </c>
      <c r="J2707" t="s">
        <v>15</v>
      </c>
      <c r="K2707">
        <v>64261.440000000002</v>
      </c>
      <c r="L2707" t="str">
        <f t="shared" si="168"/>
        <v>Feb</v>
      </c>
      <c r="M2707">
        <f t="shared" si="169"/>
        <v>2025</v>
      </c>
      <c r="N2707">
        <f t="shared" si="170"/>
        <v>64261.440000000002</v>
      </c>
      <c r="O2707" t="str">
        <f t="shared" si="171"/>
        <v>On Time</v>
      </c>
    </row>
    <row r="2708" spans="1:15" x14ac:dyDescent="0.25">
      <c r="A2708">
        <v>2707</v>
      </c>
      <c r="B2708" s="2">
        <v>45910</v>
      </c>
      <c r="C2708" t="s">
        <v>11</v>
      </c>
      <c r="D2708" t="s">
        <v>20</v>
      </c>
      <c r="E2708" t="s">
        <v>29</v>
      </c>
      <c r="F2708" t="s">
        <v>21</v>
      </c>
      <c r="G2708">
        <v>270</v>
      </c>
      <c r="H2708">
        <v>124.38</v>
      </c>
      <c r="I2708">
        <v>29</v>
      </c>
      <c r="J2708" t="s">
        <v>15</v>
      </c>
      <c r="K2708">
        <v>33582.6</v>
      </c>
      <c r="L2708" t="str">
        <f t="shared" si="168"/>
        <v>Sep</v>
      </c>
      <c r="M2708">
        <f t="shared" si="169"/>
        <v>2025</v>
      </c>
      <c r="N2708">
        <f t="shared" si="170"/>
        <v>33582.6</v>
      </c>
      <c r="O2708" t="str">
        <f t="shared" si="171"/>
        <v>Minor Delay</v>
      </c>
    </row>
    <row r="2709" spans="1:15" x14ac:dyDescent="0.25">
      <c r="A2709">
        <v>2708</v>
      </c>
      <c r="B2709" s="2">
        <v>45810</v>
      </c>
      <c r="C2709" t="s">
        <v>31</v>
      </c>
      <c r="D2709" t="s">
        <v>22</v>
      </c>
      <c r="E2709" t="s">
        <v>13</v>
      </c>
      <c r="F2709" t="s">
        <v>24</v>
      </c>
      <c r="G2709">
        <v>65</v>
      </c>
      <c r="H2709">
        <v>152.82</v>
      </c>
      <c r="I2709">
        <v>12</v>
      </c>
      <c r="J2709" t="s">
        <v>15</v>
      </c>
      <c r="K2709">
        <v>9933.2999999999993</v>
      </c>
      <c r="L2709" t="str">
        <f t="shared" si="168"/>
        <v>Jun</v>
      </c>
      <c r="M2709">
        <f t="shared" si="169"/>
        <v>2025</v>
      </c>
      <c r="N2709">
        <f t="shared" si="170"/>
        <v>9933.2999999999993</v>
      </c>
      <c r="O2709" t="str">
        <f t="shared" si="171"/>
        <v>Minor Delay</v>
      </c>
    </row>
    <row r="2710" spans="1:15" x14ac:dyDescent="0.25">
      <c r="A2710">
        <v>2709</v>
      </c>
      <c r="B2710" s="2">
        <v>45860</v>
      </c>
      <c r="C2710" t="s">
        <v>25</v>
      </c>
      <c r="D2710" t="s">
        <v>17</v>
      </c>
      <c r="E2710" t="s">
        <v>27</v>
      </c>
      <c r="F2710" t="s">
        <v>24</v>
      </c>
      <c r="G2710">
        <v>260</v>
      </c>
      <c r="H2710">
        <v>187.02</v>
      </c>
      <c r="I2710">
        <v>40</v>
      </c>
      <c r="J2710" t="s">
        <v>15</v>
      </c>
      <c r="K2710">
        <v>48625.2</v>
      </c>
      <c r="L2710" t="str">
        <f t="shared" si="168"/>
        <v>Jul</v>
      </c>
      <c r="M2710">
        <f t="shared" si="169"/>
        <v>2025</v>
      </c>
      <c r="N2710">
        <f t="shared" si="170"/>
        <v>48625.200000000004</v>
      </c>
      <c r="O2710" t="str">
        <f t="shared" si="171"/>
        <v>Moderate Delay</v>
      </c>
    </row>
    <row r="2711" spans="1:15" x14ac:dyDescent="0.25">
      <c r="A2711">
        <v>2710</v>
      </c>
      <c r="B2711" s="2">
        <v>45793</v>
      </c>
      <c r="C2711" t="s">
        <v>31</v>
      </c>
      <c r="D2711" t="s">
        <v>19</v>
      </c>
      <c r="E2711" t="s">
        <v>27</v>
      </c>
      <c r="F2711" t="s">
        <v>21</v>
      </c>
      <c r="G2711">
        <v>210</v>
      </c>
      <c r="H2711">
        <v>493.92</v>
      </c>
      <c r="I2711">
        <v>0</v>
      </c>
      <c r="J2711" t="s">
        <v>15</v>
      </c>
      <c r="K2711">
        <v>103723.2</v>
      </c>
      <c r="L2711" t="str">
        <f t="shared" si="168"/>
        <v>May</v>
      </c>
      <c r="M2711">
        <f t="shared" si="169"/>
        <v>2025</v>
      </c>
      <c r="N2711">
        <f t="shared" si="170"/>
        <v>103723.2</v>
      </c>
      <c r="O2711" t="str">
        <f t="shared" si="171"/>
        <v>On Time</v>
      </c>
    </row>
    <row r="2712" spans="1:15" x14ac:dyDescent="0.25">
      <c r="A2712">
        <v>2711</v>
      </c>
      <c r="B2712" s="2">
        <v>45812</v>
      </c>
      <c r="C2712" t="s">
        <v>16</v>
      </c>
      <c r="D2712" t="s">
        <v>13</v>
      </c>
      <c r="E2712" t="s">
        <v>20</v>
      </c>
      <c r="F2712" t="s">
        <v>24</v>
      </c>
      <c r="G2712">
        <v>241</v>
      </c>
      <c r="H2712">
        <v>426.42</v>
      </c>
      <c r="I2712">
        <v>3</v>
      </c>
      <c r="J2712" t="s">
        <v>30</v>
      </c>
      <c r="K2712">
        <v>102767.22</v>
      </c>
      <c r="L2712" t="str">
        <f t="shared" si="168"/>
        <v>Jun</v>
      </c>
      <c r="M2712">
        <f t="shared" si="169"/>
        <v>2025</v>
      </c>
      <c r="N2712">
        <f t="shared" si="170"/>
        <v>102767.22</v>
      </c>
      <c r="O2712" t="str">
        <f t="shared" si="171"/>
        <v>Minor Delay</v>
      </c>
    </row>
    <row r="2713" spans="1:15" x14ac:dyDescent="0.25">
      <c r="A2713">
        <v>2712</v>
      </c>
      <c r="B2713" s="2">
        <v>45937</v>
      </c>
      <c r="C2713" t="s">
        <v>16</v>
      </c>
      <c r="D2713" t="s">
        <v>29</v>
      </c>
      <c r="E2713" t="s">
        <v>13</v>
      </c>
      <c r="F2713" t="s">
        <v>21</v>
      </c>
      <c r="G2713">
        <v>233</v>
      </c>
      <c r="H2713">
        <v>742.55</v>
      </c>
      <c r="I2713">
        <v>39</v>
      </c>
      <c r="J2713" t="s">
        <v>15</v>
      </c>
      <c r="K2713">
        <v>173014.15</v>
      </c>
      <c r="L2713" t="str">
        <f t="shared" si="168"/>
        <v>Oct</v>
      </c>
      <c r="M2713">
        <f t="shared" si="169"/>
        <v>2025</v>
      </c>
      <c r="N2713">
        <f t="shared" si="170"/>
        <v>173014.15</v>
      </c>
      <c r="O2713" t="str">
        <f t="shared" si="171"/>
        <v>Moderate Delay</v>
      </c>
    </row>
    <row r="2714" spans="1:15" x14ac:dyDescent="0.25">
      <c r="A2714">
        <v>2713</v>
      </c>
      <c r="B2714" s="2">
        <v>45742</v>
      </c>
      <c r="C2714" t="s">
        <v>11</v>
      </c>
      <c r="D2714" t="s">
        <v>29</v>
      </c>
      <c r="E2714" t="s">
        <v>13</v>
      </c>
      <c r="F2714" t="s">
        <v>14</v>
      </c>
      <c r="G2714">
        <v>281</v>
      </c>
      <c r="H2714">
        <v>334.84</v>
      </c>
      <c r="I2714">
        <v>29</v>
      </c>
      <c r="J2714" t="s">
        <v>30</v>
      </c>
      <c r="K2714">
        <v>94090.04</v>
      </c>
      <c r="L2714" t="str">
        <f t="shared" si="168"/>
        <v>Mar</v>
      </c>
      <c r="M2714">
        <f t="shared" si="169"/>
        <v>2025</v>
      </c>
      <c r="N2714">
        <f t="shared" si="170"/>
        <v>94090.04</v>
      </c>
      <c r="O2714" t="str">
        <f t="shared" si="171"/>
        <v>Minor Delay</v>
      </c>
    </row>
    <row r="2715" spans="1:15" x14ac:dyDescent="0.25">
      <c r="A2715">
        <v>2714</v>
      </c>
      <c r="B2715" s="2">
        <v>45790</v>
      </c>
      <c r="C2715" t="s">
        <v>31</v>
      </c>
      <c r="D2715" t="s">
        <v>13</v>
      </c>
      <c r="E2715" t="s">
        <v>22</v>
      </c>
      <c r="F2715" t="s">
        <v>21</v>
      </c>
      <c r="G2715">
        <v>283</v>
      </c>
      <c r="H2715">
        <v>85.6</v>
      </c>
      <c r="I2715">
        <v>1</v>
      </c>
      <c r="J2715" t="s">
        <v>15</v>
      </c>
      <c r="K2715">
        <v>24224.799999999999</v>
      </c>
      <c r="L2715" t="str">
        <f t="shared" si="168"/>
        <v>May</v>
      </c>
      <c r="M2715">
        <f t="shared" si="169"/>
        <v>2025</v>
      </c>
      <c r="N2715">
        <f t="shared" si="170"/>
        <v>24224.799999999999</v>
      </c>
      <c r="O2715" t="str">
        <f t="shared" si="171"/>
        <v>Minor Delay</v>
      </c>
    </row>
    <row r="2716" spans="1:15" x14ac:dyDescent="0.25">
      <c r="A2716">
        <v>2715</v>
      </c>
      <c r="B2716" s="2">
        <v>45756</v>
      </c>
      <c r="C2716" t="s">
        <v>11</v>
      </c>
      <c r="D2716" t="s">
        <v>29</v>
      </c>
      <c r="E2716" t="s">
        <v>17</v>
      </c>
      <c r="F2716" t="s">
        <v>14</v>
      </c>
      <c r="G2716">
        <v>94</v>
      </c>
      <c r="H2716">
        <v>64.849999999999994</v>
      </c>
      <c r="I2716">
        <v>31</v>
      </c>
      <c r="J2716" t="s">
        <v>15</v>
      </c>
      <c r="K2716">
        <v>6095.9</v>
      </c>
      <c r="L2716" t="str">
        <f t="shared" si="168"/>
        <v>Apr</v>
      </c>
      <c r="M2716">
        <f t="shared" si="169"/>
        <v>2025</v>
      </c>
      <c r="N2716">
        <f t="shared" si="170"/>
        <v>6095.9</v>
      </c>
      <c r="O2716" t="str">
        <f t="shared" si="171"/>
        <v>Moderate Delay</v>
      </c>
    </row>
    <row r="2717" spans="1:15" x14ac:dyDescent="0.25">
      <c r="A2717">
        <v>2716</v>
      </c>
      <c r="B2717" s="2">
        <v>45834</v>
      </c>
      <c r="C2717" t="s">
        <v>16</v>
      </c>
      <c r="D2717" t="s">
        <v>22</v>
      </c>
      <c r="E2717" t="s">
        <v>17</v>
      </c>
      <c r="F2717" t="s">
        <v>14</v>
      </c>
      <c r="G2717">
        <v>208</v>
      </c>
      <c r="H2717">
        <v>714.7</v>
      </c>
      <c r="I2717">
        <v>40</v>
      </c>
      <c r="J2717" t="s">
        <v>15</v>
      </c>
      <c r="K2717">
        <v>148657.60000000001</v>
      </c>
      <c r="L2717" t="str">
        <f t="shared" si="168"/>
        <v>Jun</v>
      </c>
      <c r="M2717">
        <f t="shared" si="169"/>
        <v>2025</v>
      </c>
      <c r="N2717">
        <f t="shared" si="170"/>
        <v>148657.60000000001</v>
      </c>
      <c r="O2717" t="str">
        <f t="shared" si="171"/>
        <v>Moderate Delay</v>
      </c>
    </row>
    <row r="2718" spans="1:15" x14ac:dyDescent="0.25">
      <c r="A2718">
        <v>2717</v>
      </c>
      <c r="B2718" s="2">
        <v>45826</v>
      </c>
      <c r="C2718" t="s">
        <v>25</v>
      </c>
      <c r="D2718" t="s">
        <v>22</v>
      </c>
      <c r="E2718" t="s">
        <v>23</v>
      </c>
      <c r="F2718" t="s">
        <v>21</v>
      </c>
      <c r="G2718">
        <v>279</v>
      </c>
      <c r="H2718">
        <v>84.71</v>
      </c>
      <c r="I2718">
        <v>40</v>
      </c>
      <c r="J2718" t="s">
        <v>30</v>
      </c>
      <c r="K2718">
        <v>23634.09</v>
      </c>
      <c r="L2718" t="str">
        <f t="shared" si="168"/>
        <v>Jun</v>
      </c>
      <c r="M2718">
        <f t="shared" si="169"/>
        <v>2025</v>
      </c>
      <c r="N2718">
        <f t="shared" si="170"/>
        <v>23634.089999999997</v>
      </c>
      <c r="O2718" t="str">
        <f t="shared" si="171"/>
        <v>Moderate Delay</v>
      </c>
    </row>
    <row r="2719" spans="1:15" x14ac:dyDescent="0.25">
      <c r="A2719">
        <v>2718</v>
      </c>
      <c r="B2719" s="2">
        <v>46013</v>
      </c>
      <c r="C2719" t="s">
        <v>11</v>
      </c>
      <c r="D2719" t="s">
        <v>27</v>
      </c>
      <c r="E2719" t="s">
        <v>23</v>
      </c>
      <c r="F2719" t="s">
        <v>21</v>
      </c>
      <c r="G2719">
        <v>99</v>
      </c>
      <c r="H2719">
        <v>618.74</v>
      </c>
      <c r="I2719">
        <v>0</v>
      </c>
      <c r="J2719" t="s">
        <v>15</v>
      </c>
      <c r="K2719">
        <v>61255.26</v>
      </c>
      <c r="L2719" t="str">
        <f t="shared" si="168"/>
        <v>Dec</v>
      </c>
      <c r="M2719">
        <f t="shared" si="169"/>
        <v>2025</v>
      </c>
      <c r="N2719">
        <f t="shared" si="170"/>
        <v>61255.26</v>
      </c>
      <c r="O2719" t="str">
        <f t="shared" si="171"/>
        <v>On Time</v>
      </c>
    </row>
    <row r="2720" spans="1:15" x14ac:dyDescent="0.25">
      <c r="A2720">
        <v>2719</v>
      </c>
      <c r="B2720" s="2">
        <v>45784</v>
      </c>
      <c r="C2720" t="s">
        <v>18</v>
      </c>
      <c r="D2720" t="s">
        <v>29</v>
      </c>
      <c r="E2720" t="s">
        <v>22</v>
      </c>
      <c r="F2720" t="s">
        <v>14</v>
      </c>
      <c r="G2720">
        <v>201</v>
      </c>
      <c r="H2720">
        <v>375.8</v>
      </c>
      <c r="I2720">
        <v>51</v>
      </c>
      <c r="J2720" t="s">
        <v>15</v>
      </c>
      <c r="K2720">
        <v>75535.8</v>
      </c>
      <c r="L2720" t="str">
        <f t="shared" si="168"/>
        <v>May</v>
      </c>
      <c r="M2720">
        <f t="shared" si="169"/>
        <v>2025</v>
      </c>
      <c r="N2720">
        <f t="shared" si="170"/>
        <v>75535.8</v>
      </c>
      <c r="O2720" t="str">
        <f t="shared" si="171"/>
        <v>Moderate Delay</v>
      </c>
    </row>
    <row r="2721" spans="1:15" x14ac:dyDescent="0.25">
      <c r="A2721">
        <v>2720</v>
      </c>
      <c r="B2721" s="2">
        <v>45720</v>
      </c>
      <c r="C2721" t="s">
        <v>11</v>
      </c>
      <c r="D2721" t="s">
        <v>27</v>
      </c>
      <c r="E2721" t="s">
        <v>19</v>
      </c>
      <c r="F2721" t="s">
        <v>24</v>
      </c>
      <c r="G2721">
        <v>242</v>
      </c>
      <c r="H2721">
        <v>259.95999999999998</v>
      </c>
      <c r="I2721">
        <v>21</v>
      </c>
      <c r="J2721" t="s">
        <v>15</v>
      </c>
      <c r="K2721">
        <v>62910.32</v>
      </c>
      <c r="L2721" t="str">
        <f t="shared" si="168"/>
        <v>Mar</v>
      </c>
      <c r="M2721">
        <f t="shared" si="169"/>
        <v>2025</v>
      </c>
      <c r="N2721">
        <f t="shared" si="170"/>
        <v>62910.319999999992</v>
      </c>
      <c r="O2721" t="str">
        <f t="shared" si="171"/>
        <v>Minor Delay</v>
      </c>
    </row>
    <row r="2722" spans="1:15" x14ac:dyDescent="0.25">
      <c r="A2722">
        <v>2721</v>
      </c>
      <c r="B2722" s="2">
        <v>45828</v>
      </c>
      <c r="C2722" t="s">
        <v>31</v>
      </c>
      <c r="D2722" t="s">
        <v>13</v>
      </c>
      <c r="E2722" t="s">
        <v>27</v>
      </c>
      <c r="F2722" t="s">
        <v>24</v>
      </c>
      <c r="G2722">
        <v>130</v>
      </c>
      <c r="H2722">
        <v>731.68</v>
      </c>
      <c r="I2722">
        <v>0</v>
      </c>
      <c r="J2722" t="s">
        <v>30</v>
      </c>
      <c r="K2722">
        <v>95118.399999999994</v>
      </c>
      <c r="L2722" t="str">
        <f t="shared" si="168"/>
        <v>Jun</v>
      </c>
      <c r="M2722">
        <f t="shared" si="169"/>
        <v>2025</v>
      </c>
      <c r="N2722">
        <f t="shared" si="170"/>
        <v>95118.399999999994</v>
      </c>
      <c r="O2722" t="str">
        <f t="shared" si="171"/>
        <v>On Time</v>
      </c>
    </row>
    <row r="2723" spans="1:15" x14ac:dyDescent="0.25">
      <c r="A2723">
        <v>2722</v>
      </c>
      <c r="B2723" s="2">
        <v>45782</v>
      </c>
      <c r="C2723" t="s">
        <v>18</v>
      </c>
      <c r="D2723" t="s">
        <v>12</v>
      </c>
      <c r="E2723" t="s">
        <v>19</v>
      </c>
      <c r="F2723" t="s">
        <v>24</v>
      </c>
      <c r="G2723">
        <v>100</v>
      </c>
      <c r="H2723">
        <v>115.69</v>
      </c>
      <c r="I2723">
        <v>0</v>
      </c>
      <c r="J2723" t="s">
        <v>15</v>
      </c>
      <c r="K2723">
        <v>11569</v>
      </c>
      <c r="L2723" t="str">
        <f t="shared" si="168"/>
        <v>May</v>
      </c>
      <c r="M2723">
        <f t="shared" si="169"/>
        <v>2025</v>
      </c>
      <c r="N2723">
        <f t="shared" si="170"/>
        <v>11569</v>
      </c>
      <c r="O2723" t="str">
        <f t="shared" si="171"/>
        <v>On Time</v>
      </c>
    </row>
    <row r="2724" spans="1:15" x14ac:dyDescent="0.25">
      <c r="A2724">
        <v>2723</v>
      </c>
      <c r="B2724" s="2">
        <v>45739</v>
      </c>
      <c r="C2724" t="s">
        <v>16</v>
      </c>
      <c r="D2724" t="s">
        <v>22</v>
      </c>
      <c r="E2724" t="s">
        <v>23</v>
      </c>
      <c r="F2724" t="s">
        <v>14</v>
      </c>
      <c r="G2724">
        <v>148</v>
      </c>
      <c r="H2724">
        <v>194.87</v>
      </c>
      <c r="I2724">
        <v>23</v>
      </c>
      <c r="J2724" t="s">
        <v>15</v>
      </c>
      <c r="K2724">
        <v>28840.76</v>
      </c>
      <c r="L2724" t="str">
        <f t="shared" si="168"/>
        <v>Mar</v>
      </c>
      <c r="M2724">
        <f t="shared" si="169"/>
        <v>2025</v>
      </c>
      <c r="N2724">
        <f t="shared" si="170"/>
        <v>28840.760000000002</v>
      </c>
      <c r="O2724" t="str">
        <f t="shared" si="171"/>
        <v>Minor Delay</v>
      </c>
    </row>
    <row r="2725" spans="1:15" x14ac:dyDescent="0.25">
      <c r="A2725">
        <v>2724</v>
      </c>
      <c r="B2725" s="2">
        <v>45833</v>
      </c>
      <c r="C2725" t="s">
        <v>31</v>
      </c>
      <c r="D2725" t="s">
        <v>19</v>
      </c>
      <c r="E2725" t="s">
        <v>27</v>
      </c>
      <c r="F2725" t="s">
        <v>14</v>
      </c>
      <c r="G2725">
        <v>200</v>
      </c>
      <c r="H2725">
        <v>158</v>
      </c>
      <c r="I2725">
        <v>0</v>
      </c>
      <c r="J2725" t="s">
        <v>15</v>
      </c>
      <c r="K2725">
        <v>31600</v>
      </c>
      <c r="L2725" t="str">
        <f t="shared" si="168"/>
        <v>Jun</v>
      </c>
      <c r="M2725">
        <f t="shared" si="169"/>
        <v>2025</v>
      </c>
      <c r="N2725">
        <f t="shared" si="170"/>
        <v>31600</v>
      </c>
      <c r="O2725" t="str">
        <f t="shared" si="171"/>
        <v>On Time</v>
      </c>
    </row>
    <row r="2726" spans="1:15" x14ac:dyDescent="0.25">
      <c r="A2726">
        <v>2725</v>
      </c>
      <c r="B2726" s="2">
        <v>45709</v>
      </c>
      <c r="C2726" t="s">
        <v>18</v>
      </c>
      <c r="D2726" t="s">
        <v>12</v>
      </c>
      <c r="E2726" t="s">
        <v>23</v>
      </c>
      <c r="F2726" t="s">
        <v>24</v>
      </c>
      <c r="G2726">
        <v>109</v>
      </c>
      <c r="H2726">
        <v>594.67999999999995</v>
      </c>
      <c r="I2726">
        <v>38</v>
      </c>
      <c r="J2726" t="s">
        <v>30</v>
      </c>
      <c r="K2726">
        <v>64820.12</v>
      </c>
      <c r="L2726" t="str">
        <f t="shared" si="168"/>
        <v>Feb</v>
      </c>
      <c r="M2726">
        <f t="shared" si="169"/>
        <v>2025</v>
      </c>
      <c r="N2726">
        <f t="shared" si="170"/>
        <v>64820.119999999995</v>
      </c>
      <c r="O2726" t="str">
        <f t="shared" si="171"/>
        <v>Moderate Delay</v>
      </c>
    </row>
    <row r="2727" spans="1:15" x14ac:dyDescent="0.25">
      <c r="A2727">
        <v>2726</v>
      </c>
      <c r="B2727" s="2">
        <v>45735</v>
      </c>
      <c r="C2727" t="s">
        <v>25</v>
      </c>
      <c r="D2727" t="s">
        <v>20</v>
      </c>
      <c r="E2727" t="s">
        <v>22</v>
      </c>
      <c r="F2727" t="s">
        <v>21</v>
      </c>
      <c r="G2727">
        <v>211</v>
      </c>
      <c r="H2727">
        <v>739.18</v>
      </c>
      <c r="I2727">
        <v>38</v>
      </c>
      <c r="J2727" t="s">
        <v>15</v>
      </c>
      <c r="K2727">
        <v>155966.98000000001</v>
      </c>
      <c r="L2727" t="str">
        <f t="shared" si="168"/>
        <v>Mar</v>
      </c>
      <c r="M2727">
        <f t="shared" si="169"/>
        <v>2025</v>
      </c>
      <c r="N2727">
        <f t="shared" si="170"/>
        <v>155966.97999999998</v>
      </c>
      <c r="O2727" t="str">
        <f t="shared" si="171"/>
        <v>Moderate Delay</v>
      </c>
    </row>
    <row r="2728" spans="1:15" x14ac:dyDescent="0.25">
      <c r="A2728">
        <v>2727</v>
      </c>
      <c r="B2728" s="2">
        <v>46017</v>
      </c>
      <c r="C2728" t="s">
        <v>16</v>
      </c>
      <c r="D2728" t="s">
        <v>12</v>
      </c>
      <c r="E2728" t="s">
        <v>19</v>
      </c>
      <c r="F2728" t="s">
        <v>21</v>
      </c>
      <c r="G2728">
        <v>158</v>
      </c>
      <c r="H2728">
        <v>149.13999999999999</v>
      </c>
      <c r="I2728">
        <v>26</v>
      </c>
      <c r="J2728" t="s">
        <v>15</v>
      </c>
      <c r="K2728">
        <v>23564.12</v>
      </c>
      <c r="L2728" t="str">
        <f t="shared" si="168"/>
        <v>Dec</v>
      </c>
      <c r="M2728">
        <f t="shared" si="169"/>
        <v>2025</v>
      </c>
      <c r="N2728">
        <f t="shared" si="170"/>
        <v>23564.12</v>
      </c>
      <c r="O2728" t="str">
        <f t="shared" si="171"/>
        <v>Minor Delay</v>
      </c>
    </row>
    <row r="2729" spans="1:15" x14ac:dyDescent="0.25">
      <c r="A2729">
        <v>2728</v>
      </c>
      <c r="B2729" s="2">
        <v>45819</v>
      </c>
      <c r="C2729" t="s">
        <v>11</v>
      </c>
      <c r="D2729" t="s">
        <v>29</v>
      </c>
      <c r="E2729" t="s">
        <v>22</v>
      </c>
      <c r="F2729" t="s">
        <v>24</v>
      </c>
      <c r="G2729">
        <v>65</v>
      </c>
      <c r="H2729">
        <v>201.38</v>
      </c>
      <c r="I2729">
        <v>3</v>
      </c>
      <c r="J2729" t="s">
        <v>15</v>
      </c>
      <c r="K2729">
        <v>13089.7</v>
      </c>
      <c r="L2729" t="str">
        <f t="shared" si="168"/>
        <v>Jun</v>
      </c>
      <c r="M2729">
        <f t="shared" si="169"/>
        <v>2025</v>
      </c>
      <c r="N2729">
        <f t="shared" si="170"/>
        <v>13089.699999999999</v>
      </c>
      <c r="O2729" t="str">
        <f t="shared" si="171"/>
        <v>Minor Delay</v>
      </c>
    </row>
    <row r="2730" spans="1:15" x14ac:dyDescent="0.25">
      <c r="A2730">
        <v>2729</v>
      </c>
      <c r="B2730" s="2">
        <v>46011</v>
      </c>
      <c r="C2730" t="s">
        <v>11</v>
      </c>
      <c r="D2730" t="s">
        <v>12</v>
      </c>
      <c r="E2730" t="s">
        <v>17</v>
      </c>
      <c r="F2730" t="s">
        <v>24</v>
      </c>
      <c r="G2730">
        <v>140</v>
      </c>
      <c r="H2730">
        <v>67.349999999999994</v>
      </c>
      <c r="I2730">
        <v>34</v>
      </c>
      <c r="J2730" t="s">
        <v>15</v>
      </c>
      <c r="K2730">
        <v>9429</v>
      </c>
      <c r="L2730" t="str">
        <f t="shared" si="168"/>
        <v>Dec</v>
      </c>
      <c r="M2730">
        <f t="shared" si="169"/>
        <v>2025</v>
      </c>
      <c r="N2730">
        <f t="shared" si="170"/>
        <v>9429</v>
      </c>
      <c r="O2730" t="str">
        <f t="shared" si="171"/>
        <v>Moderate Delay</v>
      </c>
    </row>
    <row r="2731" spans="1:15" x14ac:dyDescent="0.25">
      <c r="A2731">
        <v>2730</v>
      </c>
      <c r="B2731" s="2">
        <v>45811</v>
      </c>
      <c r="C2731" t="s">
        <v>11</v>
      </c>
      <c r="D2731" t="s">
        <v>12</v>
      </c>
      <c r="E2731" t="s">
        <v>29</v>
      </c>
      <c r="F2731" t="s">
        <v>21</v>
      </c>
      <c r="G2731">
        <v>265</v>
      </c>
      <c r="H2731">
        <v>96.53</v>
      </c>
      <c r="I2731">
        <v>29</v>
      </c>
      <c r="J2731" t="s">
        <v>30</v>
      </c>
      <c r="K2731">
        <v>25580.45</v>
      </c>
      <c r="L2731" t="str">
        <f t="shared" si="168"/>
        <v>Jun</v>
      </c>
      <c r="M2731">
        <f t="shared" si="169"/>
        <v>2025</v>
      </c>
      <c r="N2731">
        <f t="shared" si="170"/>
        <v>25580.45</v>
      </c>
      <c r="O2731" t="str">
        <f t="shared" si="171"/>
        <v>Minor Delay</v>
      </c>
    </row>
    <row r="2732" spans="1:15" x14ac:dyDescent="0.25">
      <c r="A2732">
        <v>2731</v>
      </c>
      <c r="B2732" s="2">
        <v>45984</v>
      </c>
      <c r="C2732" t="s">
        <v>11</v>
      </c>
      <c r="D2732" t="s">
        <v>20</v>
      </c>
      <c r="E2732" t="s">
        <v>27</v>
      </c>
      <c r="F2732" t="s">
        <v>24</v>
      </c>
      <c r="G2732">
        <v>169</v>
      </c>
      <c r="H2732">
        <v>508.04</v>
      </c>
      <c r="I2732">
        <v>46</v>
      </c>
      <c r="J2732" t="s">
        <v>15</v>
      </c>
      <c r="K2732">
        <v>85858.76</v>
      </c>
      <c r="L2732" t="str">
        <f t="shared" si="168"/>
        <v>Nov</v>
      </c>
      <c r="M2732">
        <f t="shared" si="169"/>
        <v>2025</v>
      </c>
      <c r="N2732">
        <f t="shared" si="170"/>
        <v>85858.760000000009</v>
      </c>
      <c r="O2732" t="str">
        <f t="shared" si="171"/>
        <v>Moderate Delay</v>
      </c>
    </row>
    <row r="2733" spans="1:15" x14ac:dyDescent="0.25">
      <c r="A2733">
        <v>2732</v>
      </c>
      <c r="B2733" s="2">
        <v>45705</v>
      </c>
      <c r="C2733" t="s">
        <v>31</v>
      </c>
      <c r="D2733" t="s">
        <v>29</v>
      </c>
      <c r="E2733" t="s">
        <v>19</v>
      </c>
      <c r="F2733" t="s">
        <v>21</v>
      </c>
      <c r="G2733">
        <v>110</v>
      </c>
      <c r="H2733">
        <v>584.07000000000005</v>
      </c>
      <c r="I2733">
        <v>47</v>
      </c>
      <c r="J2733" t="s">
        <v>15</v>
      </c>
      <c r="K2733">
        <v>64247.7</v>
      </c>
      <c r="L2733" t="str">
        <f t="shared" si="168"/>
        <v>Feb</v>
      </c>
      <c r="M2733">
        <f t="shared" si="169"/>
        <v>2025</v>
      </c>
      <c r="N2733">
        <f t="shared" si="170"/>
        <v>64247.700000000004</v>
      </c>
      <c r="O2733" t="str">
        <f t="shared" si="171"/>
        <v>Moderate Delay</v>
      </c>
    </row>
    <row r="2734" spans="1:15" x14ac:dyDescent="0.25">
      <c r="A2734">
        <v>2733</v>
      </c>
      <c r="B2734" s="2">
        <v>45960</v>
      </c>
      <c r="C2734" t="s">
        <v>11</v>
      </c>
      <c r="D2734" t="s">
        <v>22</v>
      </c>
      <c r="E2734" t="s">
        <v>12</v>
      </c>
      <c r="F2734" t="s">
        <v>21</v>
      </c>
      <c r="G2734">
        <v>287</v>
      </c>
      <c r="H2734">
        <v>777.15</v>
      </c>
      <c r="I2734">
        <v>9</v>
      </c>
      <c r="J2734" t="s">
        <v>15</v>
      </c>
      <c r="K2734">
        <v>223042.05</v>
      </c>
      <c r="L2734" t="str">
        <f t="shared" si="168"/>
        <v>Oct</v>
      </c>
      <c r="M2734">
        <f t="shared" si="169"/>
        <v>2025</v>
      </c>
      <c r="N2734">
        <f t="shared" si="170"/>
        <v>223042.05</v>
      </c>
      <c r="O2734" t="str">
        <f t="shared" si="171"/>
        <v>Minor Delay</v>
      </c>
    </row>
    <row r="2735" spans="1:15" x14ac:dyDescent="0.25">
      <c r="A2735">
        <v>2734</v>
      </c>
      <c r="B2735" s="2">
        <v>45982</v>
      </c>
      <c r="C2735" t="s">
        <v>18</v>
      </c>
      <c r="D2735" t="s">
        <v>17</v>
      </c>
      <c r="E2735" t="s">
        <v>27</v>
      </c>
      <c r="F2735" t="s">
        <v>21</v>
      </c>
      <c r="G2735">
        <v>100</v>
      </c>
      <c r="H2735">
        <v>771.62</v>
      </c>
      <c r="I2735">
        <v>49</v>
      </c>
      <c r="J2735" t="s">
        <v>30</v>
      </c>
      <c r="K2735">
        <v>77162</v>
      </c>
      <c r="L2735" t="str">
        <f t="shared" si="168"/>
        <v>Nov</v>
      </c>
      <c r="M2735">
        <f t="shared" si="169"/>
        <v>2025</v>
      </c>
      <c r="N2735">
        <f t="shared" si="170"/>
        <v>77162</v>
      </c>
      <c r="O2735" t="str">
        <f t="shared" si="171"/>
        <v>Moderate Delay</v>
      </c>
    </row>
    <row r="2736" spans="1:15" x14ac:dyDescent="0.25">
      <c r="A2736">
        <v>2735</v>
      </c>
      <c r="B2736" s="2">
        <v>45839</v>
      </c>
      <c r="C2736" t="s">
        <v>16</v>
      </c>
      <c r="D2736" t="s">
        <v>29</v>
      </c>
      <c r="E2736" t="s">
        <v>20</v>
      </c>
      <c r="F2736" t="s">
        <v>24</v>
      </c>
      <c r="G2736">
        <v>273</v>
      </c>
      <c r="H2736">
        <v>516.96</v>
      </c>
      <c r="I2736">
        <v>41</v>
      </c>
      <c r="J2736" t="s">
        <v>15</v>
      </c>
      <c r="K2736">
        <v>141130.07999999999</v>
      </c>
      <c r="L2736" t="str">
        <f t="shared" si="168"/>
        <v>Jul</v>
      </c>
      <c r="M2736">
        <f t="shared" si="169"/>
        <v>2025</v>
      </c>
      <c r="N2736">
        <f t="shared" si="170"/>
        <v>141130.08000000002</v>
      </c>
      <c r="O2736" t="str">
        <f t="shared" si="171"/>
        <v>Moderate Delay</v>
      </c>
    </row>
    <row r="2737" spans="1:15" x14ac:dyDescent="0.25">
      <c r="A2737">
        <v>2736</v>
      </c>
      <c r="B2737" s="2">
        <v>45798</v>
      </c>
      <c r="C2737" t="s">
        <v>16</v>
      </c>
      <c r="D2737" t="s">
        <v>23</v>
      </c>
      <c r="E2737" t="s">
        <v>20</v>
      </c>
      <c r="F2737" t="s">
        <v>21</v>
      </c>
      <c r="G2737">
        <v>135</v>
      </c>
      <c r="H2737">
        <v>531.04</v>
      </c>
      <c r="I2737">
        <v>28</v>
      </c>
      <c r="J2737" t="s">
        <v>15</v>
      </c>
      <c r="K2737">
        <v>71690.399999999994</v>
      </c>
      <c r="L2737" t="str">
        <f t="shared" si="168"/>
        <v>May</v>
      </c>
      <c r="M2737">
        <f t="shared" si="169"/>
        <v>2025</v>
      </c>
      <c r="N2737">
        <f t="shared" si="170"/>
        <v>71690.399999999994</v>
      </c>
      <c r="O2737" t="str">
        <f t="shared" si="171"/>
        <v>Minor Delay</v>
      </c>
    </row>
    <row r="2738" spans="1:15" x14ac:dyDescent="0.25">
      <c r="A2738">
        <v>2737</v>
      </c>
      <c r="B2738" s="2">
        <v>45935</v>
      </c>
      <c r="C2738" t="s">
        <v>11</v>
      </c>
      <c r="D2738" t="s">
        <v>22</v>
      </c>
      <c r="E2738" t="s">
        <v>19</v>
      </c>
      <c r="F2738" t="s">
        <v>24</v>
      </c>
      <c r="G2738">
        <v>229</v>
      </c>
      <c r="H2738">
        <v>383.56</v>
      </c>
      <c r="I2738">
        <v>23</v>
      </c>
      <c r="J2738" t="s">
        <v>15</v>
      </c>
      <c r="K2738">
        <v>87835.24</v>
      </c>
      <c r="L2738" t="str">
        <f t="shared" si="168"/>
        <v>Oct</v>
      </c>
      <c r="M2738">
        <f t="shared" si="169"/>
        <v>2025</v>
      </c>
      <c r="N2738">
        <f t="shared" si="170"/>
        <v>87835.24</v>
      </c>
      <c r="O2738" t="str">
        <f t="shared" si="171"/>
        <v>Minor Delay</v>
      </c>
    </row>
    <row r="2739" spans="1:15" x14ac:dyDescent="0.25">
      <c r="A2739">
        <v>2738</v>
      </c>
      <c r="B2739" s="2">
        <v>45861</v>
      </c>
      <c r="C2739" t="s">
        <v>18</v>
      </c>
      <c r="D2739" t="s">
        <v>13</v>
      </c>
      <c r="E2739" t="s">
        <v>22</v>
      </c>
      <c r="F2739" t="s">
        <v>14</v>
      </c>
      <c r="G2739">
        <v>218</v>
      </c>
      <c r="H2739">
        <v>492.53</v>
      </c>
      <c r="I2739">
        <v>7</v>
      </c>
      <c r="J2739" t="s">
        <v>15</v>
      </c>
      <c r="K2739">
        <v>107371.54</v>
      </c>
      <c r="L2739" t="str">
        <f t="shared" si="168"/>
        <v>Jul</v>
      </c>
      <c r="M2739">
        <f t="shared" si="169"/>
        <v>2025</v>
      </c>
      <c r="N2739">
        <f t="shared" si="170"/>
        <v>107371.54</v>
      </c>
      <c r="O2739" t="str">
        <f t="shared" si="171"/>
        <v>Minor Delay</v>
      </c>
    </row>
    <row r="2740" spans="1:15" x14ac:dyDescent="0.25">
      <c r="A2740">
        <v>2739</v>
      </c>
      <c r="B2740" s="2">
        <v>45984</v>
      </c>
      <c r="C2740" t="s">
        <v>26</v>
      </c>
      <c r="D2740" t="s">
        <v>23</v>
      </c>
      <c r="E2740" t="s">
        <v>19</v>
      </c>
      <c r="F2740" t="s">
        <v>21</v>
      </c>
      <c r="G2740">
        <v>145</v>
      </c>
      <c r="H2740">
        <v>119.31</v>
      </c>
      <c r="I2740">
        <v>6</v>
      </c>
      <c r="J2740" t="s">
        <v>15</v>
      </c>
      <c r="K2740">
        <v>17299.95</v>
      </c>
      <c r="L2740" t="str">
        <f t="shared" si="168"/>
        <v>Nov</v>
      </c>
      <c r="M2740">
        <f t="shared" si="169"/>
        <v>2025</v>
      </c>
      <c r="N2740">
        <f t="shared" si="170"/>
        <v>17299.95</v>
      </c>
      <c r="O2740" t="str">
        <f t="shared" si="171"/>
        <v>Minor Delay</v>
      </c>
    </row>
    <row r="2741" spans="1:15" x14ac:dyDescent="0.25">
      <c r="A2741">
        <v>2740</v>
      </c>
      <c r="B2741" s="2">
        <v>45662</v>
      </c>
      <c r="C2741" t="s">
        <v>16</v>
      </c>
      <c r="D2741" t="s">
        <v>29</v>
      </c>
      <c r="E2741" t="s">
        <v>17</v>
      </c>
      <c r="F2741" t="s">
        <v>21</v>
      </c>
      <c r="G2741">
        <v>96</v>
      </c>
      <c r="H2741">
        <v>320.97000000000003</v>
      </c>
      <c r="I2741">
        <v>12</v>
      </c>
      <c r="J2741" t="s">
        <v>15</v>
      </c>
      <c r="K2741">
        <v>30813.119999999999</v>
      </c>
      <c r="L2741" t="str">
        <f t="shared" si="168"/>
        <v>Jan</v>
      </c>
      <c r="M2741">
        <f t="shared" si="169"/>
        <v>2025</v>
      </c>
      <c r="N2741">
        <f t="shared" si="170"/>
        <v>30813.120000000003</v>
      </c>
      <c r="O2741" t="str">
        <f t="shared" si="171"/>
        <v>Minor Delay</v>
      </c>
    </row>
    <row r="2742" spans="1:15" x14ac:dyDescent="0.25">
      <c r="A2742">
        <v>2741</v>
      </c>
      <c r="B2742" s="2">
        <v>45811</v>
      </c>
      <c r="C2742" t="s">
        <v>18</v>
      </c>
      <c r="D2742" t="s">
        <v>17</v>
      </c>
      <c r="E2742" t="s">
        <v>29</v>
      </c>
      <c r="F2742" t="s">
        <v>14</v>
      </c>
      <c r="G2742">
        <v>191</v>
      </c>
      <c r="H2742">
        <v>364.28</v>
      </c>
      <c r="I2742">
        <v>3</v>
      </c>
      <c r="J2742" t="s">
        <v>15</v>
      </c>
      <c r="K2742">
        <v>69577.48</v>
      </c>
      <c r="L2742" t="str">
        <f t="shared" si="168"/>
        <v>Jun</v>
      </c>
      <c r="M2742">
        <f t="shared" si="169"/>
        <v>2025</v>
      </c>
      <c r="N2742">
        <f t="shared" si="170"/>
        <v>69577.48</v>
      </c>
      <c r="O2742" t="str">
        <f t="shared" si="171"/>
        <v>Minor Delay</v>
      </c>
    </row>
    <row r="2743" spans="1:15" x14ac:dyDescent="0.25">
      <c r="A2743">
        <v>2742</v>
      </c>
      <c r="B2743" s="2">
        <v>45744</v>
      </c>
      <c r="C2743" t="s">
        <v>11</v>
      </c>
      <c r="D2743" t="s">
        <v>13</v>
      </c>
      <c r="E2743" t="s">
        <v>29</v>
      </c>
      <c r="F2743" t="s">
        <v>14</v>
      </c>
      <c r="G2743">
        <v>286</v>
      </c>
      <c r="H2743">
        <v>262.41000000000003</v>
      </c>
      <c r="I2743">
        <v>9</v>
      </c>
      <c r="J2743" t="s">
        <v>15</v>
      </c>
      <c r="K2743">
        <v>75049.259999999995</v>
      </c>
      <c r="L2743" t="str">
        <f t="shared" si="168"/>
        <v>Mar</v>
      </c>
      <c r="M2743">
        <f t="shared" si="169"/>
        <v>2025</v>
      </c>
      <c r="N2743">
        <f t="shared" si="170"/>
        <v>75049.260000000009</v>
      </c>
      <c r="O2743" t="str">
        <f t="shared" si="171"/>
        <v>Minor Delay</v>
      </c>
    </row>
    <row r="2744" spans="1:15" x14ac:dyDescent="0.25">
      <c r="A2744">
        <v>2743</v>
      </c>
      <c r="B2744" s="2">
        <v>45664</v>
      </c>
      <c r="C2744" t="s">
        <v>31</v>
      </c>
      <c r="D2744" t="s">
        <v>29</v>
      </c>
      <c r="E2744" t="s">
        <v>13</v>
      </c>
      <c r="F2744" t="s">
        <v>21</v>
      </c>
      <c r="G2744">
        <v>217</v>
      </c>
      <c r="H2744">
        <v>368.95</v>
      </c>
      <c r="I2744">
        <v>38</v>
      </c>
      <c r="J2744" t="s">
        <v>15</v>
      </c>
      <c r="K2744">
        <v>80062.149999999994</v>
      </c>
      <c r="L2744" t="str">
        <f t="shared" si="168"/>
        <v>Jan</v>
      </c>
      <c r="M2744">
        <f t="shared" si="169"/>
        <v>2025</v>
      </c>
      <c r="N2744">
        <f t="shared" si="170"/>
        <v>80062.149999999994</v>
      </c>
      <c r="O2744" t="str">
        <f t="shared" si="171"/>
        <v>Moderate Delay</v>
      </c>
    </row>
    <row r="2745" spans="1:15" x14ac:dyDescent="0.25">
      <c r="A2745">
        <v>2744</v>
      </c>
      <c r="B2745" s="2">
        <v>45658</v>
      </c>
      <c r="C2745" t="s">
        <v>26</v>
      </c>
      <c r="D2745" t="s">
        <v>17</v>
      </c>
      <c r="E2745" t="s">
        <v>20</v>
      </c>
      <c r="F2745" t="s">
        <v>24</v>
      </c>
      <c r="G2745">
        <v>261</v>
      </c>
      <c r="H2745">
        <v>680.97</v>
      </c>
      <c r="I2745">
        <v>53</v>
      </c>
      <c r="J2745" t="s">
        <v>30</v>
      </c>
      <c r="K2745">
        <v>177733.17</v>
      </c>
      <c r="L2745" t="str">
        <f t="shared" si="168"/>
        <v>Jan</v>
      </c>
      <c r="M2745">
        <f t="shared" si="169"/>
        <v>2025</v>
      </c>
      <c r="N2745">
        <f t="shared" si="170"/>
        <v>177733.17</v>
      </c>
      <c r="O2745" t="str">
        <f t="shared" si="171"/>
        <v>Moderate Delay</v>
      </c>
    </row>
    <row r="2746" spans="1:15" x14ac:dyDescent="0.25">
      <c r="A2746">
        <v>2745</v>
      </c>
      <c r="B2746" s="2">
        <v>45757</v>
      </c>
      <c r="C2746" t="s">
        <v>11</v>
      </c>
      <c r="D2746" t="s">
        <v>22</v>
      </c>
      <c r="E2746" t="s">
        <v>20</v>
      </c>
      <c r="F2746" t="s">
        <v>14</v>
      </c>
      <c r="G2746">
        <v>172</v>
      </c>
      <c r="H2746">
        <v>678.61</v>
      </c>
      <c r="I2746">
        <v>17</v>
      </c>
      <c r="J2746" t="s">
        <v>15</v>
      </c>
      <c r="K2746">
        <v>116720.92</v>
      </c>
      <c r="L2746" t="str">
        <f t="shared" si="168"/>
        <v>Apr</v>
      </c>
      <c r="M2746">
        <f t="shared" si="169"/>
        <v>2025</v>
      </c>
      <c r="N2746">
        <f t="shared" si="170"/>
        <v>116720.92</v>
      </c>
      <c r="O2746" t="str">
        <f t="shared" si="171"/>
        <v>Minor Delay</v>
      </c>
    </row>
    <row r="2747" spans="1:15" x14ac:dyDescent="0.25">
      <c r="A2747">
        <v>2746</v>
      </c>
      <c r="B2747" s="2">
        <v>45701</v>
      </c>
      <c r="C2747" t="s">
        <v>31</v>
      </c>
      <c r="D2747" t="s">
        <v>12</v>
      </c>
      <c r="E2747" t="s">
        <v>13</v>
      </c>
      <c r="F2747" t="s">
        <v>14</v>
      </c>
      <c r="G2747">
        <v>112</v>
      </c>
      <c r="H2747">
        <v>334.34</v>
      </c>
      <c r="I2747">
        <v>16</v>
      </c>
      <c r="J2747" t="s">
        <v>15</v>
      </c>
      <c r="K2747">
        <v>37446.080000000002</v>
      </c>
      <c r="L2747" t="str">
        <f t="shared" si="168"/>
        <v>Feb</v>
      </c>
      <c r="M2747">
        <f t="shared" si="169"/>
        <v>2025</v>
      </c>
      <c r="N2747">
        <f t="shared" si="170"/>
        <v>37446.079999999994</v>
      </c>
      <c r="O2747" t="str">
        <f t="shared" si="171"/>
        <v>Minor Delay</v>
      </c>
    </row>
    <row r="2748" spans="1:15" x14ac:dyDescent="0.25">
      <c r="A2748">
        <v>2747</v>
      </c>
      <c r="B2748" s="2">
        <v>45740</v>
      </c>
      <c r="C2748" t="s">
        <v>26</v>
      </c>
      <c r="D2748" t="s">
        <v>29</v>
      </c>
      <c r="E2748" t="s">
        <v>19</v>
      </c>
      <c r="F2748" t="s">
        <v>24</v>
      </c>
      <c r="G2748">
        <v>73</v>
      </c>
      <c r="H2748">
        <v>124.26</v>
      </c>
      <c r="I2748">
        <v>0</v>
      </c>
      <c r="J2748" t="s">
        <v>15</v>
      </c>
      <c r="K2748">
        <v>9070.98</v>
      </c>
      <c r="L2748" t="str">
        <f t="shared" si="168"/>
        <v>Mar</v>
      </c>
      <c r="M2748">
        <f t="shared" si="169"/>
        <v>2025</v>
      </c>
      <c r="N2748">
        <f t="shared" si="170"/>
        <v>9070.98</v>
      </c>
      <c r="O2748" t="str">
        <f t="shared" si="171"/>
        <v>On Time</v>
      </c>
    </row>
    <row r="2749" spans="1:15" x14ac:dyDescent="0.25">
      <c r="A2749">
        <v>2748</v>
      </c>
      <c r="B2749" s="2">
        <v>45668</v>
      </c>
      <c r="C2749" t="s">
        <v>31</v>
      </c>
      <c r="D2749" t="s">
        <v>13</v>
      </c>
      <c r="E2749" t="s">
        <v>20</v>
      </c>
      <c r="F2749" t="s">
        <v>14</v>
      </c>
      <c r="G2749">
        <v>168</v>
      </c>
      <c r="H2749">
        <v>419.53</v>
      </c>
      <c r="I2749">
        <v>6</v>
      </c>
      <c r="J2749" t="s">
        <v>15</v>
      </c>
      <c r="K2749">
        <v>70481.039999999994</v>
      </c>
      <c r="L2749" t="str">
        <f t="shared" si="168"/>
        <v>Jan</v>
      </c>
      <c r="M2749">
        <f t="shared" si="169"/>
        <v>2025</v>
      </c>
      <c r="N2749">
        <f t="shared" si="170"/>
        <v>70481.039999999994</v>
      </c>
      <c r="O2749" t="str">
        <f t="shared" si="171"/>
        <v>Minor Delay</v>
      </c>
    </row>
    <row r="2750" spans="1:15" x14ac:dyDescent="0.25">
      <c r="A2750">
        <v>2749</v>
      </c>
      <c r="B2750" s="2">
        <v>45862</v>
      </c>
      <c r="C2750" t="s">
        <v>16</v>
      </c>
      <c r="D2750" t="s">
        <v>17</v>
      </c>
      <c r="E2750" t="s">
        <v>23</v>
      </c>
      <c r="F2750" t="s">
        <v>21</v>
      </c>
      <c r="G2750">
        <v>241</v>
      </c>
      <c r="H2750">
        <v>369.31</v>
      </c>
      <c r="I2750">
        <v>35</v>
      </c>
      <c r="J2750" t="s">
        <v>15</v>
      </c>
      <c r="K2750">
        <v>89003.71</v>
      </c>
      <c r="L2750" t="str">
        <f t="shared" si="168"/>
        <v>Jul</v>
      </c>
      <c r="M2750">
        <f t="shared" si="169"/>
        <v>2025</v>
      </c>
      <c r="N2750">
        <f t="shared" si="170"/>
        <v>89003.71</v>
      </c>
      <c r="O2750" t="str">
        <f t="shared" si="171"/>
        <v>Moderate Delay</v>
      </c>
    </row>
    <row r="2751" spans="1:15" x14ac:dyDescent="0.25">
      <c r="A2751">
        <v>2750</v>
      </c>
      <c r="B2751" s="2">
        <v>45802</v>
      </c>
      <c r="C2751" t="s">
        <v>11</v>
      </c>
      <c r="D2751" t="s">
        <v>29</v>
      </c>
      <c r="E2751" t="s">
        <v>20</v>
      </c>
      <c r="F2751" t="s">
        <v>21</v>
      </c>
      <c r="G2751">
        <v>184</v>
      </c>
      <c r="H2751">
        <v>587.79</v>
      </c>
      <c r="I2751">
        <v>0</v>
      </c>
      <c r="J2751" t="s">
        <v>15</v>
      </c>
      <c r="K2751">
        <v>108153.36</v>
      </c>
      <c r="L2751" t="str">
        <f t="shared" si="168"/>
        <v>May</v>
      </c>
      <c r="M2751">
        <f t="shared" si="169"/>
        <v>2025</v>
      </c>
      <c r="N2751">
        <f t="shared" si="170"/>
        <v>108153.35999999999</v>
      </c>
      <c r="O2751" t="str">
        <f t="shared" si="171"/>
        <v>On Time</v>
      </c>
    </row>
    <row r="2752" spans="1:15" x14ac:dyDescent="0.25">
      <c r="A2752">
        <v>2751</v>
      </c>
      <c r="B2752" s="2">
        <v>45774</v>
      </c>
      <c r="C2752" t="s">
        <v>18</v>
      </c>
      <c r="D2752" t="s">
        <v>13</v>
      </c>
      <c r="E2752" t="s">
        <v>17</v>
      </c>
      <c r="F2752" t="s">
        <v>14</v>
      </c>
      <c r="G2752">
        <v>101</v>
      </c>
      <c r="H2752">
        <v>260.82</v>
      </c>
      <c r="I2752">
        <v>59</v>
      </c>
      <c r="J2752" t="s">
        <v>15</v>
      </c>
      <c r="K2752">
        <v>26342.82</v>
      </c>
      <c r="L2752" t="str">
        <f t="shared" si="168"/>
        <v>Apr</v>
      </c>
      <c r="M2752">
        <f t="shared" si="169"/>
        <v>2025</v>
      </c>
      <c r="N2752">
        <f t="shared" si="170"/>
        <v>26342.82</v>
      </c>
      <c r="O2752" t="str">
        <f t="shared" si="171"/>
        <v>Moderate Delay</v>
      </c>
    </row>
    <row r="2753" spans="1:15" x14ac:dyDescent="0.25">
      <c r="A2753">
        <v>2752</v>
      </c>
      <c r="B2753" s="2">
        <v>45763</v>
      </c>
      <c r="C2753" t="s">
        <v>11</v>
      </c>
      <c r="D2753" t="s">
        <v>19</v>
      </c>
      <c r="E2753" t="s">
        <v>12</v>
      </c>
      <c r="F2753" t="s">
        <v>24</v>
      </c>
      <c r="G2753">
        <v>79</v>
      </c>
      <c r="H2753">
        <v>69.2</v>
      </c>
      <c r="I2753">
        <v>45</v>
      </c>
      <c r="J2753" t="s">
        <v>30</v>
      </c>
      <c r="K2753">
        <v>5466.8</v>
      </c>
      <c r="L2753" t="str">
        <f t="shared" si="168"/>
        <v>Apr</v>
      </c>
      <c r="M2753">
        <f t="shared" si="169"/>
        <v>2025</v>
      </c>
      <c r="N2753">
        <f t="shared" si="170"/>
        <v>5466.8</v>
      </c>
      <c r="O2753" t="str">
        <f t="shared" si="171"/>
        <v>Moderate Delay</v>
      </c>
    </row>
    <row r="2754" spans="1:15" x14ac:dyDescent="0.25">
      <c r="A2754">
        <v>2753</v>
      </c>
      <c r="B2754" s="2">
        <v>46022</v>
      </c>
      <c r="C2754" t="s">
        <v>16</v>
      </c>
      <c r="D2754" t="s">
        <v>23</v>
      </c>
      <c r="E2754" t="s">
        <v>22</v>
      </c>
      <c r="F2754" t="s">
        <v>24</v>
      </c>
      <c r="G2754">
        <v>126</v>
      </c>
      <c r="H2754">
        <v>161.54</v>
      </c>
      <c r="I2754">
        <v>23</v>
      </c>
      <c r="J2754" t="s">
        <v>15</v>
      </c>
      <c r="K2754">
        <v>20354.04</v>
      </c>
      <c r="L2754" t="str">
        <f t="shared" si="168"/>
        <v>Dec</v>
      </c>
      <c r="M2754">
        <f t="shared" si="169"/>
        <v>2025</v>
      </c>
      <c r="N2754">
        <f t="shared" si="170"/>
        <v>20354.039999999997</v>
      </c>
      <c r="O2754" t="str">
        <f t="shared" si="171"/>
        <v>Minor Delay</v>
      </c>
    </row>
    <row r="2755" spans="1:15" x14ac:dyDescent="0.25">
      <c r="A2755">
        <v>2754</v>
      </c>
      <c r="B2755" s="2">
        <v>45758</v>
      </c>
      <c r="C2755" t="s">
        <v>18</v>
      </c>
      <c r="D2755" t="s">
        <v>23</v>
      </c>
      <c r="E2755" t="s">
        <v>12</v>
      </c>
      <c r="F2755" t="s">
        <v>14</v>
      </c>
      <c r="G2755">
        <v>168</v>
      </c>
      <c r="H2755">
        <v>407.7</v>
      </c>
      <c r="I2755">
        <v>30</v>
      </c>
      <c r="J2755" t="s">
        <v>30</v>
      </c>
      <c r="K2755">
        <v>68493.600000000006</v>
      </c>
      <c r="L2755" t="str">
        <f t="shared" ref="L2755:L2818" si="172">TEXT(B2755,"MMM")</f>
        <v>Apr</v>
      </c>
      <c r="M2755">
        <f t="shared" ref="M2755:M2818" si="173">YEAR(B2755)</f>
        <v>2025</v>
      </c>
      <c r="N2755">
        <f t="shared" ref="N2755:N2818" si="174">G2755*H2755</f>
        <v>68493.599999999991</v>
      </c>
      <c r="O2755" t="str">
        <f t="shared" ref="O2755:O2818" si="175">IF(I2755=0,"On Time",IF(I2755&lt;=30,"Minor Delay",IF(I2755&lt;=60,"Moderate Delay","Major Delay")))</f>
        <v>Minor Delay</v>
      </c>
    </row>
    <row r="2756" spans="1:15" x14ac:dyDescent="0.25">
      <c r="A2756">
        <v>2755</v>
      </c>
      <c r="B2756" s="2">
        <v>45902</v>
      </c>
      <c r="C2756" t="s">
        <v>18</v>
      </c>
      <c r="D2756" t="s">
        <v>27</v>
      </c>
      <c r="E2756" t="s">
        <v>22</v>
      </c>
      <c r="F2756" t="s">
        <v>14</v>
      </c>
      <c r="G2756">
        <v>158</v>
      </c>
      <c r="H2756">
        <v>695.4</v>
      </c>
      <c r="I2756">
        <v>24</v>
      </c>
      <c r="J2756" t="s">
        <v>15</v>
      </c>
      <c r="K2756">
        <v>109873.2</v>
      </c>
      <c r="L2756" t="str">
        <f t="shared" si="172"/>
        <v>Sep</v>
      </c>
      <c r="M2756">
        <f t="shared" si="173"/>
        <v>2025</v>
      </c>
      <c r="N2756">
        <f t="shared" si="174"/>
        <v>109873.2</v>
      </c>
      <c r="O2756" t="str">
        <f t="shared" si="175"/>
        <v>Minor Delay</v>
      </c>
    </row>
    <row r="2757" spans="1:15" x14ac:dyDescent="0.25">
      <c r="A2757">
        <v>2756</v>
      </c>
      <c r="B2757" s="2">
        <v>45877</v>
      </c>
      <c r="C2757" t="s">
        <v>16</v>
      </c>
      <c r="D2757" t="s">
        <v>13</v>
      </c>
      <c r="E2757" t="s">
        <v>22</v>
      </c>
      <c r="F2757" t="s">
        <v>24</v>
      </c>
      <c r="G2757">
        <v>133</v>
      </c>
      <c r="H2757">
        <v>695.18</v>
      </c>
      <c r="I2757">
        <v>38</v>
      </c>
      <c r="J2757" t="s">
        <v>15</v>
      </c>
      <c r="K2757">
        <v>92458.94</v>
      </c>
      <c r="L2757" t="str">
        <f t="shared" si="172"/>
        <v>Aug</v>
      </c>
      <c r="M2757">
        <f t="shared" si="173"/>
        <v>2025</v>
      </c>
      <c r="N2757">
        <f t="shared" si="174"/>
        <v>92458.939999999988</v>
      </c>
      <c r="O2757" t="str">
        <f t="shared" si="175"/>
        <v>Moderate Delay</v>
      </c>
    </row>
    <row r="2758" spans="1:15" x14ac:dyDescent="0.25">
      <c r="A2758">
        <v>2757</v>
      </c>
      <c r="B2758" s="2">
        <v>45668</v>
      </c>
      <c r="C2758" t="s">
        <v>16</v>
      </c>
      <c r="D2758" t="s">
        <v>27</v>
      </c>
      <c r="E2758" t="s">
        <v>20</v>
      </c>
      <c r="F2758" t="s">
        <v>24</v>
      </c>
      <c r="G2758">
        <v>208</v>
      </c>
      <c r="H2758">
        <v>515.47</v>
      </c>
      <c r="I2758">
        <v>27</v>
      </c>
      <c r="J2758" t="s">
        <v>15</v>
      </c>
      <c r="K2758">
        <v>107217.76</v>
      </c>
      <c r="L2758" t="str">
        <f t="shared" si="172"/>
        <v>Jan</v>
      </c>
      <c r="M2758">
        <f t="shared" si="173"/>
        <v>2025</v>
      </c>
      <c r="N2758">
        <f t="shared" si="174"/>
        <v>107217.76000000001</v>
      </c>
      <c r="O2758" t="str">
        <f t="shared" si="175"/>
        <v>Minor Delay</v>
      </c>
    </row>
    <row r="2759" spans="1:15" x14ac:dyDescent="0.25">
      <c r="A2759">
        <v>2758</v>
      </c>
      <c r="B2759" s="2">
        <v>45944</v>
      </c>
      <c r="C2759" t="s">
        <v>11</v>
      </c>
      <c r="D2759" t="s">
        <v>29</v>
      </c>
      <c r="E2759" t="s">
        <v>22</v>
      </c>
      <c r="F2759" t="s">
        <v>24</v>
      </c>
      <c r="G2759">
        <v>128</v>
      </c>
      <c r="H2759">
        <v>257.29000000000002</v>
      </c>
      <c r="I2759">
        <v>39</v>
      </c>
      <c r="J2759" t="s">
        <v>15</v>
      </c>
      <c r="K2759">
        <v>32933.120000000003</v>
      </c>
      <c r="L2759" t="str">
        <f t="shared" si="172"/>
        <v>Oct</v>
      </c>
      <c r="M2759">
        <f t="shared" si="173"/>
        <v>2025</v>
      </c>
      <c r="N2759">
        <f t="shared" si="174"/>
        <v>32933.120000000003</v>
      </c>
      <c r="O2759" t="str">
        <f t="shared" si="175"/>
        <v>Moderate Delay</v>
      </c>
    </row>
    <row r="2760" spans="1:15" x14ac:dyDescent="0.25">
      <c r="A2760">
        <v>2759</v>
      </c>
      <c r="B2760" s="2">
        <v>45770</v>
      </c>
      <c r="C2760" t="s">
        <v>26</v>
      </c>
      <c r="D2760" t="s">
        <v>20</v>
      </c>
      <c r="E2760" t="s">
        <v>29</v>
      </c>
      <c r="F2760" t="s">
        <v>24</v>
      </c>
      <c r="G2760">
        <v>159</v>
      </c>
      <c r="H2760">
        <v>637.87</v>
      </c>
      <c r="I2760">
        <v>28</v>
      </c>
      <c r="J2760" t="s">
        <v>15</v>
      </c>
      <c r="K2760">
        <v>101421.33</v>
      </c>
      <c r="L2760" t="str">
        <f t="shared" si="172"/>
        <v>Apr</v>
      </c>
      <c r="M2760">
        <f t="shared" si="173"/>
        <v>2025</v>
      </c>
      <c r="N2760">
        <f t="shared" si="174"/>
        <v>101421.33</v>
      </c>
      <c r="O2760" t="str">
        <f t="shared" si="175"/>
        <v>Minor Delay</v>
      </c>
    </row>
    <row r="2761" spans="1:15" x14ac:dyDescent="0.25">
      <c r="A2761">
        <v>2760</v>
      </c>
      <c r="B2761" s="2">
        <v>45949</v>
      </c>
      <c r="C2761" t="s">
        <v>16</v>
      </c>
      <c r="D2761" t="s">
        <v>23</v>
      </c>
      <c r="E2761" t="s">
        <v>27</v>
      </c>
      <c r="F2761" t="s">
        <v>14</v>
      </c>
      <c r="G2761">
        <v>141</v>
      </c>
      <c r="H2761">
        <v>706.87</v>
      </c>
      <c r="I2761">
        <v>0</v>
      </c>
      <c r="J2761" t="s">
        <v>15</v>
      </c>
      <c r="K2761">
        <v>99668.67</v>
      </c>
      <c r="L2761" t="str">
        <f t="shared" si="172"/>
        <v>Oct</v>
      </c>
      <c r="M2761">
        <f t="shared" si="173"/>
        <v>2025</v>
      </c>
      <c r="N2761">
        <f t="shared" si="174"/>
        <v>99668.67</v>
      </c>
      <c r="O2761" t="str">
        <f t="shared" si="175"/>
        <v>On Time</v>
      </c>
    </row>
    <row r="2762" spans="1:15" x14ac:dyDescent="0.25">
      <c r="A2762">
        <v>2761</v>
      </c>
      <c r="B2762" s="2">
        <v>45851</v>
      </c>
      <c r="C2762" t="s">
        <v>11</v>
      </c>
      <c r="D2762" t="s">
        <v>22</v>
      </c>
      <c r="E2762" t="s">
        <v>19</v>
      </c>
      <c r="F2762" t="s">
        <v>24</v>
      </c>
      <c r="G2762">
        <v>193</v>
      </c>
      <c r="H2762">
        <v>480.19</v>
      </c>
      <c r="I2762">
        <v>14</v>
      </c>
      <c r="J2762" t="s">
        <v>15</v>
      </c>
      <c r="K2762">
        <v>92676.67</v>
      </c>
      <c r="L2762" t="str">
        <f t="shared" si="172"/>
        <v>Jul</v>
      </c>
      <c r="M2762">
        <f t="shared" si="173"/>
        <v>2025</v>
      </c>
      <c r="N2762">
        <f t="shared" si="174"/>
        <v>92676.67</v>
      </c>
      <c r="O2762" t="str">
        <f t="shared" si="175"/>
        <v>Minor Delay</v>
      </c>
    </row>
    <row r="2763" spans="1:15" x14ac:dyDescent="0.25">
      <c r="A2763">
        <v>2762</v>
      </c>
      <c r="B2763" s="2">
        <v>45690</v>
      </c>
      <c r="C2763" t="s">
        <v>25</v>
      </c>
      <c r="D2763" t="s">
        <v>17</v>
      </c>
      <c r="E2763" t="s">
        <v>23</v>
      </c>
      <c r="F2763" t="s">
        <v>14</v>
      </c>
      <c r="G2763">
        <v>300</v>
      </c>
      <c r="H2763">
        <v>768.39</v>
      </c>
      <c r="I2763">
        <v>47</v>
      </c>
      <c r="J2763" t="s">
        <v>15</v>
      </c>
      <c r="K2763">
        <v>230517</v>
      </c>
      <c r="L2763" t="str">
        <f t="shared" si="172"/>
        <v>Feb</v>
      </c>
      <c r="M2763">
        <f t="shared" si="173"/>
        <v>2025</v>
      </c>
      <c r="N2763">
        <f t="shared" si="174"/>
        <v>230517</v>
      </c>
      <c r="O2763" t="str">
        <f t="shared" si="175"/>
        <v>Moderate Delay</v>
      </c>
    </row>
    <row r="2764" spans="1:15" x14ac:dyDescent="0.25">
      <c r="A2764">
        <v>2763</v>
      </c>
      <c r="B2764" s="2">
        <v>45978</v>
      </c>
      <c r="C2764" t="s">
        <v>26</v>
      </c>
      <c r="D2764" t="s">
        <v>19</v>
      </c>
      <c r="E2764" t="s">
        <v>17</v>
      </c>
      <c r="F2764" t="s">
        <v>24</v>
      </c>
      <c r="G2764">
        <v>239</v>
      </c>
      <c r="H2764">
        <v>758.27</v>
      </c>
      <c r="I2764">
        <v>31</v>
      </c>
      <c r="J2764" t="s">
        <v>15</v>
      </c>
      <c r="K2764">
        <v>181226.53</v>
      </c>
      <c r="L2764" t="str">
        <f t="shared" si="172"/>
        <v>Nov</v>
      </c>
      <c r="M2764">
        <f t="shared" si="173"/>
        <v>2025</v>
      </c>
      <c r="N2764">
        <f t="shared" si="174"/>
        <v>181226.53</v>
      </c>
      <c r="O2764" t="str">
        <f t="shared" si="175"/>
        <v>Moderate Delay</v>
      </c>
    </row>
    <row r="2765" spans="1:15" x14ac:dyDescent="0.25">
      <c r="A2765">
        <v>2764</v>
      </c>
      <c r="B2765" s="2">
        <v>45674</v>
      </c>
      <c r="C2765" t="s">
        <v>31</v>
      </c>
      <c r="D2765" t="s">
        <v>22</v>
      </c>
      <c r="E2765" t="s">
        <v>13</v>
      </c>
      <c r="F2765" t="s">
        <v>14</v>
      </c>
      <c r="G2765">
        <v>172</v>
      </c>
      <c r="H2765">
        <v>454.89</v>
      </c>
      <c r="I2765">
        <v>42</v>
      </c>
      <c r="J2765" t="s">
        <v>15</v>
      </c>
      <c r="K2765">
        <v>78241.08</v>
      </c>
      <c r="L2765" t="str">
        <f t="shared" si="172"/>
        <v>Jan</v>
      </c>
      <c r="M2765">
        <f t="shared" si="173"/>
        <v>2025</v>
      </c>
      <c r="N2765">
        <f t="shared" si="174"/>
        <v>78241.08</v>
      </c>
      <c r="O2765" t="str">
        <f t="shared" si="175"/>
        <v>Moderate Delay</v>
      </c>
    </row>
    <row r="2766" spans="1:15" x14ac:dyDescent="0.25">
      <c r="A2766">
        <v>2765</v>
      </c>
      <c r="B2766" s="2">
        <v>45814</v>
      </c>
      <c r="C2766" t="s">
        <v>18</v>
      </c>
      <c r="D2766" t="s">
        <v>17</v>
      </c>
      <c r="E2766" t="s">
        <v>13</v>
      </c>
      <c r="F2766" t="s">
        <v>21</v>
      </c>
      <c r="G2766">
        <v>212</v>
      </c>
      <c r="H2766">
        <v>363.82</v>
      </c>
      <c r="I2766">
        <v>34</v>
      </c>
      <c r="J2766" t="s">
        <v>15</v>
      </c>
      <c r="K2766">
        <v>77129.84</v>
      </c>
      <c r="L2766" t="str">
        <f t="shared" si="172"/>
        <v>Jun</v>
      </c>
      <c r="M2766">
        <f t="shared" si="173"/>
        <v>2025</v>
      </c>
      <c r="N2766">
        <f t="shared" si="174"/>
        <v>77129.84</v>
      </c>
      <c r="O2766" t="str">
        <f t="shared" si="175"/>
        <v>Moderate Delay</v>
      </c>
    </row>
    <row r="2767" spans="1:15" x14ac:dyDescent="0.25">
      <c r="A2767">
        <v>2766</v>
      </c>
      <c r="B2767" s="2">
        <v>45799</v>
      </c>
      <c r="C2767" t="s">
        <v>11</v>
      </c>
      <c r="D2767" t="s">
        <v>27</v>
      </c>
      <c r="E2767" t="s">
        <v>23</v>
      </c>
      <c r="F2767" t="s">
        <v>24</v>
      </c>
      <c r="G2767">
        <v>63</v>
      </c>
      <c r="H2767">
        <v>353.17</v>
      </c>
      <c r="I2767">
        <v>29</v>
      </c>
      <c r="J2767" t="s">
        <v>15</v>
      </c>
      <c r="K2767">
        <v>22249.71</v>
      </c>
      <c r="L2767" t="str">
        <f t="shared" si="172"/>
        <v>May</v>
      </c>
      <c r="M2767">
        <f t="shared" si="173"/>
        <v>2025</v>
      </c>
      <c r="N2767">
        <f t="shared" si="174"/>
        <v>22249.710000000003</v>
      </c>
      <c r="O2767" t="str">
        <f t="shared" si="175"/>
        <v>Minor Delay</v>
      </c>
    </row>
    <row r="2768" spans="1:15" x14ac:dyDescent="0.25">
      <c r="A2768">
        <v>2767</v>
      </c>
      <c r="B2768" s="2">
        <v>45991</v>
      </c>
      <c r="C2768" t="s">
        <v>26</v>
      </c>
      <c r="D2768" t="s">
        <v>27</v>
      </c>
      <c r="E2768" t="s">
        <v>20</v>
      </c>
      <c r="F2768" t="s">
        <v>24</v>
      </c>
      <c r="G2768">
        <v>115</v>
      </c>
      <c r="H2768">
        <v>723.11</v>
      </c>
      <c r="I2768">
        <v>27</v>
      </c>
      <c r="J2768" t="s">
        <v>30</v>
      </c>
      <c r="K2768">
        <v>83157.649999999994</v>
      </c>
      <c r="L2768" t="str">
        <f t="shared" si="172"/>
        <v>Nov</v>
      </c>
      <c r="M2768">
        <f t="shared" si="173"/>
        <v>2025</v>
      </c>
      <c r="N2768">
        <f t="shared" si="174"/>
        <v>83157.650000000009</v>
      </c>
      <c r="O2768" t="str">
        <f t="shared" si="175"/>
        <v>Minor Delay</v>
      </c>
    </row>
    <row r="2769" spans="1:15" x14ac:dyDescent="0.25">
      <c r="A2769">
        <v>2768</v>
      </c>
      <c r="B2769" s="2">
        <v>45941</v>
      </c>
      <c r="C2769" t="s">
        <v>16</v>
      </c>
      <c r="D2769" t="s">
        <v>19</v>
      </c>
      <c r="E2769" t="s">
        <v>20</v>
      </c>
      <c r="F2769" t="s">
        <v>24</v>
      </c>
      <c r="G2769">
        <v>218</v>
      </c>
      <c r="H2769">
        <v>279.73</v>
      </c>
      <c r="I2769">
        <v>9</v>
      </c>
      <c r="J2769" t="s">
        <v>15</v>
      </c>
      <c r="K2769">
        <v>60981.14</v>
      </c>
      <c r="L2769" t="str">
        <f t="shared" si="172"/>
        <v>Oct</v>
      </c>
      <c r="M2769">
        <f t="shared" si="173"/>
        <v>2025</v>
      </c>
      <c r="N2769">
        <f t="shared" si="174"/>
        <v>60981.140000000007</v>
      </c>
      <c r="O2769" t="str">
        <f t="shared" si="175"/>
        <v>Minor Delay</v>
      </c>
    </row>
    <row r="2770" spans="1:15" x14ac:dyDescent="0.25">
      <c r="A2770">
        <v>2769</v>
      </c>
      <c r="B2770" s="2">
        <v>45922</v>
      </c>
      <c r="C2770" t="s">
        <v>25</v>
      </c>
      <c r="D2770" t="s">
        <v>27</v>
      </c>
      <c r="E2770" t="s">
        <v>22</v>
      </c>
      <c r="F2770" t="s">
        <v>21</v>
      </c>
      <c r="G2770">
        <v>196</v>
      </c>
      <c r="H2770">
        <v>84.83</v>
      </c>
      <c r="I2770">
        <v>45</v>
      </c>
      <c r="J2770" t="s">
        <v>30</v>
      </c>
      <c r="K2770">
        <v>16626.68</v>
      </c>
      <c r="L2770" t="str">
        <f t="shared" si="172"/>
        <v>Sep</v>
      </c>
      <c r="M2770">
        <f t="shared" si="173"/>
        <v>2025</v>
      </c>
      <c r="N2770">
        <f t="shared" si="174"/>
        <v>16626.68</v>
      </c>
      <c r="O2770" t="str">
        <f t="shared" si="175"/>
        <v>Moderate Delay</v>
      </c>
    </row>
    <row r="2771" spans="1:15" x14ac:dyDescent="0.25">
      <c r="A2771">
        <v>2770</v>
      </c>
      <c r="B2771" s="2">
        <v>45663</v>
      </c>
      <c r="C2771" t="s">
        <v>31</v>
      </c>
      <c r="D2771" t="s">
        <v>29</v>
      </c>
      <c r="E2771" t="s">
        <v>12</v>
      </c>
      <c r="F2771" t="s">
        <v>24</v>
      </c>
      <c r="G2771">
        <v>135</v>
      </c>
      <c r="H2771">
        <v>90.35</v>
      </c>
      <c r="I2771">
        <v>30</v>
      </c>
      <c r="J2771" t="s">
        <v>15</v>
      </c>
      <c r="K2771">
        <v>12197.25</v>
      </c>
      <c r="L2771" t="str">
        <f t="shared" si="172"/>
        <v>Jan</v>
      </c>
      <c r="M2771">
        <f t="shared" si="173"/>
        <v>2025</v>
      </c>
      <c r="N2771">
        <f t="shared" si="174"/>
        <v>12197.25</v>
      </c>
      <c r="O2771" t="str">
        <f t="shared" si="175"/>
        <v>Minor Delay</v>
      </c>
    </row>
    <row r="2772" spans="1:15" x14ac:dyDescent="0.25">
      <c r="A2772">
        <v>2771</v>
      </c>
      <c r="B2772" s="2">
        <v>45668</v>
      </c>
      <c r="C2772" t="s">
        <v>26</v>
      </c>
      <c r="D2772" t="s">
        <v>27</v>
      </c>
      <c r="E2772" t="s">
        <v>17</v>
      </c>
      <c r="F2772" t="s">
        <v>14</v>
      </c>
      <c r="G2772">
        <v>143</v>
      </c>
      <c r="H2772">
        <v>364.8</v>
      </c>
      <c r="I2772">
        <v>24</v>
      </c>
      <c r="J2772" t="s">
        <v>30</v>
      </c>
      <c r="K2772">
        <v>52166.400000000001</v>
      </c>
      <c r="L2772" t="str">
        <f t="shared" si="172"/>
        <v>Jan</v>
      </c>
      <c r="M2772">
        <f t="shared" si="173"/>
        <v>2025</v>
      </c>
      <c r="N2772">
        <f t="shared" si="174"/>
        <v>52166.400000000001</v>
      </c>
      <c r="O2772" t="str">
        <f t="shared" si="175"/>
        <v>Minor Delay</v>
      </c>
    </row>
    <row r="2773" spans="1:15" x14ac:dyDescent="0.25">
      <c r="A2773">
        <v>2772</v>
      </c>
      <c r="B2773" s="2">
        <v>45885</v>
      </c>
      <c r="C2773" t="s">
        <v>26</v>
      </c>
      <c r="D2773" t="s">
        <v>19</v>
      </c>
      <c r="E2773" t="s">
        <v>23</v>
      </c>
      <c r="F2773" t="s">
        <v>24</v>
      </c>
      <c r="G2773">
        <v>201</v>
      </c>
      <c r="H2773">
        <v>436.81</v>
      </c>
      <c r="I2773">
        <v>15</v>
      </c>
      <c r="J2773" t="s">
        <v>15</v>
      </c>
      <c r="K2773">
        <v>87798.81</v>
      </c>
      <c r="L2773" t="str">
        <f t="shared" si="172"/>
        <v>Aug</v>
      </c>
      <c r="M2773">
        <f t="shared" si="173"/>
        <v>2025</v>
      </c>
      <c r="N2773">
        <f t="shared" si="174"/>
        <v>87798.81</v>
      </c>
      <c r="O2773" t="str">
        <f t="shared" si="175"/>
        <v>Minor Delay</v>
      </c>
    </row>
    <row r="2774" spans="1:15" x14ac:dyDescent="0.25">
      <c r="A2774">
        <v>2773</v>
      </c>
      <c r="B2774" s="2">
        <v>45988</v>
      </c>
      <c r="C2774" t="s">
        <v>18</v>
      </c>
      <c r="D2774" t="s">
        <v>17</v>
      </c>
      <c r="E2774" t="s">
        <v>27</v>
      </c>
      <c r="F2774" t="s">
        <v>21</v>
      </c>
      <c r="G2774">
        <v>104</v>
      </c>
      <c r="H2774">
        <v>76.47</v>
      </c>
      <c r="I2774">
        <v>0</v>
      </c>
      <c r="J2774" t="s">
        <v>30</v>
      </c>
      <c r="K2774">
        <v>7952.88</v>
      </c>
      <c r="L2774" t="str">
        <f t="shared" si="172"/>
        <v>Nov</v>
      </c>
      <c r="M2774">
        <f t="shared" si="173"/>
        <v>2025</v>
      </c>
      <c r="N2774">
        <f t="shared" si="174"/>
        <v>7952.88</v>
      </c>
      <c r="O2774" t="str">
        <f t="shared" si="175"/>
        <v>On Time</v>
      </c>
    </row>
    <row r="2775" spans="1:15" x14ac:dyDescent="0.25">
      <c r="A2775">
        <v>2774</v>
      </c>
      <c r="B2775" s="2">
        <v>45751</v>
      </c>
      <c r="C2775" t="s">
        <v>25</v>
      </c>
      <c r="D2775" t="s">
        <v>12</v>
      </c>
      <c r="E2775" t="s">
        <v>19</v>
      </c>
      <c r="F2775" t="s">
        <v>14</v>
      </c>
      <c r="G2775">
        <v>157</v>
      </c>
      <c r="H2775">
        <v>363.63</v>
      </c>
      <c r="I2775">
        <v>41</v>
      </c>
      <c r="J2775" t="s">
        <v>30</v>
      </c>
      <c r="K2775">
        <v>57089.91</v>
      </c>
      <c r="L2775" t="str">
        <f t="shared" si="172"/>
        <v>Apr</v>
      </c>
      <c r="M2775">
        <f t="shared" si="173"/>
        <v>2025</v>
      </c>
      <c r="N2775">
        <f t="shared" si="174"/>
        <v>57089.909999999996</v>
      </c>
      <c r="O2775" t="str">
        <f t="shared" si="175"/>
        <v>Moderate Delay</v>
      </c>
    </row>
    <row r="2776" spans="1:15" x14ac:dyDescent="0.25">
      <c r="A2776">
        <v>2775</v>
      </c>
      <c r="B2776" s="2">
        <v>45972</v>
      </c>
      <c r="C2776" t="s">
        <v>16</v>
      </c>
      <c r="D2776" t="s">
        <v>23</v>
      </c>
      <c r="E2776" t="s">
        <v>12</v>
      </c>
      <c r="F2776" t="s">
        <v>21</v>
      </c>
      <c r="G2776">
        <v>165</v>
      </c>
      <c r="H2776">
        <v>435.98</v>
      </c>
      <c r="I2776">
        <v>0</v>
      </c>
      <c r="J2776" t="s">
        <v>15</v>
      </c>
      <c r="K2776">
        <v>71936.7</v>
      </c>
      <c r="L2776" t="str">
        <f t="shared" si="172"/>
        <v>Nov</v>
      </c>
      <c r="M2776">
        <f t="shared" si="173"/>
        <v>2025</v>
      </c>
      <c r="N2776">
        <f t="shared" si="174"/>
        <v>71936.7</v>
      </c>
      <c r="O2776" t="str">
        <f t="shared" si="175"/>
        <v>On Time</v>
      </c>
    </row>
    <row r="2777" spans="1:15" x14ac:dyDescent="0.25">
      <c r="A2777">
        <v>2776</v>
      </c>
      <c r="B2777" s="2">
        <v>45856</v>
      </c>
      <c r="C2777" t="s">
        <v>18</v>
      </c>
      <c r="D2777" t="s">
        <v>22</v>
      </c>
      <c r="E2777" t="s">
        <v>13</v>
      </c>
      <c r="F2777" t="s">
        <v>14</v>
      </c>
      <c r="G2777">
        <v>196</v>
      </c>
      <c r="H2777">
        <v>366.89</v>
      </c>
      <c r="I2777">
        <v>19</v>
      </c>
      <c r="J2777" t="s">
        <v>15</v>
      </c>
      <c r="K2777">
        <v>71910.44</v>
      </c>
      <c r="L2777" t="str">
        <f t="shared" si="172"/>
        <v>Jul</v>
      </c>
      <c r="M2777">
        <f t="shared" si="173"/>
        <v>2025</v>
      </c>
      <c r="N2777">
        <f t="shared" si="174"/>
        <v>71910.44</v>
      </c>
      <c r="O2777" t="str">
        <f t="shared" si="175"/>
        <v>Minor Delay</v>
      </c>
    </row>
    <row r="2778" spans="1:15" x14ac:dyDescent="0.25">
      <c r="A2778">
        <v>2777</v>
      </c>
      <c r="B2778" s="2">
        <v>45862</v>
      </c>
      <c r="C2778" t="s">
        <v>16</v>
      </c>
      <c r="D2778" t="s">
        <v>29</v>
      </c>
      <c r="E2778" t="s">
        <v>27</v>
      </c>
      <c r="F2778" t="s">
        <v>21</v>
      </c>
      <c r="G2778">
        <v>266</v>
      </c>
      <c r="H2778">
        <v>293.04000000000002</v>
      </c>
      <c r="I2778">
        <v>42</v>
      </c>
      <c r="J2778" t="s">
        <v>15</v>
      </c>
      <c r="K2778">
        <v>77948.639999999999</v>
      </c>
      <c r="L2778" t="str">
        <f t="shared" si="172"/>
        <v>Jul</v>
      </c>
      <c r="M2778">
        <f t="shared" si="173"/>
        <v>2025</v>
      </c>
      <c r="N2778">
        <f t="shared" si="174"/>
        <v>77948.639999999999</v>
      </c>
      <c r="O2778" t="str">
        <f t="shared" si="175"/>
        <v>Moderate Delay</v>
      </c>
    </row>
    <row r="2779" spans="1:15" x14ac:dyDescent="0.25">
      <c r="A2779">
        <v>2778</v>
      </c>
      <c r="B2779" s="2">
        <v>45729</v>
      </c>
      <c r="C2779" t="s">
        <v>16</v>
      </c>
      <c r="D2779" t="s">
        <v>23</v>
      </c>
      <c r="E2779" t="s">
        <v>29</v>
      </c>
      <c r="F2779" t="s">
        <v>21</v>
      </c>
      <c r="G2779">
        <v>166</v>
      </c>
      <c r="H2779">
        <v>103.43</v>
      </c>
      <c r="I2779">
        <v>19</v>
      </c>
      <c r="J2779" t="s">
        <v>15</v>
      </c>
      <c r="K2779">
        <v>17169.38</v>
      </c>
      <c r="L2779" t="str">
        <f t="shared" si="172"/>
        <v>Mar</v>
      </c>
      <c r="M2779">
        <f t="shared" si="173"/>
        <v>2025</v>
      </c>
      <c r="N2779">
        <f t="shared" si="174"/>
        <v>17169.38</v>
      </c>
      <c r="O2779" t="str">
        <f t="shared" si="175"/>
        <v>Minor Delay</v>
      </c>
    </row>
    <row r="2780" spans="1:15" x14ac:dyDescent="0.25">
      <c r="A2780">
        <v>2779</v>
      </c>
      <c r="B2780" s="2">
        <v>46016</v>
      </c>
      <c r="C2780" t="s">
        <v>16</v>
      </c>
      <c r="D2780" t="s">
        <v>27</v>
      </c>
      <c r="E2780" t="s">
        <v>17</v>
      </c>
      <c r="F2780" t="s">
        <v>21</v>
      </c>
      <c r="G2780">
        <v>271</v>
      </c>
      <c r="H2780">
        <v>357.09</v>
      </c>
      <c r="I2780">
        <v>18</v>
      </c>
      <c r="J2780" t="s">
        <v>15</v>
      </c>
      <c r="K2780">
        <v>96771.39</v>
      </c>
      <c r="L2780" t="str">
        <f t="shared" si="172"/>
        <v>Dec</v>
      </c>
      <c r="M2780">
        <f t="shared" si="173"/>
        <v>2025</v>
      </c>
      <c r="N2780">
        <f t="shared" si="174"/>
        <v>96771.39</v>
      </c>
      <c r="O2780" t="str">
        <f t="shared" si="175"/>
        <v>Minor Delay</v>
      </c>
    </row>
    <row r="2781" spans="1:15" x14ac:dyDescent="0.25">
      <c r="A2781">
        <v>2780</v>
      </c>
      <c r="B2781" s="2">
        <v>45693</v>
      </c>
      <c r="C2781" t="s">
        <v>18</v>
      </c>
      <c r="D2781" t="s">
        <v>29</v>
      </c>
      <c r="E2781" t="s">
        <v>13</v>
      </c>
      <c r="F2781" t="s">
        <v>14</v>
      </c>
      <c r="G2781">
        <v>197</v>
      </c>
      <c r="H2781">
        <v>748.89</v>
      </c>
      <c r="I2781">
        <v>13</v>
      </c>
      <c r="J2781" t="s">
        <v>15</v>
      </c>
      <c r="K2781">
        <v>147531.32999999999</v>
      </c>
      <c r="L2781" t="str">
        <f t="shared" si="172"/>
        <v>Feb</v>
      </c>
      <c r="M2781">
        <f t="shared" si="173"/>
        <v>2025</v>
      </c>
      <c r="N2781">
        <f t="shared" si="174"/>
        <v>147531.32999999999</v>
      </c>
      <c r="O2781" t="str">
        <f t="shared" si="175"/>
        <v>Minor Delay</v>
      </c>
    </row>
    <row r="2782" spans="1:15" x14ac:dyDescent="0.25">
      <c r="A2782">
        <v>2781</v>
      </c>
      <c r="B2782" s="2">
        <v>45756</v>
      </c>
      <c r="C2782" t="s">
        <v>31</v>
      </c>
      <c r="D2782" t="s">
        <v>13</v>
      </c>
      <c r="E2782" t="s">
        <v>27</v>
      </c>
      <c r="F2782" t="s">
        <v>21</v>
      </c>
      <c r="G2782">
        <v>95</v>
      </c>
      <c r="H2782">
        <v>627.39</v>
      </c>
      <c r="I2782">
        <v>0</v>
      </c>
      <c r="J2782" t="s">
        <v>15</v>
      </c>
      <c r="K2782">
        <v>59602.05</v>
      </c>
      <c r="L2782" t="str">
        <f t="shared" si="172"/>
        <v>Apr</v>
      </c>
      <c r="M2782">
        <f t="shared" si="173"/>
        <v>2025</v>
      </c>
      <c r="N2782">
        <f t="shared" si="174"/>
        <v>59602.049999999996</v>
      </c>
      <c r="O2782" t="str">
        <f t="shared" si="175"/>
        <v>On Time</v>
      </c>
    </row>
    <row r="2783" spans="1:15" x14ac:dyDescent="0.25">
      <c r="A2783">
        <v>2782</v>
      </c>
      <c r="B2783" s="2">
        <v>45909</v>
      </c>
      <c r="C2783" t="s">
        <v>16</v>
      </c>
      <c r="D2783" t="s">
        <v>27</v>
      </c>
      <c r="E2783" t="s">
        <v>29</v>
      </c>
      <c r="F2783" t="s">
        <v>21</v>
      </c>
      <c r="G2783">
        <v>89</v>
      </c>
      <c r="H2783">
        <v>369.82</v>
      </c>
      <c r="I2783">
        <v>18</v>
      </c>
      <c r="J2783" t="s">
        <v>15</v>
      </c>
      <c r="K2783">
        <v>32913.980000000003</v>
      </c>
      <c r="L2783" t="str">
        <f t="shared" si="172"/>
        <v>Sep</v>
      </c>
      <c r="M2783">
        <f t="shared" si="173"/>
        <v>2025</v>
      </c>
      <c r="N2783">
        <f t="shared" si="174"/>
        <v>32913.979999999996</v>
      </c>
      <c r="O2783" t="str">
        <f t="shared" si="175"/>
        <v>Minor Delay</v>
      </c>
    </row>
    <row r="2784" spans="1:15" x14ac:dyDescent="0.25">
      <c r="A2784">
        <v>2783</v>
      </c>
      <c r="B2784" s="2">
        <v>45895</v>
      </c>
      <c r="C2784" t="s">
        <v>16</v>
      </c>
      <c r="D2784" t="s">
        <v>19</v>
      </c>
      <c r="E2784" t="s">
        <v>23</v>
      </c>
      <c r="F2784" t="s">
        <v>24</v>
      </c>
      <c r="G2784">
        <v>238</v>
      </c>
      <c r="H2784">
        <v>736.67</v>
      </c>
      <c r="I2784">
        <v>46</v>
      </c>
      <c r="J2784" t="s">
        <v>30</v>
      </c>
      <c r="K2784">
        <v>175327.46</v>
      </c>
      <c r="L2784" t="str">
        <f t="shared" si="172"/>
        <v>Aug</v>
      </c>
      <c r="M2784">
        <f t="shared" si="173"/>
        <v>2025</v>
      </c>
      <c r="N2784">
        <f t="shared" si="174"/>
        <v>175327.46</v>
      </c>
      <c r="O2784" t="str">
        <f t="shared" si="175"/>
        <v>Moderate Delay</v>
      </c>
    </row>
    <row r="2785" spans="1:15" x14ac:dyDescent="0.25">
      <c r="A2785">
        <v>2784</v>
      </c>
      <c r="B2785" s="2">
        <v>45865</v>
      </c>
      <c r="C2785" t="s">
        <v>31</v>
      </c>
      <c r="D2785" t="s">
        <v>23</v>
      </c>
      <c r="E2785" t="s">
        <v>29</v>
      </c>
      <c r="F2785" t="s">
        <v>24</v>
      </c>
      <c r="G2785">
        <v>90</v>
      </c>
      <c r="H2785">
        <v>82.35</v>
      </c>
      <c r="I2785">
        <v>21</v>
      </c>
      <c r="J2785" t="s">
        <v>15</v>
      </c>
      <c r="K2785">
        <v>7411.5</v>
      </c>
      <c r="L2785" t="str">
        <f t="shared" si="172"/>
        <v>Jul</v>
      </c>
      <c r="M2785">
        <f t="shared" si="173"/>
        <v>2025</v>
      </c>
      <c r="N2785">
        <f t="shared" si="174"/>
        <v>7411.4999999999991</v>
      </c>
      <c r="O2785" t="str">
        <f t="shared" si="175"/>
        <v>Minor Delay</v>
      </c>
    </row>
    <row r="2786" spans="1:15" x14ac:dyDescent="0.25">
      <c r="A2786">
        <v>2785</v>
      </c>
      <c r="B2786" s="2">
        <v>45702</v>
      </c>
      <c r="C2786" t="s">
        <v>25</v>
      </c>
      <c r="D2786" t="s">
        <v>27</v>
      </c>
      <c r="E2786" t="s">
        <v>19</v>
      </c>
      <c r="F2786" t="s">
        <v>14</v>
      </c>
      <c r="G2786">
        <v>295</v>
      </c>
      <c r="H2786">
        <v>301.86</v>
      </c>
      <c r="I2786">
        <v>6</v>
      </c>
      <c r="J2786" t="s">
        <v>15</v>
      </c>
      <c r="K2786">
        <v>89048.7</v>
      </c>
      <c r="L2786" t="str">
        <f t="shared" si="172"/>
        <v>Feb</v>
      </c>
      <c r="M2786">
        <f t="shared" si="173"/>
        <v>2025</v>
      </c>
      <c r="N2786">
        <f t="shared" si="174"/>
        <v>89048.7</v>
      </c>
      <c r="O2786" t="str">
        <f t="shared" si="175"/>
        <v>Minor Delay</v>
      </c>
    </row>
    <row r="2787" spans="1:15" x14ac:dyDescent="0.25">
      <c r="A2787">
        <v>2786</v>
      </c>
      <c r="B2787" s="2">
        <v>45841</v>
      </c>
      <c r="C2787" t="s">
        <v>31</v>
      </c>
      <c r="D2787" t="s">
        <v>12</v>
      </c>
      <c r="E2787" t="s">
        <v>22</v>
      </c>
      <c r="F2787" t="s">
        <v>21</v>
      </c>
      <c r="G2787">
        <v>300</v>
      </c>
      <c r="H2787">
        <v>369.72</v>
      </c>
      <c r="I2787">
        <v>0</v>
      </c>
      <c r="J2787" t="s">
        <v>15</v>
      </c>
      <c r="K2787">
        <v>110916</v>
      </c>
      <c r="L2787" t="str">
        <f t="shared" si="172"/>
        <v>Jul</v>
      </c>
      <c r="M2787">
        <f t="shared" si="173"/>
        <v>2025</v>
      </c>
      <c r="N2787">
        <f t="shared" si="174"/>
        <v>110916.00000000001</v>
      </c>
      <c r="O2787" t="str">
        <f t="shared" si="175"/>
        <v>On Time</v>
      </c>
    </row>
    <row r="2788" spans="1:15" x14ac:dyDescent="0.25">
      <c r="A2788">
        <v>2787</v>
      </c>
      <c r="B2788" s="2">
        <v>45690</v>
      </c>
      <c r="C2788" t="s">
        <v>31</v>
      </c>
      <c r="D2788" t="s">
        <v>17</v>
      </c>
      <c r="E2788" t="s">
        <v>29</v>
      </c>
      <c r="F2788" t="s">
        <v>24</v>
      </c>
      <c r="G2788">
        <v>259</v>
      </c>
      <c r="H2788">
        <v>458.57</v>
      </c>
      <c r="I2788">
        <v>28</v>
      </c>
      <c r="J2788" t="s">
        <v>28</v>
      </c>
      <c r="K2788">
        <v>118769.63</v>
      </c>
      <c r="L2788" t="str">
        <f t="shared" si="172"/>
        <v>Feb</v>
      </c>
      <c r="M2788">
        <f t="shared" si="173"/>
        <v>2025</v>
      </c>
      <c r="N2788">
        <f t="shared" si="174"/>
        <v>118769.63</v>
      </c>
      <c r="O2788" t="str">
        <f t="shared" si="175"/>
        <v>Minor Delay</v>
      </c>
    </row>
    <row r="2789" spans="1:15" x14ac:dyDescent="0.25">
      <c r="A2789">
        <v>2788</v>
      </c>
      <c r="B2789" s="2">
        <v>45797</v>
      </c>
      <c r="C2789" t="s">
        <v>11</v>
      </c>
      <c r="D2789" t="s">
        <v>27</v>
      </c>
      <c r="E2789" t="s">
        <v>29</v>
      </c>
      <c r="F2789" t="s">
        <v>21</v>
      </c>
      <c r="G2789">
        <v>283</v>
      </c>
      <c r="H2789">
        <v>439.35</v>
      </c>
      <c r="I2789">
        <v>42</v>
      </c>
      <c r="J2789" t="s">
        <v>15</v>
      </c>
      <c r="K2789">
        <v>124336.05</v>
      </c>
      <c r="L2789" t="str">
        <f t="shared" si="172"/>
        <v>May</v>
      </c>
      <c r="M2789">
        <f t="shared" si="173"/>
        <v>2025</v>
      </c>
      <c r="N2789">
        <f t="shared" si="174"/>
        <v>124336.05</v>
      </c>
      <c r="O2789" t="str">
        <f t="shared" si="175"/>
        <v>Moderate Delay</v>
      </c>
    </row>
    <row r="2790" spans="1:15" x14ac:dyDescent="0.25">
      <c r="A2790">
        <v>2789</v>
      </c>
      <c r="B2790" s="2">
        <v>46015</v>
      </c>
      <c r="C2790" t="s">
        <v>11</v>
      </c>
      <c r="D2790" t="s">
        <v>19</v>
      </c>
      <c r="E2790" t="s">
        <v>13</v>
      </c>
      <c r="F2790" t="s">
        <v>21</v>
      </c>
      <c r="G2790">
        <v>223</v>
      </c>
      <c r="H2790">
        <v>668.3</v>
      </c>
      <c r="I2790">
        <v>55</v>
      </c>
      <c r="J2790" t="s">
        <v>15</v>
      </c>
      <c r="K2790">
        <v>149030.9</v>
      </c>
      <c r="L2790" t="str">
        <f t="shared" si="172"/>
        <v>Dec</v>
      </c>
      <c r="M2790">
        <f t="shared" si="173"/>
        <v>2025</v>
      </c>
      <c r="N2790">
        <f t="shared" si="174"/>
        <v>149030.9</v>
      </c>
      <c r="O2790" t="str">
        <f t="shared" si="175"/>
        <v>Moderate Delay</v>
      </c>
    </row>
    <row r="2791" spans="1:15" x14ac:dyDescent="0.25">
      <c r="A2791">
        <v>2790</v>
      </c>
      <c r="B2791" s="2">
        <v>45855</v>
      </c>
      <c r="C2791" t="s">
        <v>25</v>
      </c>
      <c r="D2791" t="s">
        <v>20</v>
      </c>
      <c r="E2791" t="s">
        <v>13</v>
      </c>
      <c r="F2791" t="s">
        <v>24</v>
      </c>
      <c r="G2791">
        <v>294</v>
      </c>
      <c r="H2791">
        <v>534.26</v>
      </c>
      <c r="I2791">
        <v>38</v>
      </c>
      <c r="J2791" t="s">
        <v>15</v>
      </c>
      <c r="K2791">
        <v>157072.44</v>
      </c>
      <c r="L2791" t="str">
        <f t="shared" si="172"/>
        <v>Jul</v>
      </c>
      <c r="M2791">
        <f t="shared" si="173"/>
        <v>2025</v>
      </c>
      <c r="N2791">
        <f t="shared" si="174"/>
        <v>157072.44</v>
      </c>
      <c r="O2791" t="str">
        <f t="shared" si="175"/>
        <v>Moderate Delay</v>
      </c>
    </row>
    <row r="2792" spans="1:15" x14ac:dyDescent="0.25">
      <c r="A2792">
        <v>2791</v>
      </c>
      <c r="B2792" s="2">
        <v>45988</v>
      </c>
      <c r="C2792" t="s">
        <v>31</v>
      </c>
      <c r="D2792" t="s">
        <v>12</v>
      </c>
      <c r="E2792" t="s">
        <v>17</v>
      </c>
      <c r="F2792" t="s">
        <v>21</v>
      </c>
      <c r="G2792">
        <v>271</v>
      </c>
      <c r="H2792">
        <v>619.15</v>
      </c>
      <c r="I2792">
        <v>26</v>
      </c>
      <c r="J2792" t="s">
        <v>15</v>
      </c>
      <c r="K2792">
        <v>167789.65</v>
      </c>
      <c r="L2792" t="str">
        <f t="shared" si="172"/>
        <v>Nov</v>
      </c>
      <c r="M2792">
        <f t="shared" si="173"/>
        <v>2025</v>
      </c>
      <c r="N2792">
        <f t="shared" si="174"/>
        <v>167789.65</v>
      </c>
      <c r="O2792" t="str">
        <f t="shared" si="175"/>
        <v>Minor Delay</v>
      </c>
    </row>
    <row r="2793" spans="1:15" x14ac:dyDescent="0.25">
      <c r="A2793">
        <v>2792</v>
      </c>
      <c r="B2793" s="2">
        <v>45992</v>
      </c>
      <c r="C2793" t="s">
        <v>31</v>
      </c>
      <c r="D2793" t="s">
        <v>23</v>
      </c>
      <c r="E2793" t="s">
        <v>29</v>
      </c>
      <c r="F2793" t="s">
        <v>14</v>
      </c>
      <c r="G2793">
        <v>134</v>
      </c>
      <c r="H2793">
        <v>61.09</v>
      </c>
      <c r="I2793">
        <v>15</v>
      </c>
      <c r="J2793" t="s">
        <v>30</v>
      </c>
      <c r="K2793">
        <v>8186.06</v>
      </c>
      <c r="L2793" t="str">
        <f t="shared" si="172"/>
        <v>Dec</v>
      </c>
      <c r="M2793">
        <f t="shared" si="173"/>
        <v>2025</v>
      </c>
      <c r="N2793">
        <f t="shared" si="174"/>
        <v>8186.06</v>
      </c>
      <c r="O2793" t="str">
        <f t="shared" si="175"/>
        <v>Minor Delay</v>
      </c>
    </row>
    <row r="2794" spans="1:15" x14ac:dyDescent="0.25">
      <c r="A2794">
        <v>2793</v>
      </c>
      <c r="B2794" s="2">
        <v>45901</v>
      </c>
      <c r="C2794" t="s">
        <v>16</v>
      </c>
      <c r="D2794" t="s">
        <v>13</v>
      </c>
      <c r="E2794" t="s">
        <v>29</v>
      </c>
      <c r="F2794" t="s">
        <v>21</v>
      </c>
      <c r="G2794">
        <v>300</v>
      </c>
      <c r="H2794">
        <v>175.5</v>
      </c>
      <c r="I2794">
        <v>14</v>
      </c>
      <c r="J2794" t="s">
        <v>30</v>
      </c>
      <c r="K2794">
        <v>52650</v>
      </c>
      <c r="L2794" t="str">
        <f t="shared" si="172"/>
        <v>Sep</v>
      </c>
      <c r="M2794">
        <f t="shared" si="173"/>
        <v>2025</v>
      </c>
      <c r="N2794">
        <f t="shared" si="174"/>
        <v>52650</v>
      </c>
      <c r="O2794" t="str">
        <f t="shared" si="175"/>
        <v>Minor Delay</v>
      </c>
    </row>
    <row r="2795" spans="1:15" x14ac:dyDescent="0.25">
      <c r="A2795">
        <v>2794</v>
      </c>
      <c r="B2795" s="2">
        <v>45920</v>
      </c>
      <c r="C2795" t="s">
        <v>25</v>
      </c>
      <c r="D2795" t="s">
        <v>19</v>
      </c>
      <c r="E2795" t="s">
        <v>13</v>
      </c>
      <c r="F2795" t="s">
        <v>21</v>
      </c>
      <c r="G2795">
        <v>58</v>
      </c>
      <c r="H2795">
        <v>443.01</v>
      </c>
      <c r="I2795">
        <v>14</v>
      </c>
      <c r="J2795" t="s">
        <v>30</v>
      </c>
      <c r="K2795">
        <v>25694.58</v>
      </c>
      <c r="L2795" t="str">
        <f t="shared" si="172"/>
        <v>Sep</v>
      </c>
      <c r="M2795">
        <f t="shared" si="173"/>
        <v>2025</v>
      </c>
      <c r="N2795">
        <f t="shared" si="174"/>
        <v>25694.579999999998</v>
      </c>
      <c r="O2795" t="str">
        <f t="shared" si="175"/>
        <v>Minor Delay</v>
      </c>
    </row>
    <row r="2796" spans="1:15" x14ac:dyDescent="0.25">
      <c r="A2796">
        <v>2795</v>
      </c>
      <c r="B2796" s="2">
        <v>45739</v>
      </c>
      <c r="C2796" t="s">
        <v>18</v>
      </c>
      <c r="D2796" t="s">
        <v>12</v>
      </c>
      <c r="E2796" t="s">
        <v>27</v>
      </c>
      <c r="F2796" t="s">
        <v>14</v>
      </c>
      <c r="G2796">
        <v>185</v>
      </c>
      <c r="H2796">
        <v>182.55</v>
      </c>
      <c r="I2796">
        <v>49</v>
      </c>
      <c r="J2796" t="s">
        <v>15</v>
      </c>
      <c r="K2796">
        <v>33771.75</v>
      </c>
      <c r="L2796" t="str">
        <f t="shared" si="172"/>
        <v>Mar</v>
      </c>
      <c r="M2796">
        <f t="shared" si="173"/>
        <v>2025</v>
      </c>
      <c r="N2796">
        <f t="shared" si="174"/>
        <v>33771.75</v>
      </c>
      <c r="O2796" t="str">
        <f t="shared" si="175"/>
        <v>Moderate Delay</v>
      </c>
    </row>
    <row r="2797" spans="1:15" x14ac:dyDescent="0.25">
      <c r="A2797">
        <v>2796</v>
      </c>
      <c r="B2797" s="2">
        <v>45927</v>
      </c>
      <c r="C2797" t="s">
        <v>26</v>
      </c>
      <c r="D2797" t="s">
        <v>23</v>
      </c>
      <c r="E2797" t="s">
        <v>22</v>
      </c>
      <c r="F2797" t="s">
        <v>14</v>
      </c>
      <c r="G2797">
        <v>219</v>
      </c>
      <c r="H2797">
        <v>689.49</v>
      </c>
      <c r="I2797">
        <v>9</v>
      </c>
      <c r="J2797" t="s">
        <v>15</v>
      </c>
      <c r="K2797">
        <v>150998.31</v>
      </c>
      <c r="L2797" t="str">
        <f t="shared" si="172"/>
        <v>Sep</v>
      </c>
      <c r="M2797">
        <f t="shared" si="173"/>
        <v>2025</v>
      </c>
      <c r="N2797">
        <f t="shared" si="174"/>
        <v>150998.31</v>
      </c>
      <c r="O2797" t="str">
        <f t="shared" si="175"/>
        <v>Minor Delay</v>
      </c>
    </row>
    <row r="2798" spans="1:15" x14ac:dyDescent="0.25">
      <c r="A2798">
        <v>2797</v>
      </c>
      <c r="B2798" s="2">
        <v>45947</v>
      </c>
      <c r="C2798" t="s">
        <v>11</v>
      </c>
      <c r="D2798" t="s">
        <v>27</v>
      </c>
      <c r="E2798" t="s">
        <v>22</v>
      </c>
      <c r="F2798" t="s">
        <v>21</v>
      </c>
      <c r="G2798">
        <v>215</v>
      </c>
      <c r="H2798">
        <v>405.53</v>
      </c>
      <c r="I2798">
        <v>18</v>
      </c>
      <c r="J2798" t="s">
        <v>15</v>
      </c>
      <c r="K2798">
        <v>87188.95</v>
      </c>
      <c r="L2798" t="str">
        <f t="shared" si="172"/>
        <v>Oct</v>
      </c>
      <c r="M2798">
        <f t="shared" si="173"/>
        <v>2025</v>
      </c>
      <c r="N2798">
        <f t="shared" si="174"/>
        <v>87188.95</v>
      </c>
      <c r="O2798" t="str">
        <f t="shared" si="175"/>
        <v>Minor Delay</v>
      </c>
    </row>
    <row r="2799" spans="1:15" x14ac:dyDescent="0.25">
      <c r="A2799">
        <v>2798</v>
      </c>
      <c r="B2799" s="2">
        <v>45965</v>
      </c>
      <c r="C2799" t="s">
        <v>18</v>
      </c>
      <c r="D2799" t="s">
        <v>17</v>
      </c>
      <c r="E2799" t="s">
        <v>12</v>
      </c>
      <c r="F2799" t="s">
        <v>14</v>
      </c>
      <c r="G2799">
        <v>93</v>
      </c>
      <c r="H2799">
        <v>651.86</v>
      </c>
      <c r="I2799">
        <v>29</v>
      </c>
      <c r="J2799" t="s">
        <v>15</v>
      </c>
      <c r="K2799">
        <v>60622.98</v>
      </c>
      <c r="L2799" t="str">
        <f t="shared" si="172"/>
        <v>Nov</v>
      </c>
      <c r="M2799">
        <f t="shared" si="173"/>
        <v>2025</v>
      </c>
      <c r="N2799">
        <f t="shared" si="174"/>
        <v>60622.98</v>
      </c>
      <c r="O2799" t="str">
        <f t="shared" si="175"/>
        <v>Minor Delay</v>
      </c>
    </row>
    <row r="2800" spans="1:15" x14ac:dyDescent="0.25">
      <c r="A2800">
        <v>2799</v>
      </c>
      <c r="B2800" s="2">
        <v>45943</v>
      </c>
      <c r="C2800" t="s">
        <v>16</v>
      </c>
      <c r="D2800" t="s">
        <v>29</v>
      </c>
      <c r="E2800" t="s">
        <v>13</v>
      </c>
      <c r="F2800" t="s">
        <v>21</v>
      </c>
      <c r="G2800">
        <v>84</v>
      </c>
      <c r="H2800">
        <v>682.1</v>
      </c>
      <c r="I2800">
        <v>20</v>
      </c>
      <c r="J2800" t="s">
        <v>15</v>
      </c>
      <c r="K2800">
        <v>57296.4</v>
      </c>
      <c r="L2800" t="str">
        <f t="shared" si="172"/>
        <v>Oct</v>
      </c>
      <c r="M2800">
        <f t="shared" si="173"/>
        <v>2025</v>
      </c>
      <c r="N2800">
        <f t="shared" si="174"/>
        <v>57296.4</v>
      </c>
      <c r="O2800" t="str">
        <f t="shared" si="175"/>
        <v>Minor Delay</v>
      </c>
    </row>
    <row r="2801" spans="1:15" x14ac:dyDescent="0.25">
      <c r="A2801">
        <v>2800</v>
      </c>
      <c r="B2801" s="2">
        <v>45757</v>
      </c>
      <c r="C2801" t="s">
        <v>25</v>
      </c>
      <c r="D2801" t="s">
        <v>29</v>
      </c>
      <c r="E2801" t="s">
        <v>20</v>
      </c>
      <c r="F2801" t="s">
        <v>24</v>
      </c>
      <c r="G2801">
        <v>121</v>
      </c>
      <c r="H2801">
        <v>259.3</v>
      </c>
      <c r="I2801">
        <v>32</v>
      </c>
      <c r="J2801" t="s">
        <v>15</v>
      </c>
      <c r="K2801">
        <v>31375.3</v>
      </c>
      <c r="L2801" t="str">
        <f t="shared" si="172"/>
        <v>Apr</v>
      </c>
      <c r="M2801">
        <f t="shared" si="173"/>
        <v>2025</v>
      </c>
      <c r="N2801">
        <f t="shared" si="174"/>
        <v>31375.300000000003</v>
      </c>
      <c r="O2801" t="str">
        <f t="shared" si="175"/>
        <v>Moderate Delay</v>
      </c>
    </row>
    <row r="2802" spans="1:15" x14ac:dyDescent="0.25">
      <c r="A2802">
        <v>2801</v>
      </c>
      <c r="B2802" s="2">
        <v>45986</v>
      </c>
      <c r="C2802" t="s">
        <v>26</v>
      </c>
      <c r="D2802" t="s">
        <v>17</v>
      </c>
      <c r="E2802" t="s">
        <v>29</v>
      </c>
      <c r="F2802" t="s">
        <v>24</v>
      </c>
      <c r="G2802">
        <v>183</v>
      </c>
      <c r="H2802">
        <v>563.54999999999995</v>
      </c>
      <c r="I2802">
        <v>57</v>
      </c>
      <c r="J2802" t="s">
        <v>15</v>
      </c>
      <c r="K2802">
        <v>103129.65</v>
      </c>
      <c r="L2802" t="str">
        <f t="shared" si="172"/>
        <v>Nov</v>
      </c>
      <c r="M2802">
        <f t="shared" si="173"/>
        <v>2025</v>
      </c>
      <c r="N2802">
        <f t="shared" si="174"/>
        <v>103129.65</v>
      </c>
      <c r="O2802" t="str">
        <f t="shared" si="175"/>
        <v>Moderate Delay</v>
      </c>
    </row>
    <row r="2803" spans="1:15" x14ac:dyDescent="0.25">
      <c r="A2803">
        <v>2802</v>
      </c>
      <c r="B2803" s="2">
        <v>45996</v>
      </c>
      <c r="C2803" t="s">
        <v>25</v>
      </c>
      <c r="D2803" t="s">
        <v>13</v>
      </c>
      <c r="E2803" t="s">
        <v>22</v>
      </c>
      <c r="F2803" t="s">
        <v>14</v>
      </c>
      <c r="G2803">
        <v>126</v>
      </c>
      <c r="H2803">
        <v>180.11</v>
      </c>
      <c r="I2803">
        <v>0</v>
      </c>
      <c r="J2803" t="s">
        <v>30</v>
      </c>
      <c r="K2803">
        <v>22693.86</v>
      </c>
      <c r="L2803" t="str">
        <f t="shared" si="172"/>
        <v>Dec</v>
      </c>
      <c r="M2803">
        <f t="shared" si="173"/>
        <v>2025</v>
      </c>
      <c r="N2803">
        <f t="shared" si="174"/>
        <v>22693.86</v>
      </c>
      <c r="O2803" t="str">
        <f t="shared" si="175"/>
        <v>On Time</v>
      </c>
    </row>
    <row r="2804" spans="1:15" x14ac:dyDescent="0.25">
      <c r="A2804">
        <v>2803</v>
      </c>
      <c r="B2804" s="2">
        <v>45963</v>
      </c>
      <c r="C2804" t="s">
        <v>16</v>
      </c>
      <c r="D2804" t="s">
        <v>19</v>
      </c>
      <c r="E2804" t="s">
        <v>20</v>
      </c>
      <c r="F2804" t="s">
        <v>21</v>
      </c>
      <c r="G2804">
        <v>73</v>
      </c>
      <c r="H2804">
        <v>754.7</v>
      </c>
      <c r="I2804">
        <v>29</v>
      </c>
      <c r="J2804" t="s">
        <v>15</v>
      </c>
      <c r="K2804">
        <v>55093.1</v>
      </c>
      <c r="L2804" t="str">
        <f t="shared" si="172"/>
        <v>Nov</v>
      </c>
      <c r="M2804">
        <f t="shared" si="173"/>
        <v>2025</v>
      </c>
      <c r="N2804">
        <f t="shared" si="174"/>
        <v>55093.100000000006</v>
      </c>
      <c r="O2804" t="str">
        <f t="shared" si="175"/>
        <v>Minor Delay</v>
      </c>
    </row>
    <row r="2805" spans="1:15" x14ac:dyDescent="0.25">
      <c r="A2805">
        <v>2804</v>
      </c>
      <c r="B2805" s="2">
        <v>45940</v>
      </c>
      <c r="C2805" t="s">
        <v>26</v>
      </c>
      <c r="D2805" t="s">
        <v>13</v>
      </c>
      <c r="E2805" t="s">
        <v>19</v>
      </c>
      <c r="F2805" t="s">
        <v>21</v>
      </c>
      <c r="G2805">
        <v>165</v>
      </c>
      <c r="H2805">
        <v>359.75</v>
      </c>
      <c r="I2805">
        <v>34</v>
      </c>
      <c r="J2805" t="s">
        <v>30</v>
      </c>
      <c r="K2805">
        <v>59358.75</v>
      </c>
      <c r="L2805" t="str">
        <f t="shared" si="172"/>
        <v>Oct</v>
      </c>
      <c r="M2805">
        <f t="shared" si="173"/>
        <v>2025</v>
      </c>
      <c r="N2805">
        <f t="shared" si="174"/>
        <v>59358.75</v>
      </c>
      <c r="O2805" t="str">
        <f t="shared" si="175"/>
        <v>Moderate Delay</v>
      </c>
    </row>
    <row r="2806" spans="1:15" x14ac:dyDescent="0.25">
      <c r="A2806">
        <v>2805</v>
      </c>
      <c r="B2806" s="2">
        <v>45970</v>
      </c>
      <c r="C2806" t="s">
        <v>18</v>
      </c>
      <c r="D2806" t="s">
        <v>13</v>
      </c>
      <c r="E2806" t="s">
        <v>23</v>
      </c>
      <c r="F2806" t="s">
        <v>21</v>
      </c>
      <c r="G2806">
        <v>244</v>
      </c>
      <c r="H2806">
        <v>392.16</v>
      </c>
      <c r="I2806">
        <v>48</v>
      </c>
      <c r="J2806" t="s">
        <v>15</v>
      </c>
      <c r="K2806">
        <v>95687.039999999994</v>
      </c>
      <c r="L2806" t="str">
        <f t="shared" si="172"/>
        <v>Nov</v>
      </c>
      <c r="M2806">
        <f t="shared" si="173"/>
        <v>2025</v>
      </c>
      <c r="N2806">
        <f t="shared" si="174"/>
        <v>95687.040000000008</v>
      </c>
      <c r="O2806" t="str">
        <f t="shared" si="175"/>
        <v>Moderate Delay</v>
      </c>
    </row>
    <row r="2807" spans="1:15" x14ac:dyDescent="0.25">
      <c r="A2807">
        <v>2806</v>
      </c>
      <c r="B2807" s="2">
        <v>46011</v>
      </c>
      <c r="C2807" t="s">
        <v>26</v>
      </c>
      <c r="D2807" t="s">
        <v>22</v>
      </c>
      <c r="E2807" t="s">
        <v>29</v>
      </c>
      <c r="F2807" t="s">
        <v>14</v>
      </c>
      <c r="G2807">
        <v>140</v>
      </c>
      <c r="H2807">
        <v>322.60000000000002</v>
      </c>
      <c r="I2807">
        <v>50</v>
      </c>
      <c r="J2807" t="s">
        <v>15</v>
      </c>
      <c r="K2807">
        <v>45164</v>
      </c>
      <c r="L2807" t="str">
        <f t="shared" si="172"/>
        <v>Dec</v>
      </c>
      <c r="M2807">
        <f t="shared" si="173"/>
        <v>2025</v>
      </c>
      <c r="N2807">
        <f t="shared" si="174"/>
        <v>45164</v>
      </c>
      <c r="O2807" t="str">
        <f t="shared" si="175"/>
        <v>Moderate Delay</v>
      </c>
    </row>
    <row r="2808" spans="1:15" x14ac:dyDescent="0.25">
      <c r="A2808">
        <v>2807</v>
      </c>
      <c r="B2808" s="2">
        <v>45914</v>
      </c>
      <c r="C2808" t="s">
        <v>16</v>
      </c>
      <c r="D2808" t="s">
        <v>17</v>
      </c>
      <c r="E2808" t="s">
        <v>23</v>
      </c>
      <c r="F2808" t="s">
        <v>21</v>
      </c>
      <c r="G2808">
        <v>186</v>
      </c>
      <c r="H2808">
        <v>663.21</v>
      </c>
      <c r="I2808">
        <v>30</v>
      </c>
      <c r="J2808" t="s">
        <v>15</v>
      </c>
      <c r="K2808">
        <v>123357.06</v>
      </c>
      <c r="L2808" t="str">
        <f t="shared" si="172"/>
        <v>Sep</v>
      </c>
      <c r="M2808">
        <f t="shared" si="173"/>
        <v>2025</v>
      </c>
      <c r="N2808">
        <f t="shared" si="174"/>
        <v>123357.06000000001</v>
      </c>
      <c r="O2808" t="str">
        <f t="shared" si="175"/>
        <v>Minor Delay</v>
      </c>
    </row>
    <row r="2809" spans="1:15" x14ac:dyDescent="0.25">
      <c r="A2809">
        <v>2808</v>
      </c>
      <c r="B2809" s="2">
        <v>45862</v>
      </c>
      <c r="C2809" t="s">
        <v>25</v>
      </c>
      <c r="D2809" t="s">
        <v>13</v>
      </c>
      <c r="E2809" t="s">
        <v>23</v>
      </c>
      <c r="F2809" t="s">
        <v>24</v>
      </c>
      <c r="G2809">
        <v>265</v>
      </c>
      <c r="H2809">
        <v>709.11</v>
      </c>
      <c r="I2809">
        <v>0</v>
      </c>
      <c r="J2809" t="s">
        <v>15</v>
      </c>
      <c r="K2809">
        <v>187914.15</v>
      </c>
      <c r="L2809" t="str">
        <f t="shared" si="172"/>
        <v>Jul</v>
      </c>
      <c r="M2809">
        <f t="shared" si="173"/>
        <v>2025</v>
      </c>
      <c r="N2809">
        <f t="shared" si="174"/>
        <v>187914.15</v>
      </c>
      <c r="O2809" t="str">
        <f t="shared" si="175"/>
        <v>On Time</v>
      </c>
    </row>
    <row r="2810" spans="1:15" x14ac:dyDescent="0.25">
      <c r="A2810">
        <v>2809</v>
      </c>
      <c r="B2810" s="2">
        <v>45838</v>
      </c>
      <c r="C2810" t="s">
        <v>25</v>
      </c>
      <c r="D2810" t="s">
        <v>29</v>
      </c>
      <c r="E2810" t="s">
        <v>12</v>
      </c>
      <c r="F2810" t="s">
        <v>21</v>
      </c>
      <c r="G2810">
        <v>165</v>
      </c>
      <c r="H2810">
        <v>798.58</v>
      </c>
      <c r="I2810">
        <v>20</v>
      </c>
      <c r="J2810" t="s">
        <v>30</v>
      </c>
      <c r="K2810">
        <v>131765.70000000001</v>
      </c>
      <c r="L2810" t="str">
        <f t="shared" si="172"/>
        <v>Jun</v>
      </c>
      <c r="M2810">
        <f t="shared" si="173"/>
        <v>2025</v>
      </c>
      <c r="N2810">
        <f t="shared" si="174"/>
        <v>131765.70000000001</v>
      </c>
      <c r="O2810" t="str">
        <f t="shared" si="175"/>
        <v>Minor Delay</v>
      </c>
    </row>
    <row r="2811" spans="1:15" x14ac:dyDescent="0.25">
      <c r="A2811">
        <v>2810</v>
      </c>
      <c r="B2811" s="2">
        <v>45735</v>
      </c>
      <c r="C2811" t="s">
        <v>11</v>
      </c>
      <c r="D2811" t="s">
        <v>17</v>
      </c>
      <c r="E2811" t="s">
        <v>20</v>
      </c>
      <c r="F2811" t="s">
        <v>14</v>
      </c>
      <c r="G2811">
        <v>109</v>
      </c>
      <c r="H2811">
        <v>376.64</v>
      </c>
      <c r="I2811">
        <v>44</v>
      </c>
      <c r="J2811" t="s">
        <v>15</v>
      </c>
      <c r="K2811">
        <v>41053.760000000002</v>
      </c>
      <c r="L2811" t="str">
        <f t="shared" si="172"/>
        <v>Mar</v>
      </c>
      <c r="M2811">
        <f t="shared" si="173"/>
        <v>2025</v>
      </c>
      <c r="N2811">
        <f t="shared" si="174"/>
        <v>41053.760000000002</v>
      </c>
      <c r="O2811" t="str">
        <f t="shared" si="175"/>
        <v>Moderate Delay</v>
      </c>
    </row>
    <row r="2812" spans="1:15" x14ac:dyDescent="0.25">
      <c r="A2812">
        <v>2811</v>
      </c>
      <c r="B2812" s="2">
        <v>45803</v>
      </c>
      <c r="C2812" t="s">
        <v>31</v>
      </c>
      <c r="D2812" t="s">
        <v>20</v>
      </c>
      <c r="E2812" t="s">
        <v>17</v>
      </c>
      <c r="F2812" t="s">
        <v>14</v>
      </c>
      <c r="G2812">
        <v>83</v>
      </c>
      <c r="H2812">
        <v>335.9</v>
      </c>
      <c r="I2812">
        <v>2</v>
      </c>
      <c r="J2812" t="s">
        <v>30</v>
      </c>
      <c r="K2812">
        <v>27879.7</v>
      </c>
      <c r="L2812" t="str">
        <f t="shared" si="172"/>
        <v>May</v>
      </c>
      <c r="M2812">
        <f t="shared" si="173"/>
        <v>2025</v>
      </c>
      <c r="N2812">
        <f t="shared" si="174"/>
        <v>27879.699999999997</v>
      </c>
      <c r="O2812" t="str">
        <f t="shared" si="175"/>
        <v>Minor Delay</v>
      </c>
    </row>
    <row r="2813" spans="1:15" x14ac:dyDescent="0.25">
      <c r="A2813">
        <v>2812</v>
      </c>
      <c r="B2813" s="2">
        <v>45683</v>
      </c>
      <c r="C2813" t="s">
        <v>26</v>
      </c>
      <c r="D2813" t="s">
        <v>29</v>
      </c>
      <c r="E2813" t="s">
        <v>19</v>
      </c>
      <c r="F2813" t="s">
        <v>14</v>
      </c>
      <c r="G2813">
        <v>204</v>
      </c>
      <c r="H2813">
        <v>448.08</v>
      </c>
      <c r="I2813">
        <v>62</v>
      </c>
      <c r="J2813" t="s">
        <v>15</v>
      </c>
      <c r="K2813">
        <v>91408.320000000007</v>
      </c>
      <c r="L2813" t="str">
        <f t="shared" si="172"/>
        <v>Jan</v>
      </c>
      <c r="M2813">
        <f t="shared" si="173"/>
        <v>2025</v>
      </c>
      <c r="N2813">
        <f t="shared" si="174"/>
        <v>91408.319999999992</v>
      </c>
      <c r="O2813" t="str">
        <f t="shared" si="175"/>
        <v>Major Delay</v>
      </c>
    </row>
    <row r="2814" spans="1:15" x14ac:dyDescent="0.25">
      <c r="A2814">
        <v>2813</v>
      </c>
      <c r="B2814" s="2">
        <v>45663</v>
      </c>
      <c r="C2814" t="s">
        <v>18</v>
      </c>
      <c r="D2814" t="s">
        <v>17</v>
      </c>
      <c r="E2814" t="s">
        <v>29</v>
      </c>
      <c r="F2814" t="s">
        <v>24</v>
      </c>
      <c r="G2814">
        <v>151</v>
      </c>
      <c r="H2814">
        <v>113.78</v>
      </c>
      <c r="I2814">
        <v>0</v>
      </c>
      <c r="J2814" t="s">
        <v>15</v>
      </c>
      <c r="K2814">
        <v>17180.78</v>
      </c>
      <c r="L2814" t="str">
        <f t="shared" si="172"/>
        <v>Jan</v>
      </c>
      <c r="M2814">
        <f t="shared" si="173"/>
        <v>2025</v>
      </c>
      <c r="N2814">
        <f t="shared" si="174"/>
        <v>17180.78</v>
      </c>
      <c r="O2814" t="str">
        <f t="shared" si="175"/>
        <v>On Time</v>
      </c>
    </row>
    <row r="2815" spans="1:15" x14ac:dyDescent="0.25">
      <c r="A2815">
        <v>2814</v>
      </c>
      <c r="B2815" s="2">
        <v>45834</v>
      </c>
      <c r="C2815" t="s">
        <v>18</v>
      </c>
      <c r="D2815" t="s">
        <v>29</v>
      </c>
      <c r="E2815" t="s">
        <v>23</v>
      </c>
      <c r="F2815" t="s">
        <v>21</v>
      </c>
      <c r="G2815">
        <v>201</v>
      </c>
      <c r="H2815">
        <v>732.42</v>
      </c>
      <c r="I2815">
        <v>36</v>
      </c>
      <c r="J2815" t="s">
        <v>30</v>
      </c>
      <c r="K2815">
        <v>147216.42000000001</v>
      </c>
      <c r="L2815" t="str">
        <f t="shared" si="172"/>
        <v>Jun</v>
      </c>
      <c r="M2815">
        <f t="shared" si="173"/>
        <v>2025</v>
      </c>
      <c r="N2815">
        <f t="shared" si="174"/>
        <v>147216.41999999998</v>
      </c>
      <c r="O2815" t="str">
        <f t="shared" si="175"/>
        <v>Moderate Delay</v>
      </c>
    </row>
    <row r="2816" spans="1:15" x14ac:dyDescent="0.25">
      <c r="A2816">
        <v>2815</v>
      </c>
      <c r="B2816" s="2">
        <v>45768</v>
      </c>
      <c r="C2816" t="s">
        <v>26</v>
      </c>
      <c r="D2816" t="s">
        <v>29</v>
      </c>
      <c r="E2816" t="s">
        <v>23</v>
      </c>
      <c r="F2816" t="s">
        <v>21</v>
      </c>
      <c r="G2816">
        <v>238</v>
      </c>
      <c r="H2816">
        <v>413.32</v>
      </c>
      <c r="I2816">
        <v>51</v>
      </c>
      <c r="J2816" t="s">
        <v>15</v>
      </c>
      <c r="K2816">
        <v>98370.16</v>
      </c>
      <c r="L2816" t="str">
        <f t="shared" si="172"/>
        <v>Apr</v>
      </c>
      <c r="M2816">
        <f t="shared" si="173"/>
        <v>2025</v>
      </c>
      <c r="N2816">
        <f t="shared" si="174"/>
        <v>98370.16</v>
      </c>
      <c r="O2816" t="str">
        <f t="shared" si="175"/>
        <v>Moderate Delay</v>
      </c>
    </row>
    <row r="2817" spans="1:15" x14ac:dyDescent="0.25">
      <c r="A2817">
        <v>2816</v>
      </c>
      <c r="B2817" s="2">
        <v>45970</v>
      </c>
      <c r="C2817" t="s">
        <v>11</v>
      </c>
      <c r="D2817" t="s">
        <v>20</v>
      </c>
      <c r="E2817" t="s">
        <v>27</v>
      </c>
      <c r="F2817" t="s">
        <v>24</v>
      </c>
      <c r="G2817">
        <v>284</v>
      </c>
      <c r="H2817">
        <v>637.92999999999995</v>
      </c>
      <c r="I2817">
        <v>14</v>
      </c>
      <c r="J2817" t="s">
        <v>15</v>
      </c>
      <c r="K2817">
        <v>181172.12</v>
      </c>
      <c r="L2817" t="str">
        <f t="shared" si="172"/>
        <v>Nov</v>
      </c>
      <c r="M2817">
        <f t="shared" si="173"/>
        <v>2025</v>
      </c>
      <c r="N2817">
        <f t="shared" si="174"/>
        <v>181172.12</v>
      </c>
      <c r="O2817" t="str">
        <f t="shared" si="175"/>
        <v>Minor Delay</v>
      </c>
    </row>
    <row r="2818" spans="1:15" x14ac:dyDescent="0.25">
      <c r="A2818">
        <v>2817</v>
      </c>
      <c r="B2818" s="2">
        <v>45788</v>
      </c>
      <c r="C2818" t="s">
        <v>31</v>
      </c>
      <c r="D2818" t="s">
        <v>12</v>
      </c>
      <c r="E2818" t="s">
        <v>23</v>
      </c>
      <c r="F2818" t="s">
        <v>14</v>
      </c>
      <c r="G2818">
        <v>62</v>
      </c>
      <c r="H2818">
        <v>447.21</v>
      </c>
      <c r="I2818">
        <v>32</v>
      </c>
      <c r="J2818" t="s">
        <v>15</v>
      </c>
      <c r="K2818">
        <v>27727.02</v>
      </c>
      <c r="L2818" t="str">
        <f t="shared" si="172"/>
        <v>May</v>
      </c>
      <c r="M2818">
        <f t="shared" si="173"/>
        <v>2025</v>
      </c>
      <c r="N2818">
        <f t="shared" si="174"/>
        <v>27727.02</v>
      </c>
      <c r="O2818" t="str">
        <f t="shared" si="175"/>
        <v>Moderate Delay</v>
      </c>
    </row>
    <row r="2819" spans="1:15" x14ac:dyDescent="0.25">
      <c r="A2819">
        <v>2818</v>
      </c>
      <c r="B2819" s="2">
        <v>45825</v>
      </c>
      <c r="C2819" t="s">
        <v>11</v>
      </c>
      <c r="D2819" t="s">
        <v>19</v>
      </c>
      <c r="E2819" t="s">
        <v>12</v>
      </c>
      <c r="F2819" t="s">
        <v>21</v>
      </c>
      <c r="G2819">
        <v>185</v>
      </c>
      <c r="H2819">
        <v>612.07000000000005</v>
      </c>
      <c r="I2819">
        <v>5</v>
      </c>
      <c r="J2819" t="s">
        <v>30</v>
      </c>
      <c r="K2819">
        <v>113232.95</v>
      </c>
      <c r="L2819" t="str">
        <f t="shared" ref="L2819:L2882" si="176">TEXT(B2819,"MMM")</f>
        <v>Jun</v>
      </c>
      <c r="M2819">
        <f t="shared" ref="M2819:M2882" si="177">YEAR(B2819)</f>
        <v>2025</v>
      </c>
      <c r="N2819">
        <f t="shared" ref="N2819:N2882" si="178">G2819*H2819</f>
        <v>113232.95000000001</v>
      </c>
      <c r="O2819" t="str">
        <f t="shared" ref="O2819:O2882" si="179">IF(I2819=0,"On Time",IF(I2819&lt;=30,"Minor Delay",IF(I2819&lt;=60,"Moderate Delay","Major Delay")))</f>
        <v>Minor Delay</v>
      </c>
    </row>
    <row r="2820" spans="1:15" x14ac:dyDescent="0.25">
      <c r="A2820">
        <v>2819</v>
      </c>
      <c r="B2820" s="2">
        <v>45722</v>
      </c>
      <c r="C2820" t="s">
        <v>18</v>
      </c>
      <c r="D2820" t="s">
        <v>12</v>
      </c>
      <c r="E2820" t="s">
        <v>19</v>
      </c>
      <c r="F2820" t="s">
        <v>14</v>
      </c>
      <c r="G2820">
        <v>57</v>
      </c>
      <c r="H2820">
        <v>63.27</v>
      </c>
      <c r="I2820">
        <v>39</v>
      </c>
      <c r="J2820" t="s">
        <v>15</v>
      </c>
      <c r="K2820">
        <v>3606.39</v>
      </c>
      <c r="L2820" t="str">
        <f t="shared" si="176"/>
        <v>Mar</v>
      </c>
      <c r="M2820">
        <f t="shared" si="177"/>
        <v>2025</v>
      </c>
      <c r="N2820">
        <f t="shared" si="178"/>
        <v>3606.3900000000003</v>
      </c>
      <c r="O2820" t="str">
        <f t="shared" si="179"/>
        <v>Moderate Delay</v>
      </c>
    </row>
    <row r="2821" spans="1:15" x14ac:dyDescent="0.25">
      <c r="A2821">
        <v>2820</v>
      </c>
      <c r="B2821" s="2">
        <v>45733</v>
      </c>
      <c r="C2821" t="s">
        <v>31</v>
      </c>
      <c r="D2821" t="s">
        <v>20</v>
      </c>
      <c r="E2821" t="s">
        <v>17</v>
      </c>
      <c r="F2821" t="s">
        <v>21</v>
      </c>
      <c r="G2821">
        <v>241</v>
      </c>
      <c r="H2821">
        <v>758.48</v>
      </c>
      <c r="I2821">
        <v>28</v>
      </c>
      <c r="J2821" t="s">
        <v>30</v>
      </c>
      <c r="K2821">
        <v>182793.68</v>
      </c>
      <c r="L2821" t="str">
        <f t="shared" si="176"/>
        <v>Mar</v>
      </c>
      <c r="M2821">
        <f t="shared" si="177"/>
        <v>2025</v>
      </c>
      <c r="N2821">
        <f t="shared" si="178"/>
        <v>182793.68</v>
      </c>
      <c r="O2821" t="str">
        <f t="shared" si="179"/>
        <v>Minor Delay</v>
      </c>
    </row>
    <row r="2822" spans="1:15" x14ac:dyDescent="0.25">
      <c r="A2822">
        <v>2821</v>
      </c>
      <c r="B2822" s="2">
        <v>45675</v>
      </c>
      <c r="C2822" t="s">
        <v>26</v>
      </c>
      <c r="D2822" t="s">
        <v>23</v>
      </c>
      <c r="E2822" t="s">
        <v>19</v>
      </c>
      <c r="F2822" t="s">
        <v>21</v>
      </c>
      <c r="G2822">
        <v>289</v>
      </c>
      <c r="H2822">
        <v>477.38</v>
      </c>
      <c r="I2822">
        <v>22</v>
      </c>
      <c r="J2822" t="s">
        <v>15</v>
      </c>
      <c r="K2822">
        <v>137962.82</v>
      </c>
      <c r="L2822" t="str">
        <f t="shared" si="176"/>
        <v>Jan</v>
      </c>
      <c r="M2822">
        <f t="shared" si="177"/>
        <v>2025</v>
      </c>
      <c r="N2822">
        <f t="shared" si="178"/>
        <v>137962.82</v>
      </c>
      <c r="O2822" t="str">
        <f t="shared" si="179"/>
        <v>Minor Delay</v>
      </c>
    </row>
    <row r="2823" spans="1:15" x14ac:dyDescent="0.25">
      <c r="A2823">
        <v>2822</v>
      </c>
      <c r="B2823" s="2">
        <v>45735</v>
      </c>
      <c r="C2823" t="s">
        <v>25</v>
      </c>
      <c r="D2823" t="s">
        <v>20</v>
      </c>
      <c r="E2823" t="s">
        <v>22</v>
      </c>
      <c r="F2823" t="s">
        <v>21</v>
      </c>
      <c r="G2823">
        <v>170</v>
      </c>
      <c r="H2823">
        <v>157.97</v>
      </c>
      <c r="I2823">
        <v>32</v>
      </c>
      <c r="J2823" t="s">
        <v>15</v>
      </c>
      <c r="K2823">
        <v>26854.9</v>
      </c>
      <c r="L2823" t="str">
        <f t="shared" si="176"/>
        <v>Mar</v>
      </c>
      <c r="M2823">
        <f t="shared" si="177"/>
        <v>2025</v>
      </c>
      <c r="N2823">
        <f t="shared" si="178"/>
        <v>26854.9</v>
      </c>
      <c r="O2823" t="str">
        <f t="shared" si="179"/>
        <v>Moderate Delay</v>
      </c>
    </row>
    <row r="2824" spans="1:15" x14ac:dyDescent="0.25">
      <c r="A2824">
        <v>2823</v>
      </c>
      <c r="B2824" s="2">
        <v>45987</v>
      </c>
      <c r="C2824" t="s">
        <v>26</v>
      </c>
      <c r="D2824" t="s">
        <v>27</v>
      </c>
      <c r="E2824" t="s">
        <v>17</v>
      </c>
      <c r="F2824" t="s">
        <v>21</v>
      </c>
      <c r="G2824">
        <v>148</v>
      </c>
      <c r="H2824">
        <v>279.87</v>
      </c>
      <c r="I2824">
        <v>18</v>
      </c>
      <c r="J2824" t="s">
        <v>15</v>
      </c>
      <c r="K2824">
        <v>41420.76</v>
      </c>
      <c r="L2824" t="str">
        <f t="shared" si="176"/>
        <v>Nov</v>
      </c>
      <c r="M2824">
        <f t="shared" si="177"/>
        <v>2025</v>
      </c>
      <c r="N2824">
        <f t="shared" si="178"/>
        <v>41420.76</v>
      </c>
      <c r="O2824" t="str">
        <f t="shared" si="179"/>
        <v>Minor Delay</v>
      </c>
    </row>
    <row r="2825" spans="1:15" x14ac:dyDescent="0.25">
      <c r="A2825">
        <v>2824</v>
      </c>
      <c r="B2825" s="2">
        <v>45826</v>
      </c>
      <c r="C2825" t="s">
        <v>31</v>
      </c>
      <c r="D2825" t="s">
        <v>23</v>
      </c>
      <c r="E2825" t="s">
        <v>13</v>
      </c>
      <c r="F2825" t="s">
        <v>21</v>
      </c>
      <c r="G2825">
        <v>216</v>
      </c>
      <c r="H2825">
        <v>171.99</v>
      </c>
      <c r="I2825">
        <v>0</v>
      </c>
      <c r="J2825" t="s">
        <v>15</v>
      </c>
      <c r="K2825">
        <v>37149.839999999997</v>
      </c>
      <c r="L2825" t="str">
        <f t="shared" si="176"/>
        <v>Jun</v>
      </c>
      <c r="M2825">
        <f t="shared" si="177"/>
        <v>2025</v>
      </c>
      <c r="N2825">
        <f t="shared" si="178"/>
        <v>37149.840000000004</v>
      </c>
      <c r="O2825" t="str">
        <f t="shared" si="179"/>
        <v>On Time</v>
      </c>
    </row>
    <row r="2826" spans="1:15" x14ac:dyDescent="0.25">
      <c r="A2826">
        <v>2825</v>
      </c>
      <c r="B2826" s="2">
        <v>45776</v>
      </c>
      <c r="C2826" t="s">
        <v>16</v>
      </c>
      <c r="D2826" t="s">
        <v>19</v>
      </c>
      <c r="E2826" t="s">
        <v>17</v>
      </c>
      <c r="F2826" t="s">
        <v>21</v>
      </c>
      <c r="G2826">
        <v>288</v>
      </c>
      <c r="H2826">
        <v>418.51</v>
      </c>
      <c r="I2826">
        <v>0</v>
      </c>
      <c r="J2826" t="s">
        <v>30</v>
      </c>
      <c r="K2826">
        <v>120530.88</v>
      </c>
      <c r="L2826" t="str">
        <f t="shared" si="176"/>
        <v>Apr</v>
      </c>
      <c r="M2826">
        <f t="shared" si="177"/>
        <v>2025</v>
      </c>
      <c r="N2826">
        <f t="shared" si="178"/>
        <v>120530.88</v>
      </c>
      <c r="O2826" t="str">
        <f t="shared" si="179"/>
        <v>On Time</v>
      </c>
    </row>
    <row r="2827" spans="1:15" x14ac:dyDescent="0.25">
      <c r="A2827">
        <v>2826</v>
      </c>
      <c r="B2827" s="2">
        <v>45722</v>
      </c>
      <c r="C2827" t="s">
        <v>31</v>
      </c>
      <c r="D2827" t="s">
        <v>23</v>
      </c>
      <c r="E2827" t="s">
        <v>20</v>
      </c>
      <c r="F2827" t="s">
        <v>21</v>
      </c>
      <c r="G2827">
        <v>285</v>
      </c>
      <c r="H2827">
        <v>779.86</v>
      </c>
      <c r="I2827">
        <v>35</v>
      </c>
      <c r="J2827" t="s">
        <v>30</v>
      </c>
      <c r="K2827">
        <v>222260.1</v>
      </c>
      <c r="L2827" t="str">
        <f t="shared" si="176"/>
        <v>Mar</v>
      </c>
      <c r="M2827">
        <f t="shared" si="177"/>
        <v>2025</v>
      </c>
      <c r="N2827">
        <f t="shared" si="178"/>
        <v>222260.1</v>
      </c>
      <c r="O2827" t="str">
        <f t="shared" si="179"/>
        <v>Moderate Delay</v>
      </c>
    </row>
    <row r="2828" spans="1:15" x14ac:dyDescent="0.25">
      <c r="A2828">
        <v>2827</v>
      </c>
      <c r="B2828" s="2">
        <v>45931</v>
      </c>
      <c r="C2828" t="s">
        <v>11</v>
      </c>
      <c r="D2828" t="s">
        <v>22</v>
      </c>
      <c r="E2828" t="s">
        <v>20</v>
      </c>
      <c r="F2828" t="s">
        <v>14</v>
      </c>
      <c r="G2828">
        <v>71</v>
      </c>
      <c r="H2828">
        <v>410.65</v>
      </c>
      <c r="I2828">
        <v>0</v>
      </c>
      <c r="J2828" t="s">
        <v>15</v>
      </c>
      <c r="K2828">
        <v>29156.15</v>
      </c>
      <c r="L2828" t="str">
        <f t="shared" si="176"/>
        <v>Oct</v>
      </c>
      <c r="M2828">
        <f t="shared" si="177"/>
        <v>2025</v>
      </c>
      <c r="N2828">
        <f t="shared" si="178"/>
        <v>29156.149999999998</v>
      </c>
      <c r="O2828" t="str">
        <f t="shared" si="179"/>
        <v>On Time</v>
      </c>
    </row>
    <row r="2829" spans="1:15" x14ac:dyDescent="0.25">
      <c r="A2829">
        <v>2828</v>
      </c>
      <c r="B2829" s="2">
        <v>45709</v>
      </c>
      <c r="C2829" t="s">
        <v>31</v>
      </c>
      <c r="D2829" t="s">
        <v>17</v>
      </c>
      <c r="E2829" t="s">
        <v>20</v>
      </c>
      <c r="F2829" t="s">
        <v>24</v>
      </c>
      <c r="G2829">
        <v>196</v>
      </c>
      <c r="H2829">
        <v>306.57</v>
      </c>
      <c r="I2829">
        <v>46</v>
      </c>
      <c r="J2829" t="s">
        <v>15</v>
      </c>
      <c r="K2829">
        <v>60087.72</v>
      </c>
      <c r="L2829" t="str">
        <f t="shared" si="176"/>
        <v>Feb</v>
      </c>
      <c r="M2829">
        <f t="shared" si="177"/>
        <v>2025</v>
      </c>
      <c r="N2829">
        <f t="shared" si="178"/>
        <v>60087.72</v>
      </c>
      <c r="O2829" t="str">
        <f t="shared" si="179"/>
        <v>Moderate Delay</v>
      </c>
    </row>
    <row r="2830" spans="1:15" x14ac:dyDescent="0.25">
      <c r="A2830">
        <v>2829</v>
      </c>
      <c r="B2830" s="2">
        <v>45816</v>
      </c>
      <c r="C2830" t="s">
        <v>11</v>
      </c>
      <c r="D2830" t="s">
        <v>23</v>
      </c>
      <c r="E2830" t="s">
        <v>13</v>
      </c>
      <c r="F2830" t="s">
        <v>24</v>
      </c>
      <c r="G2830">
        <v>175</v>
      </c>
      <c r="H2830">
        <v>250.64</v>
      </c>
      <c r="I2830">
        <v>14</v>
      </c>
      <c r="J2830" t="s">
        <v>30</v>
      </c>
      <c r="K2830">
        <v>43862</v>
      </c>
      <c r="L2830" t="str">
        <f t="shared" si="176"/>
        <v>Jun</v>
      </c>
      <c r="M2830">
        <f t="shared" si="177"/>
        <v>2025</v>
      </c>
      <c r="N2830">
        <f t="shared" si="178"/>
        <v>43862</v>
      </c>
      <c r="O2830" t="str">
        <f t="shared" si="179"/>
        <v>Minor Delay</v>
      </c>
    </row>
    <row r="2831" spans="1:15" x14ac:dyDescent="0.25">
      <c r="A2831">
        <v>2830</v>
      </c>
      <c r="B2831" s="2">
        <v>45996</v>
      </c>
      <c r="C2831" t="s">
        <v>31</v>
      </c>
      <c r="D2831" t="s">
        <v>19</v>
      </c>
      <c r="E2831" t="s">
        <v>27</v>
      </c>
      <c r="F2831" t="s">
        <v>24</v>
      </c>
      <c r="G2831">
        <v>267</v>
      </c>
      <c r="H2831">
        <v>359.48</v>
      </c>
      <c r="I2831">
        <v>0</v>
      </c>
      <c r="J2831" t="s">
        <v>15</v>
      </c>
      <c r="K2831">
        <v>95981.16</v>
      </c>
      <c r="L2831" t="str">
        <f t="shared" si="176"/>
        <v>Dec</v>
      </c>
      <c r="M2831">
        <f t="shared" si="177"/>
        <v>2025</v>
      </c>
      <c r="N2831">
        <f t="shared" si="178"/>
        <v>95981.16</v>
      </c>
      <c r="O2831" t="str">
        <f t="shared" si="179"/>
        <v>On Time</v>
      </c>
    </row>
    <row r="2832" spans="1:15" x14ac:dyDescent="0.25">
      <c r="A2832">
        <v>2831</v>
      </c>
      <c r="B2832" s="2">
        <v>45911</v>
      </c>
      <c r="C2832" t="s">
        <v>11</v>
      </c>
      <c r="D2832" t="s">
        <v>20</v>
      </c>
      <c r="E2832" t="s">
        <v>27</v>
      </c>
      <c r="F2832" t="s">
        <v>21</v>
      </c>
      <c r="G2832">
        <v>93</v>
      </c>
      <c r="H2832">
        <v>114.22</v>
      </c>
      <c r="I2832">
        <v>43</v>
      </c>
      <c r="J2832" t="s">
        <v>15</v>
      </c>
      <c r="K2832">
        <v>10622.46</v>
      </c>
      <c r="L2832" t="str">
        <f t="shared" si="176"/>
        <v>Sep</v>
      </c>
      <c r="M2832">
        <f t="shared" si="177"/>
        <v>2025</v>
      </c>
      <c r="N2832">
        <f t="shared" si="178"/>
        <v>10622.46</v>
      </c>
      <c r="O2832" t="str">
        <f t="shared" si="179"/>
        <v>Moderate Delay</v>
      </c>
    </row>
    <row r="2833" spans="1:15" x14ac:dyDescent="0.25">
      <c r="A2833">
        <v>2832</v>
      </c>
      <c r="B2833" s="2">
        <v>45681</v>
      </c>
      <c r="C2833" t="s">
        <v>11</v>
      </c>
      <c r="D2833" t="s">
        <v>12</v>
      </c>
      <c r="E2833" t="s">
        <v>19</v>
      </c>
      <c r="F2833" t="s">
        <v>21</v>
      </c>
      <c r="G2833">
        <v>135</v>
      </c>
      <c r="H2833">
        <v>676.66</v>
      </c>
      <c r="I2833">
        <v>18</v>
      </c>
      <c r="J2833" t="s">
        <v>15</v>
      </c>
      <c r="K2833">
        <v>91349.1</v>
      </c>
      <c r="L2833" t="str">
        <f t="shared" si="176"/>
        <v>Jan</v>
      </c>
      <c r="M2833">
        <f t="shared" si="177"/>
        <v>2025</v>
      </c>
      <c r="N2833">
        <f t="shared" si="178"/>
        <v>91349.099999999991</v>
      </c>
      <c r="O2833" t="str">
        <f t="shared" si="179"/>
        <v>Minor Delay</v>
      </c>
    </row>
    <row r="2834" spans="1:15" x14ac:dyDescent="0.25">
      <c r="A2834">
        <v>2833</v>
      </c>
      <c r="B2834" s="2">
        <v>45922</v>
      </c>
      <c r="C2834" t="s">
        <v>18</v>
      </c>
      <c r="D2834" t="s">
        <v>12</v>
      </c>
      <c r="E2834" t="s">
        <v>23</v>
      </c>
      <c r="F2834" t="s">
        <v>14</v>
      </c>
      <c r="G2834">
        <v>103</v>
      </c>
      <c r="H2834">
        <v>400.12</v>
      </c>
      <c r="I2834">
        <v>34</v>
      </c>
      <c r="J2834" t="s">
        <v>30</v>
      </c>
      <c r="K2834">
        <v>41212.36</v>
      </c>
      <c r="L2834" t="str">
        <f t="shared" si="176"/>
        <v>Sep</v>
      </c>
      <c r="M2834">
        <f t="shared" si="177"/>
        <v>2025</v>
      </c>
      <c r="N2834">
        <f t="shared" si="178"/>
        <v>41212.36</v>
      </c>
      <c r="O2834" t="str">
        <f t="shared" si="179"/>
        <v>Moderate Delay</v>
      </c>
    </row>
    <row r="2835" spans="1:15" x14ac:dyDescent="0.25">
      <c r="A2835">
        <v>2834</v>
      </c>
      <c r="B2835" s="2">
        <v>45887</v>
      </c>
      <c r="C2835" t="s">
        <v>26</v>
      </c>
      <c r="D2835" t="s">
        <v>23</v>
      </c>
      <c r="E2835" t="s">
        <v>22</v>
      </c>
      <c r="F2835" t="s">
        <v>21</v>
      </c>
      <c r="G2835">
        <v>205</v>
      </c>
      <c r="H2835">
        <v>60.06</v>
      </c>
      <c r="I2835">
        <v>57</v>
      </c>
      <c r="J2835" t="s">
        <v>15</v>
      </c>
      <c r="K2835">
        <v>12312.3</v>
      </c>
      <c r="L2835" t="str">
        <f t="shared" si="176"/>
        <v>Aug</v>
      </c>
      <c r="M2835">
        <f t="shared" si="177"/>
        <v>2025</v>
      </c>
      <c r="N2835">
        <f t="shared" si="178"/>
        <v>12312.300000000001</v>
      </c>
      <c r="O2835" t="str">
        <f t="shared" si="179"/>
        <v>Moderate Delay</v>
      </c>
    </row>
    <row r="2836" spans="1:15" x14ac:dyDescent="0.25">
      <c r="A2836">
        <v>2835</v>
      </c>
      <c r="B2836" s="2">
        <v>45885</v>
      </c>
      <c r="C2836" t="s">
        <v>25</v>
      </c>
      <c r="D2836" t="s">
        <v>17</v>
      </c>
      <c r="E2836" t="s">
        <v>13</v>
      </c>
      <c r="F2836" t="s">
        <v>21</v>
      </c>
      <c r="G2836">
        <v>156</v>
      </c>
      <c r="H2836">
        <v>700.84</v>
      </c>
      <c r="I2836">
        <v>23</v>
      </c>
      <c r="J2836" t="s">
        <v>15</v>
      </c>
      <c r="K2836">
        <v>109331.04</v>
      </c>
      <c r="L2836" t="str">
        <f t="shared" si="176"/>
        <v>Aug</v>
      </c>
      <c r="M2836">
        <f t="shared" si="177"/>
        <v>2025</v>
      </c>
      <c r="N2836">
        <f t="shared" si="178"/>
        <v>109331.04000000001</v>
      </c>
      <c r="O2836" t="str">
        <f t="shared" si="179"/>
        <v>Minor Delay</v>
      </c>
    </row>
    <row r="2837" spans="1:15" x14ac:dyDescent="0.25">
      <c r="A2837">
        <v>2836</v>
      </c>
      <c r="B2837" s="2">
        <v>45869</v>
      </c>
      <c r="C2837" t="s">
        <v>26</v>
      </c>
      <c r="D2837" t="s">
        <v>13</v>
      </c>
      <c r="E2837" t="s">
        <v>27</v>
      </c>
      <c r="F2837" t="s">
        <v>14</v>
      </c>
      <c r="G2837">
        <v>249</v>
      </c>
      <c r="H2837">
        <v>620.22</v>
      </c>
      <c r="I2837">
        <v>0</v>
      </c>
      <c r="J2837" t="s">
        <v>15</v>
      </c>
      <c r="K2837">
        <v>154434.78</v>
      </c>
      <c r="L2837" t="str">
        <f t="shared" si="176"/>
        <v>Jul</v>
      </c>
      <c r="M2837">
        <f t="shared" si="177"/>
        <v>2025</v>
      </c>
      <c r="N2837">
        <f t="shared" si="178"/>
        <v>154434.78</v>
      </c>
      <c r="O2837" t="str">
        <f t="shared" si="179"/>
        <v>On Time</v>
      </c>
    </row>
    <row r="2838" spans="1:15" x14ac:dyDescent="0.25">
      <c r="A2838">
        <v>2837</v>
      </c>
      <c r="B2838" s="2">
        <v>46010</v>
      </c>
      <c r="C2838" t="s">
        <v>31</v>
      </c>
      <c r="D2838" t="s">
        <v>20</v>
      </c>
      <c r="E2838" t="s">
        <v>13</v>
      </c>
      <c r="F2838" t="s">
        <v>24</v>
      </c>
      <c r="G2838">
        <v>72</v>
      </c>
      <c r="H2838">
        <v>417.66</v>
      </c>
      <c r="I2838">
        <v>22</v>
      </c>
      <c r="J2838" t="s">
        <v>30</v>
      </c>
      <c r="K2838">
        <v>30071.52</v>
      </c>
      <c r="L2838" t="str">
        <f t="shared" si="176"/>
        <v>Dec</v>
      </c>
      <c r="M2838">
        <f t="shared" si="177"/>
        <v>2025</v>
      </c>
      <c r="N2838">
        <f t="shared" si="178"/>
        <v>30071.52</v>
      </c>
      <c r="O2838" t="str">
        <f t="shared" si="179"/>
        <v>Minor Delay</v>
      </c>
    </row>
    <row r="2839" spans="1:15" x14ac:dyDescent="0.25">
      <c r="A2839">
        <v>2838</v>
      </c>
      <c r="B2839" s="2">
        <v>45795</v>
      </c>
      <c r="C2839" t="s">
        <v>26</v>
      </c>
      <c r="D2839" t="s">
        <v>22</v>
      </c>
      <c r="E2839" t="s">
        <v>12</v>
      </c>
      <c r="F2839" t="s">
        <v>24</v>
      </c>
      <c r="G2839">
        <v>99</v>
      </c>
      <c r="H2839">
        <v>778.98</v>
      </c>
      <c r="I2839">
        <v>56</v>
      </c>
      <c r="J2839" t="s">
        <v>15</v>
      </c>
      <c r="K2839">
        <v>77119.02</v>
      </c>
      <c r="L2839" t="str">
        <f t="shared" si="176"/>
        <v>May</v>
      </c>
      <c r="M2839">
        <f t="shared" si="177"/>
        <v>2025</v>
      </c>
      <c r="N2839">
        <f t="shared" si="178"/>
        <v>77119.02</v>
      </c>
      <c r="O2839" t="str">
        <f t="shared" si="179"/>
        <v>Moderate Delay</v>
      </c>
    </row>
    <row r="2840" spans="1:15" x14ac:dyDescent="0.25">
      <c r="A2840">
        <v>2839</v>
      </c>
      <c r="B2840" s="2">
        <v>45918</v>
      </c>
      <c r="C2840" t="s">
        <v>16</v>
      </c>
      <c r="D2840" t="s">
        <v>12</v>
      </c>
      <c r="E2840" t="s">
        <v>17</v>
      </c>
      <c r="F2840" t="s">
        <v>24</v>
      </c>
      <c r="G2840">
        <v>138</v>
      </c>
      <c r="H2840">
        <v>463.01</v>
      </c>
      <c r="I2840">
        <v>55</v>
      </c>
      <c r="J2840" t="s">
        <v>15</v>
      </c>
      <c r="K2840">
        <v>63895.38</v>
      </c>
      <c r="L2840" t="str">
        <f t="shared" si="176"/>
        <v>Sep</v>
      </c>
      <c r="M2840">
        <f t="shared" si="177"/>
        <v>2025</v>
      </c>
      <c r="N2840">
        <f t="shared" si="178"/>
        <v>63895.38</v>
      </c>
      <c r="O2840" t="str">
        <f t="shared" si="179"/>
        <v>Moderate Delay</v>
      </c>
    </row>
    <row r="2841" spans="1:15" x14ac:dyDescent="0.25">
      <c r="A2841">
        <v>2840</v>
      </c>
      <c r="B2841" s="2">
        <v>45796</v>
      </c>
      <c r="C2841" t="s">
        <v>25</v>
      </c>
      <c r="D2841" t="s">
        <v>20</v>
      </c>
      <c r="E2841" t="s">
        <v>23</v>
      </c>
      <c r="F2841" t="s">
        <v>21</v>
      </c>
      <c r="G2841">
        <v>150</v>
      </c>
      <c r="H2841">
        <v>555.12</v>
      </c>
      <c r="I2841">
        <v>39</v>
      </c>
      <c r="J2841" t="s">
        <v>15</v>
      </c>
      <c r="K2841">
        <v>83268</v>
      </c>
      <c r="L2841" t="str">
        <f t="shared" si="176"/>
        <v>May</v>
      </c>
      <c r="M2841">
        <f t="shared" si="177"/>
        <v>2025</v>
      </c>
      <c r="N2841">
        <f t="shared" si="178"/>
        <v>83268</v>
      </c>
      <c r="O2841" t="str">
        <f t="shared" si="179"/>
        <v>Moderate Delay</v>
      </c>
    </row>
    <row r="2842" spans="1:15" x14ac:dyDescent="0.25">
      <c r="A2842">
        <v>2841</v>
      </c>
      <c r="B2842" s="2">
        <v>45682</v>
      </c>
      <c r="C2842" t="s">
        <v>25</v>
      </c>
      <c r="D2842" t="s">
        <v>12</v>
      </c>
      <c r="E2842" t="s">
        <v>20</v>
      </c>
      <c r="F2842" t="s">
        <v>24</v>
      </c>
      <c r="G2842">
        <v>260</v>
      </c>
      <c r="H2842">
        <v>409.87</v>
      </c>
      <c r="I2842">
        <v>23</v>
      </c>
      <c r="J2842" t="s">
        <v>15</v>
      </c>
      <c r="K2842">
        <v>106566.2</v>
      </c>
      <c r="L2842" t="str">
        <f t="shared" si="176"/>
        <v>Jan</v>
      </c>
      <c r="M2842">
        <f t="shared" si="177"/>
        <v>2025</v>
      </c>
      <c r="N2842">
        <f t="shared" si="178"/>
        <v>106566.2</v>
      </c>
      <c r="O2842" t="str">
        <f t="shared" si="179"/>
        <v>Minor Delay</v>
      </c>
    </row>
    <row r="2843" spans="1:15" x14ac:dyDescent="0.25">
      <c r="A2843">
        <v>2842</v>
      </c>
      <c r="B2843" s="2">
        <v>45821</v>
      </c>
      <c r="C2843" t="s">
        <v>26</v>
      </c>
      <c r="D2843" t="s">
        <v>13</v>
      </c>
      <c r="E2843" t="s">
        <v>22</v>
      </c>
      <c r="F2843" t="s">
        <v>14</v>
      </c>
      <c r="G2843">
        <v>188</v>
      </c>
      <c r="H2843">
        <v>264.45999999999998</v>
      </c>
      <c r="I2843">
        <v>21</v>
      </c>
      <c r="J2843" t="s">
        <v>15</v>
      </c>
      <c r="K2843">
        <v>49718.48</v>
      </c>
      <c r="L2843" t="str">
        <f t="shared" si="176"/>
        <v>Jun</v>
      </c>
      <c r="M2843">
        <f t="shared" si="177"/>
        <v>2025</v>
      </c>
      <c r="N2843">
        <f t="shared" si="178"/>
        <v>49718.479999999996</v>
      </c>
      <c r="O2843" t="str">
        <f t="shared" si="179"/>
        <v>Minor Delay</v>
      </c>
    </row>
    <row r="2844" spans="1:15" x14ac:dyDescent="0.25">
      <c r="A2844">
        <v>2843</v>
      </c>
      <c r="B2844" s="2">
        <v>45749</v>
      </c>
      <c r="C2844" t="s">
        <v>16</v>
      </c>
      <c r="D2844" t="s">
        <v>19</v>
      </c>
      <c r="E2844" t="s">
        <v>29</v>
      </c>
      <c r="F2844" t="s">
        <v>21</v>
      </c>
      <c r="G2844">
        <v>56</v>
      </c>
      <c r="H2844">
        <v>563.91999999999996</v>
      </c>
      <c r="I2844">
        <v>0</v>
      </c>
      <c r="J2844" t="s">
        <v>15</v>
      </c>
      <c r="K2844">
        <v>31579.52</v>
      </c>
      <c r="L2844" t="str">
        <f t="shared" si="176"/>
        <v>Apr</v>
      </c>
      <c r="M2844">
        <f t="shared" si="177"/>
        <v>2025</v>
      </c>
      <c r="N2844">
        <f t="shared" si="178"/>
        <v>31579.519999999997</v>
      </c>
      <c r="O2844" t="str">
        <f t="shared" si="179"/>
        <v>On Time</v>
      </c>
    </row>
    <row r="2845" spans="1:15" x14ac:dyDescent="0.25">
      <c r="A2845">
        <v>2844</v>
      </c>
      <c r="B2845" s="2">
        <v>45921</v>
      </c>
      <c r="C2845" t="s">
        <v>26</v>
      </c>
      <c r="D2845" t="s">
        <v>13</v>
      </c>
      <c r="E2845" t="s">
        <v>23</v>
      </c>
      <c r="F2845" t="s">
        <v>21</v>
      </c>
      <c r="G2845">
        <v>191</v>
      </c>
      <c r="H2845">
        <v>355.51</v>
      </c>
      <c r="I2845">
        <v>6</v>
      </c>
      <c r="J2845" t="s">
        <v>30</v>
      </c>
      <c r="K2845">
        <v>67902.41</v>
      </c>
      <c r="L2845" t="str">
        <f t="shared" si="176"/>
        <v>Sep</v>
      </c>
      <c r="M2845">
        <f t="shared" si="177"/>
        <v>2025</v>
      </c>
      <c r="N2845">
        <f t="shared" si="178"/>
        <v>67902.41</v>
      </c>
      <c r="O2845" t="str">
        <f t="shared" si="179"/>
        <v>Minor Delay</v>
      </c>
    </row>
    <row r="2846" spans="1:15" x14ac:dyDescent="0.25">
      <c r="A2846">
        <v>2845</v>
      </c>
      <c r="B2846" s="2">
        <v>45931</v>
      </c>
      <c r="C2846" t="s">
        <v>31</v>
      </c>
      <c r="D2846" t="s">
        <v>13</v>
      </c>
      <c r="E2846" t="s">
        <v>27</v>
      </c>
      <c r="F2846" t="s">
        <v>14</v>
      </c>
      <c r="G2846">
        <v>88</v>
      </c>
      <c r="H2846">
        <v>349.89</v>
      </c>
      <c r="I2846">
        <v>41</v>
      </c>
      <c r="J2846" t="s">
        <v>15</v>
      </c>
      <c r="K2846">
        <v>30790.32</v>
      </c>
      <c r="L2846" t="str">
        <f t="shared" si="176"/>
        <v>Oct</v>
      </c>
      <c r="M2846">
        <f t="shared" si="177"/>
        <v>2025</v>
      </c>
      <c r="N2846">
        <f t="shared" si="178"/>
        <v>30790.32</v>
      </c>
      <c r="O2846" t="str">
        <f t="shared" si="179"/>
        <v>Moderate Delay</v>
      </c>
    </row>
    <row r="2847" spans="1:15" x14ac:dyDescent="0.25">
      <c r="A2847">
        <v>2846</v>
      </c>
      <c r="B2847" s="2">
        <v>46012</v>
      </c>
      <c r="C2847" t="s">
        <v>18</v>
      </c>
      <c r="D2847" t="s">
        <v>17</v>
      </c>
      <c r="E2847" t="s">
        <v>23</v>
      </c>
      <c r="F2847" t="s">
        <v>21</v>
      </c>
      <c r="G2847">
        <v>203</v>
      </c>
      <c r="H2847">
        <v>212.92</v>
      </c>
      <c r="I2847">
        <v>52</v>
      </c>
      <c r="J2847" t="s">
        <v>15</v>
      </c>
      <c r="K2847">
        <v>43222.76</v>
      </c>
      <c r="L2847" t="str">
        <f t="shared" si="176"/>
        <v>Dec</v>
      </c>
      <c r="M2847">
        <f t="shared" si="177"/>
        <v>2025</v>
      </c>
      <c r="N2847">
        <f t="shared" si="178"/>
        <v>43222.759999999995</v>
      </c>
      <c r="O2847" t="str">
        <f t="shared" si="179"/>
        <v>Moderate Delay</v>
      </c>
    </row>
    <row r="2848" spans="1:15" x14ac:dyDescent="0.25">
      <c r="A2848">
        <v>2847</v>
      </c>
      <c r="B2848" s="2">
        <v>45871</v>
      </c>
      <c r="C2848" t="s">
        <v>11</v>
      </c>
      <c r="D2848" t="s">
        <v>19</v>
      </c>
      <c r="E2848" t="s">
        <v>17</v>
      </c>
      <c r="F2848" t="s">
        <v>14</v>
      </c>
      <c r="G2848">
        <v>64</v>
      </c>
      <c r="H2848">
        <v>750.08</v>
      </c>
      <c r="I2848">
        <v>0</v>
      </c>
      <c r="J2848" t="s">
        <v>15</v>
      </c>
      <c r="K2848">
        <v>48005.120000000003</v>
      </c>
      <c r="L2848" t="str">
        <f t="shared" si="176"/>
        <v>Aug</v>
      </c>
      <c r="M2848">
        <f t="shared" si="177"/>
        <v>2025</v>
      </c>
      <c r="N2848">
        <f t="shared" si="178"/>
        <v>48005.120000000003</v>
      </c>
      <c r="O2848" t="str">
        <f t="shared" si="179"/>
        <v>On Time</v>
      </c>
    </row>
    <row r="2849" spans="1:15" x14ac:dyDescent="0.25">
      <c r="A2849">
        <v>2848</v>
      </c>
      <c r="B2849" s="2">
        <v>45879</v>
      </c>
      <c r="C2849" t="s">
        <v>18</v>
      </c>
      <c r="D2849" t="s">
        <v>13</v>
      </c>
      <c r="E2849" t="s">
        <v>12</v>
      </c>
      <c r="F2849" t="s">
        <v>14</v>
      </c>
      <c r="G2849">
        <v>179</v>
      </c>
      <c r="H2849">
        <v>592.67999999999995</v>
      </c>
      <c r="I2849">
        <v>2</v>
      </c>
      <c r="J2849" t="s">
        <v>15</v>
      </c>
      <c r="K2849">
        <v>106089.72</v>
      </c>
      <c r="L2849" t="str">
        <f t="shared" si="176"/>
        <v>Aug</v>
      </c>
      <c r="M2849">
        <f t="shared" si="177"/>
        <v>2025</v>
      </c>
      <c r="N2849">
        <f t="shared" si="178"/>
        <v>106089.71999999999</v>
      </c>
      <c r="O2849" t="str">
        <f t="shared" si="179"/>
        <v>Minor Delay</v>
      </c>
    </row>
    <row r="2850" spans="1:15" x14ac:dyDescent="0.25">
      <c r="A2850">
        <v>2849</v>
      </c>
      <c r="B2850" s="2">
        <v>45963</v>
      </c>
      <c r="C2850" t="s">
        <v>11</v>
      </c>
      <c r="D2850" t="s">
        <v>20</v>
      </c>
      <c r="E2850" t="s">
        <v>13</v>
      </c>
      <c r="F2850" t="s">
        <v>14</v>
      </c>
      <c r="G2850">
        <v>300</v>
      </c>
      <c r="H2850">
        <v>562.83000000000004</v>
      </c>
      <c r="I2850">
        <v>48</v>
      </c>
      <c r="J2850" t="s">
        <v>15</v>
      </c>
      <c r="K2850">
        <v>168849</v>
      </c>
      <c r="L2850" t="str">
        <f t="shared" si="176"/>
        <v>Nov</v>
      </c>
      <c r="M2850">
        <f t="shared" si="177"/>
        <v>2025</v>
      </c>
      <c r="N2850">
        <f t="shared" si="178"/>
        <v>168849</v>
      </c>
      <c r="O2850" t="str">
        <f t="shared" si="179"/>
        <v>Moderate Delay</v>
      </c>
    </row>
    <row r="2851" spans="1:15" x14ac:dyDescent="0.25">
      <c r="A2851">
        <v>2850</v>
      </c>
      <c r="B2851" s="2">
        <v>45698</v>
      </c>
      <c r="C2851" t="s">
        <v>16</v>
      </c>
      <c r="D2851" t="s">
        <v>23</v>
      </c>
      <c r="E2851" t="s">
        <v>19</v>
      </c>
      <c r="F2851" t="s">
        <v>14</v>
      </c>
      <c r="G2851">
        <v>224</v>
      </c>
      <c r="H2851">
        <v>693.56</v>
      </c>
      <c r="I2851">
        <v>46</v>
      </c>
      <c r="J2851" t="s">
        <v>15</v>
      </c>
      <c r="K2851">
        <v>155357.44</v>
      </c>
      <c r="L2851" t="str">
        <f t="shared" si="176"/>
        <v>Feb</v>
      </c>
      <c r="M2851">
        <f t="shared" si="177"/>
        <v>2025</v>
      </c>
      <c r="N2851">
        <f t="shared" si="178"/>
        <v>155357.44</v>
      </c>
      <c r="O2851" t="str">
        <f t="shared" si="179"/>
        <v>Moderate Delay</v>
      </c>
    </row>
    <row r="2852" spans="1:15" x14ac:dyDescent="0.25">
      <c r="A2852">
        <v>2851</v>
      </c>
      <c r="B2852" s="2">
        <v>45709</v>
      </c>
      <c r="C2852" t="s">
        <v>16</v>
      </c>
      <c r="D2852" t="s">
        <v>17</v>
      </c>
      <c r="E2852" t="s">
        <v>20</v>
      </c>
      <c r="F2852" t="s">
        <v>24</v>
      </c>
      <c r="G2852">
        <v>187</v>
      </c>
      <c r="H2852">
        <v>264</v>
      </c>
      <c r="I2852">
        <v>15</v>
      </c>
      <c r="J2852" t="s">
        <v>15</v>
      </c>
      <c r="K2852">
        <v>49368</v>
      </c>
      <c r="L2852" t="str">
        <f t="shared" si="176"/>
        <v>Feb</v>
      </c>
      <c r="M2852">
        <f t="shared" si="177"/>
        <v>2025</v>
      </c>
      <c r="N2852">
        <f t="shared" si="178"/>
        <v>49368</v>
      </c>
      <c r="O2852" t="str">
        <f t="shared" si="179"/>
        <v>Minor Delay</v>
      </c>
    </row>
    <row r="2853" spans="1:15" x14ac:dyDescent="0.25">
      <c r="A2853">
        <v>2852</v>
      </c>
      <c r="B2853" s="2">
        <v>45753</v>
      </c>
      <c r="C2853" t="s">
        <v>25</v>
      </c>
      <c r="D2853" t="s">
        <v>17</v>
      </c>
      <c r="E2853" t="s">
        <v>19</v>
      </c>
      <c r="F2853" t="s">
        <v>14</v>
      </c>
      <c r="G2853">
        <v>78</v>
      </c>
      <c r="H2853">
        <v>499.56</v>
      </c>
      <c r="I2853">
        <v>26</v>
      </c>
      <c r="J2853" t="s">
        <v>15</v>
      </c>
      <c r="K2853">
        <v>38965.68</v>
      </c>
      <c r="L2853" t="str">
        <f t="shared" si="176"/>
        <v>Apr</v>
      </c>
      <c r="M2853">
        <f t="shared" si="177"/>
        <v>2025</v>
      </c>
      <c r="N2853">
        <f t="shared" si="178"/>
        <v>38965.68</v>
      </c>
      <c r="O2853" t="str">
        <f t="shared" si="179"/>
        <v>Minor Delay</v>
      </c>
    </row>
    <row r="2854" spans="1:15" x14ac:dyDescent="0.25">
      <c r="A2854">
        <v>2853</v>
      </c>
      <c r="B2854" s="2">
        <v>46008</v>
      </c>
      <c r="C2854" t="s">
        <v>25</v>
      </c>
      <c r="D2854" t="s">
        <v>23</v>
      </c>
      <c r="E2854" t="s">
        <v>27</v>
      </c>
      <c r="F2854" t="s">
        <v>14</v>
      </c>
      <c r="G2854">
        <v>87</v>
      </c>
      <c r="H2854">
        <v>73.39</v>
      </c>
      <c r="I2854">
        <v>28</v>
      </c>
      <c r="J2854" t="s">
        <v>15</v>
      </c>
      <c r="K2854">
        <v>6384.93</v>
      </c>
      <c r="L2854" t="str">
        <f t="shared" si="176"/>
        <v>Dec</v>
      </c>
      <c r="M2854">
        <f t="shared" si="177"/>
        <v>2025</v>
      </c>
      <c r="N2854">
        <f t="shared" si="178"/>
        <v>6384.93</v>
      </c>
      <c r="O2854" t="str">
        <f t="shared" si="179"/>
        <v>Minor Delay</v>
      </c>
    </row>
    <row r="2855" spans="1:15" x14ac:dyDescent="0.25">
      <c r="A2855">
        <v>2854</v>
      </c>
      <c r="B2855" s="2">
        <v>45797</v>
      </c>
      <c r="C2855" t="s">
        <v>26</v>
      </c>
      <c r="D2855" t="s">
        <v>20</v>
      </c>
      <c r="E2855" t="s">
        <v>27</v>
      </c>
      <c r="F2855" t="s">
        <v>21</v>
      </c>
      <c r="G2855">
        <v>121</v>
      </c>
      <c r="H2855">
        <v>279.24</v>
      </c>
      <c r="I2855">
        <v>73</v>
      </c>
      <c r="J2855" t="s">
        <v>15</v>
      </c>
      <c r="K2855">
        <v>33788.04</v>
      </c>
      <c r="L2855" t="str">
        <f t="shared" si="176"/>
        <v>May</v>
      </c>
      <c r="M2855">
        <f t="shared" si="177"/>
        <v>2025</v>
      </c>
      <c r="N2855">
        <f t="shared" si="178"/>
        <v>33788.04</v>
      </c>
      <c r="O2855" t="str">
        <f t="shared" si="179"/>
        <v>Major Delay</v>
      </c>
    </row>
    <row r="2856" spans="1:15" x14ac:dyDescent="0.25">
      <c r="A2856">
        <v>2855</v>
      </c>
      <c r="B2856" s="2">
        <v>45985</v>
      </c>
      <c r="C2856" t="s">
        <v>11</v>
      </c>
      <c r="D2856" t="s">
        <v>13</v>
      </c>
      <c r="E2856" t="s">
        <v>19</v>
      </c>
      <c r="F2856" t="s">
        <v>14</v>
      </c>
      <c r="G2856">
        <v>163</v>
      </c>
      <c r="H2856">
        <v>615.53</v>
      </c>
      <c r="I2856">
        <v>9</v>
      </c>
      <c r="J2856" t="s">
        <v>30</v>
      </c>
      <c r="K2856">
        <v>100331.39</v>
      </c>
      <c r="L2856" t="str">
        <f t="shared" si="176"/>
        <v>Nov</v>
      </c>
      <c r="M2856">
        <f t="shared" si="177"/>
        <v>2025</v>
      </c>
      <c r="N2856">
        <f t="shared" si="178"/>
        <v>100331.39</v>
      </c>
      <c r="O2856" t="str">
        <f t="shared" si="179"/>
        <v>Minor Delay</v>
      </c>
    </row>
    <row r="2857" spans="1:15" x14ac:dyDescent="0.25">
      <c r="A2857">
        <v>2856</v>
      </c>
      <c r="B2857" s="2">
        <v>45953</v>
      </c>
      <c r="C2857" t="s">
        <v>26</v>
      </c>
      <c r="D2857" t="s">
        <v>22</v>
      </c>
      <c r="E2857" t="s">
        <v>19</v>
      </c>
      <c r="F2857" t="s">
        <v>24</v>
      </c>
      <c r="G2857">
        <v>274</v>
      </c>
      <c r="H2857">
        <v>646.58000000000004</v>
      </c>
      <c r="I2857">
        <v>60</v>
      </c>
      <c r="J2857" t="s">
        <v>30</v>
      </c>
      <c r="K2857">
        <v>177162.92</v>
      </c>
      <c r="L2857" t="str">
        <f t="shared" si="176"/>
        <v>Oct</v>
      </c>
      <c r="M2857">
        <f t="shared" si="177"/>
        <v>2025</v>
      </c>
      <c r="N2857">
        <f t="shared" si="178"/>
        <v>177162.92</v>
      </c>
      <c r="O2857" t="str">
        <f t="shared" si="179"/>
        <v>Moderate Delay</v>
      </c>
    </row>
    <row r="2858" spans="1:15" x14ac:dyDescent="0.25">
      <c r="A2858">
        <v>2857</v>
      </c>
      <c r="B2858" s="2">
        <v>45866</v>
      </c>
      <c r="C2858" t="s">
        <v>11</v>
      </c>
      <c r="D2858" t="s">
        <v>17</v>
      </c>
      <c r="E2858" t="s">
        <v>29</v>
      </c>
      <c r="F2858" t="s">
        <v>14</v>
      </c>
      <c r="G2858">
        <v>133</v>
      </c>
      <c r="H2858">
        <v>580.30999999999995</v>
      </c>
      <c r="I2858">
        <v>0</v>
      </c>
      <c r="J2858" t="s">
        <v>15</v>
      </c>
      <c r="K2858">
        <v>77181.23</v>
      </c>
      <c r="L2858" t="str">
        <f t="shared" si="176"/>
        <v>Jul</v>
      </c>
      <c r="M2858">
        <f t="shared" si="177"/>
        <v>2025</v>
      </c>
      <c r="N2858">
        <f t="shared" si="178"/>
        <v>77181.23</v>
      </c>
      <c r="O2858" t="str">
        <f t="shared" si="179"/>
        <v>On Time</v>
      </c>
    </row>
    <row r="2859" spans="1:15" x14ac:dyDescent="0.25">
      <c r="A2859">
        <v>2858</v>
      </c>
      <c r="B2859" s="2">
        <v>45854</v>
      </c>
      <c r="C2859" t="s">
        <v>16</v>
      </c>
      <c r="D2859" t="s">
        <v>13</v>
      </c>
      <c r="E2859" t="s">
        <v>19</v>
      </c>
      <c r="F2859" t="s">
        <v>21</v>
      </c>
      <c r="G2859">
        <v>186</v>
      </c>
      <c r="H2859">
        <v>282.89</v>
      </c>
      <c r="I2859">
        <v>0</v>
      </c>
      <c r="J2859" t="s">
        <v>15</v>
      </c>
      <c r="K2859">
        <v>52617.54</v>
      </c>
      <c r="L2859" t="str">
        <f t="shared" si="176"/>
        <v>Jul</v>
      </c>
      <c r="M2859">
        <f t="shared" si="177"/>
        <v>2025</v>
      </c>
      <c r="N2859">
        <f t="shared" si="178"/>
        <v>52617.54</v>
      </c>
      <c r="O2859" t="str">
        <f t="shared" si="179"/>
        <v>On Time</v>
      </c>
    </row>
    <row r="2860" spans="1:15" x14ac:dyDescent="0.25">
      <c r="A2860">
        <v>2859</v>
      </c>
      <c r="B2860" s="2">
        <v>45661</v>
      </c>
      <c r="C2860" t="s">
        <v>11</v>
      </c>
      <c r="D2860" t="s">
        <v>20</v>
      </c>
      <c r="E2860" t="s">
        <v>27</v>
      </c>
      <c r="F2860" t="s">
        <v>24</v>
      </c>
      <c r="G2860">
        <v>182</v>
      </c>
      <c r="H2860">
        <v>356.95</v>
      </c>
      <c r="I2860">
        <v>0</v>
      </c>
      <c r="J2860" t="s">
        <v>15</v>
      </c>
      <c r="K2860">
        <v>64964.9</v>
      </c>
      <c r="L2860" t="str">
        <f t="shared" si="176"/>
        <v>Jan</v>
      </c>
      <c r="M2860">
        <f t="shared" si="177"/>
        <v>2025</v>
      </c>
      <c r="N2860">
        <f t="shared" si="178"/>
        <v>64964.9</v>
      </c>
      <c r="O2860" t="str">
        <f t="shared" si="179"/>
        <v>On Time</v>
      </c>
    </row>
    <row r="2861" spans="1:15" x14ac:dyDescent="0.25">
      <c r="A2861">
        <v>2860</v>
      </c>
      <c r="B2861" s="2">
        <v>45860</v>
      </c>
      <c r="C2861" t="s">
        <v>11</v>
      </c>
      <c r="D2861" t="s">
        <v>13</v>
      </c>
      <c r="E2861" t="s">
        <v>20</v>
      </c>
      <c r="F2861" t="s">
        <v>24</v>
      </c>
      <c r="G2861">
        <v>262</v>
      </c>
      <c r="H2861">
        <v>66.19</v>
      </c>
      <c r="I2861">
        <v>60</v>
      </c>
      <c r="J2861" t="s">
        <v>15</v>
      </c>
      <c r="K2861">
        <v>17341.78</v>
      </c>
      <c r="L2861" t="str">
        <f t="shared" si="176"/>
        <v>Jul</v>
      </c>
      <c r="M2861">
        <f t="shared" si="177"/>
        <v>2025</v>
      </c>
      <c r="N2861">
        <f t="shared" si="178"/>
        <v>17341.78</v>
      </c>
      <c r="O2861" t="str">
        <f t="shared" si="179"/>
        <v>Moderate Delay</v>
      </c>
    </row>
    <row r="2862" spans="1:15" x14ac:dyDescent="0.25">
      <c r="A2862">
        <v>2861</v>
      </c>
      <c r="B2862" s="2">
        <v>45989</v>
      </c>
      <c r="C2862" t="s">
        <v>25</v>
      </c>
      <c r="D2862" t="s">
        <v>27</v>
      </c>
      <c r="E2862" t="s">
        <v>12</v>
      </c>
      <c r="F2862" t="s">
        <v>24</v>
      </c>
      <c r="G2862">
        <v>118</v>
      </c>
      <c r="H2862">
        <v>679.69</v>
      </c>
      <c r="I2862">
        <v>0</v>
      </c>
      <c r="J2862" t="s">
        <v>15</v>
      </c>
      <c r="K2862">
        <v>80203.42</v>
      </c>
      <c r="L2862" t="str">
        <f t="shared" si="176"/>
        <v>Nov</v>
      </c>
      <c r="M2862">
        <f t="shared" si="177"/>
        <v>2025</v>
      </c>
      <c r="N2862">
        <f t="shared" si="178"/>
        <v>80203.420000000013</v>
      </c>
      <c r="O2862" t="str">
        <f t="shared" si="179"/>
        <v>On Time</v>
      </c>
    </row>
    <row r="2863" spans="1:15" x14ac:dyDescent="0.25">
      <c r="A2863">
        <v>2862</v>
      </c>
      <c r="B2863" s="2">
        <v>45961</v>
      </c>
      <c r="C2863" t="s">
        <v>16</v>
      </c>
      <c r="D2863" t="s">
        <v>19</v>
      </c>
      <c r="E2863" t="s">
        <v>13</v>
      </c>
      <c r="F2863" t="s">
        <v>14</v>
      </c>
      <c r="G2863">
        <v>65</v>
      </c>
      <c r="H2863">
        <v>656.07</v>
      </c>
      <c r="I2863">
        <v>0</v>
      </c>
      <c r="J2863" t="s">
        <v>15</v>
      </c>
      <c r="K2863">
        <v>42644.55</v>
      </c>
      <c r="L2863" t="str">
        <f t="shared" si="176"/>
        <v>Oct</v>
      </c>
      <c r="M2863">
        <f t="shared" si="177"/>
        <v>2025</v>
      </c>
      <c r="N2863">
        <f t="shared" si="178"/>
        <v>42644.55</v>
      </c>
      <c r="O2863" t="str">
        <f t="shared" si="179"/>
        <v>On Time</v>
      </c>
    </row>
    <row r="2864" spans="1:15" x14ac:dyDescent="0.25">
      <c r="A2864">
        <v>2863</v>
      </c>
      <c r="B2864" s="2">
        <v>45844</v>
      </c>
      <c r="C2864" t="s">
        <v>11</v>
      </c>
      <c r="D2864" t="s">
        <v>13</v>
      </c>
      <c r="E2864" t="s">
        <v>19</v>
      </c>
      <c r="F2864" t="s">
        <v>14</v>
      </c>
      <c r="G2864">
        <v>205</v>
      </c>
      <c r="H2864">
        <v>254.1</v>
      </c>
      <c r="I2864">
        <v>29</v>
      </c>
      <c r="J2864" t="s">
        <v>30</v>
      </c>
      <c r="K2864">
        <v>52090.5</v>
      </c>
      <c r="L2864" t="str">
        <f t="shared" si="176"/>
        <v>Jul</v>
      </c>
      <c r="M2864">
        <f t="shared" si="177"/>
        <v>2025</v>
      </c>
      <c r="N2864">
        <f t="shared" si="178"/>
        <v>52090.5</v>
      </c>
      <c r="O2864" t="str">
        <f t="shared" si="179"/>
        <v>Minor Delay</v>
      </c>
    </row>
    <row r="2865" spans="1:15" x14ac:dyDescent="0.25">
      <c r="A2865">
        <v>2864</v>
      </c>
      <c r="B2865" s="2">
        <v>46014</v>
      </c>
      <c r="C2865" t="s">
        <v>31</v>
      </c>
      <c r="D2865" t="s">
        <v>22</v>
      </c>
      <c r="E2865" t="s">
        <v>27</v>
      </c>
      <c r="F2865" t="s">
        <v>24</v>
      </c>
      <c r="G2865">
        <v>109</v>
      </c>
      <c r="H2865">
        <v>694.53</v>
      </c>
      <c r="I2865">
        <v>33</v>
      </c>
      <c r="J2865" t="s">
        <v>15</v>
      </c>
      <c r="K2865">
        <v>75703.77</v>
      </c>
      <c r="L2865" t="str">
        <f t="shared" si="176"/>
        <v>Dec</v>
      </c>
      <c r="M2865">
        <f t="shared" si="177"/>
        <v>2025</v>
      </c>
      <c r="N2865">
        <f t="shared" si="178"/>
        <v>75703.77</v>
      </c>
      <c r="O2865" t="str">
        <f t="shared" si="179"/>
        <v>Moderate Delay</v>
      </c>
    </row>
    <row r="2866" spans="1:15" x14ac:dyDescent="0.25">
      <c r="A2866">
        <v>2865</v>
      </c>
      <c r="B2866" s="2">
        <v>45679</v>
      </c>
      <c r="C2866" t="s">
        <v>16</v>
      </c>
      <c r="D2866" t="s">
        <v>29</v>
      </c>
      <c r="E2866" t="s">
        <v>20</v>
      </c>
      <c r="F2866" t="s">
        <v>21</v>
      </c>
      <c r="G2866">
        <v>233</v>
      </c>
      <c r="H2866">
        <v>454.75</v>
      </c>
      <c r="I2866">
        <v>68</v>
      </c>
      <c r="J2866" t="s">
        <v>15</v>
      </c>
      <c r="K2866">
        <v>105956.75</v>
      </c>
      <c r="L2866" t="str">
        <f t="shared" si="176"/>
        <v>Jan</v>
      </c>
      <c r="M2866">
        <f t="shared" si="177"/>
        <v>2025</v>
      </c>
      <c r="N2866">
        <f t="shared" si="178"/>
        <v>105956.75</v>
      </c>
      <c r="O2866" t="str">
        <f t="shared" si="179"/>
        <v>Major Delay</v>
      </c>
    </row>
    <row r="2867" spans="1:15" x14ac:dyDescent="0.25">
      <c r="A2867">
        <v>2866</v>
      </c>
      <c r="B2867" s="2">
        <v>45996</v>
      </c>
      <c r="C2867" t="s">
        <v>26</v>
      </c>
      <c r="D2867" t="s">
        <v>20</v>
      </c>
      <c r="E2867" t="s">
        <v>23</v>
      </c>
      <c r="F2867" t="s">
        <v>24</v>
      </c>
      <c r="G2867">
        <v>257</v>
      </c>
      <c r="H2867">
        <v>262.27999999999997</v>
      </c>
      <c r="I2867">
        <v>33</v>
      </c>
      <c r="J2867" t="s">
        <v>15</v>
      </c>
      <c r="K2867">
        <v>67405.960000000006</v>
      </c>
      <c r="L2867" t="str">
        <f t="shared" si="176"/>
        <v>Dec</v>
      </c>
      <c r="M2867">
        <f t="shared" si="177"/>
        <v>2025</v>
      </c>
      <c r="N2867">
        <f t="shared" si="178"/>
        <v>67405.959999999992</v>
      </c>
      <c r="O2867" t="str">
        <f t="shared" si="179"/>
        <v>Moderate Delay</v>
      </c>
    </row>
    <row r="2868" spans="1:15" x14ac:dyDescent="0.25">
      <c r="A2868">
        <v>2867</v>
      </c>
      <c r="B2868" s="2">
        <v>45821</v>
      </c>
      <c r="C2868" t="s">
        <v>26</v>
      </c>
      <c r="D2868" t="s">
        <v>29</v>
      </c>
      <c r="E2868" t="s">
        <v>13</v>
      </c>
      <c r="F2868" t="s">
        <v>21</v>
      </c>
      <c r="G2868">
        <v>192</v>
      </c>
      <c r="H2868">
        <v>772.36</v>
      </c>
      <c r="I2868">
        <v>15</v>
      </c>
      <c r="J2868" t="s">
        <v>15</v>
      </c>
      <c r="K2868">
        <v>148293.12</v>
      </c>
      <c r="L2868" t="str">
        <f t="shared" si="176"/>
        <v>Jun</v>
      </c>
      <c r="M2868">
        <f t="shared" si="177"/>
        <v>2025</v>
      </c>
      <c r="N2868">
        <f t="shared" si="178"/>
        <v>148293.12</v>
      </c>
      <c r="O2868" t="str">
        <f t="shared" si="179"/>
        <v>Minor Delay</v>
      </c>
    </row>
    <row r="2869" spans="1:15" x14ac:dyDescent="0.25">
      <c r="A2869">
        <v>2868</v>
      </c>
      <c r="B2869" s="2">
        <v>45721</v>
      </c>
      <c r="C2869" t="s">
        <v>31</v>
      </c>
      <c r="D2869" t="s">
        <v>27</v>
      </c>
      <c r="E2869" t="s">
        <v>12</v>
      </c>
      <c r="F2869" t="s">
        <v>14</v>
      </c>
      <c r="G2869">
        <v>211</v>
      </c>
      <c r="H2869">
        <v>475.18</v>
      </c>
      <c r="I2869">
        <v>40</v>
      </c>
      <c r="J2869" t="s">
        <v>15</v>
      </c>
      <c r="K2869">
        <v>100262.98</v>
      </c>
      <c r="L2869" t="str">
        <f t="shared" si="176"/>
        <v>Mar</v>
      </c>
      <c r="M2869">
        <f t="shared" si="177"/>
        <v>2025</v>
      </c>
      <c r="N2869">
        <f t="shared" si="178"/>
        <v>100262.98</v>
      </c>
      <c r="O2869" t="str">
        <f t="shared" si="179"/>
        <v>Moderate Delay</v>
      </c>
    </row>
    <row r="2870" spans="1:15" x14ac:dyDescent="0.25">
      <c r="A2870">
        <v>2869</v>
      </c>
      <c r="B2870" s="2">
        <v>45980</v>
      </c>
      <c r="C2870" t="s">
        <v>26</v>
      </c>
      <c r="D2870" t="s">
        <v>17</v>
      </c>
      <c r="E2870" t="s">
        <v>22</v>
      </c>
      <c r="F2870" t="s">
        <v>21</v>
      </c>
      <c r="G2870">
        <v>104</v>
      </c>
      <c r="H2870">
        <v>269.70999999999998</v>
      </c>
      <c r="I2870">
        <v>30</v>
      </c>
      <c r="J2870" t="s">
        <v>15</v>
      </c>
      <c r="K2870">
        <v>28049.84</v>
      </c>
      <c r="L2870" t="str">
        <f t="shared" si="176"/>
        <v>Nov</v>
      </c>
      <c r="M2870">
        <f t="shared" si="177"/>
        <v>2025</v>
      </c>
      <c r="N2870">
        <f t="shared" si="178"/>
        <v>28049.839999999997</v>
      </c>
      <c r="O2870" t="str">
        <f t="shared" si="179"/>
        <v>Minor Delay</v>
      </c>
    </row>
    <row r="2871" spans="1:15" x14ac:dyDescent="0.25">
      <c r="A2871">
        <v>2870</v>
      </c>
      <c r="B2871" s="2">
        <v>45743</v>
      </c>
      <c r="C2871" t="s">
        <v>31</v>
      </c>
      <c r="D2871" t="s">
        <v>17</v>
      </c>
      <c r="E2871" t="s">
        <v>29</v>
      </c>
      <c r="F2871" t="s">
        <v>21</v>
      </c>
      <c r="G2871">
        <v>144</v>
      </c>
      <c r="H2871">
        <v>170.56</v>
      </c>
      <c r="I2871">
        <v>2</v>
      </c>
      <c r="J2871" t="s">
        <v>15</v>
      </c>
      <c r="K2871">
        <v>24560.639999999999</v>
      </c>
      <c r="L2871" t="str">
        <f t="shared" si="176"/>
        <v>Mar</v>
      </c>
      <c r="M2871">
        <f t="shared" si="177"/>
        <v>2025</v>
      </c>
      <c r="N2871">
        <f t="shared" si="178"/>
        <v>24560.639999999999</v>
      </c>
      <c r="O2871" t="str">
        <f t="shared" si="179"/>
        <v>Minor Delay</v>
      </c>
    </row>
    <row r="2872" spans="1:15" x14ac:dyDescent="0.25">
      <c r="A2872">
        <v>2871</v>
      </c>
      <c r="B2872" s="2">
        <v>45819</v>
      </c>
      <c r="C2872" t="s">
        <v>25</v>
      </c>
      <c r="D2872" t="s">
        <v>20</v>
      </c>
      <c r="E2872" t="s">
        <v>13</v>
      </c>
      <c r="F2872" t="s">
        <v>24</v>
      </c>
      <c r="G2872">
        <v>147</v>
      </c>
      <c r="H2872">
        <v>68.930000000000007</v>
      </c>
      <c r="I2872">
        <v>45</v>
      </c>
      <c r="J2872" t="s">
        <v>30</v>
      </c>
      <c r="K2872">
        <v>10132.709999999999</v>
      </c>
      <c r="L2872" t="str">
        <f t="shared" si="176"/>
        <v>Jun</v>
      </c>
      <c r="M2872">
        <f t="shared" si="177"/>
        <v>2025</v>
      </c>
      <c r="N2872">
        <f t="shared" si="178"/>
        <v>10132.710000000001</v>
      </c>
      <c r="O2872" t="str">
        <f t="shared" si="179"/>
        <v>Moderate Delay</v>
      </c>
    </row>
    <row r="2873" spans="1:15" x14ac:dyDescent="0.25">
      <c r="A2873">
        <v>2872</v>
      </c>
      <c r="B2873" s="2">
        <v>45935</v>
      </c>
      <c r="C2873" t="s">
        <v>18</v>
      </c>
      <c r="D2873" t="s">
        <v>29</v>
      </c>
      <c r="E2873" t="s">
        <v>22</v>
      </c>
      <c r="F2873" t="s">
        <v>14</v>
      </c>
      <c r="G2873">
        <v>164</v>
      </c>
      <c r="H2873">
        <v>67.760000000000005</v>
      </c>
      <c r="I2873">
        <v>15</v>
      </c>
      <c r="J2873" t="s">
        <v>15</v>
      </c>
      <c r="K2873">
        <v>11112.64</v>
      </c>
      <c r="L2873" t="str">
        <f t="shared" si="176"/>
        <v>Oct</v>
      </c>
      <c r="M2873">
        <f t="shared" si="177"/>
        <v>2025</v>
      </c>
      <c r="N2873">
        <f t="shared" si="178"/>
        <v>11112.640000000001</v>
      </c>
      <c r="O2873" t="str">
        <f t="shared" si="179"/>
        <v>Minor Delay</v>
      </c>
    </row>
    <row r="2874" spans="1:15" x14ac:dyDescent="0.25">
      <c r="A2874">
        <v>2873</v>
      </c>
      <c r="B2874" s="2">
        <v>45865</v>
      </c>
      <c r="C2874" t="s">
        <v>16</v>
      </c>
      <c r="D2874" t="s">
        <v>29</v>
      </c>
      <c r="E2874" t="s">
        <v>20</v>
      </c>
      <c r="F2874" t="s">
        <v>14</v>
      </c>
      <c r="G2874">
        <v>100</v>
      </c>
      <c r="H2874">
        <v>321.45999999999998</v>
      </c>
      <c r="I2874">
        <v>43</v>
      </c>
      <c r="J2874" t="s">
        <v>15</v>
      </c>
      <c r="K2874">
        <v>32146</v>
      </c>
      <c r="L2874" t="str">
        <f t="shared" si="176"/>
        <v>Jul</v>
      </c>
      <c r="M2874">
        <f t="shared" si="177"/>
        <v>2025</v>
      </c>
      <c r="N2874">
        <f t="shared" si="178"/>
        <v>32145.999999999996</v>
      </c>
      <c r="O2874" t="str">
        <f t="shared" si="179"/>
        <v>Moderate Delay</v>
      </c>
    </row>
    <row r="2875" spans="1:15" x14ac:dyDescent="0.25">
      <c r="A2875">
        <v>2874</v>
      </c>
      <c r="B2875" s="2">
        <v>45759</v>
      </c>
      <c r="C2875" t="s">
        <v>25</v>
      </c>
      <c r="D2875" t="s">
        <v>12</v>
      </c>
      <c r="E2875" t="s">
        <v>17</v>
      </c>
      <c r="F2875" t="s">
        <v>14</v>
      </c>
      <c r="G2875">
        <v>67</v>
      </c>
      <c r="H2875">
        <v>386.5</v>
      </c>
      <c r="I2875">
        <v>19</v>
      </c>
      <c r="J2875" t="s">
        <v>15</v>
      </c>
      <c r="K2875">
        <v>25895.5</v>
      </c>
      <c r="L2875" t="str">
        <f t="shared" si="176"/>
        <v>Apr</v>
      </c>
      <c r="M2875">
        <f t="shared" si="177"/>
        <v>2025</v>
      </c>
      <c r="N2875">
        <f t="shared" si="178"/>
        <v>25895.5</v>
      </c>
      <c r="O2875" t="str">
        <f t="shared" si="179"/>
        <v>Minor Delay</v>
      </c>
    </row>
    <row r="2876" spans="1:15" x14ac:dyDescent="0.25">
      <c r="A2876">
        <v>2875</v>
      </c>
      <c r="B2876" s="2">
        <v>45912</v>
      </c>
      <c r="C2876" t="s">
        <v>16</v>
      </c>
      <c r="D2876" t="s">
        <v>12</v>
      </c>
      <c r="E2876" t="s">
        <v>20</v>
      </c>
      <c r="F2876" t="s">
        <v>24</v>
      </c>
      <c r="G2876">
        <v>158</v>
      </c>
      <c r="H2876">
        <v>99.94</v>
      </c>
      <c r="I2876">
        <v>0</v>
      </c>
      <c r="J2876" t="s">
        <v>15</v>
      </c>
      <c r="K2876">
        <v>15790.52</v>
      </c>
      <c r="L2876" t="str">
        <f t="shared" si="176"/>
        <v>Sep</v>
      </c>
      <c r="M2876">
        <f t="shared" si="177"/>
        <v>2025</v>
      </c>
      <c r="N2876">
        <f t="shared" si="178"/>
        <v>15790.52</v>
      </c>
      <c r="O2876" t="str">
        <f t="shared" si="179"/>
        <v>On Time</v>
      </c>
    </row>
    <row r="2877" spans="1:15" x14ac:dyDescent="0.25">
      <c r="A2877">
        <v>2876</v>
      </c>
      <c r="B2877" s="2">
        <v>45812</v>
      </c>
      <c r="C2877" t="s">
        <v>16</v>
      </c>
      <c r="D2877" t="s">
        <v>29</v>
      </c>
      <c r="E2877" t="s">
        <v>22</v>
      </c>
      <c r="F2877" t="s">
        <v>14</v>
      </c>
      <c r="G2877">
        <v>112</v>
      </c>
      <c r="H2877">
        <v>497.14</v>
      </c>
      <c r="I2877">
        <v>14</v>
      </c>
      <c r="J2877" t="s">
        <v>15</v>
      </c>
      <c r="K2877">
        <v>55679.68</v>
      </c>
      <c r="L2877" t="str">
        <f t="shared" si="176"/>
        <v>Jun</v>
      </c>
      <c r="M2877">
        <f t="shared" si="177"/>
        <v>2025</v>
      </c>
      <c r="N2877">
        <f t="shared" si="178"/>
        <v>55679.68</v>
      </c>
      <c r="O2877" t="str">
        <f t="shared" si="179"/>
        <v>Minor Delay</v>
      </c>
    </row>
    <row r="2878" spans="1:15" x14ac:dyDescent="0.25">
      <c r="A2878">
        <v>2877</v>
      </c>
      <c r="B2878" s="2">
        <v>46021</v>
      </c>
      <c r="C2878" t="s">
        <v>18</v>
      </c>
      <c r="D2878" t="s">
        <v>23</v>
      </c>
      <c r="E2878" t="s">
        <v>13</v>
      </c>
      <c r="F2878" t="s">
        <v>24</v>
      </c>
      <c r="G2878">
        <v>237</v>
      </c>
      <c r="H2878">
        <v>611.54999999999995</v>
      </c>
      <c r="I2878">
        <v>28</v>
      </c>
      <c r="J2878" t="s">
        <v>15</v>
      </c>
      <c r="K2878">
        <v>144937.35</v>
      </c>
      <c r="L2878" t="str">
        <f t="shared" si="176"/>
        <v>Dec</v>
      </c>
      <c r="M2878">
        <f t="shared" si="177"/>
        <v>2025</v>
      </c>
      <c r="N2878">
        <f t="shared" si="178"/>
        <v>144937.34999999998</v>
      </c>
      <c r="O2878" t="str">
        <f t="shared" si="179"/>
        <v>Minor Delay</v>
      </c>
    </row>
    <row r="2879" spans="1:15" x14ac:dyDescent="0.25">
      <c r="A2879">
        <v>2878</v>
      </c>
      <c r="B2879" s="2">
        <v>45821</v>
      </c>
      <c r="C2879" t="s">
        <v>25</v>
      </c>
      <c r="D2879" t="s">
        <v>20</v>
      </c>
      <c r="E2879" t="s">
        <v>13</v>
      </c>
      <c r="F2879" t="s">
        <v>24</v>
      </c>
      <c r="G2879">
        <v>81</v>
      </c>
      <c r="H2879">
        <v>483.78</v>
      </c>
      <c r="I2879">
        <v>56</v>
      </c>
      <c r="J2879" t="s">
        <v>15</v>
      </c>
      <c r="K2879">
        <v>39186.18</v>
      </c>
      <c r="L2879" t="str">
        <f t="shared" si="176"/>
        <v>Jun</v>
      </c>
      <c r="M2879">
        <f t="shared" si="177"/>
        <v>2025</v>
      </c>
      <c r="N2879">
        <f t="shared" si="178"/>
        <v>39186.18</v>
      </c>
      <c r="O2879" t="str">
        <f t="shared" si="179"/>
        <v>Moderate Delay</v>
      </c>
    </row>
    <row r="2880" spans="1:15" x14ac:dyDescent="0.25">
      <c r="A2880">
        <v>2879</v>
      </c>
      <c r="B2880" s="2">
        <v>45880</v>
      </c>
      <c r="C2880" t="s">
        <v>25</v>
      </c>
      <c r="D2880" t="s">
        <v>27</v>
      </c>
      <c r="E2880" t="s">
        <v>17</v>
      </c>
      <c r="F2880" t="s">
        <v>24</v>
      </c>
      <c r="G2880">
        <v>266</v>
      </c>
      <c r="H2880">
        <v>591.69000000000005</v>
      </c>
      <c r="I2880">
        <v>0</v>
      </c>
      <c r="J2880" t="s">
        <v>15</v>
      </c>
      <c r="K2880">
        <v>157389.54</v>
      </c>
      <c r="L2880" t="str">
        <f t="shared" si="176"/>
        <v>Aug</v>
      </c>
      <c r="M2880">
        <f t="shared" si="177"/>
        <v>2025</v>
      </c>
      <c r="N2880">
        <f t="shared" si="178"/>
        <v>157389.54</v>
      </c>
      <c r="O2880" t="str">
        <f t="shared" si="179"/>
        <v>On Time</v>
      </c>
    </row>
    <row r="2881" spans="1:15" x14ac:dyDescent="0.25">
      <c r="A2881">
        <v>2880</v>
      </c>
      <c r="B2881" s="2">
        <v>45757</v>
      </c>
      <c r="C2881" t="s">
        <v>26</v>
      </c>
      <c r="D2881" t="s">
        <v>12</v>
      </c>
      <c r="E2881" t="s">
        <v>23</v>
      </c>
      <c r="F2881" t="s">
        <v>21</v>
      </c>
      <c r="G2881">
        <v>205</v>
      </c>
      <c r="H2881">
        <v>426.22</v>
      </c>
      <c r="I2881">
        <v>7</v>
      </c>
      <c r="J2881" t="s">
        <v>15</v>
      </c>
      <c r="K2881">
        <v>87375.1</v>
      </c>
      <c r="L2881" t="str">
        <f t="shared" si="176"/>
        <v>Apr</v>
      </c>
      <c r="M2881">
        <f t="shared" si="177"/>
        <v>2025</v>
      </c>
      <c r="N2881">
        <f t="shared" si="178"/>
        <v>87375.1</v>
      </c>
      <c r="O2881" t="str">
        <f t="shared" si="179"/>
        <v>Minor Delay</v>
      </c>
    </row>
    <row r="2882" spans="1:15" x14ac:dyDescent="0.25">
      <c r="A2882">
        <v>2881</v>
      </c>
      <c r="B2882" s="2">
        <v>45860</v>
      </c>
      <c r="C2882" t="s">
        <v>31</v>
      </c>
      <c r="D2882" t="s">
        <v>27</v>
      </c>
      <c r="E2882" t="s">
        <v>20</v>
      </c>
      <c r="F2882" t="s">
        <v>14</v>
      </c>
      <c r="G2882">
        <v>145</v>
      </c>
      <c r="H2882">
        <v>568.13</v>
      </c>
      <c r="I2882">
        <v>35</v>
      </c>
      <c r="J2882" t="s">
        <v>15</v>
      </c>
      <c r="K2882">
        <v>82378.850000000006</v>
      </c>
      <c r="L2882" t="str">
        <f t="shared" si="176"/>
        <v>Jul</v>
      </c>
      <c r="M2882">
        <f t="shared" si="177"/>
        <v>2025</v>
      </c>
      <c r="N2882">
        <f t="shared" si="178"/>
        <v>82378.850000000006</v>
      </c>
      <c r="O2882" t="str">
        <f t="shared" si="179"/>
        <v>Moderate Delay</v>
      </c>
    </row>
    <row r="2883" spans="1:15" x14ac:dyDescent="0.25">
      <c r="A2883">
        <v>2882</v>
      </c>
      <c r="B2883" s="2">
        <v>45703</v>
      </c>
      <c r="C2883" t="s">
        <v>31</v>
      </c>
      <c r="D2883" t="s">
        <v>20</v>
      </c>
      <c r="E2883" t="s">
        <v>27</v>
      </c>
      <c r="F2883" t="s">
        <v>24</v>
      </c>
      <c r="G2883">
        <v>112</v>
      </c>
      <c r="H2883">
        <v>693.1</v>
      </c>
      <c r="I2883">
        <v>24</v>
      </c>
      <c r="J2883" t="s">
        <v>30</v>
      </c>
      <c r="K2883">
        <v>77627.199999999997</v>
      </c>
      <c r="L2883" t="str">
        <f t="shared" ref="L2883:L2946" si="180">TEXT(B2883,"MMM")</f>
        <v>Feb</v>
      </c>
      <c r="M2883">
        <f t="shared" ref="M2883:M2946" si="181">YEAR(B2883)</f>
        <v>2025</v>
      </c>
      <c r="N2883">
        <f t="shared" ref="N2883:N2946" si="182">G2883*H2883</f>
        <v>77627.199999999997</v>
      </c>
      <c r="O2883" t="str">
        <f t="shared" ref="O2883:O2946" si="183">IF(I2883=0,"On Time",IF(I2883&lt;=30,"Minor Delay",IF(I2883&lt;=60,"Moderate Delay","Major Delay")))</f>
        <v>Minor Delay</v>
      </c>
    </row>
    <row r="2884" spans="1:15" x14ac:dyDescent="0.25">
      <c r="A2884">
        <v>2883</v>
      </c>
      <c r="B2884" s="2">
        <v>45741</v>
      </c>
      <c r="C2884" t="s">
        <v>16</v>
      </c>
      <c r="D2884" t="s">
        <v>12</v>
      </c>
      <c r="E2884" t="s">
        <v>19</v>
      </c>
      <c r="F2884" t="s">
        <v>21</v>
      </c>
      <c r="G2884">
        <v>142</v>
      </c>
      <c r="H2884">
        <v>380.04</v>
      </c>
      <c r="I2884">
        <v>20</v>
      </c>
      <c r="J2884" t="s">
        <v>30</v>
      </c>
      <c r="K2884">
        <v>53965.68</v>
      </c>
      <c r="L2884" t="str">
        <f t="shared" si="180"/>
        <v>Mar</v>
      </c>
      <c r="M2884">
        <f t="shared" si="181"/>
        <v>2025</v>
      </c>
      <c r="N2884">
        <f t="shared" si="182"/>
        <v>53965.68</v>
      </c>
      <c r="O2884" t="str">
        <f t="shared" si="183"/>
        <v>Minor Delay</v>
      </c>
    </row>
    <row r="2885" spans="1:15" x14ac:dyDescent="0.25">
      <c r="A2885">
        <v>2884</v>
      </c>
      <c r="B2885" s="2">
        <v>46007</v>
      </c>
      <c r="C2885" t="s">
        <v>11</v>
      </c>
      <c r="D2885" t="s">
        <v>20</v>
      </c>
      <c r="E2885" t="s">
        <v>19</v>
      </c>
      <c r="F2885" t="s">
        <v>14</v>
      </c>
      <c r="G2885">
        <v>194</v>
      </c>
      <c r="H2885">
        <v>798.74</v>
      </c>
      <c r="I2885">
        <v>36</v>
      </c>
      <c r="J2885" t="s">
        <v>15</v>
      </c>
      <c r="K2885">
        <v>154955.56</v>
      </c>
      <c r="L2885" t="str">
        <f t="shared" si="180"/>
        <v>Dec</v>
      </c>
      <c r="M2885">
        <f t="shared" si="181"/>
        <v>2025</v>
      </c>
      <c r="N2885">
        <f t="shared" si="182"/>
        <v>154955.56</v>
      </c>
      <c r="O2885" t="str">
        <f t="shared" si="183"/>
        <v>Moderate Delay</v>
      </c>
    </row>
    <row r="2886" spans="1:15" x14ac:dyDescent="0.25">
      <c r="A2886">
        <v>2885</v>
      </c>
      <c r="B2886" s="2">
        <v>45753</v>
      </c>
      <c r="C2886" t="s">
        <v>31</v>
      </c>
      <c r="D2886" t="s">
        <v>23</v>
      </c>
      <c r="E2886" t="s">
        <v>13</v>
      </c>
      <c r="F2886" t="s">
        <v>14</v>
      </c>
      <c r="G2886">
        <v>132</v>
      </c>
      <c r="H2886">
        <v>237.65</v>
      </c>
      <c r="I2886">
        <v>32</v>
      </c>
      <c r="J2886" t="s">
        <v>30</v>
      </c>
      <c r="K2886">
        <v>31369.8</v>
      </c>
      <c r="L2886" t="str">
        <f t="shared" si="180"/>
        <v>Apr</v>
      </c>
      <c r="M2886">
        <f t="shared" si="181"/>
        <v>2025</v>
      </c>
      <c r="N2886">
        <f t="shared" si="182"/>
        <v>31369.8</v>
      </c>
      <c r="O2886" t="str">
        <f t="shared" si="183"/>
        <v>Moderate Delay</v>
      </c>
    </row>
    <row r="2887" spans="1:15" x14ac:dyDescent="0.25">
      <c r="A2887">
        <v>2886</v>
      </c>
      <c r="B2887" s="2">
        <v>45974</v>
      </c>
      <c r="C2887" t="s">
        <v>31</v>
      </c>
      <c r="D2887" t="s">
        <v>20</v>
      </c>
      <c r="E2887" t="s">
        <v>17</v>
      </c>
      <c r="F2887" t="s">
        <v>21</v>
      </c>
      <c r="G2887">
        <v>97</v>
      </c>
      <c r="H2887">
        <v>251.13</v>
      </c>
      <c r="I2887">
        <v>41</v>
      </c>
      <c r="J2887" t="s">
        <v>15</v>
      </c>
      <c r="K2887">
        <v>24359.61</v>
      </c>
      <c r="L2887" t="str">
        <f t="shared" si="180"/>
        <v>Nov</v>
      </c>
      <c r="M2887">
        <f t="shared" si="181"/>
        <v>2025</v>
      </c>
      <c r="N2887">
        <f t="shared" si="182"/>
        <v>24359.61</v>
      </c>
      <c r="O2887" t="str">
        <f t="shared" si="183"/>
        <v>Moderate Delay</v>
      </c>
    </row>
    <row r="2888" spans="1:15" x14ac:dyDescent="0.25">
      <c r="A2888">
        <v>2887</v>
      </c>
      <c r="B2888" s="2">
        <v>45772</v>
      </c>
      <c r="C2888" t="s">
        <v>25</v>
      </c>
      <c r="D2888" t="s">
        <v>19</v>
      </c>
      <c r="E2888" t="s">
        <v>29</v>
      </c>
      <c r="F2888" t="s">
        <v>21</v>
      </c>
      <c r="G2888">
        <v>272</v>
      </c>
      <c r="H2888">
        <v>310.23</v>
      </c>
      <c r="I2888">
        <v>28</v>
      </c>
      <c r="J2888" t="s">
        <v>15</v>
      </c>
      <c r="K2888">
        <v>84382.56</v>
      </c>
      <c r="L2888" t="str">
        <f t="shared" si="180"/>
        <v>Apr</v>
      </c>
      <c r="M2888">
        <f t="shared" si="181"/>
        <v>2025</v>
      </c>
      <c r="N2888">
        <f t="shared" si="182"/>
        <v>84382.56</v>
      </c>
      <c r="O2888" t="str">
        <f t="shared" si="183"/>
        <v>Minor Delay</v>
      </c>
    </row>
    <row r="2889" spans="1:15" x14ac:dyDescent="0.25">
      <c r="A2889">
        <v>2888</v>
      </c>
      <c r="B2889" s="2">
        <v>45786</v>
      </c>
      <c r="C2889" t="s">
        <v>25</v>
      </c>
      <c r="D2889" t="s">
        <v>13</v>
      </c>
      <c r="E2889" t="s">
        <v>29</v>
      </c>
      <c r="F2889" t="s">
        <v>14</v>
      </c>
      <c r="G2889">
        <v>66</v>
      </c>
      <c r="H2889">
        <v>373.23</v>
      </c>
      <c r="I2889">
        <v>30</v>
      </c>
      <c r="J2889" t="s">
        <v>15</v>
      </c>
      <c r="K2889">
        <v>24633.18</v>
      </c>
      <c r="L2889" t="str">
        <f t="shared" si="180"/>
        <v>May</v>
      </c>
      <c r="M2889">
        <f t="shared" si="181"/>
        <v>2025</v>
      </c>
      <c r="N2889">
        <f t="shared" si="182"/>
        <v>24633.18</v>
      </c>
      <c r="O2889" t="str">
        <f t="shared" si="183"/>
        <v>Minor Delay</v>
      </c>
    </row>
    <row r="2890" spans="1:15" x14ac:dyDescent="0.25">
      <c r="A2890">
        <v>2889</v>
      </c>
      <c r="B2890" s="2">
        <v>45808</v>
      </c>
      <c r="C2890" t="s">
        <v>11</v>
      </c>
      <c r="D2890" t="s">
        <v>29</v>
      </c>
      <c r="E2890" t="s">
        <v>22</v>
      </c>
      <c r="F2890" t="s">
        <v>14</v>
      </c>
      <c r="G2890">
        <v>296</v>
      </c>
      <c r="H2890">
        <v>279.72000000000003</v>
      </c>
      <c r="I2890">
        <v>1</v>
      </c>
      <c r="J2890" t="s">
        <v>15</v>
      </c>
      <c r="K2890">
        <v>82797.119999999995</v>
      </c>
      <c r="L2890" t="str">
        <f t="shared" si="180"/>
        <v>May</v>
      </c>
      <c r="M2890">
        <f t="shared" si="181"/>
        <v>2025</v>
      </c>
      <c r="N2890">
        <f t="shared" si="182"/>
        <v>82797.12000000001</v>
      </c>
      <c r="O2890" t="str">
        <f t="shared" si="183"/>
        <v>Minor Delay</v>
      </c>
    </row>
    <row r="2891" spans="1:15" x14ac:dyDescent="0.25">
      <c r="A2891">
        <v>2890</v>
      </c>
      <c r="B2891" s="2">
        <v>45827</v>
      </c>
      <c r="C2891" t="s">
        <v>26</v>
      </c>
      <c r="D2891" t="s">
        <v>13</v>
      </c>
      <c r="E2891" t="s">
        <v>27</v>
      </c>
      <c r="F2891" t="s">
        <v>14</v>
      </c>
      <c r="G2891">
        <v>134</v>
      </c>
      <c r="H2891">
        <v>683.63</v>
      </c>
      <c r="I2891">
        <v>0</v>
      </c>
      <c r="J2891" t="s">
        <v>15</v>
      </c>
      <c r="K2891">
        <v>91606.42</v>
      </c>
      <c r="L2891" t="str">
        <f t="shared" si="180"/>
        <v>Jun</v>
      </c>
      <c r="M2891">
        <f t="shared" si="181"/>
        <v>2025</v>
      </c>
      <c r="N2891">
        <f t="shared" si="182"/>
        <v>91606.42</v>
      </c>
      <c r="O2891" t="str">
        <f t="shared" si="183"/>
        <v>On Time</v>
      </c>
    </row>
    <row r="2892" spans="1:15" x14ac:dyDescent="0.25">
      <c r="A2892">
        <v>2891</v>
      </c>
      <c r="B2892" s="2">
        <v>45687</v>
      </c>
      <c r="C2892" t="s">
        <v>18</v>
      </c>
      <c r="D2892" t="s">
        <v>29</v>
      </c>
      <c r="E2892" t="s">
        <v>20</v>
      </c>
      <c r="F2892" t="s">
        <v>24</v>
      </c>
      <c r="G2892">
        <v>161</v>
      </c>
      <c r="H2892">
        <v>480.61</v>
      </c>
      <c r="I2892">
        <v>12</v>
      </c>
      <c r="J2892" t="s">
        <v>15</v>
      </c>
      <c r="K2892">
        <v>77378.210000000006</v>
      </c>
      <c r="L2892" t="str">
        <f t="shared" si="180"/>
        <v>Jan</v>
      </c>
      <c r="M2892">
        <f t="shared" si="181"/>
        <v>2025</v>
      </c>
      <c r="N2892">
        <f t="shared" si="182"/>
        <v>77378.210000000006</v>
      </c>
      <c r="O2892" t="str">
        <f t="shared" si="183"/>
        <v>Minor Delay</v>
      </c>
    </row>
    <row r="2893" spans="1:15" x14ac:dyDescent="0.25">
      <c r="A2893">
        <v>2892</v>
      </c>
      <c r="B2893" s="2">
        <v>45673</v>
      </c>
      <c r="C2893" t="s">
        <v>16</v>
      </c>
      <c r="D2893" t="s">
        <v>19</v>
      </c>
      <c r="E2893" t="s">
        <v>12</v>
      </c>
      <c r="F2893" t="s">
        <v>21</v>
      </c>
      <c r="G2893">
        <v>263</v>
      </c>
      <c r="H2893">
        <v>351.08</v>
      </c>
      <c r="I2893">
        <v>13</v>
      </c>
      <c r="J2893" t="s">
        <v>15</v>
      </c>
      <c r="K2893">
        <v>92334.04</v>
      </c>
      <c r="L2893" t="str">
        <f t="shared" si="180"/>
        <v>Jan</v>
      </c>
      <c r="M2893">
        <f t="shared" si="181"/>
        <v>2025</v>
      </c>
      <c r="N2893">
        <f t="shared" si="182"/>
        <v>92334.04</v>
      </c>
      <c r="O2893" t="str">
        <f t="shared" si="183"/>
        <v>Minor Delay</v>
      </c>
    </row>
    <row r="2894" spans="1:15" x14ac:dyDescent="0.25">
      <c r="A2894">
        <v>2893</v>
      </c>
      <c r="B2894" s="2">
        <v>46002</v>
      </c>
      <c r="C2894" t="s">
        <v>11</v>
      </c>
      <c r="D2894" t="s">
        <v>19</v>
      </c>
      <c r="E2894" t="s">
        <v>23</v>
      </c>
      <c r="F2894" t="s">
        <v>14</v>
      </c>
      <c r="G2894">
        <v>248</v>
      </c>
      <c r="H2894">
        <v>621.19000000000005</v>
      </c>
      <c r="I2894">
        <v>60</v>
      </c>
      <c r="J2894" t="s">
        <v>15</v>
      </c>
      <c r="K2894">
        <v>154055.12</v>
      </c>
      <c r="L2894" t="str">
        <f t="shared" si="180"/>
        <v>Dec</v>
      </c>
      <c r="M2894">
        <f t="shared" si="181"/>
        <v>2025</v>
      </c>
      <c r="N2894">
        <f t="shared" si="182"/>
        <v>154055.12000000002</v>
      </c>
      <c r="O2894" t="str">
        <f t="shared" si="183"/>
        <v>Moderate Delay</v>
      </c>
    </row>
    <row r="2895" spans="1:15" x14ac:dyDescent="0.25">
      <c r="A2895">
        <v>2894</v>
      </c>
      <c r="B2895" s="2">
        <v>45888</v>
      </c>
      <c r="C2895" t="s">
        <v>18</v>
      </c>
      <c r="D2895" t="s">
        <v>29</v>
      </c>
      <c r="E2895" t="s">
        <v>27</v>
      </c>
      <c r="F2895" t="s">
        <v>24</v>
      </c>
      <c r="G2895">
        <v>105</v>
      </c>
      <c r="H2895">
        <v>210.78</v>
      </c>
      <c r="I2895">
        <v>18</v>
      </c>
      <c r="J2895" t="s">
        <v>15</v>
      </c>
      <c r="K2895">
        <v>22131.9</v>
      </c>
      <c r="L2895" t="str">
        <f t="shared" si="180"/>
        <v>Aug</v>
      </c>
      <c r="M2895">
        <f t="shared" si="181"/>
        <v>2025</v>
      </c>
      <c r="N2895">
        <f t="shared" si="182"/>
        <v>22131.9</v>
      </c>
      <c r="O2895" t="str">
        <f t="shared" si="183"/>
        <v>Minor Delay</v>
      </c>
    </row>
    <row r="2896" spans="1:15" x14ac:dyDescent="0.25">
      <c r="A2896">
        <v>2895</v>
      </c>
      <c r="B2896" s="2">
        <v>45861</v>
      </c>
      <c r="C2896" t="s">
        <v>18</v>
      </c>
      <c r="D2896" t="s">
        <v>27</v>
      </c>
      <c r="E2896" t="s">
        <v>13</v>
      </c>
      <c r="F2896" t="s">
        <v>24</v>
      </c>
      <c r="G2896">
        <v>236</v>
      </c>
      <c r="H2896">
        <v>413.83</v>
      </c>
      <c r="I2896">
        <v>44</v>
      </c>
      <c r="J2896" t="s">
        <v>15</v>
      </c>
      <c r="K2896">
        <v>97663.88</v>
      </c>
      <c r="L2896" t="str">
        <f t="shared" si="180"/>
        <v>Jul</v>
      </c>
      <c r="M2896">
        <f t="shared" si="181"/>
        <v>2025</v>
      </c>
      <c r="N2896">
        <f t="shared" si="182"/>
        <v>97663.87999999999</v>
      </c>
      <c r="O2896" t="str">
        <f t="shared" si="183"/>
        <v>Moderate Delay</v>
      </c>
    </row>
    <row r="2897" spans="1:15" x14ac:dyDescent="0.25">
      <c r="A2897">
        <v>2896</v>
      </c>
      <c r="B2897" s="2">
        <v>45779</v>
      </c>
      <c r="C2897" t="s">
        <v>18</v>
      </c>
      <c r="D2897" t="s">
        <v>22</v>
      </c>
      <c r="E2897" t="s">
        <v>13</v>
      </c>
      <c r="F2897" t="s">
        <v>14</v>
      </c>
      <c r="G2897">
        <v>135</v>
      </c>
      <c r="H2897">
        <v>514.63</v>
      </c>
      <c r="I2897">
        <v>7</v>
      </c>
      <c r="J2897" t="s">
        <v>15</v>
      </c>
      <c r="K2897">
        <v>69475.05</v>
      </c>
      <c r="L2897" t="str">
        <f t="shared" si="180"/>
        <v>May</v>
      </c>
      <c r="M2897">
        <f t="shared" si="181"/>
        <v>2025</v>
      </c>
      <c r="N2897">
        <f t="shared" si="182"/>
        <v>69475.05</v>
      </c>
      <c r="O2897" t="str">
        <f t="shared" si="183"/>
        <v>Minor Delay</v>
      </c>
    </row>
    <row r="2898" spans="1:15" x14ac:dyDescent="0.25">
      <c r="A2898">
        <v>2897</v>
      </c>
      <c r="B2898" s="2">
        <v>45727</v>
      </c>
      <c r="C2898" t="s">
        <v>25</v>
      </c>
      <c r="D2898" t="s">
        <v>27</v>
      </c>
      <c r="E2898" t="s">
        <v>23</v>
      </c>
      <c r="F2898" t="s">
        <v>24</v>
      </c>
      <c r="G2898">
        <v>71</v>
      </c>
      <c r="H2898">
        <v>598.66999999999996</v>
      </c>
      <c r="I2898">
        <v>47</v>
      </c>
      <c r="J2898" t="s">
        <v>15</v>
      </c>
      <c r="K2898">
        <v>42505.57</v>
      </c>
      <c r="L2898" t="str">
        <f t="shared" si="180"/>
        <v>Mar</v>
      </c>
      <c r="M2898">
        <f t="shared" si="181"/>
        <v>2025</v>
      </c>
      <c r="N2898">
        <f t="shared" si="182"/>
        <v>42505.57</v>
      </c>
      <c r="O2898" t="str">
        <f t="shared" si="183"/>
        <v>Moderate Delay</v>
      </c>
    </row>
    <row r="2899" spans="1:15" x14ac:dyDescent="0.25">
      <c r="A2899">
        <v>2898</v>
      </c>
      <c r="B2899" s="2">
        <v>45911</v>
      </c>
      <c r="C2899" t="s">
        <v>26</v>
      </c>
      <c r="D2899" t="s">
        <v>13</v>
      </c>
      <c r="E2899" t="s">
        <v>19</v>
      </c>
      <c r="F2899" t="s">
        <v>14</v>
      </c>
      <c r="G2899">
        <v>222</v>
      </c>
      <c r="H2899">
        <v>539.52</v>
      </c>
      <c r="I2899">
        <v>26</v>
      </c>
      <c r="J2899" t="s">
        <v>15</v>
      </c>
      <c r="K2899">
        <v>119773.44</v>
      </c>
      <c r="L2899" t="str">
        <f t="shared" si="180"/>
        <v>Sep</v>
      </c>
      <c r="M2899">
        <f t="shared" si="181"/>
        <v>2025</v>
      </c>
      <c r="N2899">
        <f t="shared" si="182"/>
        <v>119773.44</v>
      </c>
      <c r="O2899" t="str">
        <f t="shared" si="183"/>
        <v>Minor Delay</v>
      </c>
    </row>
    <row r="2900" spans="1:15" x14ac:dyDescent="0.25">
      <c r="A2900">
        <v>2899</v>
      </c>
      <c r="B2900" s="2">
        <v>45877</v>
      </c>
      <c r="C2900" t="s">
        <v>18</v>
      </c>
      <c r="D2900" t="s">
        <v>22</v>
      </c>
      <c r="E2900" t="s">
        <v>29</v>
      </c>
      <c r="F2900" t="s">
        <v>24</v>
      </c>
      <c r="G2900">
        <v>85</v>
      </c>
      <c r="H2900">
        <v>334.73</v>
      </c>
      <c r="I2900">
        <v>62</v>
      </c>
      <c r="J2900" t="s">
        <v>15</v>
      </c>
      <c r="K2900">
        <v>28452.05</v>
      </c>
      <c r="L2900" t="str">
        <f t="shared" si="180"/>
        <v>Aug</v>
      </c>
      <c r="M2900">
        <f t="shared" si="181"/>
        <v>2025</v>
      </c>
      <c r="N2900">
        <f t="shared" si="182"/>
        <v>28452.050000000003</v>
      </c>
      <c r="O2900" t="str">
        <f t="shared" si="183"/>
        <v>Major Delay</v>
      </c>
    </row>
    <row r="2901" spans="1:15" x14ac:dyDescent="0.25">
      <c r="A2901">
        <v>2900</v>
      </c>
      <c r="B2901" s="2">
        <v>45678</v>
      </c>
      <c r="C2901" t="s">
        <v>11</v>
      </c>
      <c r="D2901" t="s">
        <v>29</v>
      </c>
      <c r="E2901" t="s">
        <v>13</v>
      </c>
      <c r="F2901" t="s">
        <v>21</v>
      </c>
      <c r="G2901">
        <v>153</v>
      </c>
      <c r="H2901">
        <v>201.27</v>
      </c>
      <c r="I2901">
        <v>0</v>
      </c>
      <c r="J2901" t="s">
        <v>15</v>
      </c>
      <c r="K2901">
        <v>30794.31</v>
      </c>
      <c r="L2901" t="str">
        <f t="shared" si="180"/>
        <v>Jan</v>
      </c>
      <c r="M2901">
        <f t="shared" si="181"/>
        <v>2025</v>
      </c>
      <c r="N2901">
        <f t="shared" si="182"/>
        <v>30794.31</v>
      </c>
      <c r="O2901" t="str">
        <f t="shared" si="183"/>
        <v>On Time</v>
      </c>
    </row>
    <row r="2902" spans="1:15" x14ac:dyDescent="0.25">
      <c r="A2902">
        <v>2901</v>
      </c>
      <c r="B2902" s="2">
        <v>45792</v>
      </c>
      <c r="C2902" t="s">
        <v>18</v>
      </c>
      <c r="D2902" t="s">
        <v>22</v>
      </c>
      <c r="E2902" t="s">
        <v>20</v>
      </c>
      <c r="F2902" t="s">
        <v>21</v>
      </c>
      <c r="G2902">
        <v>68</v>
      </c>
      <c r="H2902">
        <v>269.22000000000003</v>
      </c>
      <c r="I2902">
        <v>0</v>
      </c>
      <c r="J2902" t="s">
        <v>15</v>
      </c>
      <c r="K2902">
        <v>18306.96</v>
      </c>
      <c r="L2902" t="str">
        <f t="shared" si="180"/>
        <v>May</v>
      </c>
      <c r="M2902">
        <f t="shared" si="181"/>
        <v>2025</v>
      </c>
      <c r="N2902">
        <f t="shared" si="182"/>
        <v>18306.960000000003</v>
      </c>
      <c r="O2902" t="str">
        <f t="shared" si="183"/>
        <v>On Time</v>
      </c>
    </row>
    <row r="2903" spans="1:15" x14ac:dyDescent="0.25">
      <c r="A2903">
        <v>2902</v>
      </c>
      <c r="B2903" s="2">
        <v>45925</v>
      </c>
      <c r="C2903" t="s">
        <v>11</v>
      </c>
      <c r="D2903" t="s">
        <v>19</v>
      </c>
      <c r="E2903" t="s">
        <v>12</v>
      </c>
      <c r="F2903" t="s">
        <v>21</v>
      </c>
      <c r="G2903">
        <v>228</v>
      </c>
      <c r="H2903">
        <v>629.86</v>
      </c>
      <c r="I2903">
        <v>27</v>
      </c>
      <c r="J2903" t="s">
        <v>15</v>
      </c>
      <c r="K2903">
        <v>143608.07999999999</v>
      </c>
      <c r="L2903" t="str">
        <f t="shared" si="180"/>
        <v>Sep</v>
      </c>
      <c r="M2903">
        <f t="shared" si="181"/>
        <v>2025</v>
      </c>
      <c r="N2903">
        <f t="shared" si="182"/>
        <v>143608.08000000002</v>
      </c>
      <c r="O2903" t="str">
        <f t="shared" si="183"/>
        <v>Minor Delay</v>
      </c>
    </row>
    <row r="2904" spans="1:15" x14ac:dyDescent="0.25">
      <c r="A2904">
        <v>2903</v>
      </c>
      <c r="B2904" s="2">
        <v>45964</v>
      </c>
      <c r="C2904" t="s">
        <v>16</v>
      </c>
      <c r="D2904" t="s">
        <v>27</v>
      </c>
      <c r="E2904" t="s">
        <v>23</v>
      </c>
      <c r="F2904" t="s">
        <v>24</v>
      </c>
      <c r="G2904">
        <v>203</v>
      </c>
      <c r="H2904">
        <v>736.28</v>
      </c>
      <c r="I2904">
        <v>13</v>
      </c>
      <c r="J2904" t="s">
        <v>15</v>
      </c>
      <c r="K2904">
        <v>149464.84</v>
      </c>
      <c r="L2904" t="str">
        <f t="shared" si="180"/>
        <v>Nov</v>
      </c>
      <c r="M2904">
        <f t="shared" si="181"/>
        <v>2025</v>
      </c>
      <c r="N2904">
        <f t="shared" si="182"/>
        <v>149464.84</v>
      </c>
      <c r="O2904" t="str">
        <f t="shared" si="183"/>
        <v>Minor Delay</v>
      </c>
    </row>
    <row r="2905" spans="1:15" x14ac:dyDescent="0.25">
      <c r="A2905">
        <v>2904</v>
      </c>
      <c r="B2905" s="2">
        <v>45665</v>
      </c>
      <c r="C2905" t="s">
        <v>26</v>
      </c>
      <c r="D2905" t="s">
        <v>22</v>
      </c>
      <c r="E2905" t="s">
        <v>17</v>
      </c>
      <c r="F2905" t="s">
        <v>21</v>
      </c>
      <c r="G2905">
        <v>229</v>
      </c>
      <c r="H2905">
        <v>652.32000000000005</v>
      </c>
      <c r="I2905">
        <v>19</v>
      </c>
      <c r="J2905" t="s">
        <v>15</v>
      </c>
      <c r="K2905">
        <v>149381.28</v>
      </c>
      <c r="L2905" t="str">
        <f t="shared" si="180"/>
        <v>Jan</v>
      </c>
      <c r="M2905">
        <f t="shared" si="181"/>
        <v>2025</v>
      </c>
      <c r="N2905">
        <f t="shared" si="182"/>
        <v>149381.28</v>
      </c>
      <c r="O2905" t="str">
        <f t="shared" si="183"/>
        <v>Minor Delay</v>
      </c>
    </row>
    <row r="2906" spans="1:15" x14ac:dyDescent="0.25">
      <c r="A2906">
        <v>2905</v>
      </c>
      <c r="B2906" s="2">
        <v>45809</v>
      </c>
      <c r="C2906" t="s">
        <v>11</v>
      </c>
      <c r="D2906" t="s">
        <v>17</v>
      </c>
      <c r="E2906" t="s">
        <v>20</v>
      </c>
      <c r="F2906" t="s">
        <v>14</v>
      </c>
      <c r="G2906">
        <v>83</v>
      </c>
      <c r="H2906">
        <v>611.52</v>
      </c>
      <c r="I2906">
        <v>39</v>
      </c>
      <c r="J2906" t="s">
        <v>15</v>
      </c>
      <c r="K2906">
        <v>50756.160000000003</v>
      </c>
      <c r="L2906" t="str">
        <f t="shared" si="180"/>
        <v>Jun</v>
      </c>
      <c r="M2906">
        <f t="shared" si="181"/>
        <v>2025</v>
      </c>
      <c r="N2906">
        <f t="shared" si="182"/>
        <v>50756.159999999996</v>
      </c>
      <c r="O2906" t="str">
        <f t="shared" si="183"/>
        <v>Moderate Delay</v>
      </c>
    </row>
    <row r="2907" spans="1:15" x14ac:dyDescent="0.25">
      <c r="A2907">
        <v>2906</v>
      </c>
      <c r="B2907" s="2">
        <v>45738</v>
      </c>
      <c r="C2907" t="s">
        <v>25</v>
      </c>
      <c r="D2907" t="s">
        <v>29</v>
      </c>
      <c r="E2907" t="s">
        <v>12</v>
      </c>
      <c r="F2907" t="s">
        <v>21</v>
      </c>
      <c r="G2907">
        <v>199</v>
      </c>
      <c r="H2907">
        <v>580.88</v>
      </c>
      <c r="I2907">
        <v>17</v>
      </c>
      <c r="J2907" t="s">
        <v>30</v>
      </c>
      <c r="K2907">
        <v>115595.12</v>
      </c>
      <c r="L2907" t="str">
        <f t="shared" si="180"/>
        <v>Mar</v>
      </c>
      <c r="M2907">
        <f t="shared" si="181"/>
        <v>2025</v>
      </c>
      <c r="N2907">
        <f t="shared" si="182"/>
        <v>115595.12</v>
      </c>
      <c r="O2907" t="str">
        <f t="shared" si="183"/>
        <v>Minor Delay</v>
      </c>
    </row>
    <row r="2908" spans="1:15" x14ac:dyDescent="0.25">
      <c r="A2908">
        <v>2907</v>
      </c>
      <c r="B2908" s="2">
        <v>45826</v>
      </c>
      <c r="C2908" t="s">
        <v>31</v>
      </c>
      <c r="D2908" t="s">
        <v>12</v>
      </c>
      <c r="E2908" t="s">
        <v>29</v>
      </c>
      <c r="F2908" t="s">
        <v>24</v>
      </c>
      <c r="G2908">
        <v>193</v>
      </c>
      <c r="H2908">
        <v>750.26</v>
      </c>
      <c r="I2908">
        <v>20</v>
      </c>
      <c r="J2908" t="s">
        <v>15</v>
      </c>
      <c r="K2908">
        <v>144800.18</v>
      </c>
      <c r="L2908" t="str">
        <f t="shared" si="180"/>
        <v>Jun</v>
      </c>
      <c r="M2908">
        <f t="shared" si="181"/>
        <v>2025</v>
      </c>
      <c r="N2908">
        <f t="shared" si="182"/>
        <v>144800.18</v>
      </c>
      <c r="O2908" t="str">
        <f t="shared" si="183"/>
        <v>Minor Delay</v>
      </c>
    </row>
    <row r="2909" spans="1:15" x14ac:dyDescent="0.25">
      <c r="A2909">
        <v>2908</v>
      </c>
      <c r="B2909" s="2">
        <v>45881</v>
      </c>
      <c r="C2909" t="s">
        <v>25</v>
      </c>
      <c r="D2909" t="s">
        <v>29</v>
      </c>
      <c r="E2909" t="s">
        <v>27</v>
      </c>
      <c r="F2909" t="s">
        <v>21</v>
      </c>
      <c r="G2909">
        <v>285</v>
      </c>
      <c r="H2909">
        <v>708</v>
      </c>
      <c r="I2909">
        <v>24</v>
      </c>
      <c r="J2909" t="s">
        <v>15</v>
      </c>
      <c r="K2909">
        <v>201780</v>
      </c>
      <c r="L2909" t="str">
        <f t="shared" si="180"/>
        <v>Aug</v>
      </c>
      <c r="M2909">
        <f t="shared" si="181"/>
        <v>2025</v>
      </c>
      <c r="N2909">
        <f t="shared" si="182"/>
        <v>201780</v>
      </c>
      <c r="O2909" t="str">
        <f t="shared" si="183"/>
        <v>Minor Delay</v>
      </c>
    </row>
    <row r="2910" spans="1:15" x14ac:dyDescent="0.25">
      <c r="A2910">
        <v>2909</v>
      </c>
      <c r="B2910" s="2">
        <v>45912</v>
      </c>
      <c r="C2910" t="s">
        <v>26</v>
      </c>
      <c r="D2910" t="s">
        <v>19</v>
      </c>
      <c r="E2910" t="s">
        <v>22</v>
      </c>
      <c r="F2910" t="s">
        <v>14</v>
      </c>
      <c r="G2910">
        <v>261</v>
      </c>
      <c r="H2910">
        <v>718.23</v>
      </c>
      <c r="I2910">
        <v>5</v>
      </c>
      <c r="J2910" t="s">
        <v>15</v>
      </c>
      <c r="K2910">
        <v>187458.03</v>
      </c>
      <c r="L2910" t="str">
        <f t="shared" si="180"/>
        <v>Sep</v>
      </c>
      <c r="M2910">
        <f t="shared" si="181"/>
        <v>2025</v>
      </c>
      <c r="N2910">
        <f t="shared" si="182"/>
        <v>187458.03</v>
      </c>
      <c r="O2910" t="str">
        <f t="shared" si="183"/>
        <v>Minor Delay</v>
      </c>
    </row>
    <row r="2911" spans="1:15" x14ac:dyDescent="0.25">
      <c r="A2911">
        <v>2910</v>
      </c>
      <c r="B2911" s="2">
        <v>45690</v>
      </c>
      <c r="C2911" t="s">
        <v>31</v>
      </c>
      <c r="D2911" t="s">
        <v>27</v>
      </c>
      <c r="E2911" t="s">
        <v>20</v>
      </c>
      <c r="F2911" t="s">
        <v>21</v>
      </c>
      <c r="G2911">
        <v>184</v>
      </c>
      <c r="H2911">
        <v>164.59</v>
      </c>
      <c r="I2911">
        <v>2</v>
      </c>
      <c r="J2911" t="s">
        <v>30</v>
      </c>
      <c r="K2911">
        <v>30284.560000000001</v>
      </c>
      <c r="L2911" t="str">
        <f t="shared" si="180"/>
        <v>Feb</v>
      </c>
      <c r="M2911">
        <f t="shared" si="181"/>
        <v>2025</v>
      </c>
      <c r="N2911">
        <f t="shared" si="182"/>
        <v>30284.560000000001</v>
      </c>
      <c r="O2911" t="str">
        <f t="shared" si="183"/>
        <v>Minor Delay</v>
      </c>
    </row>
    <row r="2912" spans="1:15" x14ac:dyDescent="0.25">
      <c r="A2912">
        <v>2911</v>
      </c>
      <c r="B2912" s="2">
        <v>45927</v>
      </c>
      <c r="C2912" t="s">
        <v>25</v>
      </c>
      <c r="D2912" t="s">
        <v>19</v>
      </c>
      <c r="E2912" t="s">
        <v>27</v>
      </c>
      <c r="F2912" t="s">
        <v>21</v>
      </c>
      <c r="G2912">
        <v>216</v>
      </c>
      <c r="H2912">
        <v>417.48</v>
      </c>
      <c r="I2912">
        <v>4</v>
      </c>
      <c r="J2912" t="s">
        <v>30</v>
      </c>
      <c r="K2912">
        <v>90175.679999999993</v>
      </c>
      <c r="L2912" t="str">
        <f t="shared" si="180"/>
        <v>Sep</v>
      </c>
      <c r="M2912">
        <f t="shared" si="181"/>
        <v>2025</v>
      </c>
      <c r="N2912">
        <f t="shared" si="182"/>
        <v>90175.680000000008</v>
      </c>
      <c r="O2912" t="str">
        <f t="shared" si="183"/>
        <v>Minor Delay</v>
      </c>
    </row>
    <row r="2913" spans="1:15" x14ac:dyDescent="0.25">
      <c r="A2913">
        <v>2912</v>
      </c>
      <c r="B2913" s="2">
        <v>45925</v>
      </c>
      <c r="C2913" t="s">
        <v>16</v>
      </c>
      <c r="D2913" t="s">
        <v>12</v>
      </c>
      <c r="E2913" t="s">
        <v>20</v>
      </c>
      <c r="F2913" t="s">
        <v>24</v>
      </c>
      <c r="G2913">
        <v>228</v>
      </c>
      <c r="H2913">
        <v>117.01</v>
      </c>
      <c r="I2913">
        <v>47</v>
      </c>
      <c r="J2913" t="s">
        <v>15</v>
      </c>
      <c r="K2913">
        <v>26678.28</v>
      </c>
      <c r="L2913" t="str">
        <f t="shared" si="180"/>
        <v>Sep</v>
      </c>
      <c r="M2913">
        <f t="shared" si="181"/>
        <v>2025</v>
      </c>
      <c r="N2913">
        <f t="shared" si="182"/>
        <v>26678.280000000002</v>
      </c>
      <c r="O2913" t="str">
        <f t="shared" si="183"/>
        <v>Moderate Delay</v>
      </c>
    </row>
    <row r="2914" spans="1:15" x14ac:dyDescent="0.25">
      <c r="A2914">
        <v>2913</v>
      </c>
      <c r="B2914" s="2">
        <v>45863</v>
      </c>
      <c r="C2914" t="s">
        <v>26</v>
      </c>
      <c r="D2914" t="s">
        <v>23</v>
      </c>
      <c r="E2914" t="s">
        <v>17</v>
      </c>
      <c r="F2914" t="s">
        <v>24</v>
      </c>
      <c r="G2914">
        <v>241</v>
      </c>
      <c r="H2914">
        <v>784.86</v>
      </c>
      <c r="I2914">
        <v>0</v>
      </c>
      <c r="J2914" t="s">
        <v>30</v>
      </c>
      <c r="K2914">
        <v>189151.26</v>
      </c>
      <c r="L2914" t="str">
        <f t="shared" si="180"/>
        <v>Jul</v>
      </c>
      <c r="M2914">
        <f t="shared" si="181"/>
        <v>2025</v>
      </c>
      <c r="N2914">
        <f t="shared" si="182"/>
        <v>189151.26</v>
      </c>
      <c r="O2914" t="str">
        <f t="shared" si="183"/>
        <v>On Time</v>
      </c>
    </row>
    <row r="2915" spans="1:15" x14ac:dyDescent="0.25">
      <c r="A2915">
        <v>2914</v>
      </c>
      <c r="B2915" s="2">
        <v>46005</v>
      </c>
      <c r="C2915" t="s">
        <v>26</v>
      </c>
      <c r="D2915" t="s">
        <v>17</v>
      </c>
      <c r="E2915" t="s">
        <v>13</v>
      </c>
      <c r="F2915" t="s">
        <v>21</v>
      </c>
      <c r="G2915">
        <v>159</v>
      </c>
      <c r="H2915">
        <v>568.16</v>
      </c>
      <c r="I2915">
        <v>0</v>
      </c>
      <c r="J2915" t="s">
        <v>15</v>
      </c>
      <c r="K2915">
        <v>90337.44</v>
      </c>
      <c r="L2915" t="str">
        <f t="shared" si="180"/>
        <v>Dec</v>
      </c>
      <c r="M2915">
        <f t="shared" si="181"/>
        <v>2025</v>
      </c>
      <c r="N2915">
        <f t="shared" si="182"/>
        <v>90337.439999999988</v>
      </c>
      <c r="O2915" t="str">
        <f t="shared" si="183"/>
        <v>On Time</v>
      </c>
    </row>
    <row r="2916" spans="1:15" x14ac:dyDescent="0.25">
      <c r="A2916">
        <v>2915</v>
      </c>
      <c r="B2916" s="2">
        <v>46005</v>
      </c>
      <c r="C2916" t="s">
        <v>31</v>
      </c>
      <c r="D2916" t="s">
        <v>17</v>
      </c>
      <c r="E2916" t="s">
        <v>19</v>
      </c>
      <c r="F2916" t="s">
        <v>14</v>
      </c>
      <c r="G2916">
        <v>298</v>
      </c>
      <c r="H2916">
        <v>62.74</v>
      </c>
      <c r="I2916">
        <v>0</v>
      </c>
      <c r="J2916" t="s">
        <v>15</v>
      </c>
      <c r="K2916">
        <v>18696.52</v>
      </c>
      <c r="L2916" t="str">
        <f t="shared" si="180"/>
        <v>Dec</v>
      </c>
      <c r="M2916">
        <f t="shared" si="181"/>
        <v>2025</v>
      </c>
      <c r="N2916">
        <f t="shared" si="182"/>
        <v>18696.52</v>
      </c>
      <c r="O2916" t="str">
        <f t="shared" si="183"/>
        <v>On Time</v>
      </c>
    </row>
    <row r="2917" spans="1:15" x14ac:dyDescent="0.25">
      <c r="A2917">
        <v>2916</v>
      </c>
      <c r="B2917" s="2">
        <v>45683</v>
      </c>
      <c r="C2917" t="s">
        <v>31</v>
      </c>
      <c r="D2917" t="s">
        <v>17</v>
      </c>
      <c r="E2917" t="s">
        <v>12</v>
      </c>
      <c r="F2917" t="s">
        <v>14</v>
      </c>
      <c r="G2917">
        <v>196</v>
      </c>
      <c r="H2917">
        <v>711.24</v>
      </c>
      <c r="I2917">
        <v>0</v>
      </c>
      <c r="J2917" t="s">
        <v>15</v>
      </c>
      <c r="K2917">
        <v>139403.04</v>
      </c>
      <c r="L2917" t="str">
        <f t="shared" si="180"/>
        <v>Jan</v>
      </c>
      <c r="M2917">
        <f t="shared" si="181"/>
        <v>2025</v>
      </c>
      <c r="N2917">
        <f t="shared" si="182"/>
        <v>139403.04</v>
      </c>
      <c r="O2917" t="str">
        <f t="shared" si="183"/>
        <v>On Time</v>
      </c>
    </row>
    <row r="2918" spans="1:15" x14ac:dyDescent="0.25">
      <c r="A2918">
        <v>2917</v>
      </c>
      <c r="B2918" s="2">
        <v>45725</v>
      </c>
      <c r="C2918" t="s">
        <v>16</v>
      </c>
      <c r="D2918" t="s">
        <v>17</v>
      </c>
      <c r="E2918" t="s">
        <v>20</v>
      </c>
      <c r="F2918" t="s">
        <v>14</v>
      </c>
      <c r="G2918">
        <v>157</v>
      </c>
      <c r="H2918">
        <v>298.76</v>
      </c>
      <c r="I2918">
        <v>52</v>
      </c>
      <c r="J2918" t="s">
        <v>15</v>
      </c>
      <c r="K2918">
        <v>46905.32</v>
      </c>
      <c r="L2918" t="str">
        <f t="shared" si="180"/>
        <v>Mar</v>
      </c>
      <c r="M2918">
        <f t="shared" si="181"/>
        <v>2025</v>
      </c>
      <c r="N2918">
        <f t="shared" si="182"/>
        <v>46905.32</v>
      </c>
      <c r="O2918" t="str">
        <f t="shared" si="183"/>
        <v>Moderate Delay</v>
      </c>
    </row>
    <row r="2919" spans="1:15" x14ac:dyDescent="0.25">
      <c r="A2919">
        <v>2918</v>
      </c>
      <c r="B2919" s="2">
        <v>45827</v>
      </c>
      <c r="C2919" t="s">
        <v>18</v>
      </c>
      <c r="D2919" t="s">
        <v>17</v>
      </c>
      <c r="E2919" t="s">
        <v>23</v>
      </c>
      <c r="F2919" t="s">
        <v>21</v>
      </c>
      <c r="G2919">
        <v>287</v>
      </c>
      <c r="H2919">
        <v>446.83</v>
      </c>
      <c r="I2919">
        <v>0</v>
      </c>
      <c r="J2919" t="s">
        <v>15</v>
      </c>
      <c r="K2919">
        <v>128240.21</v>
      </c>
      <c r="L2919" t="str">
        <f t="shared" si="180"/>
        <v>Jun</v>
      </c>
      <c r="M2919">
        <f t="shared" si="181"/>
        <v>2025</v>
      </c>
      <c r="N2919">
        <f t="shared" si="182"/>
        <v>128240.20999999999</v>
      </c>
      <c r="O2919" t="str">
        <f t="shared" si="183"/>
        <v>On Time</v>
      </c>
    </row>
    <row r="2920" spans="1:15" x14ac:dyDescent="0.25">
      <c r="A2920">
        <v>2919</v>
      </c>
      <c r="B2920" s="2">
        <v>45910</v>
      </c>
      <c r="C2920" t="s">
        <v>26</v>
      </c>
      <c r="D2920" t="s">
        <v>22</v>
      </c>
      <c r="E2920" t="s">
        <v>17</v>
      </c>
      <c r="F2920" t="s">
        <v>14</v>
      </c>
      <c r="G2920">
        <v>297</v>
      </c>
      <c r="H2920">
        <v>187.39</v>
      </c>
      <c r="I2920">
        <v>0</v>
      </c>
      <c r="J2920" t="s">
        <v>15</v>
      </c>
      <c r="K2920">
        <v>55654.83</v>
      </c>
      <c r="L2920" t="str">
        <f t="shared" si="180"/>
        <v>Sep</v>
      </c>
      <c r="M2920">
        <f t="shared" si="181"/>
        <v>2025</v>
      </c>
      <c r="N2920">
        <f t="shared" si="182"/>
        <v>55654.829999999994</v>
      </c>
      <c r="O2920" t="str">
        <f t="shared" si="183"/>
        <v>On Time</v>
      </c>
    </row>
    <row r="2921" spans="1:15" x14ac:dyDescent="0.25">
      <c r="A2921">
        <v>2920</v>
      </c>
      <c r="B2921" s="2">
        <v>45830</v>
      </c>
      <c r="C2921" t="s">
        <v>31</v>
      </c>
      <c r="D2921" t="s">
        <v>17</v>
      </c>
      <c r="E2921" t="s">
        <v>27</v>
      </c>
      <c r="F2921" t="s">
        <v>24</v>
      </c>
      <c r="G2921">
        <v>256</v>
      </c>
      <c r="H2921">
        <v>452.91</v>
      </c>
      <c r="I2921">
        <v>23</v>
      </c>
      <c r="J2921" t="s">
        <v>15</v>
      </c>
      <c r="K2921">
        <v>115944.96000000001</v>
      </c>
      <c r="L2921" t="str">
        <f t="shared" si="180"/>
        <v>Jun</v>
      </c>
      <c r="M2921">
        <f t="shared" si="181"/>
        <v>2025</v>
      </c>
      <c r="N2921">
        <f t="shared" si="182"/>
        <v>115944.96000000001</v>
      </c>
      <c r="O2921" t="str">
        <f t="shared" si="183"/>
        <v>Minor Delay</v>
      </c>
    </row>
    <row r="2922" spans="1:15" x14ac:dyDescent="0.25">
      <c r="A2922">
        <v>2921</v>
      </c>
      <c r="B2922" s="2">
        <v>45694</v>
      </c>
      <c r="C2922" t="s">
        <v>18</v>
      </c>
      <c r="D2922" t="s">
        <v>13</v>
      </c>
      <c r="E2922" t="s">
        <v>17</v>
      </c>
      <c r="F2922" t="s">
        <v>24</v>
      </c>
      <c r="G2922">
        <v>140</v>
      </c>
      <c r="H2922">
        <v>248.96</v>
      </c>
      <c r="I2922">
        <v>32</v>
      </c>
      <c r="J2922" t="s">
        <v>15</v>
      </c>
      <c r="K2922">
        <v>34854.400000000001</v>
      </c>
      <c r="L2922" t="str">
        <f t="shared" si="180"/>
        <v>Feb</v>
      </c>
      <c r="M2922">
        <f t="shared" si="181"/>
        <v>2025</v>
      </c>
      <c r="N2922">
        <f t="shared" si="182"/>
        <v>34854.400000000001</v>
      </c>
      <c r="O2922" t="str">
        <f t="shared" si="183"/>
        <v>Moderate Delay</v>
      </c>
    </row>
    <row r="2923" spans="1:15" x14ac:dyDescent="0.25">
      <c r="A2923">
        <v>2922</v>
      </c>
      <c r="B2923" s="2">
        <v>45693</v>
      </c>
      <c r="C2923" t="s">
        <v>31</v>
      </c>
      <c r="D2923" t="s">
        <v>23</v>
      </c>
      <c r="E2923" t="s">
        <v>22</v>
      </c>
      <c r="F2923" t="s">
        <v>21</v>
      </c>
      <c r="G2923">
        <v>206</v>
      </c>
      <c r="H2923">
        <v>409.51</v>
      </c>
      <c r="I2923">
        <v>29</v>
      </c>
      <c r="J2923" t="s">
        <v>15</v>
      </c>
      <c r="K2923">
        <v>84359.06</v>
      </c>
      <c r="L2923" t="str">
        <f t="shared" si="180"/>
        <v>Feb</v>
      </c>
      <c r="M2923">
        <f t="shared" si="181"/>
        <v>2025</v>
      </c>
      <c r="N2923">
        <f t="shared" si="182"/>
        <v>84359.06</v>
      </c>
      <c r="O2923" t="str">
        <f t="shared" si="183"/>
        <v>Minor Delay</v>
      </c>
    </row>
    <row r="2924" spans="1:15" x14ac:dyDescent="0.25">
      <c r="A2924">
        <v>2923</v>
      </c>
      <c r="B2924" s="2">
        <v>45761</v>
      </c>
      <c r="C2924" t="s">
        <v>31</v>
      </c>
      <c r="D2924" t="s">
        <v>29</v>
      </c>
      <c r="E2924" t="s">
        <v>23</v>
      </c>
      <c r="F2924" t="s">
        <v>24</v>
      </c>
      <c r="G2924">
        <v>283</v>
      </c>
      <c r="H2924">
        <v>455.46</v>
      </c>
      <c r="I2924">
        <v>0</v>
      </c>
      <c r="J2924" t="s">
        <v>15</v>
      </c>
      <c r="K2924">
        <v>128895.18</v>
      </c>
      <c r="L2924" t="str">
        <f t="shared" si="180"/>
        <v>Apr</v>
      </c>
      <c r="M2924">
        <f t="shared" si="181"/>
        <v>2025</v>
      </c>
      <c r="N2924">
        <f t="shared" si="182"/>
        <v>128895.18</v>
      </c>
      <c r="O2924" t="str">
        <f t="shared" si="183"/>
        <v>On Time</v>
      </c>
    </row>
    <row r="2925" spans="1:15" x14ac:dyDescent="0.25">
      <c r="A2925">
        <v>2924</v>
      </c>
      <c r="B2925" s="2">
        <v>45679</v>
      </c>
      <c r="C2925" t="s">
        <v>25</v>
      </c>
      <c r="D2925" t="s">
        <v>22</v>
      </c>
      <c r="E2925" t="s">
        <v>27</v>
      </c>
      <c r="F2925" t="s">
        <v>14</v>
      </c>
      <c r="G2925">
        <v>165</v>
      </c>
      <c r="H2925">
        <v>74.709999999999994</v>
      </c>
      <c r="I2925">
        <v>33</v>
      </c>
      <c r="J2925" t="s">
        <v>15</v>
      </c>
      <c r="K2925">
        <v>12327.15</v>
      </c>
      <c r="L2925" t="str">
        <f t="shared" si="180"/>
        <v>Jan</v>
      </c>
      <c r="M2925">
        <f t="shared" si="181"/>
        <v>2025</v>
      </c>
      <c r="N2925">
        <f t="shared" si="182"/>
        <v>12327.15</v>
      </c>
      <c r="O2925" t="str">
        <f t="shared" si="183"/>
        <v>Moderate Delay</v>
      </c>
    </row>
    <row r="2926" spans="1:15" x14ac:dyDescent="0.25">
      <c r="A2926">
        <v>2925</v>
      </c>
      <c r="B2926" s="2">
        <v>45976</v>
      </c>
      <c r="C2926" t="s">
        <v>26</v>
      </c>
      <c r="D2926" t="s">
        <v>19</v>
      </c>
      <c r="E2926" t="s">
        <v>13</v>
      </c>
      <c r="F2926" t="s">
        <v>24</v>
      </c>
      <c r="G2926">
        <v>89</v>
      </c>
      <c r="H2926">
        <v>738.07</v>
      </c>
      <c r="I2926">
        <v>0</v>
      </c>
      <c r="J2926" t="s">
        <v>15</v>
      </c>
      <c r="K2926">
        <v>65688.23</v>
      </c>
      <c r="L2926" t="str">
        <f t="shared" si="180"/>
        <v>Nov</v>
      </c>
      <c r="M2926">
        <f t="shared" si="181"/>
        <v>2025</v>
      </c>
      <c r="N2926">
        <f t="shared" si="182"/>
        <v>65688.23000000001</v>
      </c>
      <c r="O2926" t="str">
        <f t="shared" si="183"/>
        <v>On Time</v>
      </c>
    </row>
    <row r="2927" spans="1:15" x14ac:dyDescent="0.25">
      <c r="A2927">
        <v>2926</v>
      </c>
      <c r="B2927" s="2">
        <v>45934</v>
      </c>
      <c r="C2927" t="s">
        <v>31</v>
      </c>
      <c r="D2927" t="s">
        <v>22</v>
      </c>
      <c r="E2927" t="s">
        <v>13</v>
      </c>
      <c r="F2927" t="s">
        <v>21</v>
      </c>
      <c r="G2927">
        <v>186</v>
      </c>
      <c r="H2927">
        <v>225.27</v>
      </c>
      <c r="I2927">
        <v>17</v>
      </c>
      <c r="J2927" t="s">
        <v>28</v>
      </c>
      <c r="K2927">
        <v>41900.22</v>
      </c>
      <c r="L2927" t="str">
        <f t="shared" si="180"/>
        <v>Oct</v>
      </c>
      <c r="M2927">
        <f t="shared" si="181"/>
        <v>2025</v>
      </c>
      <c r="N2927">
        <f t="shared" si="182"/>
        <v>41900.22</v>
      </c>
      <c r="O2927" t="str">
        <f t="shared" si="183"/>
        <v>Minor Delay</v>
      </c>
    </row>
    <row r="2928" spans="1:15" x14ac:dyDescent="0.25">
      <c r="A2928">
        <v>2927</v>
      </c>
      <c r="B2928" s="2">
        <v>45766</v>
      </c>
      <c r="C2928" t="s">
        <v>26</v>
      </c>
      <c r="D2928" t="s">
        <v>23</v>
      </c>
      <c r="E2928" t="s">
        <v>12</v>
      </c>
      <c r="F2928" t="s">
        <v>21</v>
      </c>
      <c r="G2928">
        <v>198</v>
      </c>
      <c r="H2928">
        <v>68.97</v>
      </c>
      <c r="I2928">
        <v>24</v>
      </c>
      <c r="J2928" t="s">
        <v>30</v>
      </c>
      <c r="K2928">
        <v>13656.06</v>
      </c>
      <c r="L2928" t="str">
        <f t="shared" si="180"/>
        <v>Apr</v>
      </c>
      <c r="M2928">
        <f t="shared" si="181"/>
        <v>2025</v>
      </c>
      <c r="N2928">
        <f t="shared" si="182"/>
        <v>13656.06</v>
      </c>
      <c r="O2928" t="str">
        <f t="shared" si="183"/>
        <v>Minor Delay</v>
      </c>
    </row>
    <row r="2929" spans="1:15" x14ac:dyDescent="0.25">
      <c r="A2929">
        <v>2928</v>
      </c>
      <c r="B2929" s="2">
        <v>45952</v>
      </c>
      <c r="C2929" t="s">
        <v>18</v>
      </c>
      <c r="D2929" t="s">
        <v>20</v>
      </c>
      <c r="E2929" t="s">
        <v>27</v>
      </c>
      <c r="F2929" t="s">
        <v>14</v>
      </c>
      <c r="G2929">
        <v>265</v>
      </c>
      <c r="H2929">
        <v>261.82</v>
      </c>
      <c r="I2929">
        <v>0</v>
      </c>
      <c r="J2929" t="s">
        <v>28</v>
      </c>
      <c r="K2929">
        <v>69382.3</v>
      </c>
      <c r="L2929" t="str">
        <f t="shared" si="180"/>
        <v>Oct</v>
      </c>
      <c r="M2929">
        <f t="shared" si="181"/>
        <v>2025</v>
      </c>
      <c r="N2929">
        <f t="shared" si="182"/>
        <v>69382.3</v>
      </c>
      <c r="O2929" t="str">
        <f t="shared" si="183"/>
        <v>On Time</v>
      </c>
    </row>
    <row r="2930" spans="1:15" x14ac:dyDescent="0.25">
      <c r="A2930">
        <v>2929</v>
      </c>
      <c r="B2930" s="2">
        <v>45714</v>
      </c>
      <c r="C2930" t="s">
        <v>11</v>
      </c>
      <c r="D2930" t="s">
        <v>27</v>
      </c>
      <c r="E2930" t="s">
        <v>23</v>
      </c>
      <c r="F2930" t="s">
        <v>24</v>
      </c>
      <c r="G2930">
        <v>149</v>
      </c>
      <c r="H2930">
        <v>510.95</v>
      </c>
      <c r="I2930">
        <v>0</v>
      </c>
      <c r="J2930" t="s">
        <v>30</v>
      </c>
      <c r="K2930">
        <v>76131.55</v>
      </c>
      <c r="L2930" t="str">
        <f t="shared" si="180"/>
        <v>Feb</v>
      </c>
      <c r="M2930">
        <f t="shared" si="181"/>
        <v>2025</v>
      </c>
      <c r="N2930">
        <f t="shared" si="182"/>
        <v>76131.55</v>
      </c>
      <c r="O2930" t="str">
        <f t="shared" si="183"/>
        <v>On Time</v>
      </c>
    </row>
    <row r="2931" spans="1:15" x14ac:dyDescent="0.25">
      <c r="A2931">
        <v>2930</v>
      </c>
      <c r="B2931" s="2">
        <v>45839</v>
      </c>
      <c r="C2931" t="s">
        <v>18</v>
      </c>
      <c r="D2931" t="s">
        <v>20</v>
      </c>
      <c r="E2931" t="s">
        <v>19</v>
      </c>
      <c r="F2931" t="s">
        <v>21</v>
      </c>
      <c r="G2931">
        <v>175</v>
      </c>
      <c r="H2931">
        <v>281.37</v>
      </c>
      <c r="I2931">
        <v>16</v>
      </c>
      <c r="J2931" t="s">
        <v>15</v>
      </c>
      <c r="K2931">
        <v>49239.75</v>
      </c>
      <c r="L2931" t="str">
        <f t="shared" si="180"/>
        <v>Jul</v>
      </c>
      <c r="M2931">
        <f t="shared" si="181"/>
        <v>2025</v>
      </c>
      <c r="N2931">
        <f t="shared" si="182"/>
        <v>49239.75</v>
      </c>
      <c r="O2931" t="str">
        <f t="shared" si="183"/>
        <v>Minor Delay</v>
      </c>
    </row>
    <row r="2932" spans="1:15" x14ac:dyDescent="0.25">
      <c r="A2932">
        <v>2931</v>
      </c>
      <c r="B2932" s="2">
        <v>45913</v>
      </c>
      <c r="C2932" t="s">
        <v>25</v>
      </c>
      <c r="D2932" t="s">
        <v>13</v>
      </c>
      <c r="E2932" t="s">
        <v>17</v>
      </c>
      <c r="F2932" t="s">
        <v>21</v>
      </c>
      <c r="G2932">
        <v>294</v>
      </c>
      <c r="H2932">
        <v>224.85</v>
      </c>
      <c r="I2932">
        <v>19</v>
      </c>
      <c r="J2932" t="s">
        <v>15</v>
      </c>
      <c r="K2932">
        <v>66105.899999999994</v>
      </c>
      <c r="L2932" t="str">
        <f t="shared" si="180"/>
        <v>Sep</v>
      </c>
      <c r="M2932">
        <f t="shared" si="181"/>
        <v>2025</v>
      </c>
      <c r="N2932">
        <f t="shared" si="182"/>
        <v>66105.899999999994</v>
      </c>
      <c r="O2932" t="str">
        <f t="shared" si="183"/>
        <v>Minor Delay</v>
      </c>
    </row>
    <row r="2933" spans="1:15" x14ac:dyDescent="0.25">
      <c r="A2933">
        <v>2932</v>
      </c>
      <c r="B2933" s="2">
        <v>45729</v>
      </c>
      <c r="C2933" t="s">
        <v>25</v>
      </c>
      <c r="D2933" t="s">
        <v>27</v>
      </c>
      <c r="E2933" t="s">
        <v>13</v>
      </c>
      <c r="F2933" t="s">
        <v>24</v>
      </c>
      <c r="G2933">
        <v>50</v>
      </c>
      <c r="H2933">
        <v>184.75</v>
      </c>
      <c r="I2933">
        <v>24</v>
      </c>
      <c r="J2933" t="s">
        <v>15</v>
      </c>
      <c r="K2933">
        <v>9237.5</v>
      </c>
      <c r="L2933" t="str">
        <f t="shared" si="180"/>
        <v>Mar</v>
      </c>
      <c r="M2933">
        <f t="shared" si="181"/>
        <v>2025</v>
      </c>
      <c r="N2933">
        <f t="shared" si="182"/>
        <v>9237.5</v>
      </c>
      <c r="O2933" t="str">
        <f t="shared" si="183"/>
        <v>Minor Delay</v>
      </c>
    </row>
    <row r="2934" spans="1:15" x14ac:dyDescent="0.25">
      <c r="A2934">
        <v>2933</v>
      </c>
      <c r="B2934" s="2">
        <v>45991</v>
      </c>
      <c r="C2934" t="s">
        <v>16</v>
      </c>
      <c r="D2934" t="s">
        <v>23</v>
      </c>
      <c r="E2934" t="s">
        <v>29</v>
      </c>
      <c r="F2934" t="s">
        <v>14</v>
      </c>
      <c r="G2934">
        <v>298</v>
      </c>
      <c r="H2934">
        <v>126.62</v>
      </c>
      <c r="I2934">
        <v>48</v>
      </c>
      <c r="J2934" t="s">
        <v>15</v>
      </c>
      <c r="K2934">
        <v>37732.76</v>
      </c>
      <c r="L2934" t="str">
        <f t="shared" si="180"/>
        <v>Nov</v>
      </c>
      <c r="M2934">
        <f t="shared" si="181"/>
        <v>2025</v>
      </c>
      <c r="N2934">
        <f t="shared" si="182"/>
        <v>37732.76</v>
      </c>
      <c r="O2934" t="str">
        <f t="shared" si="183"/>
        <v>Moderate Delay</v>
      </c>
    </row>
    <row r="2935" spans="1:15" x14ac:dyDescent="0.25">
      <c r="A2935">
        <v>2934</v>
      </c>
      <c r="B2935" s="2">
        <v>45970</v>
      </c>
      <c r="C2935" t="s">
        <v>16</v>
      </c>
      <c r="D2935" t="s">
        <v>22</v>
      </c>
      <c r="E2935" t="s">
        <v>23</v>
      </c>
      <c r="F2935" t="s">
        <v>24</v>
      </c>
      <c r="G2935">
        <v>98</v>
      </c>
      <c r="H2935">
        <v>684.84</v>
      </c>
      <c r="I2935">
        <v>2</v>
      </c>
      <c r="J2935" t="s">
        <v>15</v>
      </c>
      <c r="K2935">
        <v>67114.320000000007</v>
      </c>
      <c r="L2935" t="str">
        <f t="shared" si="180"/>
        <v>Nov</v>
      </c>
      <c r="M2935">
        <f t="shared" si="181"/>
        <v>2025</v>
      </c>
      <c r="N2935">
        <f t="shared" si="182"/>
        <v>67114.320000000007</v>
      </c>
      <c r="O2935" t="str">
        <f t="shared" si="183"/>
        <v>Minor Delay</v>
      </c>
    </row>
    <row r="2936" spans="1:15" x14ac:dyDescent="0.25">
      <c r="A2936">
        <v>2935</v>
      </c>
      <c r="B2936" s="2">
        <v>45946</v>
      </c>
      <c r="C2936" t="s">
        <v>25</v>
      </c>
      <c r="D2936" t="s">
        <v>19</v>
      </c>
      <c r="E2936" t="s">
        <v>12</v>
      </c>
      <c r="F2936" t="s">
        <v>24</v>
      </c>
      <c r="G2936">
        <v>220</v>
      </c>
      <c r="H2936">
        <v>400.28</v>
      </c>
      <c r="I2936">
        <v>14</v>
      </c>
      <c r="J2936" t="s">
        <v>15</v>
      </c>
      <c r="K2936">
        <v>88061.6</v>
      </c>
      <c r="L2936" t="str">
        <f t="shared" si="180"/>
        <v>Oct</v>
      </c>
      <c r="M2936">
        <f t="shared" si="181"/>
        <v>2025</v>
      </c>
      <c r="N2936">
        <f t="shared" si="182"/>
        <v>88061.599999999991</v>
      </c>
      <c r="O2936" t="str">
        <f t="shared" si="183"/>
        <v>Minor Delay</v>
      </c>
    </row>
    <row r="2937" spans="1:15" x14ac:dyDescent="0.25">
      <c r="A2937">
        <v>2936</v>
      </c>
      <c r="B2937" s="2">
        <v>45994</v>
      </c>
      <c r="C2937" t="s">
        <v>26</v>
      </c>
      <c r="D2937" t="s">
        <v>22</v>
      </c>
      <c r="E2937" t="s">
        <v>12</v>
      </c>
      <c r="F2937" t="s">
        <v>14</v>
      </c>
      <c r="G2937">
        <v>181</v>
      </c>
      <c r="H2937">
        <v>725.52</v>
      </c>
      <c r="I2937">
        <v>46</v>
      </c>
      <c r="J2937" t="s">
        <v>15</v>
      </c>
      <c r="K2937">
        <v>131319.12</v>
      </c>
      <c r="L2937" t="str">
        <f t="shared" si="180"/>
        <v>Dec</v>
      </c>
      <c r="M2937">
        <f t="shared" si="181"/>
        <v>2025</v>
      </c>
      <c r="N2937">
        <f t="shared" si="182"/>
        <v>131319.12</v>
      </c>
      <c r="O2937" t="str">
        <f t="shared" si="183"/>
        <v>Moderate Delay</v>
      </c>
    </row>
    <row r="2938" spans="1:15" x14ac:dyDescent="0.25">
      <c r="A2938">
        <v>2937</v>
      </c>
      <c r="B2938" s="2">
        <v>45761</v>
      </c>
      <c r="C2938" t="s">
        <v>16</v>
      </c>
      <c r="D2938" t="s">
        <v>27</v>
      </c>
      <c r="E2938" t="s">
        <v>29</v>
      </c>
      <c r="F2938" t="s">
        <v>21</v>
      </c>
      <c r="G2938">
        <v>183</v>
      </c>
      <c r="H2938">
        <v>618.41</v>
      </c>
      <c r="I2938">
        <v>43</v>
      </c>
      <c r="J2938" t="s">
        <v>15</v>
      </c>
      <c r="K2938">
        <v>113169.03</v>
      </c>
      <c r="L2938" t="str">
        <f t="shared" si="180"/>
        <v>Apr</v>
      </c>
      <c r="M2938">
        <f t="shared" si="181"/>
        <v>2025</v>
      </c>
      <c r="N2938">
        <f t="shared" si="182"/>
        <v>113169.03</v>
      </c>
      <c r="O2938" t="str">
        <f t="shared" si="183"/>
        <v>Moderate Delay</v>
      </c>
    </row>
    <row r="2939" spans="1:15" x14ac:dyDescent="0.25">
      <c r="A2939">
        <v>2938</v>
      </c>
      <c r="B2939" s="2">
        <v>46014</v>
      </c>
      <c r="C2939" t="s">
        <v>31</v>
      </c>
      <c r="D2939" t="s">
        <v>27</v>
      </c>
      <c r="E2939" t="s">
        <v>17</v>
      </c>
      <c r="F2939" t="s">
        <v>24</v>
      </c>
      <c r="G2939">
        <v>77</v>
      </c>
      <c r="H2939">
        <v>482.21</v>
      </c>
      <c r="I2939">
        <v>44</v>
      </c>
      <c r="J2939" t="s">
        <v>15</v>
      </c>
      <c r="K2939">
        <v>37130.17</v>
      </c>
      <c r="L2939" t="str">
        <f t="shared" si="180"/>
        <v>Dec</v>
      </c>
      <c r="M2939">
        <f t="shared" si="181"/>
        <v>2025</v>
      </c>
      <c r="N2939">
        <f t="shared" si="182"/>
        <v>37130.17</v>
      </c>
      <c r="O2939" t="str">
        <f t="shared" si="183"/>
        <v>Moderate Delay</v>
      </c>
    </row>
    <row r="2940" spans="1:15" x14ac:dyDescent="0.25">
      <c r="A2940">
        <v>2939</v>
      </c>
      <c r="B2940" s="2">
        <v>45877</v>
      </c>
      <c r="C2940" t="s">
        <v>16</v>
      </c>
      <c r="D2940" t="s">
        <v>19</v>
      </c>
      <c r="E2940" t="s">
        <v>29</v>
      </c>
      <c r="F2940" t="s">
        <v>21</v>
      </c>
      <c r="G2940">
        <v>214</v>
      </c>
      <c r="H2940">
        <v>326.83999999999997</v>
      </c>
      <c r="I2940">
        <v>0</v>
      </c>
      <c r="J2940" t="s">
        <v>15</v>
      </c>
      <c r="K2940">
        <v>69943.759999999995</v>
      </c>
      <c r="L2940" t="str">
        <f t="shared" si="180"/>
        <v>Aug</v>
      </c>
      <c r="M2940">
        <f t="shared" si="181"/>
        <v>2025</v>
      </c>
      <c r="N2940">
        <f t="shared" si="182"/>
        <v>69943.759999999995</v>
      </c>
      <c r="O2940" t="str">
        <f t="shared" si="183"/>
        <v>On Time</v>
      </c>
    </row>
    <row r="2941" spans="1:15" x14ac:dyDescent="0.25">
      <c r="A2941">
        <v>2940</v>
      </c>
      <c r="B2941" s="2">
        <v>45873</v>
      </c>
      <c r="C2941" t="s">
        <v>18</v>
      </c>
      <c r="D2941" t="s">
        <v>29</v>
      </c>
      <c r="E2941" t="s">
        <v>27</v>
      </c>
      <c r="F2941" t="s">
        <v>24</v>
      </c>
      <c r="G2941">
        <v>287</v>
      </c>
      <c r="H2941">
        <v>442.1</v>
      </c>
      <c r="I2941">
        <v>8</v>
      </c>
      <c r="J2941" t="s">
        <v>15</v>
      </c>
      <c r="K2941">
        <v>126882.7</v>
      </c>
      <c r="L2941" t="str">
        <f t="shared" si="180"/>
        <v>Aug</v>
      </c>
      <c r="M2941">
        <f t="shared" si="181"/>
        <v>2025</v>
      </c>
      <c r="N2941">
        <f t="shared" si="182"/>
        <v>126882.70000000001</v>
      </c>
      <c r="O2941" t="str">
        <f t="shared" si="183"/>
        <v>Minor Delay</v>
      </c>
    </row>
    <row r="2942" spans="1:15" x14ac:dyDescent="0.25">
      <c r="A2942">
        <v>2941</v>
      </c>
      <c r="B2942" s="2">
        <v>46016</v>
      </c>
      <c r="C2942" t="s">
        <v>16</v>
      </c>
      <c r="D2942" t="s">
        <v>20</v>
      </c>
      <c r="E2942" t="s">
        <v>19</v>
      </c>
      <c r="F2942" t="s">
        <v>24</v>
      </c>
      <c r="G2942">
        <v>153</v>
      </c>
      <c r="H2942">
        <v>194.53</v>
      </c>
      <c r="I2942">
        <v>0</v>
      </c>
      <c r="J2942" t="s">
        <v>15</v>
      </c>
      <c r="K2942">
        <v>29763.09</v>
      </c>
      <c r="L2942" t="str">
        <f t="shared" si="180"/>
        <v>Dec</v>
      </c>
      <c r="M2942">
        <f t="shared" si="181"/>
        <v>2025</v>
      </c>
      <c r="N2942">
        <f t="shared" si="182"/>
        <v>29763.09</v>
      </c>
      <c r="O2942" t="str">
        <f t="shared" si="183"/>
        <v>On Time</v>
      </c>
    </row>
    <row r="2943" spans="1:15" x14ac:dyDescent="0.25">
      <c r="A2943">
        <v>2942</v>
      </c>
      <c r="B2943" s="2">
        <v>45705</v>
      </c>
      <c r="C2943" t="s">
        <v>31</v>
      </c>
      <c r="D2943" t="s">
        <v>12</v>
      </c>
      <c r="E2943" t="s">
        <v>17</v>
      </c>
      <c r="F2943" t="s">
        <v>14</v>
      </c>
      <c r="G2943">
        <v>169</v>
      </c>
      <c r="H2943">
        <v>460.25</v>
      </c>
      <c r="I2943">
        <v>0</v>
      </c>
      <c r="J2943" t="s">
        <v>15</v>
      </c>
      <c r="K2943">
        <v>77782.25</v>
      </c>
      <c r="L2943" t="str">
        <f t="shared" si="180"/>
        <v>Feb</v>
      </c>
      <c r="M2943">
        <f t="shared" si="181"/>
        <v>2025</v>
      </c>
      <c r="N2943">
        <f t="shared" si="182"/>
        <v>77782.25</v>
      </c>
      <c r="O2943" t="str">
        <f t="shared" si="183"/>
        <v>On Time</v>
      </c>
    </row>
    <row r="2944" spans="1:15" x14ac:dyDescent="0.25">
      <c r="A2944">
        <v>2943</v>
      </c>
      <c r="B2944" s="2">
        <v>45843</v>
      </c>
      <c r="C2944" t="s">
        <v>26</v>
      </c>
      <c r="D2944" t="s">
        <v>29</v>
      </c>
      <c r="E2944" t="s">
        <v>20</v>
      </c>
      <c r="F2944" t="s">
        <v>21</v>
      </c>
      <c r="G2944">
        <v>129</v>
      </c>
      <c r="H2944">
        <v>366.6</v>
      </c>
      <c r="I2944">
        <v>0</v>
      </c>
      <c r="J2944" t="s">
        <v>30</v>
      </c>
      <c r="K2944">
        <v>47291.4</v>
      </c>
      <c r="L2944" t="str">
        <f t="shared" si="180"/>
        <v>Jul</v>
      </c>
      <c r="M2944">
        <f t="shared" si="181"/>
        <v>2025</v>
      </c>
      <c r="N2944">
        <f t="shared" si="182"/>
        <v>47291.4</v>
      </c>
      <c r="O2944" t="str">
        <f t="shared" si="183"/>
        <v>On Time</v>
      </c>
    </row>
    <row r="2945" spans="1:15" x14ac:dyDescent="0.25">
      <c r="A2945">
        <v>2944</v>
      </c>
      <c r="B2945" s="2">
        <v>45726</v>
      </c>
      <c r="C2945" t="s">
        <v>18</v>
      </c>
      <c r="D2945" t="s">
        <v>29</v>
      </c>
      <c r="E2945" t="s">
        <v>23</v>
      </c>
      <c r="F2945" t="s">
        <v>21</v>
      </c>
      <c r="G2945">
        <v>86</v>
      </c>
      <c r="H2945">
        <v>222.85</v>
      </c>
      <c r="I2945">
        <v>5</v>
      </c>
      <c r="J2945" t="s">
        <v>15</v>
      </c>
      <c r="K2945">
        <v>19165.099999999999</v>
      </c>
      <c r="L2945" t="str">
        <f t="shared" si="180"/>
        <v>Mar</v>
      </c>
      <c r="M2945">
        <f t="shared" si="181"/>
        <v>2025</v>
      </c>
      <c r="N2945">
        <f t="shared" si="182"/>
        <v>19165.099999999999</v>
      </c>
      <c r="O2945" t="str">
        <f t="shared" si="183"/>
        <v>Minor Delay</v>
      </c>
    </row>
    <row r="2946" spans="1:15" x14ac:dyDescent="0.25">
      <c r="A2946">
        <v>2945</v>
      </c>
      <c r="B2946" s="2">
        <v>45735</v>
      </c>
      <c r="C2946" t="s">
        <v>11</v>
      </c>
      <c r="D2946" t="s">
        <v>20</v>
      </c>
      <c r="E2946" t="s">
        <v>13</v>
      </c>
      <c r="F2946" t="s">
        <v>14</v>
      </c>
      <c r="G2946">
        <v>170</v>
      </c>
      <c r="H2946">
        <v>562.69000000000005</v>
      </c>
      <c r="I2946">
        <v>13</v>
      </c>
      <c r="J2946" t="s">
        <v>30</v>
      </c>
      <c r="K2946">
        <v>95657.3</v>
      </c>
      <c r="L2946" t="str">
        <f t="shared" si="180"/>
        <v>Mar</v>
      </c>
      <c r="M2946">
        <f t="shared" si="181"/>
        <v>2025</v>
      </c>
      <c r="N2946">
        <f t="shared" si="182"/>
        <v>95657.3</v>
      </c>
      <c r="O2946" t="str">
        <f t="shared" si="183"/>
        <v>Minor Delay</v>
      </c>
    </row>
    <row r="2947" spans="1:15" x14ac:dyDescent="0.25">
      <c r="A2947">
        <v>2946</v>
      </c>
      <c r="B2947" s="2">
        <v>45797</v>
      </c>
      <c r="C2947" t="s">
        <v>25</v>
      </c>
      <c r="D2947" t="s">
        <v>17</v>
      </c>
      <c r="E2947" t="s">
        <v>22</v>
      </c>
      <c r="F2947" t="s">
        <v>21</v>
      </c>
      <c r="G2947">
        <v>210</v>
      </c>
      <c r="H2947">
        <v>531.94000000000005</v>
      </c>
      <c r="I2947">
        <v>16</v>
      </c>
      <c r="J2947" t="s">
        <v>15</v>
      </c>
      <c r="K2947">
        <v>111707.4</v>
      </c>
      <c r="L2947" t="str">
        <f t="shared" ref="L2947:L3010" si="184">TEXT(B2947,"MMM")</f>
        <v>May</v>
      </c>
      <c r="M2947">
        <f t="shared" ref="M2947:M3010" si="185">YEAR(B2947)</f>
        <v>2025</v>
      </c>
      <c r="N2947">
        <f t="shared" ref="N2947:N3010" si="186">G2947*H2947</f>
        <v>111707.40000000001</v>
      </c>
      <c r="O2947" t="str">
        <f t="shared" ref="O2947:O3010" si="187">IF(I2947=0,"On Time",IF(I2947&lt;=30,"Minor Delay",IF(I2947&lt;=60,"Moderate Delay","Major Delay")))</f>
        <v>Minor Delay</v>
      </c>
    </row>
    <row r="2948" spans="1:15" x14ac:dyDescent="0.25">
      <c r="A2948">
        <v>2947</v>
      </c>
      <c r="B2948" s="2">
        <v>45896</v>
      </c>
      <c r="C2948" t="s">
        <v>18</v>
      </c>
      <c r="D2948" t="s">
        <v>27</v>
      </c>
      <c r="E2948" t="s">
        <v>23</v>
      </c>
      <c r="F2948" t="s">
        <v>21</v>
      </c>
      <c r="G2948">
        <v>132</v>
      </c>
      <c r="H2948">
        <v>580.41999999999996</v>
      </c>
      <c r="I2948">
        <v>59</v>
      </c>
      <c r="J2948" t="s">
        <v>15</v>
      </c>
      <c r="K2948">
        <v>76615.44</v>
      </c>
      <c r="L2948" t="str">
        <f t="shared" si="184"/>
        <v>Aug</v>
      </c>
      <c r="M2948">
        <f t="shared" si="185"/>
        <v>2025</v>
      </c>
      <c r="N2948">
        <f t="shared" si="186"/>
        <v>76615.439999999988</v>
      </c>
      <c r="O2948" t="str">
        <f t="shared" si="187"/>
        <v>Moderate Delay</v>
      </c>
    </row>
    <row r="2949" spans="1:15" x14ac:dyDescent="0.25">
      <c r="A2949">
        <v>2948</v>
      </c>
      <c r="B2949" s="2">
        <v>45761</v>
      </c>
      <c r="C2949" t="s">
        <v>31</v>
      </c>
      <c r="D2949" t="s">
        <v>22</v>
      </c>
      <c r="E2949" t="s">
        <v>17</v>
      </c>
      <c r="F2949" t="s">
        <v>21</v>
      </c>
      <c r="G2949">
        <v>69</v>
      </c>
      <c r="H2949">
        <v>791.74</v>
      </c>
      <c r="I2949">
        <v>38</v>
      </c>
      <c r="J2949" t="s">
        <v>30</v>
      </c>
      <c r="K2949">
        <v>54630.06</v>
      </c>
      <c r="L2949" t="str">
        <f t="shared" si="184"/>
        <v>Apr</v>
      </c>
      <c r="M2949">
        <f t="shared" si="185"/>
        <v>2025</v>
      </c>
      <c r="N2949">
        <f t="shared" si="186"/>
        <v>54630.06</v>
      </c>
      <c r="O2949" t="str">
        <f t="shared" si="187"/>
        <v>Moderate Delay</v>
      </c>
    </row>
    <row r="2950" spans="1:15" x14ac:dyDescent="0.25">
      <c r="A2950">
        <v>2949</v>
      </c>
      <c r="B2950" s="2">
        <v>45889</v>
      </c>
      <c r="C2950" t="s">
        <v>25</v>
      </c>
      <c r="D2950" t="s">
        <v>27</v>
      </c>
      <c r="E2950" t="s">
        <v>13</v>
      </c>
      <c r="F2950" t="s">
        <v>14</v>
      </c>
      <c r="G2950">
        <v>168</v>
      </c>
      <c r="H2950">
        <v>440.5</v>
      </c>
      <c r="I2950">
        <v>14</v>
      </c>
      <c r="J2950" t="s">
        <v>15</v>
      </c>
      <c r="K2950">
        <v>74004</v>
      </c>
      <c r="L2950" t="str">
        <f t="shared" si="184"/>
        <v>Aug</v>
      </c>
      <c r="M2950">
        <f t="shared" si="185"/>
        <v>2025</v>
      </c>
      <c r="N2950">
        <f t="shared" si="186"/>
        <v>74004</v>
      </c>
      <c r="O2950" t="str">
        <f t="shared" si="187"/>
        <v>Minor Delay</v>
      </c>
    </row>
    <row r="2951" spans="1:15" x14ac:dyDescent="0.25">
      <c r="A2951">
        <v>2950</v>
      </c>
      <c r="B2951" s="2">
        <v>45847</v>
      </c>
      <c r="C2951" t="s">
        <v>31</v>
      </c>
      <c r="D2951" t="s">
        <v>13</v>
      </c>
      <c r="E2951" t="s">
        <v>22</v>
      </c>
      <c r="F2951" t="s">
        <v>21</v>
      </c>
      <c r="G2951">
        <v>245</v>
      </c>
      <c r="H2951">
        <v>587.03</v>
      </c>
      <c r="I2951">
        <v>27</v>
      </c>
      <c r="J2951" t="s">
        <v>15</v>
      </c>
      <c r="K2951">
        <v>143822.35</v>
      </c>
      <c r="L2951" t="str">
        <f t="shared" si="184"/>
        <v>Jul</v>
      </c>
      <c r="M2951">
        <f t="shared" si="185"/>
        <v>2025</v>
      </c>
      <c r="N2951">
        <f t="shared" si="186"/>
        <v>143822.35</v>
      </c>
      <c r="O2951" t="str">
        <f t="shared" si="187"/>
        <v>Minor Delay</v>
      </c>
    </row>
    <row r="2952" spans="1:15" x14ac:dyDescent="0.25">
      <c r="A2952">
        <v>2951</v>
      </c>
      <c r="B2952" s="2">
        <v>45916</v>
      </c>
      <c r="C2952" t="s">
        <v>26</v>
      </c>
      <c r="D2952" t="s">
        <v>17</v>
      </c>
      <c r="E2952" t="s">
        <v>19</v>
      </c>
      <c r="F2952" t="s">
        <v>21</v>
      </c>
      <c r="G2952">
        <v>181</v>
      </c>
      <c r="H2952">
        <v>388.04</v>
      </c>
      <c r="I2952">
        <v>21</v>
      </c>
      <c r="J2952" t="s">
        <v>15</v>
      </c>
      <c r="K2952">
        <v>70235.240000000005</v>
      </c>
      <c r="L2952" t="str">
        <f t="shared" si="184"/>
        <v>Sep</v>
      </c>
      <c r="M2952">
        <f t="shared" si="185"/>
        <v>2025</v>
      </c>
      <c r="N2952">
        <f t="shared" si="186"/>
        <v>70235.240000000005</v>
      </c>
      <c r="O2952" t="str">
        <f t="shared" si="187"/>
        <v>Minor Delay</v>
      </c>
    </row>
    <row r="2953" spans="1:15" x14ac:dyDescent="0.25">
      <c r="A2953">
        <v>2952</v>
      </c>
      <c r="B2953" s="2">
        <v>45862</v>
      </c>
      <c r="C2953" t="s">
        <v>16</v>
      </c>
      <c r="D2953" t="s">
        <v>13</v>
      </c>
      <c r="E2953" t="s">
        <v>27</v>
      </c>
      <c r="F2953" t="s">
        <v>14</v>
      </c>
      <c r="G2953">
        <v>110</v>
      </c>
      <c r="H2953">
        <v>499.32</v>
      </c>
      <c r="I2953">
        <v>25</v>
      </c>
      <c r="J2953" t="s">
        <v>15</v>
      </c>
      <c r="K2953">
        <v>54925.2</v>
      </c>
      <c r="L2953" t="str">
        <f t="shared" si="184"/>
        <v>Jul</v>
      </c>
      <c r="M2953">
        <f t="shared" si="185"/>
        <v>2025</v>
      </c>
      <c r="N2953">
        <f t="shared" si="186"/>
        <v>54925.2</v>
      </c>
      <c r="O2953" t="str">
        <f t="shared" si="187"/>
        <v>Minor Delay</v>
      </c>
    </row>
    <row r="2954" spans="1:15" x14ac:dyDescent="0.25">
      <c r="A2954">
        <v>2953</v>
      </c>
      <c r="B2954" s="2">
        <v>45981</v>
      </c>
      <c r="C2954" t="s">
        <v>25</v>
      </c>
      <c r="D2954" t="s">
        <v>29</v>
      </c>
      <c r="E2954" t="s">
        <v>12</v>
      </c>
      <c r="F2954" t="s">
        <v>21</v>
      </c>
      <c r="G2954">
        <v>57</v>
      </c>
      <c r="H2954">
        <v>527.71</v>
      </c>
      <c r="I2954">
        <v>14</v>
      </c>
      <c r="J2954" t="s">
        <v>30</v>
      </c>
      <c r="K2954">
        <v>30079.47</v>
      </c>
      <c r="L2954" t="str">
        <f t="shared" si="184"/>
        <v>Nov</v>
      </c>
      <c r="M2954">
        <f t="shared" si="185"/>
        <v>2025</v>
      </c>
      <c r="N2954">
        <f t="shared" si="186"/>
        <v>30079.47</v>
      </c>
      <c r="O2954" t="str">
        <f t="shared" si="187"/>
        <v>Minor Delay</v>
      </c>
    </row>
    <row r="2955" spans="1:15" x14ac:dyDescent="0.25">
      <c r="A2955">
        <v>2954</v>
      </c>
      <c r="B2955" s="2">
        <v>45737</v>
      </c>
      <c r="C2955" t="s">
        <v>31</v>
      </c>
      <c r="D2955" t="s">
        <v>27</v>
      </c>
      <c r="E2955" t="s">
        <v>12</v>
      </c>
      <c r="F2955" t="s">
        <v>21</v>
      </c>
      <c r="G2955">
        <v>252</v>
      </c>
      <c r="H2955">
        <v>459.62</v>
      </c>
      <c r="I2955">
        <v>29</v>
      </c>
      <c r="J2955" t="s">
        <v>15</v>
      </c>
      <c r="K2955">
        <v>115824.24</v>
      </c>
      <c r="L2955" t="str">
        <f t="shared" si="184"/>
        <v>Mar</v>
      </c>
      <c r="M2955">
        <f t="shared" si="185"/>
        <v>2025</v>
      </c>
      <c r="N2955">
        <f t="shared" si="186"/>
        <v>115824.24</v>
      </c>
      <c r="O2955" t="str">
        <f t="shared" si="187"/>
        <v>Minor Delay</v>
      </c>
    </row>
    <row r="2956" spans="1:15" x14ac:dyDescent="0.25">
      <c r="A2956">
        <v>2955</v>
      </c>
      <c r="B2956" s="2">
        <v>45671</v>
      </c>
      <c r="C2956" t="s">
        <v>25</v>
      </c>
      <c r="D2956" t="s">
        <v>12</v>
      </c>
      <c r="E2956" t="s">
        <v>19</v>
      </c>
      <c r="F2956" t="s">
        <v>24</v>
      </c>
      <c r="G2956">
        <v>51</v>
      </c>
      <c r="H2956">
        <v>737.4</v>
      </c>
      <c r="I2956">
        <v>0</v>
      </c>
      <c r="J2956" t="s">
        <v>30</v>
      </c>
      <c r="K2956">
        <v>37607.4</v>
      </c>
      <c r="L2956" t="str">
        <f t="shared" si="184"/>
        <v>Jan</v>
      </c>
      <c r="M2956">
        <f t="shared" si="185"/>
        <v>2025</v>
      </c>
      <c r="N2956">
        <f t="shared" si="186"/>
        <v>37607.4</v>
      </c>
      <c r="O2956" t="str">
        <f t="shared" si="187"/>
        <v>On Time</v>
      </c>
    </row>
    <row r="2957" spans="1:15" x14ac:dyDescent="0.25">
      <c r="A2957">
        <v>2956</v>
      </c>
      <c r="B2957" s="2">
        <v>45682</v>
      </c>
      <c r="C2957" t="s">
        <v>18</v>
      </c>
      <c r="D2957" t="s">
        <v>13</v>
      </c>
      <c r="E2957" t="s">
        <v>29</v>
      </c>
      <c r="F2957" t="s">
        <v>21</v>
      </c>
      <c r="G2957">
        <v>83</v>
      </c>
      <c r="H2957">
        <v>222.39</v>
      </c>
      <c r="I2957">
        <v>47</v>
      </c>
      <c r="J2957" t="s">
        <v>15</v>
      </c>
      <c r="K2957">
        <v>18458.37</v>
      </c>
      <c r="L2957" t="str">
        <f t="shared" si="184"/>
        <v>Jan</v>
      </c>
      <c r="M2957">
        <f t="shared" si="185"/>
        <v>2025</v>
      </c>
      <c r="N2957">
        <f t="shared" si="186"/>
        <v>18458.37</v>
      </c>
      <c r="O2957" t="str">
        <f t="shared" si="187"/>
        <v>Moderate Delay</v>
      </c>
    </row>
    <row r="2958" spans="1:15" x14ac:dyDescent="0.25">
      <c r="A2958">
        <v>2957</v>
      </c>
      <c r="B2958" s="2">
        <v>45856</v>
      </c>
      <c r="C2958" t="s">
        <v>31</v>
      </c>
      <c r="D2958" t="s">
        <v>27</v>
      </c>
      <c r="E2958" t="s">
        <v>29</v>
      </c>
      <c r="F2958" t="s">
        <v>21</v>
      </c>
      <c r="G2958">
        <v>278</v>
      </c>
      <c r="H2958">
        <v>230.92</v>
      </c>
      <c r="I2958">
        <v>13</v>
      </c>
      <c r="J2958" t="s">
        <v>15</v>
      </c>
      <c r="K2958">
        <v>64195.76</v>
      </c>
      <c r="L2958" t="str">
        <f t="shared" si="184"/>
        <v>Jul</v>
      </c>
      <c r="M2958">
        <f t="shared" si="185"/>
        <v>2025</v>
      </c>
      <c r="N2958">
        <f t="shared" si="186"/>
        <v>64195.759999999995</v>
      </c>
      <c r="O2958" t="str">
        <f t="shared" si="187"/>
        <v>Minor Delay</v>
      </c>
    </row>
    <row r="2959" spans="1:15" x14ac:dyDescent="0.25">
      <c r="A2959">
        <v>2958</v>
      </c>
      <c r="B2959" s="2">
        <v>45969</v>
      </c>
      <c r="C2959" t="s">
        <v>18</v>
      </c>
      <c r="D2959" t="s">
        <v>17</v>
      </c>
      <c r="E2959" t="s">
        <v>23</v>
      </c>
      <c r="F2959" t="s">
        <v>14</v>
      </c>
      <c r="G2959">
        <v>112</v>
      </c>
      <c r="H2959">
        <v>588.25</v>
      </c>
      <c r="I2959">
        <v>58</v>
      </c>
      <c r="J2959" t="s">
        <v>15</v>
      </c>
      <c r="K2959">
        <v>65884</v>
      </c>
      <c r="L2959" t="str">
        <f t="shared" si="184"/>
        <v>Nov</v>
      </c>
      <c r="M2959">
        <f t="shared" si="185"/>
        <v>2025</v>
      </c>
      <c r="N2959">
        <f t="shared" si="186"/>
        <v>65884</v>
      </c>
      <c r="O2959" t="str">
        <f t="shared" si="187"/>
        <v>Moderate Delay</v>
      </c>
    </row>
    <row r="2960" spans="1:15" x14ac:dyDescent="0.25">
      <c r="A2960">
        <v>2959</v>
      </c>
      <c r="B2960" s="2">
        <v>45893</v>
      </c>
      <c r="C2960" t="s">
        <v>31</v>
      </c>
      <c r="D2960" t="s">
        <v>20</v>
      </c>
      <c r="E2960" t="s">
        <v>22</v>
      </c>
      <c r="F2960" t="s">
        <v>21</v>
      </c>
      <c r="G2960">
        <v>155</v>
      </c>
      <c r="H2960">
        <v>698.07</v>
      </c>
      <c r="I2960">
        <v>30</v>
      </c>
      <c r="J2960" t="s">
        <v>28</v>
      </c>
      <c r="K2960">
        <v>108200.85</v>
      </c>
      <c r="L2960" t="str">
        <f t="shared" si="184"/>
        <v>Aug</v>
      </c>
      <c r="M2960">
        <f t="shared" si="185"/>
        <v>2025</v>
      </c>
      <c r="N2960">
        <f t="shared" si="186"/>
        <v>108200.85</v>
      </c>
      <c r="O2960" t="str">
        <f t="shared" si="187"/>
        <v>Minor Delay</v>
      </c>
    </row>
    <row r="2961" spans="1:15" x14ac:dyDescent="0.25">
      <c r="A2961">
        <v>2960</v>
      </c>
      <c r="B2961" s="2">
        <v>45839</v>
      </c>
      <c r="C2961" t="s">
        <v>25</v>
      </c>
      <c r="D2961" t="s">
        <v>19</v>
      </c>
      <c r="E2961" t="s">
        <v>17</v>
      </c>
      <c r="F2961" t="s">
        <v>24</v>
      </c>
      <c r="G2961">
        <v>53</v>
      </c>
      <c r="H2961">
        <v>652.27</v>
      </c>
      <c r="I2961">
        <v>0</v>
      </c>
      <c r="J2961" t="s">
        <v>15</v>
      </c>
      <c r="K2961">
        <v>34570.31</v>
      </c>
      <c r="L2961" t="str">
        <f t="shared" si="184"/>
        <v>Jul</v>
      </c>
      <c r="M2961">
        <f t="shared" si="185"/>
        <v>2025</v>
      </c>
      <c r="N2961">
        <f t="shared" si="186"/>
        <v>34570.31</v>
      </c>
      <c r="O2961" t="str">
        <f t="shared" si="187"/>
        <v>On Time</v>
      </c>
    </row>
    <row r="2962" spans="1:15" x14ac:dyDescent="0.25">
      <c r="A2962">
        <v>2961</v>
      </c>
      <c r="B2962" s="2">
        <v>45994</v>
      </c>
      <c r="C2962" t="s">
        <v>11</v>
      </c>
      <c r="D2962" t="s">
        <v>12</v>
      </c>
      <c r="E2962" t="s">
        <v>19</v>
      </c>
      <c r="F2962" t="s">
        <v>14</v>
      </c>
      <c r="G2962">
        <v>132</v>
      </c>
      <c r="H2962">
        <v>303.66000000000003</v>
      </c>
      <c r="I2962">
        <v>0</v>
      </c>
      <c r="J2962" t="s">
        <v>15</v>
      </c>
      <c r="K2962">
        <v>40083.120000000003</v>
      </c>
      <c r="L2962" t="str">
        <f t="shared" si="184"/>
        <v>Dec</v>
      </c>
      <c r="M2962">
        <f t="shared" si="185"/>
        <v>2025</v>
      </c>
      <c r="N2962">
        <f t="shared" si="186"/>
        <v>40083.120000000003</v>
      </c>
      <c r="O2962" t="str">
        <f t="shared" si="187"/>
        <v>On Time</v>
      </c>
    </row>
    <row r="2963" spans="1:15" x14ac:dyDescent="0.25">
      <c r="A2963">
        <v>2962</v>
      </c>
      <c r="B2963" s="2">
        <v>45841</v>
      </c>
      <c r="C2963" t="s">
        <v>11</v>
      </c>
      <c r="D2963" t="s">
        <v>20</v>
      </c>
      <c r="E2963" t="s">
        <v>13</v>
      </c>
      <c r="F2963" t="s">
        <v>21</v>
      </c>
      <c r="G2963">
        <v>73</v>
      </c>
      <c r="H2963">
        <v>448.35</v>
      </c>
      <c r="I2963">
        <v>0</v>
      </c>
      <c r="J2963" t="s">
        <v>15</v>
      </c>
      <c r="K2963">
        <v>32729.55</v>
      </c>
      <c r="L2963" t="str">
        <f t="shared" si="184"/>
        <v>Jul</v>
      </c>
      <c r="M2963">
        <f t="shared" si="185"/>
        <v>2025</v>
      </c>
      <c r="N2963">
        <f t="shared" si="186"/>
        <v>32729.550000000003</v>
      </c>
      <c r="O2963" t="str">
        <f t="shared" si="187"/>
        <v>On Time</v>
      </c>
    </row>
    <row r="2964" spans="1:15" x14ac:dyDescent="0.25">
      <c r="A2964">
        <v>2963</v>
      </c>
      <c r="B2964" s="2">
        <v>46021</v>
      </c>
      <c r="C2964" t="s">
        <v>26</v>
      </c>
      <c r="D2964" t="s">
        <v>19</v>
      </c>
      <c r="E2964" t="s">
        <v>22</v>
      </c>
      <c r="F2964" t="s">
        <v>24</v>
      </c>
      <c r="G2964">
        <v>61</v>
      </c>
      <c r="H2964">
        <v>290.27</v>
      </c>
      <c r="I2964">
        <v>50</v>
      </c>
      <c r="J2964" t="s">
        <v>15</v>
      </c>
      <c r="K2964">
        <v>17706.47</v>
      </c>
      <c r="L2964" t="str">
        <f t="shared" si="184"/>
        <v>Dec</v>
      </c>
      <c r="M2964">
        <f t="shared" si="185"/>
        <v>2025</v>
      </c>
      <c r="N2964">
        <f t="shared" si="186"/>
        <v>17706.469999999998</v>
      </c>
      <c r="O2964" t="str">
        <f t="shared" si="187"/>
        <v>Moderate Delay</v>
      </c>
    </row>
    <row r="2965" spans="1:15" x14ac:dyDescent="0.25">
      <c r="A2965">
        <v>2964</v>
      </c>
      <c r="B2965" s="2">
        <v>45690</v>
      </c>
      <c r="C2965" t="s">
        <v>26</v>
      </c>
      <c r="D2965" t="s">
        <v>12</v>
      </c>
      <c r="E2965" t="s">
        <v>22</v>
      </c>
      <c r="F2965" t="s">
        <v>24</v>
      </c>
      <c r="G2965">
        <v>293</v>
      </c>
      <c r="H2965">
        <v>98.04</v>
      </c>
      <c r="I2965">
        <v>16</v>
      </c>
      <c r="J2965" t="s">
        <v>30</v>
      </c>
      <c r="K2965">
        <v>28725.72</v>
      </c>
      <c r="L2965" t="str">
        <f t="shared" si="184"/>
        <v>Feb</v>
      </c>
      <c r="M2965">
        <f t="shared" si="185"/>
        <v>2025</v>
      </c>
      <c r="N2965">
        <f t="shared" si="186"/>
        <v>28725.72</v>
      </c>
      <c r="O2965" t="str">
        <f t="shared" si="187"/>
        <v>Minor Delay</v>
      </c>
    </row>
    <row r="2966" spans="1:15" x14ac:dyDescent="0.25">
      <c r="A2966">
        <v>2965</v>
      </c>
      <c r="B2966" s="2">
        <v>45774</v>
      </c>
      <c r="C2966" t="s">
        <v>25</v>
      </c>
      <c r="D2966" t="s">
        <v>12</v>
      </c>
      <c r="E2966" t="s">
        <v>19</v>
      </c>
      <c r="F2966" t="s">
        <v>24</v>
      </c>
      <c r="G2966">
        <v>267</v>
      </c>
      <c r="H2966">
        <v>96.42</v>
      </c>
      <c r="I2966">
        <v>0</v>
      </c>
      <c r="J2966" t="s">
        <v>15</v>
      </c>
      <c r="K2966">
        <v>25744.14</v>
      </c>
      <c r="L2966" t="str">
        <f t="shared" si="184"/>
        <v>Apr</v>
      </c>
      <c r="M2966">
        <f t="shared" si="185"/>
        <v>2025</v>
      </c>
      <c r="N2966">
        <f t="shared" si="186"/>
        <v>25744.14</v>
      </c>
      <c r="O2966" t="str">
        <f t="shared" si="187"/>
        <v>On Time</v>
      </c>
    </row>
    <row r="2967" spans="1:15" x14ac:dyDescent="0.25">
      <c r="A2967">
        <v>2966</v>
      </c>
      <c r="B2967" s="2">
        <v>45677</v>
      </c>
      <c r="C2967" t="s">
        <v>31</v>
      </c>
      <c r="D2967" t="s">
        <v>17</v>
      </c>
      <c r="E2967" t="s">
        <v>12</v>
      </c>
      <c r="F2967" t="s">
        <v>21</v>
      </c>
      <c r="G2967">
        <v>162</v>
      </c>
      <c r="H2967">
        <v>709.97</v>
      </c>
      <c r="I2967">
        <v>64</v>
      </c>
      <c r="J2967" t="s">
        <v>15</v>
      </c>
      <c r="K2967">
        <v>115015.14</v>
      </c>
      <c r="L2967" t="str">
        <f t="shared" si="184"/>
        <v>Jan</v>
      </c>
      <c r="M2967">
        <f t="shared" si="185"/>
        <v>2025</v>
      </c>
      <c r="N2967">
        <f t="shared" si="186"/>
        <v>115015.14</v>
      </c>
      <c r="O2967" t="str">
        <f t="shared" si="187"/>
        <v>Major Delay</v>
      </c>
    </row>
    <row r="2968" spans="1:15" x14ac:dyDescent="0.25">
      <c r="A2968">
        <v>2967</v>
      </c>
      <c r="B2968" s="2">
        <v>45730</v>
      </c>
      <c r="C2968" t="s">
        <v>11</v>
      </c>
      <c r="D2968" t="s">
        <v>20</v>
      </c>
      <c r="E2968" t="s">
        <v>13</v>
      </c>
      <c r="F2968" t="s">
        <v>21</v>
      </c>
      <c r="G2968">
        <v>299</v>
      </c>
      <c r="H2968">
        <v>283.89</v>
      </c>
      <c r="I2968">
        <v>23</v>
      </c>
      <c r="J2968" t="s">
        <v>15</v>
      </c>
      <c r="K2968">
        <v>84883.11</v>
      </c>
      <c r="L2968" t="str">
        <f t="shared" si="184"/>
        <v>Mar</v>
      </c>
      <c r="M2968">
        <f t="shared" si="185"/>
        <v>2025</v>
      </c>
      <c r="N2968">
        <f t="shared" si="186"/>
        <v>84883.11</v>
      </c>
      <c r="O2968" t="str">
        <f t="shared" si="187"/>
        <v>Minor Delay</v>
      </c>
    </row>
    <row r="2969" spans="1:15" x14ac:dyDescent="0.25">
      <c r="A2969">
        <v>2968</v>
      </c>
      <c r="B2969" s="2">
        <v>45868</v>
      </c>
      <c r="C2969" t="s">
        <v>18</v>
      </c>
      <c r="D2969" t="s">
        <v>23</v>
      </c>
      <c r="E2969" t="s">
        <v>22</v>
      </c>
      <c r="F2969" t="s">
        <v>21</v>
      </c>
      <c r="G2969">
        <v>257</v>
      </c>
      <c r="H2969">
        <v>277.14999999999998</v>
      </c>
      <c r="I2969">
        <v>0</v>
      </c>
      <c r="J2969" t="s">
        <v>30</v>
      </c>
      <c r="K2969">
        <v>71227.55</v>
      </c>
      <c r="L2969" t="str">
        <f t="shared" si="184"/>
        <v>Jul</v>
      </c>
      <c r="M2969">
        <f t="shared" si="185"/>
        <v>2025</v>
      </c>
      <c r="N2969">
        <f t="shared" si="186"/>
        <v>71227.549999999988</v>
      </c>
      <c r="O2969" t="str">
        <f t="shared" si="187"/>
        <v>On Time</v>
      </c>
    </row>
    <row r="2970" spans="1:15" x14ac:dyDescent="0.25">
      <c r="A2970">
        <v>2969</v>
      </c>
      <c r="B2970" s="2">
        <v>45876</v>
      </c>
      <c r="C2970" t="s">
        <v>26</v>
      </c>
      <c r="D2970" t="s">
        <v>19</v>
      </c>
      <c r="E2970" t="s">
        <v>20</v>
      </c>
      <c r="F2970" t="s">
        <v>14</v>
      </c>
      <c r="G2970">
        <v>66</v>
      </c>
      <c r="H2970">
        <v>379.68</v>
      </c>
      <c r="I2970">
        <v>51</v>
      </c>
      <c r="J2970" t="s">
        <v>15</v>
      </c>
      <c r="K2970">
        <v>25058.880000000001</v>
      </c>
      <c r="L2970" t="str">
        <f t="shared" si="184"/>
        <v>Aug</v>
      </c>
      <c r="M2970">
        <f t="shared" si="185"/>
        <v>2025</v>
      </c>
      <c r="N2970">
        <f t="shared" si="186"/>
        <v>25058.880000000001</v>
      </c>
      <c r="O2970" t="str">
        <f t="shared" si="187"/>
        <v>Moderate Delay</v>
      </c>
    </row>
    <row r="2971" spans="1:15" x14ac:dyDescent="0.25">
      <c r="A2971">
        <v>2970</v>
      </c>
      <c r="B2971" s="2">
        <v>45718</v>
      </c>
      <c r="C2971" t="s">
        <v>26</v>
      </c>
      <c r="D2971" t="s">
        <v>20</v>
      </c>
      <c r="E2971" t="s">
        <v>19</v>
      </c>
      <c r="F2971" t="s">
        <v>21</v>
      </c>
      <c r="G2971">
        <v>291</v>
      </c>
      <c r="H2971">
        <v>428.68</v>
      </c>
      <c r="I2971">
        <v>6</v>
      </c>
      <c r="J2971" t="s">
        <v>15</v>
      </c>
      <c r="K2971">
        <v>124745.88</v>
      </c>
      <c r="L2971" t="str">
        <f t="shared" si="184"/>
        <v>Mar</v>
      </c>
      <c r="M2971">
        <f t="shared" si="185"/>
        <v>2025</v>
      </c>
      <c r="N2971">
        <f t="shared" si="186"/>
        <v>124745.88</v>
      </c>
      <c r="O2971" t="str">
        <f t="shared" si="187"/>
        <v>Minor Delay</v>
      </c>
    </row>
    <row r="2972" spans="1:15" x14ac:dyDescent="0.25">
      <c r="A2972">
        <v>2971</v>
      </c>
      <c r="B2972" s="2">
        <v>45997</v>
      </c>
      <c r="C2972" t="s">
        <v>18</v>
      </c>
      <c r="D2972" t="s">
        <v>29</v>
      </c>
      <c r="E2972" t="s">
        <v>19</v>
      </c>
      <c r="F2972" t="s">
        <v>14</v>
      </c>
      <c r="G2972">
        <v>76</v>
      </c>
      <c r="H2972">
        <v>436.69</v>
      </c>
      <c r="I2972">
        <v>61</v>
      </c>
      <c r="J2972" t="s">
        <v>15</v>
      </c>
      <c r="K2972">
        <v>33188.44</v>
      </c>
      <c r="L2972" t="str">
        <f t="shared" si="184"/>
        <v>Dec</v>
      </c>
      <c r="M2972">
        <f t="shared" si="185"/>
        <v>2025</v>
      </c>
      <c r="N2972">
        <f t="shared" si="186"/>
        <v>33188.44</v>
      </c>
      <c r="O2972" t="str">
        <f t="shared" si="187"/>
        <v>Major Delay</v>
      </c>
    </row>
    <row r="2973" spans="1:15" x14ac:dyDescent="0.25">
      <c r="A2973">
        <v>2972</v>
      </c>
      <c r="B2973" s="2">
        <v>45947</v>
      </c>
      <c r="C2973" t="s">
        <v>16</v>
      </c>
      <c r="D2973" t="s">
        <v>13</v>
      </c>
      <c r="E2973" t="s">
        <v>19</v>
      </c>
      <c r="F2973" t="s">
        <v>24</v>
      </c>
      <c r="G2973">
        <v>193</v>
      </c>
      <c r="H2973">
        <v>332.53</v>
      </c>
      <c r="I2973">
        <v>9</v>
      </c>
      <c r="J2973" t="s">
        <v>15</v>
      </c>
      <c r="K2973">
        <v>64178.29</v>
      </c>
      <c r="L2973" t="str">
        <f t="shared" si="184"/>
        <v>Oct</v>
      </c>
      <c r="M2973">
        <f t="shared" si="185"/>
        <v>2025</v>
      </c>
      <c r="N2973">
        <f t="shared" si="186"/>
        <v>64178.289999999994</v>
      </c>
      <c r="O2973" t="str">
        <f t="shared" si="187"/>
        <v>Minor Delay</v>
      </c>
    </row>
    <row r="2974" spans="1:15" x14ac:dyDescent="0.25">
      <c r="A2974">
        <v>2973</v>
      </c>
      <c r="B2974" s="2">
        <v>45774</v>
      </c>
      <c r="C2974" t="s">
        <v>11</v>
      </c>
      <c r="D2974" t="s">
        <v>23</v>
      </c>
      <c r="E2974" t="s">
        <v>29</v>
      </c>
      <c r="F2974" t="s">
        <v>14</v>
      </c>
      <c r="G2974">
        <v>126</v>
      </c>
      <c r="H2974">
        <v>126.95</v>
      </c>
      <c r="I2974">
        <v>44</v>
      </c>
      <c r="J2974" t="s">
        <v>15</v>
      </c>
      <c r="K2974">
        <v>15995.7</v>
      </c>
      <c r="L2974" t="str">
        <f t="shared" si="184"/>
        <v>Apr</v>
      </c>
      <c r="M2974">
        <f t="shared" si="185"/>
        <v>2025</v>
      </c>
      <c r="N2974">
        <f t="shared" si="186"/>
        <v>15995.7</v>
      </c>
      <c r="O2974" t="str">
        <f t="shared" si="187"/>
        <v>Moderate Delay</v>
      </c>
    </row>
    <row r="2975" spans="1:15" x14ac:dyDescent="0.25">
      <c r="A2975">
        <v>2974</v>
      </c>
      <c r="B2975" s="2">
        <v>45933</v>
      </c>
      <c r="C2975" t="s">
        <v>11</v>
      </c>
      <c r="D2975" t="s">
        <v>22</v>
      </c>
      <c r="E2975" t="s">
        <v>23</v>
      </c>
      <c r="F2975" t="s">
        <v>21</v>
      </c>
      <c r="G2975">
        <v>160</v>
      </c>
      <c r="H2975">
        <v>649.85</v>
      </c>
      <c r="I2975">
        <v>0</v>
      </c>
      <c r="J2975" t="s">
        <v>15</v>
      </c>
      <c r="K2975">
        <v>103976</v>
      </c>
      <c r="L2975" t="str">
        <f t="shared" si="184"/>
        <v>Oct</v>
      </c>
      <c r="M2975">
        <f t="shared" si="185"/>
        <v>2025</v>
      </c>
      <c r="N2975">
        <f t="shared" si="186"/>
        <v>103976</v>
      </c>
      <c r="O2975" t="str">
        <f t="shared" si="187"/>
        <v>On Time</v>
      </c>
    </row>
    <row r="2976" spans="1:15" x14ac:dyDescent="0.25">
      <c r="A2976">
        <v>2975</v>
      </c>
      <c r="B2976" s="2">
        <v>45811</v>
      </c>
      <c r="C2976" t="s">
        <v>26</v>
      </c>
      <c r="D2976" t="s">
        <v>20</v>
      </c>
      <c r="E2976" t="s">
        <v>19</v>
      </c>
      <c r="F2976" t="s">
        <v>24</v>
      </c>
      <c r="G2976">
        <v>266</v>
      </c>
      <c r="H2976">
        <v>408.5</v>
      </c>
      <c r="I2976">
        <v>19</v>
      </c>
      <c r="J2976" t="s">
        <v>15</v>
      </c>
      <c r="K2976">
        <v>108661</v>
      </c>
      <c r="L2976" t="str">
        <f t="shared" si="184"/>
        <v>Jun</v>
      </c>
      <c r="M2976">
        <f t="shared" si="185"/>
        <v>2025</v>
      </c>
      <c r="N2976">
        <f t="shared" si="186"/>
        <v>108661</v>
      </c>
      <c r="O2976" t="str">
        <f t="shared" si="187"/>
        <v>Minor Delay</v>
      </c>
    </row>
    <row r="2977" spans="1:15" x14ac:dyDescent="0.25">
      <c r="A2977">
        <v>2976</v>
      </c>
      <c r="B2977" s="2">
        <v>45990</v>
      </c>
      <c r="C2977" t="s">
        <v>16</v>
      </c>
      <c r="D2977" t="s">
        <v>22</v>
      </c>
      <c r="E2977" t="s">
        <v>23</v>
      </c>
      <c r="F2977" t="s">
        <v>21</v>
      </c>
      <c r="G2977">
        <v>174</v>
      </c>
      <c r="H2977">
        <v>258.12</v>
      </c>
      <c r="I2977">
        <v>35</v>
      </c>
      <c r="J2977" t="s">
        <v>30</v>
      </c>
      <c r="K2977">
        <v>44912.88</v>
      </c>
      <c r="L2977" t="str">
        <f t="shared" si="184"/>
        <v>Nov</v>
      </c>
      <c r="M2977">
        <f t="shared" si="185"/>
        <v>2025</v>
      </c>
      <c r="N2977">
        <f t="shared" si="186"/>
        <v>44912.88</v>
      </c>
      <c r="O2977" t="str">
        <f t="shared" si="187"/>
        <v>Moderate Delay</v>
      </c>
    </row>
    <row r="2978" spans="1:15" x14ac:dyDescent="0.25">
      <c r="A2978">
        <v>2977</v>
      </c>
      <c r="B2978" s="2">
        <v>45690</v>
      </c>
      <c r="C2978" t="s">
        <v>18</v>
      </c>
      <c r="D2978" t="s">
        <v>12</v>
      </c>
      <c r="E2978" t="s">
        <v>20</v>
      </c>
      <c r="F2978" t="s">
        <v>14</v>
      </c>
      <c r="G2978">
        <v>136</v>
      </c>
      <c r="H2978">
        <v>69.709999999999994</v>
      </c>
      <c r="I2978">
        <v>27</v>
      </c>
      <c r="J2978" t="s">
        <v>15</v>
      </c>
      <c r="K2978">
        <v>9480.56</v>
      </c>
      <c r="L2978" t="str">
        <f t="shared" si="184"/>
        <v>Feb</v>
      </c>
      <c r="M2978">
        <f t="shared" si="185"/>
        <v>2025</v>
      </c>
      <c r="N2978">
        <f t="shared" si="186"/>
        <v>9480.56</v>
      </c>
      <c r="O2978" t="str">
        <f t="shared" si="187"/>
        <v>Minor Delay</v>
      </c>
    </row>
    <row r="2979" spans="1:15" x14ac:dyDescent="0.25">
      <c r="A2979">
        <v>2978</v>
      </c>
      <c r="B2979" s="2">
        <v>45947</v>
      </c>
      <c r="C2979" t="s">
        <v>31</v>
      </c>
      <c r="D2979" t="s">
        <v>12</v>
      </c>
      <c r="E2979" t="s">
        <v>20</v>
      </c>
      <c r="F2979" t="s">
        <v>14</v>
      </c>
      <c r="G2979">
        <v>215</v>
      </c>
      <c r="H2979">
        <v>677.26</v>
      </c>
      <c r="I2979">
        <v>32</v>
      </c>
      <c r="J2979" t="s">
        <v>15</v>
      </c>
      <c r="K2979">
        <v>145610.9</v>
      </c>
      <c r="L2979" t="str">
        <f t="shared" si="184"/>
        <v>Oct</v>
      </c>
      <c r="M2979">
        <f t="shared" si="185"/>
        <v>2025</v>
      </c>
      <c r="N2979">
        <f t="shared" si="186"/>
        <v>145610.9</v>
      </c>
      <c r="O2979" t="str">
        <f t="shared" si="187"/>
        <v>Moderate Delay</v>
      </c>
    </row>
    <row r="2980" spans="1:15" x14ac:dyDescent="0.25">
      <c r="A2980">
        <v>2979</v>
      </c>
      <c r="B2980" s="2">
        <v>45811</v>
      </c>
      <c r="C2980" t="s">
        <v>26</v>
      </c>
      <c r="D2980" t="s">
        <v>12</v>
      </c>
      <c r="E2980" t="s">
        <v>23</v>
      </c>
      <c r="F2980" t="s">
        <v>21</v>
      </c>
      <c r="G2980">
        <v>172</v>
      </c>
      <c r="H2980">
        <v>346.09</v>
      </c>
      <c r="I2980">
        <v>50</v>
      </c>
      <c r="J2980" t="s">
        <v>15</v>
      </c>
      <c r="K2980">
        <v>59527.48</v>
      </c>
      <c r="L2980" t="str">
        <f t="shared" si="184"/>
        <v>Jun</v>
      </c>
      <c r="M2980">
        <f t="shared" si="185"/>
        <v>2025</v>
      </c>
      <c r="N2980">
        <f t="shared" si="186"/>
        <v>59527.479999999996</v>
      </c>
      <c r="O2980" t="str">
        <f t="shared" si="187"/>
        <v>Moderate Delay</v>
      </c>
    </row>
    <row r="2981" spans="1:15" x14ac:dyDescent="0.25">
      <c r="A2981">
        <v>2980</v>
      </c>
      <c r="B2981" s="2">
        <v>46013</v>
      </c>
      <c r="C2981" t="s">
        <v>18</v>
      </c>
      <c r="D2981" t="s">
        <v>27</v>
      </c>
      <c r="E2981" t="s">
        <v>19</v>
      </c>
      <c r="F2981" t="s">
        <v>24</v>
      </c>
      <c r="G2981">
        <v>123</v>
      </c>
      <c r="H2981">
        <v>79.11</v>
      </c>
      <c r="I2981">
        <v>0</v>
      </c>
      <c r="J2981" t="s">
        <v>28</v>
      </c>
      <c r="K2981">
        <v>9730.5300000000007</v>
      </c>
      <c r="L2981" t="str">
        <f t="shared" si="184"/>
        <v>Dec</v>
      </c>
      <c r="M2981">
        <f t="shared" si="185"/>
        <v>2025</v>
      </c>
      <c r="N2981">
        <f t="shared" si="186"/>
        <v>9730.5300000000007</v>
      </c>
      <c r="O2981" t="str">
        <f t="shared" si="187"/>
        <v>On Time</v>
      </c>
    </row>
    <row r="2982" spans="1:15" x14ac:dyDescent="0.25">
      <c r="A2982">
        <v>2981</v>
      </c>
      <c r="B2982" s="2">
        <v>45805</v>
      </c>
      <c r="C2982" t="s">
        <v>25</v>
      </c>
      <c r="D2982" t="s">
        <v>29</v>
      </c>
      <c r="E2982" t="s">
        <v>20</v>
      </c>
      <c r="F2982" t="s">
        <v>21</v>
      </c>
      <c r="G2982">
        <v>111</v>
      </c>
      <c r="H2982">
        <v>778.61</v>
      </c>
      <c r="I2982">
        <v>20</v>
      </c>
      <c r="J2982" t="s">
        <v>15</v>
      </c>
      <c r="K2982">
        <v>86425.71</v>
      </c>
      <c r="L2982" t="str">
        <f t="shared" si="184"/>
        <v>May</v>
      </c>
      <c r="M2982">
        <f t="shared" si="185"/>
        <v>2025</v>
      </c>
      <c r="N2982">
        <f t="shared" si="186"/>
        <v>86425.71</v>
      </c>
      <c r="O2982" t="str">
        <f t="shared" si="187"/>
        <v>Minor Delay</v>
      </c>
    </row>
    <row r="2983" spans="1:15" x14ac:dyDescent="0.25">
      <c r="A2983">
        <v>2982</v>
      </c>
      <c r="B2983" s="2">
        <v>45952</v>
      </c>
      <c r="C2983" t="s">
        <v>25</v>
      </c>
      <c r="D2983" t="s">
        <v>22</v>
      </c>
      <c r="E2983" t="s">
        <v>13</v>
      </c>
      <c r="F2983" t="s">
        <v>21</v>
      </c>
      <c r="G2983">
        <v>199</v>
      </c>
      <c r="H2983">
        <v>344.51</v>
      </c>
      <c r="I2983">
        <v>14</v>
      </c>
      <c r="J2983" t="s">
        <v>30</v>
      </c>
      <c r="K2983">
        <v>68557.490000000005</v>
      </c>
      <c r="L2983" t="str">
        <f t="shared" si="184"/>
        <v>Oct</v>
      </c>
      <c r="M2983">
        <f t="shared" si="185"/>
        <v>2025</v>
      </c>
      <c r="N2983">
        <f t="shared" si="186"/>
        <v>68557.490000000005</v>
      </c>
      <c r="O2983" t="str">
        <f t="shared" si="187"/>
        <v>Minor Delay</v>
      </c>
    </row>
    <row r="2984" spans="1:15" x14ac:dyDescent="0.25">
      <c r="A2984">
        <v>2983</v>
      </c>
      <c r="B2984" s="2">
        <v>45870</v>
      </c>
      <c r="C2984" t="s">
        <v>18</v>
      </c>
      <c r="D2984" t="s">
        <v>12</v>
      </c>
      <c r="E2984" t="s">
        <v>23</v>
      </c>
      <c r="F2984" t="s">
        <v>24</v>
      </c>
      <c r="G2984">
        <v>167</v>
      </c>
      <c r="H2984">
        <v>151.1</v>
      </c>
      <c r="I2984">
        <v>18</v>
      </c>
      <c r="J2984" t="s">
        <v>15</v>
      </c>
      <c r="K2984">
        <v>25233.7</v>
      </c>
      <c r="L2984" t="str">
        <f t="shared" si="184"/>
        <v>Aug</v>
      </c>
      <c r="M2984">
        <f t="shared" si="185"/>
        <v>2025</v>
      </c>
      <c r="N2984">
        <f t="shared" si="186"/>
        <v>25233.7</v>
      </c>
      <c r="O2984" t="str">
        <f t="shared" si="187"/>
        <v>Minor Delay</v>
      </c>
    </row>
    <row r="2985" spans="1:15" x14ac:dyDescent="0.25">
      <c r="A2985">
        <v>2984</v>
      </c>
      <c r="B2985" s="2">
        <v>45729</v>
      </c>
      <c r="C2985" t="s">
        <v>26</v>
      </c>
      <c r="D2985" t="s">
        <v>12</v>
      </c>
      <c r="E2985" t="s">
        <v>13</v>
      </c>
      <c r="F2985" t="s">
        <v>21</v>
      </c>
      <c r="G2985">
        <v>150</v>
      </c>
      <c r="H2985">
        <v>737.3</v>
      </c>
      <c r="I2985">
        <v>0</v>
      </c>
      <c r="J2985" t="s">
        <v>15</v>
      </c>
      <c r="K2985">
        <v>110595</v>
      </c>
      <c r="L2985" t="str">
        <f t="shared" si="184"/>
        <v>Mar</v>
      </c>
      <c r="M2985">
        <f t="shared" si="185"/>
        <v>2025</v>
      </c>
      <c r="N2985">
        <f t="shared" si="186"/>
        <v>110595</v>
      </c>
      <c r="O2985" t="str">
        <f t="shared" si="187"/>
        <v>On Time</v>
      </c>
    </row>
    <row r="2986" spans="1:15" x14ac:dyDescent="0.25">
      <c r="A2986">
        <v>2985</v>
      </c>
      <c r="B2986" s="2">
        <v>45723</v>
      </c>
      <c r="C2986" t="s">
        <v>11</v>
      </c>
      <c r="D2986" t="s">
        <v>13</v>
      </c>
      <c r="E2986" t="s">
        <v>19</v>
      </c>
      <c r="F2986" t="s">
        <v>21</v>
      </c>
      <c r="G2986">
        <v>228</v>
      </c>
      <c r="H2986">
        <v>784.35</v>
      </c>
      <c r="I2986">
        <v>16</v>
      </c>
      <c r="J2986" t="s">
        <v>15</v>
      </c>
      <c r="K2986">
        <v>178831.8</v>
      </c>
      <c r="L2986" t="str">
        <f t="shared" si="184"/>
        <v>Mar</v>
      </c>
      <c r="M2986">
        <f t="shared" si="185"/>
        <v>2025</v>
      </c>
      <c r="N2986">
        <f t="shared" si="186"/>
        <v>178831.80000000002</v>
      </c>
      <c r="O2986" t="str">
        <f t="shared" si="187"/>
        <v>Minor Delay</v>
      </c>
    </row>
    <row r="2987" spans="1:15" x14ac:dyDescent="0.25">
      <c r="A2987">
        <v>2986</v>
      </c>
      <c r="B2987" s="2">
        <v>45874</v>
      </c>
      <c r="C2987" t="s">
        <v>31</v>
      </c>
      <c r="D2987" t="s">
        <v>19</v>
      </c>
      <c r="E2987" t="s">
        <v>27</v>
      </c>
      <c r="F2987" t="s">
        <v>14</v>
      </c>
      <c r="G2987">
        <v>278</v>
      </c>
      <c r="H2987">
        <v>371.52</v>
      </c>
      <c r="I2987">
        <v>53</v>
      </c>
      <c r="J2987" t="s">
        <v>15</v>
      </c>
      <c r="K2987">
        <v>103282.56</v>
      </c>
      <c r="L2987" t="str">
        <f t="shared" si="184"/>
        <v>Aug</v>
      </c>
      <c r="M2987">
        <f t="shared" si="185"/>
        <v>2025</v>
      </c>
      <c r="N2987">
        <f t="shared" si="186"/>
        <v>103282.56</v>
      </c>
      <c r="O2987" t="str">
        <f t="shared" si="187"/>
        <v>Moderate Delay</v>
      </c>
    </row>
    <row r="2988" spans="1:15" x14ac:dyDescent="0.25">
      <c r="A2988">
        <v>2987</v>
      </c>
      <c r="B2988" s="2">
        <v>45900</v>
      </c>
      <c r="C2988" t="s">
        <v>18</v>
      </c>
      <c r="D2988" t="s">
        <v>13</v>
      </c>
      <c r="E2988" t="s">
        <v>29</v>
      </c>
      <c r="F2988" t="s">
        <v>21</v>
      </c>
      <c r="G2988">
        <v>68</v>
      </c>
      <c r="H2988">
        <v>302.27</v>
      </c>
      <c r="I2988">
        <v>6</v>
      </c>
      <c r="J2988" t="s">
        <v>15</v>
      </c>
      <c r="K2988">
        <v>20554.36</v>
      </c>
      <c r="L2988" t="str">
        <f t="shared" si="184"/>
        <v>Aug</v>
      </c>
      <c r="M2988">
        <f t="shared" si="185"/>
        <v>2025</v>
      </c>
      <c r="N2988">
        <f t="shared" si="186"/>
        <v>20554.36</v>
      </c>
      <c r="O2988" t="str">
        <f t="shared" si="187"/>
        <v>Minor Delay</v>
      </c>
    </row>
    <row r="2989" spans="1:15" x14ac:dyDescent="0.25">
      <c r="A2989">
        <v>2988</v>
      </c>
      <c r="B2989" s="2">
        <v>45671</v>
      </c>
      <c r="C2989" t="s">
        <v>31</v>
      </c>
      <c r="D2989" t="s">
        <v>23</v>
      </c>
      <c r="E2989" t="s">
        <v>22</v>
      </c>
      <c r="F2989" t="s">
        <v>14</v>
      </c>
      <c r="G2989">
        <v>104</v>
      </c>
      <c r="H2989">
        <v>241.53</v>
      </c>
      <c r="I2989">
        <v>4</v>
      </c>
      <c r="J2989" t="s">
        <v>30</v>
      </c>
      <c r="K2989">
        <v>25119.119999999999</v>
      </c>
      <c r="L2989" t="str">
        <f t="shared" si="184"/>
        <v>Jan</v>
      </c>
      <c r="M2989">
        <f t="shared" si="185"/>
        <v>2025</v>
      </c>
      <c r="N2989">
        <f t="shared" si="186"/>
        <v>25119.119999999999</v>
      </c>
      <c r="O2989" t="str">
        <f t="shared" si="187"/>
        <v>Minor Delay</v>
      </c>
    </row>
    <row r="2990" spans="1:15" x14ac:dyDescent="0.25">
      <c r="A2990">
        <v>2989</v>
      </c>
      <c r="B2990" s="2">
        <v>45813</v>
      </c>
      <c r="C2990" t="s">
        <v>18</v>
      </c>
      <c r="D2990" t="s">
        <v>12</v>
      </c>
      <c r="E2990" t="s">
        <v>27</v>
      </c>
      <c r="F2990" t="s">
        <v>24</v>
      </c>
      <c r="G2990">
        <v>161</v>
      </c>
      <c r="H2990">
        <v>712.44</v>
      </c>
      <c r="I2990">
        <v>48</v>
      </c>
      <c r="J2990" t="s">
        <v>30</v>
      </c>
      <c r="K2990">
        <v>114702.84</v>
      </c>
      <c r="L2990" t="str">
        <f t="shared" si="184"/>
        <v>Jun</v>
      </c>
      <c r="M2990">
        <f t="shared" si="185"/>
        <v>2025</v>
      </c>
      <c r="N2990">
        <f t="shared" si="186"/>
        <v>114702.84000000001</v>
      </c>
      <c r="O2990" t="str">
        <f t="shared" si="187"/>
        <v>Moderate Delay</v>
      </c>
    </row>
    <row r="2991" spans="1:15" x14ac:dyDescent="0.25">
      <c r="A2991">
        <v>2990</v>
      </c>
      <c r="B2991" s="2">
        <v>45784</v>
      </c>
      <c r="C2991" t="s">
        <v>18</v>
      </c>
      <c r="D2991" t="s">
        <v>12</v>
      </c>
      <c r="E2991" t="s">
        <v>20</v>
      </c>
      <c r="F2991" t="s">
        <v>14</v>
      </c>
      <c r="G2991">
        <v>147</v>
      </c>
      <c r="H2991">
        <v>221.46</v>
      </c>
      <c r="I2991">
        <v>55</v>
      </c>
      <c r="J2991" t="s">
        <v>15</v>
      </c>
      <c r="K2991">
        <v>32554.62</v>
      </c>
      <c r="L2991" t="str">
        <f t="shared" si="184"/>
        <v>May</v>
      </c>
      <c r="M2991">
        <f t="shared" si="185"/>
        <v>2025</v>
      </c>
      <c r="N2991">
        <f t="shared" si="186"/>
        <v>32554.620000000003</v>
      </c>
      <c r="O2991" t="str">
        <f t="shared" si="187"/>
        <v>Moderate Delay</v>
      </c>
    </row>
    <row r="2992" spans="1:15" x14ac:dyDescent="0.25">
      <c r="A2992">
        <v>2991</v>
      </c>
      <c r="B2992" s="2">
        <v>45971</v>
      </c>
      <c r="C2992" t="s">
        <v>25</v>
      </c>
      <c r="D2992" t="s">
        <v>22</v>
      </c>
      <c r="E2992" t="s">
        <v>20</v>
      </c>
      <c r="F2992" t="s">
        <v>24</v>
      </c>
      <c r="G2992">
        <v>141</v>
      </c>
      <c r="H2992">
        <v>491.16</v>
      </c>
      <c r="I2992">
        <v>28</v>
      </c>
      <c r="J2992" t="s">
        <v>15</v>
      </c>
      <c r="K2992">
        <v>69253.56</v>
      </c>
      <c r="L2992" t="str">
        <f t="shared" si="184"/>
        <v>Nov</v>
      </c>
      <c r="M2992">
        <f t="shared" si="185"/>
        <v>2025</v>
      </c>
      <c r="N2992">
        <f t="shared" si="186"/>
        <v>69253.56</v>
      </c>
      <c r="O2992" t="str">
        <f t="shared" si="187"/>
        <v>Minor Delay</v>
      </c>
    </row>
    <row r="2993" spans="1:15" x14ac:dyDescent="0.25">
      <c r="A2993">
        <v>2992</v>
      </c>
      <c r="B2993" s="2">
        <v>45705</v>
      </c>
      <c r="C2993" t="s">
        <v>26</v>
      </c>
      <c r="D2993" t="s">
        <v>17</v>
      </c>
      <c r="E2993" t="s">
        <v>23</v>
      </c>
      <c r="F2993" t="s">
        <v>21</v>
      </c>
      <c r="G2993">
        <v>61</v>
      </c>
      <c r="H2993">
        <v>79.48</v>
      </c>
      <c r="I2993">
        <v>33</v>
      </c>
      <c r="J2993" t="s">
        <v>30</v>
      </c>
      <c r="K2993">
        <v>4848.28</v>
      </c>
      <c r="L2993" t="str">
        <f t="shared" si="184"/>
        <v>Feb</v>
      </c>
      <c r="M2993">
        <f t="shared" si="185"/>
        <v>2025</v>
      </c>
      <c r="N2993">
        <f t="shared" si="186"/>
        <v>4848.2800000000007</v>
      </c>
      <c r="O2993" t="str">
        <f t="shared" si="187"/>
        <v>Moderate Delay</v>
      </c>
    </row>
    <row r="2994" spans="1:15" x14ac:dyDescent="0.25">
      <c r="A2994">
        <v>2993</v>
      </c>
      <c r="B2994" s="2">
        <v>45659</v>
      </c>
      <c r="C2994" t="s">
        <v>11</v>
      </c>
      <c r="D2994" t="s">
        <v>27</v>
      </c>
      <c r="E2994" t="s">
        <v>22</v>
      </c>
      <c r="F2994" t="s">
        <v>21</v>
      </c>
      <c r="G2994">
        <v>255</v>
      </c>
      <c r="H2994">
        <v>307.55</v>
      </c>
      <c r="I2994">
        <v>56</v>
      </c>
      <c r="J2994" t="s">
        <v>15</v>
      </c>
      <c r="K2994">
        <v>78425.25</v>
      </c>
      <c r="L2994" t="str">
        <f t="shared" si="184"/>
        <v>Jan</v>
      </c>
      <c r="M2994">
        <f t="shared" si="185"/>
        <v>2025</v>
      </c>
      <c r="N2994">
        <f t="shared" si="186"/>
        <v>78425.25</v>
      </c>
      <c r="O2994" t="str">
        <f t="shared" si="187"/>
        <v>Moderate Delay</v>
      </c>
    </row>
    <row r="2995" spans="1:15" x14ac:dyDescent="0.25">
      <c r="A2995">
        <v>2994</v>
      </c>
      <c r="B2995" s="2">
        <v>46007</v>
      </c>
      <c r="C2995" t="s">
        <v>26</v>
      </c>
      <c r="D2995" t="s">
        <v>23</v>
      </c>
      <c r="E2995" t="s">
        <v>22</v>
      </c>
      <c r="F2995" t="s">
        <v>21</v>
      </c>
      <c r="G2995">
        <v>152</v>
      </c>
      <c r="H2995">
        <v>416.02</v>
      </c>
      <c r="I2995">
        <v>35</v>
      </c>
      <c r="J2995" t="s">
        <v>15</v>
      </c>
      <c r="K2995">
        <v>63235.040000000001</v>
      </c>
      <c r="L2995" t="str">
        <f t="shared" si="184"/>
        <v>Dec</v>
      </c>
      <c r="M2995">
        <f t="shared" si="185"/>
        <v>2025</v>
      </c>
      <c r="N2995">
        <f t="shared" si="186"/>
        <v>63235.039999999994</v>
      </c>
      <c r="O2995" t="str">
        <f t="shared" si="187"/>
        <v>Moderate Delay</v>
      </c>
    </row>
    <row r="2996" spans="1:15" x14ac:dyDescent="0.25">
      <c r="A2996">
        <v>2995</v>
      </c>
      <c r="B2996" s="2">
        <v>45951</v>
      </c>
      <c r="C2996" t="s">
        <v>16</v>
      </c>
      <c r="D2996" t="s">
        <v>27</v>
      </c>
      <c r="E2996" t="s">
        <v>19</v>
      </c>
      <c r="F2996" t="s">
        <v>24</v>
      </c>
      <c r="G2996">
        <v>170</v>
      </c>
      <c r="H2996">
        <v>618.72</v>
      </c>
      <c r="I2996">
        <v>28</v>
      </c>
      <c r="J2996" t="s">
        <v>30</v>
      </c>
      <c r="K2996">
        <v>105182.39999999999</v>
      </c>
      <c r="L2996" t="str">
        <f t="shared" si="184"/>
        <v>Oct</v>
      </c>
      <c r="M2996">
        <f t="shared" si="185"/>
        <v>2025</v>
      </c>
      <c r="N2996">
        <f t="shared" si="186"/>
        <v>105182.40000000001</v>
      </c>
      <c r="O2996" t="str">
        <f t="shared" si="187"/>
        <v>Minor Delay</v>
      </c>
    </row>
    <row r="2997" spans="1:15" x14ac:dyDescent="0.25">
      <c r="A2997">
        <v>2996</v>
      </c>
      <c r="B2997" s="2">
        <v>46014</v>
      </c>
      <c r="C2997" t="s">
        <v>16</v>
      </c>
      <c r="D2997" t="s">
        <v>23</v>
      </c>
      <c r="E2997" t="s">
        <v>20</v>
      </c>
      <c r="F2997" t="s">
        <v>24</v>
      </c>
      <c r="G2997">
        <v>225</v>
      </c>
      <c r="H2997">
        <v>416.83</v>
      </c>
      <c r="I2997">
        <v>17</v>
      </c>
      <c r="J2997" t="s">
        <v>15</v>
      </c>
      <c r="K2997">
        <v>93786.75</v>
      </c>
      <c r="L2997" t="str">
        <f t="shared" si="184"/>
        <v>Dec</v>
      </c>
      <c r="M2997">
        <f t="shared" si="185"/>
        <v>2025</v>
      </c>
      <c r="N2997">
        <f t="shared" si="186"/>
        <v>93786.75</v>
      </c>
      <c r="O2997" t="str">
        <f t="shared" si="187"/>
        <v>Minor Delay</v>
      </c>
    </row>
    <row r="2998" spans="1:15" x14ac:dyDescent="0.25">
      <c r="A2998">
        <v>2997</v>
      </c>
      <c r="B2998" s="2">
        <v>45841</v>
      </c>
      <c r="C2998" t="s">
        <v>16</v>
      </c>
      <c r="D2998" t="s">
        <v>19</v>
      </c>
      <c r="E2998" t="s">
        <v>29</v>
      </c>
      <c r="F2998" t="s">
        <v>14</v>
      </c>
      <c r="G2998">
        <v>116</v>
      </c>
      <c r="H2998">
        <v>575.54</v>
      </c>
      <c r="I2998">
        <v>0</v>
      </c>
      <c r="J2998" t="s">
        <v>15</v>
      </c>
      <c r="K2998">
        <v>66762.64</v>
      </c>
      <c r="L2998" t="str">
        <f t="shared" si="184"/>
        <v>Jul</v>
      </c>
      <c r="M2998">
        <f t="shared" si="185"/>
        <v>2025</v>
      </c>
      <c r="N2998">
        <f t="shared" si="186"/>
        <v>66762.64</v>
      </c>
      <c r="O2998" t="str">
        <f t="shared" si="187"/>
        <v>On Time</v>
      </c>
    </row>
    <row r="2999" spans="1:15" x14ac:dyDescent="0.25">
      <c r="A2999">
        <v>2998</v>
      </c>
      <c r="B2999" s="2">
        <v>45690</v>
      </c>
      <c r="C2999" t="s">
        <v>11</v>
      </c>
      <c r="D2999" t="s">
        <v>22</v>
      </c>
      <c r="E2999" t="s">
        <v>19</v>
      </c>
      <c r="F2999" t="s">
        <v>21</v>
      </c>
      <c r="G2999">
        <v>52</v>
      </c>
      <c r="H2999">
        <v>274.24</v>
      </c>
      <c r="I2999">
        <v>3</v>
      </c>
      <c r="J2999" t="s">
        <v>15</v>
      </c>
      <c r="K2999">
        <v>14260.48</v>
      </c>
      <c r="L2999" t="str">
        <f t="shared" si="184"/>
        <v>Feb</v>
      </c>
      <c r="M2999">
        <f t="shared" si="185"/>
        <v>2025</v>
      </c>
      <c r="N2999">
        <f t="shared" si="186"/>
        <v>14260.48</v>
      </c>
      <c r="O2999" t="str">
        <f t="shared" si="187"/>
        <v>Minor Delay</v>
      </c>
    </row>
    <row r="3000" spans="1:15" x14ac:dyDescent="0.25">
      <c r="A3000">
        <v>2999</v>
      </c>
      <c r="B3000" s="2">
        <v>45883</v>
      </c>
      <c r="C3000" t="s">
        <v>18</v>
      </c>
      <c r="D3000" t="s">
        <v>23</v>
      </c>
      <c r="E3000" t="s">
        <v>19</v>
      </c>
      <c r="F3000" t="s">
        <v>21</v>
      </c>
      <c r="G3000">
        <v>161</v>
      </c>
      <c r="H3000">
        <v>374.45</v>
      </c>
      <c r="I3000">
        <v>11</v>
      </c>
      <c r="J3000" t="s">
        <v>15</v>
      </c>
      <c r="K3000">
        <v>60286.45</v>
      </c>
      <c r="L3000" t="str">
        <f t="shared" si="184"/>
        <v>Aug</v>
      </c>
      <c r="M3000">
        <f t="shared" si="185"/>
        <v>2025</v>
      </c>
      <c r="N3000">
        <f t="shared" si="186"/>
        <v>60286.45</v>
      </c>
      <c r="O3000" t="str">
        <f t="shared" si="187"/>
        <v>Minor Delay</v>
      </c>
    </row>
    <row r="3001" spans="1:15" x14ac:dyDescent="0.25">
      <c r="A3001">
        <v>3000</v>
      </c>
      <c r="B3001" s="2">
        <v>45688</v>
      </c>
      <c r="C3001" t="s">
        <v>16</v>
      </c>
      <c r="D3001" t="s">
        <v>22</v>
      </c>
      <c r="E3001" t="s">
        <v>13</v>
      </c>
      <c r="F3001" t="s">
        <v>21</v>
      </c>
      <c r="G3001">
        <v>228</v>
      </c>
      <c r="H3001">
        <v>456.58</v>
      </c>
      <c r="I3001">
        <v>19</v>
      </c>
      <c r="J3001" t="s">
        <v>30</v>
      </c>
      <c r="K3001">
        <v>104100.24</v>
      </c>
      <c r="L3001" t="str">
        <f t="shared" si="184"/>
        <v>Jan</v>
      </c>
      <c r="M3001">
        <f t="shared" si="185"/>
        <v>2025</v>
      </c>
      <c r="N3001">
        <f t="shared" si="186"/>
        <v>104100.23999999999</v>
      </c>
      <c r="O3001" t="str">
        <f t="shared" si="187"/>
        <v>Minor Delay</v>
      </c>
    </row>
    <row r="3002" spans="1:15" x14ac:dyDescent="0.25">
      <c r="A3002">
        <v>3001</v>
      </c>
      <c r="B3002" s="2">
        <v>45763</v>
      </c>
      <c r="C3002" t="s">
        <v>31</v>
      </c>
      <c r="D3002" t="s">
        <v>12</v>
      </c>
      <c r="E3002" t="s">
        <v>22</v>
      </c>
      <c r="F3002" t="s">
        <v>14</v>
      </c>
      <c r="G3002">
        <v>133</v>
      </c>
      <c r="H3002">
        <v>128.15</v>
      </c>
      <c r="I3002">
        <v>36</v>
      </c>
      <c r="J3002" t="s">
        <v>15</v>
      </c>
      <c r="K3002">
        <v>17043.95</v>
      </c>
      <c r="L3002" t="str">
        <f t="shared" si="184"/>
        <v>Apr</v>
      </c>
      <c r="M3002">
        <f t="shared" si="185"/>
        <v>2025</v>
      </c>
      <c r="N3002">
        <f t="shared" si="186"/>
        <v>17043.95</v>
      </c>
      <c r="O3002" t="str">
        <f t="shared" si="187"/>
        <v>Moderate Delay</v>
      </c>
    </row>
    <row r="3003" spans="1:15" x14ac:dyDescent="0.25">
      <c r="A3003">
        <v>3002</v>
      </c>
      <c r="B3003" s="2">
        <v>45981</v>
      </c>
      <c r="C3003" t="s">
        <v>16</v>
      </c>
      <c r="D3003" t="s">
        <v>17</v>
      </c>
      <c r="E3003" t="s">
        <v>29</v>
      </c>
      <c r="F3003" t="s">
        <v>14</v>
      </c>
      <c r="G3003">
        <v>174</v>
      </c>
      <c r="H3003">
        <v>650.84</v>
      </c>
      <c r="I3003">
        <v>27</v>
      </c>
      <c r="J3003" t="s">
        <v>15</v>
      </c>
      <c r="K3003">
        <v>113246.16</v>
      </c>
      <c r="L3003" t="str">
        <f t="shared" si="184"/>
        <v>Nov</v>
      </c>
      <c r="M3003">
        <f t="shared" si="185"/>
        <v>2025</v>
      </c>
      <c r="N3003">
        <f t="shared" si="186"/>
        <v>113246.16</v>
      </c>
      <c r="O3003" t="str">
        <f t="shared" si="187"/>
        <v>Minor Delay</v>
      </c>
    </row>
    <row r="3004" spans="1:15" x14ac:dyDescent="0.25">
      <c r="A3004">
        <v>3003</v>
      </c>
      <c r="B3004" s="2">
        <v>45681</v>
      </c>
      <c r="C3004" t="s">
        <v>31</v>
      </c>
      <c r="D3004" t="s">
        <v>20</v>
      </c>
      <c r="E3004" t="s">
        <v>12</v>
      </c>
      <c r="F3004" t="s">
        <v>21</v>
      </c>
      <c r="G3004">
        <v>153</v>
      </c>
      <c r="H3004">
        <v>526.84</v>
      </c>
      <c r="I3004">
        <v>10</v>
      </c>
      <c r="J3004" t="s">
        <v>15</v>
      </c>
      <c r="K3004">
        <v>80606.52</v>
      </c>
      <c r="L3004" t="str">
        <f t="shared" si="184"/>
        <v>Jan</v>
      </c>
      <c r="M3004">
        <f t="shared" si="185"/>
        <v>2025</v>
      </c>
      <c r="N3004">
        <f t="shared" si="186"/>
        <v>80606.52</v>
      </c>
      <c r="O3004" t="str">
        <f t="shared" si="187"/>
        <v>Minor Delay</v>
      </c>
    </row>
    <row r="3005" spans="1:15" x14ac:dyDescent="0.25">
      <c r="A3005">
        <v>3004</v>
      </c>
      <c r="B3005" s="2">
        <v>45866</v>
      </c>
      <c r="C3005" t="s">
        <v>25</v>
      </c>
      <c r="D3005" t="s">
        <v>20</v>
      </c>
      <c r="E3005" t="s">
        <v>13</v>
      </c>
      <c r="F3005" t="s">
        <v>21</v>
      </c>
      <c r="G3005">
        <v>216</v>
      </c>
      <c r="H3005">
        <v>680.01</v>
      </c>
      <c r="I3005">
        <v>39</v>
      </c>
      <c r="J3005" t="s">
        <v>15</v>
      </c>
      <c r="K3005">
        <v>146882.16</v>
      </c>
      <c r="L3005" t="str">
        <f t="shared" si="184"/>
        <v>Jul</v>
      </c>
      <c r="M3005">
        <f t="shared" si="185"/>
        <v>2025</v>
      </c>
      <c r="N3005">
        <f t="shared" si="186"/>
        <v>146882.16</v>
      </c>
      <c r="O3005" t="str">
        <f t="shared" si="187"/>
        <v>Moderate Delay</v>
      </c>
    </row>
    <row r="3006" spans="1:15" x14ac:dyDescent="0.25">
      <c r="A3006">
        <v>3005</v>
      </c>
      <c r="B3006" s="2">
        <v>45783</v>
      </c>
      <c r="C3006" t="s">
        <v>25</v>
      </c>
      <c r="D3006" t="s">
        <v>17</v>
      </c>
      <c r="E3006" t="s">
        <v>19</v>
      </c>
      <c r="F3006" t="s">
        <v>14</v>
      </c>
      <c r="G3006">
        <v>145</v>
      </c>
      <c r="H3006">
        <v>757.13</v>
      </c>
      <c r="I3006">
        <v>37</v>
      </c>
      <c r="J3006" t="s">
        <v>15</v>
      </c>
      <c r="K3006">
        <v>109783.85</v>
      </c>
      <c r="L3006" t="str">
        <f t="shared" si="184"/>
        <v>May</v>
      </c>
      <c r="M3006">
        <f t="shared" si="185"/>
        <v>2025</v>
      </c>
      <c r="N3006">
        <f t="shared" si="186"/>
        <v>109783.85</v>
      </c>
      <c r="O3006" t="str">
        <f t="shared" si="187"/>
        <v>Moderate Delay</v>
      </c>
    </row>
    <row r="3007" spans="1:15" x14ac:dyDescent="0.25">
      <c r="A3007">
        <v>3006</v>
      </c>
      <c r="B3007" s="2">
        <v>45752</v>
      </c>
      <c r="C3007" t="s">
        <v>11</v>
      </c>
      <c r="D3007" t="s">
        <v>13</v>
      </c>
      <c r="E3007" t="s">
        <v>12</v>
      </c>
      <c r="F3007" t="s">
        <v>14</v>
      </c>
      <c r="G3007">
        <v>97</v>
      </c>
      <c r="H3007">
        <v>769.61</v>
      </c>
      <c r="I3007">
        <v>57</v>
      </c>
      <c r="J3007" t="s">
        <v>15</v>
      </c>
      <c r="K3007">
        <v>74652.17</v>
      </c>
      <c r="L3007" t="str">
        <f t="shared" si="184"/>
        <v>Apr</v>
      </c>
      <c r="M3007">
        <f t="shared" si="185"/>
        <v>2025</v>
      </c>
      <c r="N3007">
        <f t="shared" si="186"/>
        <v>74652.17</v>
      </c>
      <c r="O3007" t="str">
        <f t="shared" si="187"/>
        <v>Moderate Delay</v>
      </c>
    </row>
    <row r="3008" spans="1:15" x14ac:dyDescent="0.25">
      <c r="A3008">
        <v>3007</v>
      </c>
      <c r="B3008" s="2">
        <v>46014</v>
      </c>
      <c r="C3008" t="s">
        <v>16</v>
      </c>
      <c r="D3008" t="s">
        <v>22</v>
      </c>
      <c r="E3008" t="s">
        <v>17</v>
      </c>
      <c r="F3008" t="s">
        <v>21</v>
      </c>
      <c r="G3008">
        <v>133</v>
      </c>
      <c r="H3008">
        <v>737.48</v>
      </c>
      <c r="I3008">
        <v>33</v>
      </c>
      <c r="J3008" t="s">
        <v>15</v>
      </c>
      <c r="K3008">
        <v>98084.84</v>
      </c>
      <c r="L3008" t="str">
        <f t="shared" si="184"/>
        <v>Dec</v>
      </c>
      <c r="M3008">
        <f t="shared" si="185"/>
        <v>2025</v>
      </c>
      <c r="N3008">
        <f t="shared" si="186"/>
        <v>98084.84</v>
      </c>
      <c r="O3008" t="str">
        <f t="shared" si="187"/>
        <v>Moderate Delay</v>
      </c>
    </row>
    <row r="3009" spans="1:15" x14ac:dyDescent="0.25">
      <c r="A3009">
        <v>3008</v>
      </c>
      <c r="B3009" s="2">
        <v>45671</v>
      </c>
      <c r="C3009" t="s">
        <v>18</v>
      </c>
      <c r="D3009" t="s">
        <v>23</v>
      </c>
      <c r="E3009" t="s">
        <v>29</v>
      </c>
      <c r="F3009" t="s">
        <v>24</v>
      </c>
      <c r="G3009">
        <v>172</v>
      </c>
      <c r="H3009">
        <v>87.13</v>
      </c>
      <c r="I3009">
        <v>35</v>
      </c>
      <c r="J3009" t="s">
        <v>15</v>
      </c>
      <c r="K3009">
        <v>14986.36</v>
      </c>
      <c r="L3009" t="str">
        <f t="shared" si="184"/>
        <v>Jan</v>
      </c>
      <c r="M3009">
        <f t="shared" si="185"/>
        <v>2025</v>
      </c>
      <c r="N3009">
        <f t="shared" si="186"/>
        <v>14986.359999999999</v>
      </c>
      <c r="O3009" t="str">
        <f t="shared" si="187"/>
        <v>Moderate Delay</v>
      </c>
    </row>
    <row r="3010" spans="1:15" x14ac:dyDescent="0.25">
      <c r="A3010">
        <v>3009</v>
      </c>
      <c r="B3010" s="2">
        <v>45959</v>
      </c>
      <c r="C3010" t="s">
        <v>31</v>
      </c>
      <c r="D3010" t="s">
        <v>23</v>
      </c>
      <c r="E3010" t="s">
        <v>17</v>
      </c>
      <c r="F3010" t="s">
        <v>14</v>
      </c>
      <c r="G3010">
        <v>54</v>
      </c>
      <c r="H3010">
        <v>130.63</v>
      </c>
      <c r="I3010">
        <v>36</v>
      </c>
      <c r="J3010" t="s">
        <v>15</v>
      </c>
      <c r="K3010">
        <v>7054.02</v>
      </c>
      <c r="L3010" t="str">
        <f t="shared" si="184"/>
        <v>Oct</v>
      </c>
      <c r="M3010">
        <f t="shared" si="185"/>
        <v>2025</v>
      </c>
      <c r="N3010">
        <f t="shared" si="186"/>
        <v>7054.0199999999995</v>
      </c>
      <c r="O3010" t="str">
        <f t="shared" si="187"/>
        <v>Moderate Delay</v>
      </c>
    </row>
    <row r="3011" spans="1:15" x14ac:dyDescent="0.25">
      <c r="A3011">
        <v>3010</v>
      </c>
      <c r="B3011" s="2">
        <v>45723</v>
      </c>
      <c r="C3011" t="s">
        <v>11</v>
      </c>
      <c r="D3011" t="s">
        <v>27</v>
      </c>
      <c r="E3011" t="s">
        <v>29</v>
      </c>
      <c r="F3011" t="s">
        <v>14</v>
      </c>
      <c r="G3011">
        <v>121</v>
      </c>
      <c r="H3011">
        <v>87.65</v>
      </c>
      <c r="I3011">
        <v>0</v>
      </c>
      <c r="J3011" t="s">
        <v>28</v>
      </c>
      <c r="K3011">
        <v>10605.65</v>
      </c>
      <c r="L3011" t="str">
        <f t="shared" ref="L3011:L3074" si="188">TEXT(B3011,"MMM")</f>
        <v>Mar</v>
      </c>
      <c r="M3011">
        <f t="shared" ref="M3011:M3074" si="189">YEAR(B3011)</f>
        <v>2025</v>
      </c>
      <c r="N3011">
        <f t="shared" ref="N3011:N3074" si="190">G3011*H3011</f>
        <v>10605.650000000001</v>
      </c>
      <c r="O3011" t="str">
        <f t="shared" ref="O3011:O3074" si="191">IF(I3011=0,"On Time",IF(I3011&lt;=30,"Minor Delay",IF(I3011&lt;=60,"Moderate Delay","Major Delay")))</f>
        <v>On Time</v>
      </c>
    </row>
    <row r="3012" spans="1:15" x14ac:dyDescent="0.25">
      <c r="A3012">
        <v>3011</v>
      </c>
      <c r="B3012" s="2">
        <v>45752</v>
      </c>
      <c r="C3012" t="s">
        <v>25</v>
      </c>
      <c r="D3012" t="s">
        <v>19</v>
      </c>
      <c r="E3012" t="s">
        <v>29</v>
      </c>
      <c r="F3012" t="s">
        <v>14</v>
      </c>
      <c r="G3012">
        <v>62</v>
      </c>
      <c r="H3012">
        <v>335.6</v>
      </c>
      <c r="I3012">
        <v>23</v>
      </c>
      <c r="J3012" t="s">
        <v>30</v>
      </c>
      <c r="K3012">
        <v>20807.2</v>
      </c>
      <c r="L3012" t="str">
        <f t="shared" si="188"/>
        <v>Apr</v>
      </c>
      <c r="M3012">
        <f t="shared" si="189"/>
        <v>2025</v>
      </c>
      <c r="N3012">
        <f t="shared" si="190"/>
        <v>20807.2</v>
      </c>
      <c r="O3012" t="str">
        <f t="shared" si="191"/>
        <v>Minor Delay</v>
      </c>
    </row>
    <row r="3013" spans="1:15" x14ac:dyDescent="0.25">
      <c r="A3013">
        <v>3012</v>
      </c>
      <c r="B3013" s="2">
        <v>45716</v>
      </c>
      <c r="C3013" t="s">
        <v>11</v>
      </c>
      <c r="D3013" t="s">
        <v>13</v>
      </c>
      <c r="E3013" t="s">
        <v>29</v>
      </c>
      <c r="F3013" t="s">
        <v>24</v>
      </c>
      <c r="G3013">
        <v>186</v>
      </c>
      <c r="H3013">
        <v>286.99</v>
      </c>
      <c r="I3013">
        <v>24</v>
      </c>
      <c r="J3013" t="s">
        <v>15</v>
      </c>
      <c r="K3013">
        <v>53380.14</v>
      </c>
      <c r="L3013" t="str">
        <f t="shared" si="188"/>
        <v>Feb</v>
      </c>
      <c r="M3013">
        <f t="shared" si="189"/>
        <v>2025</v>
      </c>
      <c r="N3013">
        <f t="shared" si="190"/>
        <v>53380.14</v>
      </c>
      <c r="O3013" t="str">
        <f t="shared" si="191"/>
        <v>Minor Delay</v>
      </c>
    </row>
    <row r="3014" spans="1:15" x14ac:dyDescent="0.25">
      <c r="A3014">
        <v>3013</v>
      </c>
      <c r="B3014" s="2">
        <v>45774</v>
      </c>
      <c r="C3014" t="s">
        <v>25</v>
      </c>
      <c r="D3014" t="s">
        <v>12</v>
      </c>
      <c r="E3014" t="s">
        <v>23</v>
      </c>
      <c r="F3014" t="s">
        <v>14</v>
      </c>
      <c r="G3014">
        <v>143</v>
      </c>
      <c r="H3014">
        <v>194.34</v>
      </c>
      <c r="I3014">
        <v>0</v>
      </c>
      <c r="J3014" t="s">
        <v>15</v>
      </c>
      <c r="K3014">
        <v>27790.62</v>
      </c>
      <c r="L3014" t="str">
        <f t="shared" si="188"/>
        <v>Apr</v>
      </c>
      <c r="M3014">
        <f t="shared" si="189"/>
        <v>2025</v>
      </c>
      <c r="N3014">
        <f t="shared" si="190"/>
        <v>27790.62</v>
      </c>
      <c r="O3014" t="str">
        <f t="shared" si="191"/>
        <v>On Time</v>
      </c>
    </row>
    <row r="3015" spans="1:15" x14ac:dyDescent="0.25">
      <c r="A3015">
        <v>3014</v>
      </c>
      <c r="B3015" s="2">
        <v>45964</v>
      </c>
      <c r="C3015" t="s">
        <v>26</v>
      </c>
      <c r="D3015" t="s">
        <v>29</v>
      </c>
      <c r="E3015" t="s">
        <v>23</v>
      </c>
      <c r="F3015" t="s">
        <v>24</v>
      </c>
      <c r="G3015">
        <v>263</v>
      </c>
      <c r="H3015">
        <v>696.34</v>
      </c>
      <c r="I3015">
        <v>66</v>
      </c>
      <c r="J3015" t="s">
        <v>15</v>
      </c>
      <c r="K3015">
        <v>183137.42</v>
      </c>
      <c r="L3015" t="str">
        <f t="shared" si="188"/>
        <v>Nov</v>
      </c>
      <c r="M3015">
        <f t="shared" si="189"/>
        <v>2025</v>
      </c>
      <c r="N3015">
        <f t="shared" si="190"/>
        <v>183137.42</v>
      </c>
      <c r="O3015" t="str">
        <f t="shared" si="191"/>
        <v>Major Delay</v>
      </c>
    </row>
    <row r="3016" spans="1:15" x14ac:dyDescent="0.25">
      <c r="A3016">
        <v>3015</v>
      </c>
      <c r="B3016" s="2">
        <v>45768</v>
      </c>
      <c r="C3016" t="s">
        <v>26</v>
      </c>
      <c r="D3016" t="s">
        <v>22</v>
      </c>
      <c r="E3016" t="s">
        <v>29</v>
      </c>
      <c r="F3016" t="s">
        <v>14</v>
      </c>
      <c r="G3016">
        <v>178</v>
      </c>
      <c r="H3016">
        <v>355.8</v>
      </c>
      <c r="I3016">
        <v>22</v>
      </c>
      <c r="J3016" t="s">
        <v>15</v>
      </c>
      <c r="K3016">
        <v>63332.4</v>
      </c>
      <c r="L3016" t="str">
        <f t="shared" si="188"/>
        <v>Apr</v>
      </c>
      <c r="M3016">
        <f t="shared" si="189"/>
        <v>2025</v>
      </c>
      <c r="N3016">
        <f t="shared" si="190"/>
        <v>63332.4</v>
      </c>
      <c r="O3016" t="str">
        <f t="shared" si="191"/>
        <v>Minor Delay</v>
      </c>
    </row>
    <row r="3017" spans="1:15" x14ac:dyDescent="0.25">
      <c r="A3017">
        <v>3016</v>
      </c>
      <c r="B3017" s="2">
        <v>45793</v>
      </c>
      <c r="C3017" t="s">
        <v>31</v>
      </c>
      <c r="D3017" t="s">
        <v>13</v>
      </c>
      <c r="E3017" t="s">
        <v>19</v>
      </c>
      <c r="F3017" t="s">
        <v>21</v>
      </c>
      <c r="G3017">
        <v>160</v>
      </c>
      <c r="H3017">
        <v>377.76</v>
      </c>
      <c r="I3017">
        <v>0</v>
      </c>
      <c r="J3017" t="s">
        <v>15</v>
      </c>
      <c r="K3017">
        <v>60441.599999999999</v>
      </c>
      <c r="L3017" t="str">
        <f t="shared" si="188"/>
        <v>May</v>
      </c>
      <c r="M3017">
        <f t="shared" si="189"/>
        <v>2025</v>
      </c>
      <c r="N3017">
        <f t="shared" si="190"/>
        <v>60441.599999999999</v>
      </c>
      <c r="O3017" t="str">
        <f t="shared" si="191"/>
        <v>On Time</v>
      </c>
    </row>
    <row r="3018" spans="1:15" x14ac:dyDescent="0.25">
      <c r="A3018">
        <v>3017</v>
      </c>
      <c r="B3018" s="2">
        <v>45784</v>
      </c>
      <c r="C3018" t="s">
        <v>18</v>
      </c>
      <c r="D3018" t="s">
        <v>13</v>
      </c>
      <c r="E3018" t="s">
        <v>17</v>
      </c>
      <c r="F3018" t="s">
        <v>24</v>
      </c>
      <c r="G3018">
        <v>212</v>
      </c>
      <c r="H3018">
        <v>555.82000000000005</v>
      </c>
      <c r="I3018">
        <v>0</v>
      </c>
      <c r="J3018" t="s">
        <v>15</v>
      </c>
      <c r="K3018">
        <v>117833.84</v>
      </c>
      <c r="L3018" t="str">
        <f t="shared" si="188"/>
        <v>May</v>
      </c>
      <c r="M3018">
        <f t="shared" si="189"/>
        <v>2025</v>
      </c>
      <c r="N3018">
        <f t="shared" si="190"/>
        <v>117833.84000000001</v>
      </c>
      <c r="O3018" t="str">
        <f t="shared" si="191"/>
        <v>On Time</v>
      </c>
    </row>
    <row r="3019" spans="1:15" x14ac:dyDescent="0.25">
      <c r="A3019">
        <v>3018</v>
      </c>
      <c r="B3019" s="2">
        <v>45748</v>
      </c>
      <c r="C3019" t="s">
        <v>31</v>
      </c>
      <c r="D3019" t="s">
        <v>27</v>
      </c>
      <c r="E3019" t="s">
        <v>22</v>
      </c>
      <c r="F3019" t="s">
        <v>24</v>
      </c>
      <c r="G3019">
        <v>262</v>
      </c>
      <c r="H3019">
        <v>231.72</v>
      </c>
      <c r="I3019">
        <v>0</v>
      </c>
      <c r="J3019" t="s">
        <v>15</v>
      </c>
      <c r="K3019">
        <v>60710.64</v>
      </c>
      <c r="L3019" t="str">
        <f t="shared" si="188"/>
        <v>Apr</v>
      </c>
      <c r="M3019">
        <f t="shared" si="189"/>
        <v>2025</v>
      </c>
      <c r="N3019">
        <f t="shared" si="190"/>
        <v>60710.64</v>
      </c>
      <c r="O3019" t="str">
        <f t="shared" si="191"/>
        <v>On Time</v>
      </c>
    </row>
    <row r="3020" spans="1:15" x14ac:dyDescent="0.25">
      <c r="A3020">
        <v>3019</v>
      </c>
      <c r="B3020" s="2">
        <v>46010</v>
      </c>
      <c r="C3020" t="s">
        <v>11</v>
      </c>
      <c r="D3020" t="s">
        <v>12</v>
      </c>
      <c r="E3020" t="s">
        <v>17</v>
      </c>
      <c r="F3020" t="s">
        <v>24</v>
      </c>
      <c r="G3020">
        <v>295</v>
      </c>
      <c r="H3020">
        <v>359.17</v>
      </c>
      <c r="I3020">
        <v>32</v>
      </c>
      <c r="J3020" t="s">
        <v>15</v>
      </c>
      <c r="K3020">
        <v>105955.15</v>
      </c>
      <c r="L3020" t="str">
        <f t="shared" si="188"/>
        <v>Dec</v>
      </c>
      <c r="M3020">
        <f t="shared" si="189"/>
        <v>2025</v>
      </c>
      <c r="N3020">
        <f t="shared" si="190"/>
        <v>105955.15000000001</v>
      </c>
      <c r="O3020" t="str">
        <f t="shared" si="191"/>
        <v>Moderate Delay</v>
      </c>
    </row>
    <row r="3021" spans="1:15" x14ac:dyDescent="0.25">
      <c r="A3021">
        <v>3020</v>
      </c>
      <c r="B3021" s="2">
        <v>45738</v>
      </c>
      <c r="C3021" t="s">
        <v>26</v>
      </c>
      <c r="D3021" t="s">
        <v>20</v>
      </c>
      <c r="E3021" t="s">
        <v>17</v>
      </c>
      <c r="F3021" t="s">
        <v>14</v>
      </c>
      <c r="G3021">
        <v>273</v>
      </c>
      <c r="H3021">
        <v>533.29</v>
      </c>
      <c r="I3021">
        <v>0</v>
      </c>
      <c r="J3021" t="s">
        <v>15</v>
      </c>
      <c r="K3021">
        <v>145588.17000000001</v>
      </c>
      <c r="L3021" t="str">
        <f t="shared" si="188"/>
        <v>Mar</v>
      </c>
      <c r="M3021">
        <f t="shared" si="189"/>
        <v>2025</v>
      </c>
      <c r="N3021">
        <f t="shared" si="190"/>
        <v>145588.16999999998</v>
      </c>
      <c r="O3021" t="str">
        <f t="shared" si="191"/>
        <v>On Time</v>
      </c>
    </row>
    <row r="3022" spans="1:15" x14ac:dyDescent="0.25">
      <c r="A3022">
        <v>3021</v>
      </c>
      <c r="B3022" s="2">
        <v>45811</v>
      </c>
      <c r="C3022" t="s">
        <v>16</v>
      </c>
      <c r="D3022" t="s">
        <v>17</v>
      </c>
      <c r="E3022" t="s">
        <v>20</v>
      </c>
      <c r="F3022" t="s">
        <v>24</v>
      </c>
      <c r="G3022">
        <v>171</v>
      </c>
      <c r="H3022">
        <v>639.24</v>
      </c>
      <c r="I3022">
        <v>7</v>
      </c>
      <c r="J3022" t="s">
        <v>30</v>
      </c>
      <c r="K3022">
        <v>109310.04</v>
      </c>
      <c r="L3022" t="str">
        <f t="shared" si="188"/>
        <v>Jun</v>
      </c>
      <c r="M3022">
        <f t="shared" si="189"/>
        <v>2025</v>
      </c>
      <c r="N3022">
        <f t="shared" si="190"/>
        <v>109310.04000000001</v>
      </c>
      <c r="O3022" t="str">
        <f t="shared" si="191"/>
        <v>Minor Delay</v>
      </c>
    </row>
    <row r="3023" spans="1:15" x14ac:dyDescent="0.25">
      <c r="A3023">
        <v>3022</v>
      </c>
      <c r="B3023" s="2">
        <v>45805</v>
      </c>
      <c r="C3023" t="s">
        <v>18</v>
      </c>
      <c r="D3023" t="s">
        <v>22</v>
      </c>
      <c r="E3023" t="s">
        <v>29</v>
      </c>
      <c r="F3023" t="s">
        <v>24</v>
      </c>
      <c r="G3023">
        <v>286</v>
      </c>
      <c r="H3023">
        <v>625.87</v>
      </c>
      <c r="I3023">
        <v>33</v>
      </c>
      <c r="J3023" t="s">
        <v>15</v>
      </c>
      <c r="K3023">
        <v>178998.82</v>
      </c>
      <c r="L3023" t="str">
        <f t="shared" si="188"/>
        <v>May</v>
      </c>
      <c r="M3023">
        <f t="shared" si="189"/>
        <v>2025</v>
      </c>
      <c r="N3023">
        <f t="shared" si="190"/>
        <v>178998.82</v>
      </c>
      <c r="O3023" t="str">
        <f t="shared" si="191"/>
        <v>Moderate Delay</v>
      </c>
    </row>
    <row r="3024" spans="1:15" x14ac:dyDescent="0.25">
      <c r="A3024">
        <v>3023</v>
      </c>
      <c r="B3024" s="2">
        <v>45831</v>
      </c>
      <c r="C3024" t="s">
        <v>11</v>
      </c>
      <c r="D3024" t="s">
        <v>22</v>
      </c>
      <c r="E3024" t="s">
        <v>19</v>
      </c>
      <c r="F3024" t="s">
        <v>21</v>
      </c>
      <c r="G3024">
        <v>198</v>
      </c>
      <c r="H3024">
        <v>577.07000000000005</v>
      </c>
      <c r="I3024">
        <v>12</v>
      </c>
      <c r="J3024" t="s">
        <v>15</v>
      </c>
      <c r="K3024">
        <v>114259.86</v>
      </c>
      <c r="L3024" t="str">
        <f t="shared" si="188"/>
        <v>Jun</v>
      </c>
      <c r="M3024">
        <f t="shared" si="189"/>
        <v>2025</v>
      </c>
      <c r="N3024">
        <f t="shared" si="190"/>
        <v>114259.86000000002</v>
      </c>
      <c r="O3024" t="str">
        <f t="shared" si="191"/>
        <v>Minor Delay</v>
      </c>
    </row>
    <row r="3025" spans="1:15" x14ac:dyDescent="0.25">
      <c r="A3025">
        <v>3024</v>
      </c>
      <c r="B3025" s="2">
        <v>45785</v>
      </c>
      <c r="C3025" t="s">
        <v>11</v>
      </c>
      <c r="D3025" t="s">
        <v>27</v>
      </c>
      <c r="E3025" t="s">
        <v>22</v>
      </c>
      <c r="F3025" t="s">
        <v>24</v>
      </c>
      <c r="G3025">
        <v>101</v>
      </c>
      <c r="H3025">
        <v>709.3</v>
      </c>
      <c r="I3025">
        <v>0</v>
      </c>
      <c r="J3025" t="s">
        <v>15</v>
      </c>
      <c r="K3025">
        <v>71639.3</v>
      </c>
      <c r="L3025" t="str">
        <f t="shared" si="188"/>
        <v>May</v>
      </c>
      <c r="M3025">
        <f t="shared" si="189"/>
        <v>2025</v>
      </c>
      <c r="N3025">
        <f t="shared" si="190"/>
        <v>71639.299999999988</v>
      </c>
      <c r="O3025" t="str">
        <f t="shared" si="191"/>
        <v>On Time</v>
      </c>
    </row>
    <row r="3026" spans="1:15" x14ac:dyDescent="0.25">
      <c r="A3026">
        <v>3025</v>
      </c>
      <c r="B3026" s="2">
        <v>45961</v>
      </c>
      <c r="C3026" t="s">
        <v>11</v>
      </c>
      <c r="D3026" t="s">
        <v>17</v>
      </c>
      <c r="E3026" t="s">
        <v>27</v>
      </c>
      <c r="F3026" t="s">
        <v>24</v>
      </c>
      <c r="G3026">
        <v>76</v>
      </c>
      <c r="H3026">
        <v>310.68</v>
      </c>
      <c r="I3026">
        <v>51</v>
      </c>
      <c r="J3026" t="s">
        <v>30</v>
      </c>
      <c r="K3026">
        <v>23611.68</v>
      </c>
      <c r="L3026" t="str">
        <f t="shared" si="188"/>
        <v>Oct</v>
      </c>
      <c r="M3026">
        <f t="shared" si="189"/>
        <v>2025</v>
      </c>
      <c r="N3026">
        <f t="shared" si="190"/>
        <v>23611.68</v>
      </c>
      <c r="O3026" t="str">
        <f t="shared" si="191"/>
        <v>Moderate Delay</v>
      </c>
    </row>
    <row r="3027" spans="1:15" x14ac:dyDescent="0.25">
      <c r="A3027">
        <v>3026</v>
      </c>
      <c r="B3027" s="2">
        <v>45978</v>
      </c>
      <c r="C3027" t="s">
        <v>31</v>
      </c>
      <c r="D3027" t="s">
        <v>17</v>
      </c>
      <c r="E3027" t="s">
        <v>19</v>
      </c>
      <c r="F3027" t="s">
        <v>14</v>
      </c>
      <c r="G3027">
        <v>132</v>
      </c>
      <c r="H3027">
        <v>260.88</v>
      </c>
      <c r="I3027">
        <v>37</v>
      </c>
      <c r="J3027" t="s">
        <v>30</v>
      </c>
      <c r="K3027">
        <v>34436.160000000003</v>
      </c>
      <c r="L3027" t="str">
        <f t="shared" si="188"/>
        <v>Nov</v>
      </c>
      <c r="M3027">
        <f t="shared" si="189"/>
        <v>2025</v>
      </c>
      <c r="N3027">
        <f t="shared" si="190"/>
        <v>34436.159999999996</v>
      </c>
      <c r="O3027" t="str">
        <f t="shared" si="191"/>
        <v>Moderate Delay</v>
      </c>
    </row>
    <row r="3028" spans="1:15" x14ac:dyDescent="0.25">
      <c r="A3028">
        <v>3027</v>
      </c>
      <c r="B3028" s="2">
        <v>45938</v>
      </c>
      <c r="C3028" t="s">
        <v>26</v>
      </c>
      <c r="D3028" t="s">
        <v>23</v>
      </c>
      <c r="E3028" t="s">
        <v>20</v>
      </c>
      <c r="F3028" t="s">
        <v>21</v>
      </c>
      <c r="G3028">
        <v>241</v>
      </c>
      <c r="H3028">
        <v>377.58</v>
      </c>
      <c r="I3028">
        <v>17</v>
      </c>
      <c r="J3028" t="s">
        <v>15</v>
      </c>
      <c r="K3028">
        <v>90996.78</v>
      </c>
      <c r="L3028" t="str">
        <f t="shared" si="188"/>
        <v>Oct</v>
      </c>
      <c r="M3028">
        <f t="shared" si="189"/>
        <v>2025</v>
      </c>
      <c r="N3028">
        <f t="shared" si="190"/>
        <v>90996.78</v>
      </c>
      <c r="O3028" t="str">
        <f t="shared" si="191"/>
        <v>Minor Delay</v>
      </c>
    </row>
    <row r="3029" spans="1:15" x14ac:dyDescent="0.25">
      <c r="A3029">
        <v>3028</v>
      </c>
      <c r="B3029" s="2">
        <v>45809</v>
      </c>
      <c r="C3029" t="s">
        <v>31</v>
      </c>
      <c r="D3029" t="s">
        <v>17</v>
      </c>
      <c r="E3029" t="s">
        <v>29</v>
      </c>
      <c r="F3029" t="s">
        <v>24</v>
      </c>
      <c r="G3029">
        <v>201</v>
      </c>
      <c r="H3029">
        <v>532.79999999999995</v>
      </c>
      <c r="I3029">
        <v>14</v>
      </c>
      <c r="J3029" t="s">
        <v>15</v>
      </c>
      <c r="K3029">
        <v>107092.8</v>
      </c>
      <c r="L3029" t="str">
        <f t="shared" si="188"/>
        <v>Jun</v>
      </c>
      <c r="M3029">
        <f t="shared" si="189"/>
        <v>2025</v>
      </c>
      <c r="N3029">
        <f t="shared" si="190"/>
        <v>107092.79999999999</v>
      </c>
      <c r="O3029" t="str">
        <f t="shared" si="191"/>
        <v>Minor Delay</v>
      </c>
    </row>
    <row r="3030" spans="1:15" x14ac:dyDescent="0.25">
      <c r="A3030">
        <v>3029</v>
      </c>
      <c r="B3030" s="2">
        <v>45870</v>
      </c>
      <c r="C3030" t="s">
        <v>16</v>
      </c>
      <c r="D3030" t="s">
        <v>27</v>
      </c>
      <c r="E3030" t="s">
        <v>12</v>
      </c>
      <c r="F3030" t="s">
        <v>24</v>
      </c>
      <c r="G3030">
        <v>270</v>
      </c>
      <c r="H3030">
        <v>226.21</v>
      </c>
      <c r="I3030">
        <v>29</v>
      </c>
      <c r="J3030" t="s">
        <v>15</v>
      </c>
      <c r="K3030">
        <v>61076.7</v>
      </c>
      <c r="L3030" t="str">
        <f t="shared" si="188"/>
        <v>Aug</v>
      </c>
      <c r="M3030">
        <f t="shared" si="189"/>
        <v>2025</v>
      </c>
      <c r="N3030">
        <f t="shared" si="190"/>
        <v>61076.700000000004</v>
      </c>
      <c r="O3030" t="str">
        <f t="shared" si="191"/>
        <v>Minor Delay</v>
      </c>
    </row>
    <row r="3031" spans="1:15" x14ac:dyDescent="0.25">
      <c r="A3031">
        <v>3030</v>
      </c>
      <c r="B3031" s="2">
        <v>46013</v>
      </c>
      <c r="C3031" t="s">
        <v>18</v>
      </c>
      <c r="D3031" t="s">
        <v>27</v>
      </c>
      <c r="E3031" t="s">
        <v>19</v>
      </c>
      <c r="F3031" t="s">
        <v>14</v>
      </c>
      <c r="G3031">
        <v>57</v>
      </c>
      <c r="H3031">
        <v>241.18</v>
      </c>
      <c r="I3031">
        <v>16</v>
      </c>
      <c r="J3031" t="s">
        <v>15</v>
      </c>
      <c r="K3031">
        <v>13747.26</v>
      </c>
      <c r="L3031" t="str">
        <f t="shared" si="188"/>
        <v>Dec</v>
      </c>
      <c r="M3031">
        <f t="shared" si="189"/>
        <v>2025</v>
      </c>
      <c r="N3031">
        <f t="shared" si="190"/>
        <v>13747.26</v>
      </c>
      <c r="O3031" t="str">
        <f t="shared" si="191"/>
        <v>Minor Delay</v>
      </c>
    </row>
    <row r="3032" spans="1:15" x14ac:dyDescent="0.25">
      <c r="A3032">
        <v>3031</v>
      </c>
      <c r="B3032" s="2">
        <v>45724</v>
      </c>
      <c r="C3032" t="s">
        <v>18</v>
      </c>
      <c r="D3032" t="s">
        <v>19</v>
      </c>
      <c r="E3032" t="s">
        <v>27</v>
      </c>
      <c r="F3032" t="s">
        <v>14</v>
      </c>
      <c r="G3032">
        <v>170</v>
      </c>
      <c r="H3032">
        <v>571.44000000000005</v>
      </c>
      <c r="I3032">
        <v>26</v>
      </c>
      <c r="J3032" t="s">
        <v>30</v>
      </c>
      <c r="K3032">
        <v>97144.8</v>
      </c>
      <c r="L3032" t="str">
        <f t="shared" si="188"/>
        <v>Mar</v>
      </c>
      <c r="M3032">
        <f t="shared" si="189"/>
        <v>2025</v>
      </c>
      <c r="N3032">
        <f t="shared" si="190"/>
        <v>97144.8</v>
      </c>
      <c r="O3032" t="str">
        <f t="shared" si="191"/>
        <v>Minor Delay</v>
      </c>
    </row>
    <row r="3033" spans="1:15" x14ac:dyDescent="0.25">
      <c r="A3033">
        <v>3032</v>
      </c>
      <c r="B3033" s="2">
        <v>45904</v>
      </c>
      <c r="C3033" t="s">
        <v>31</v>
      </c>
      <c r="D3033" t="s">
        <v>23</v>
      </c>
      <c r="E3033" t="s">
        <v>20</v>
      </c>
      <c r="F3033" t="s">
        <v>21</v>
      </c>
      <c r="G3033">
        <v>54</v>
      </c>
      <c r="H3033">
        <v>471.39</v>
      </c>
      <c r="I3033">
        <v>0</v>
      </c>
      <c r="J3033" t="s">
        <v>15</v>
      </c>
      <c r="K3033">
        <v>25455.06</v>
      </c>
      <c r="L3033" t="str">
        <f t="shared" si="188"/>
        <v>Sep</v>
      </c>
      <c r="M3033">
        <f t="shared" si="189"/>
        <v>2025</v>
      </c>
      <c r="N3033">
        <f t="shared" si="190"/>
        <v>25455.059999999998</v>
      </c>
      <c r="O3033" t="str">
        <f t="shared" si="191"/>
        <v>On Time</v>
      </c>
    </row>
    <row r="3034" spans="1:15" x14ac:dyDescent="0.25">
      <c r="A3034">
        <v>3033</v>
      </c>
      <c r="B3034" s="2">
        <v>45718</v>
      </c>
      <c r="C3034" t="s">
        <v>11</v>
      </c>
      <c r="D3034" t="s">
        <v>23</v>
      </c>
      <c r="E3034" t="s">
        <v>19</v>
      </c>
      <c r="F3034" t="s">
        <v>14</v>
      </c>
      <c r="G3034">
        <v>300</v>
      </c>
      <c r="H3034">
        <v>271.25</v>
      </c>
      <c r="I3034">
        <v>27</v>
      </c>
      <c r="J3034" t="s">
        <v>15</v>
      </c>
      <c r="K3034">
        <v>81375</v>
      </c>
      <c r="L3034" t="str">
        <f t="shared" si="188"/>
        <v>Mar</v>
      </c>
      <c r="M3034">
        <f t="shared" si="189"/>
        <v>2025</v>
      </c>
      <c r="N3034">
        <f t="shared" si="190"/>
        <v>81375</v>
      </c>
      <c r="O3034" t="str">
        <f t="shared" si="191"/>
        <v>Minor Delay</v>
      </c>
    </row>
    <row r="3035" spans="1:15" x14ac:dyDescent="0.25">
      <c r="A3035">
        <v>3034</v>
      </c>
      <c r="B3035" s="2">
        <v>45752</v>
      </c>
      <c r="C3035" t="s">
        <v>26</v>
      </c>
      <c r="D3035" t="s">
        <v>20</v>
      </c>
      <c r="E3035" t="s">
        <v>17</v>
      </c>
      <c r="F3035" t="s">
        <v>21</v>
      </c>
      <c r="G3035">
        <v>121</v>
      </c>
      <c r="H3035">
        <v>680.36</v>
      </c>
      <c r="I3035">
        <v>0</v>
      </c>
      <c r="J3035" t="s">
        <v>15</v>
      </c>
      <c r="K3035">
        <v>82323.56</v>
      </c>
      <c r="L3035" t="str">
        <f t="shared" si="188"/>
        <v>Apr</v>
      </c>
      <c r="M3035">
        <f t="shared" si="189"/>
        <v>2025</v>
      </c>
      <c r="N3035">
        <f t="shared" si="190"/>
        <v>82323.56</v>
      </c>
      <c r="O3035" t="str">
        <f t="shared" si="191"/>
        <v>On Time</v>
      </c>
    </row>
    <row r="3036" spans="1:15" x14ac:dyDescent="0.25">
      <c r="A3036">
        <v>3035</v>
      </c>
      <c r="B3036" s="2">
        <v>46017</v>
      </c>
      <c r="C3036" t="s">
        <v>26</v>
      </c>
      <c r="D3036" t="s">
        <v>29</v>
      </c>
      <c r="E3036" t="s">
        <v>20</v>
      </c>
      <c r="F3036" t="s">
        <v>24</v>
      </c>
      <c r="G3036">
        <v>242</v>
      </c>
      <c r="H3036">
        <v>360.04</v>
      </c>
      <c r="I3036">
        <v>34</v>
      </c>
      <c r="J3036" t="s">
        <v>15</v>
      </c>
      <c r="K3036">
        <v>87129.68</v>
      </c>
      <c r="L3036" t="str">
        <f t="shared" si="188"/>
        <v>Dec</v>
      </c>
      <c r="M3036">
        <f t="shared" si="189"/>
        <v>2025</v>
      </c>
      <c r="N3036">
        <f t="shared" si="190"/>
        <v>87129.680000000008</v>
      </c>
      <c r="O3036" t="str">
        <f t="shared" si="191"/>
        <v>Moderate Delay</v>
      </c>
    </row>
    <row r="3037" spans="1:15" x14ac:dyDescent="0.25">
      <c r="A3037">
        <v>3036</v>
      </c>
      <c r="B3037" s="2">
        <v>45663</v>
      </c>
      <c r="C3037" t="s">
        <v>11</v>
      </c>
      <c r="D3037" t="s">
        <v>29</v>
      </c>
      <c r="E3037" t="s">
        <v>22</v>
      </c>
      <c r="F3037" t="s">
        <v>24</v>
      </c>
      <c r="G3037">
        <v>260</v>
      </c>
      <c r="H3037">
        <v>483.77</v>
      </c>
      <c r="I3037">
        <v>11</v>
      </c>
      <c r="J3037" t="s">
        <v>15</v>
      </c>
      <c r="K3037">
        <v>125780.2</v>
      </c>
      <c r="L3037" t="str">
        <f t="shared" si="188"/>
        <v>Jan</v>
      </c>
      <c r="M3037">
        <f t="shared" si="189"/>
        <v>2025</v>
      </c>
      <c r="N3037">
        <f t="shared" si="190"/>
        <v>125780.2</v>
      </c>
      <c r="O3037" t="str">
        <f t="shared" si="191"/>
        <v>Minor Delay</v>
      </c>
    </row>
    <row r="3038" spans="1:15" x14ac:dyDescent="0.25">
      <c r="A3038">
        <v>3037</v>
      </c>
      <c r="B3038" s="2">
        <v>45750</v>
      </c>
      <c r="C3038" t="s">
        <v>25</v>
      </c>
      <c r="D3038" t="s">
        <v>12</v>
      </c>
      <c r="E3038" t="s">
        <v>29</v>
      </c>
      <c r="F3038" t="s">
        <v>24</v>
      </c>
      <c r="G3038">
        <v>229</v>
      </c>
      <c r="H3038">
        <v>734.17</v>
      </c>
      <c r="I3038">
        <v>13</v>
      </c>
      <c r="J3038" t="s">
        <v>15</v>
      </c>
      <c r="K3038">
        <v>168124.93</v>
      </c>
      <c r="L3038" t="str">
        <f t="shared" si="188"/>
        <v>Apr</v>
      </c>
      <c r="M3038">
        <f t="shared" si="189"/>
        <v>2025</v>
      </c>
      <c r="N3038">
        <f t="shared" si="190"/>
        <v>168124.93</v>
      </c>
      <c r="O3038" t="str">
        <f t="shared" si="191"/>
        <v>Minor Delay</v>
      </c>
    </row>
    <row r="3039" spans="1:15" x14ac:dyDescent="0.25">
      <c r="A3039">
        <v>3038</v>
      </c>
      <c r="B3039" s="2">
        <v>46002</v>
      </c>
      <c r="C3039" t="s">
        <v>16</v>
      </c>
      <c r="D3039" t="s">
        <v>17</v>
      </c>
      <c r="E3039" t="s">
        <v>27</v>
      </c>
      <c r="F3039" t="s">
        <v>24</v>
      </c>
      <c r="G3039">
        <v>224</v>
      </c>
      <c r="H3039">
        <v>717.87</v>
      </c>
      <c r="I3039">
        <v>0</v>
      </c>
      <c r="J3039" t="s">
        <v>15</v>
      </c>
      <c r="K3039">
        <v>160802.88</v>
      </c>
      <c r="L3039" t="str">
        <f t="shared" si="188"/>
        <v>Dec</v>
      </c>
      <c r="M3039">
        <f t="shared" si="189"/>
        <v>2025</v>
      </c>
      <c r="N3039">
        <f t="shared" si="190"/>
        <v>160802.88</v>
      </c>
      <c r="O3039" t="str">
        <f t="shared" si="191"/>
        <v>On Time</v>
      </c>
    </row>
    <row r="3040" spans="1:15" x14ac:dyDescent="0.25">
      <c r="A3040">
        <v>3039</v>
      </c>
      <c r="B3040" s="2">
        <v>45965</v>
      </c>
      <c r="C3040" t="s">
        <v>16</v>
      </c>
      <c r="D3040" t="s">
        <v>22</v>
      </c>
      <c r="E3040" t="s">
        <v>19</v>
      </c>
      <c r="F3040" t="s">
        <v>14</v>
      </c>
      <c r="G3040">
        <v>76</v>
      </c>
      <c r="H3040">
        <v>767.39</v>
      </c>
      <c r="I3040">
        <v>38</v>
      </c>
      <c r="J3040" t="s">
        <v>15</v>
      </c>
      <c r="K3040">
        <v>58321.64</v>
      </c>
      <c r="L3040" t="str">
        <f t="shared" si="188"/>
        <v>Nov</v>
      </c>
      <c r="M3040">
        <f t="shared" si="189"/>
        <v>2025</v>
      </c>
      <c r="N3040">
        <f t="shared" si="190"/>
        <v>58321.64</v>
      </c>
      <c r="O3040" t="str">
        <f t="shared" si="191"/>
        <v>Moderate Delay</v>
      </c>
    </row>
    <row r="3041" spans="1:15" x14ac:dyDescent="0.25">
      <c r="A3041">
        <v>3040</v>
      </c>
      <c r="B3041" s="2">
        <v>45863</v>
      </c>
      <c r="C3041" t="s">
        <v>25</v>
      </c>
      <c r="D3041" t="s">
        <v>13</v>
      </c>
      <c r="E3041" t="s">
        <v>29</v>
      </c>
      <c r="F3041" t="s">
        <v>14</v>
      </c>
      <c r="G3041">
        <v>195</v>
      </c>
      <c r="H3041">
        <v>505.21</v>
      </c>
      <c r="I3041">
        <v>34</v>
      </c>
      <c r="J3041" t="s">
        <v>15</v>
      </c>
      <c r="K3041">
        <v>98515.95</v>
      </c>
      <c r="L3041" t="str">
        <f t="shared" si="188"/>
        <v>Jul</v>
      </c>
      <c r="M3041">
        <f t="shared" si="189"/>
        <v>2025</v>
      </c>
      <c r="N3041">
        <f t="shared" si="190"/>
        <v>98515.95</v>
      </c>
      <c r="O3041" t="str">
        <f t="shared" si="191"/>
        <v>Moderate Delay</v>
      </c>
    </row>
    <row r="3042" spans="1:15" x14ac:dyDescent="0.25">
      <c r="A3042">
        <v>3041</v>
      </c>
      <c r="B3042" s="2">
        <v>45757</v>
      </c>
      <c r="C3042" t="s">
        <v>11</v>
      </c>
      <c r="D3042" t="s">
        <v>13</v>
      </c>
      <c r="E3042" t="s">
        <v>29</v>
      </c>
      <c r="F3042" t="s">
        <v>14</v>
      </c>
      <c r="G3042">
        <v>119</v>
      </c>
      <c r="H3042">
        <v>779.33</v>
      </c>
      <c r="I3042">
        <v>32</v>
      </c>
      <c r="J3042" t="s">
        <v>15</v>
      </c>
      <c r="K3042">
        <v>92740.27</v>
      </c>
      <c r="L3042" t="str">
        <f t="shared" si="188"/>
        <v>Apr</v>
      </c>
      <c r="M3042">
        <f t="shared" si="189"/>
        <v>2025</v>
      </c>
      <c r="N3042">
        <f t="shared" si="190"/>
        <v>92740.27</v>
      </c>
      <c r="O3042" t="str">
        <f t="shared" si="191"/>
        <v>Moderate Delay</v>
      </c>
    </row>
    <row r="3043" spans="1:15" x14ac:dyDescent="0.25">
      <c r="A3043">
        <v>3042</v>
      </c>
      <c r="B3043" s="2">
        <v>46009</v>
      </c>
      <c r="C3043" t="s">
        <v>26</v>
      </c>
      <c r="D3043" t="s">
        <v>20</v>
      </c>
      <c r="E3043" t="s">
        <v>19</v>
      </c>
      <c r="F3043" t="s">
        <v>21</v>
      </c>
      <c r="G3043">
        <v>253</v>
      </c>
      <c r="H3043">
        <v>134.29</v>
      </c>
      <c r="I3043">
        <v>74</v>
      </c>
      <c r="J3043" t="s">
        <v>15</v>
      </c>
      <c r="K3043">
        <v>33975.370000000003</v>
      </c>
      <c r="L3043" t="str">
        <f t="shared" si="188"/>
        <v>Dec</v>
      </c>
      <c r="M3043">
        <f t="shared" si="189"/>
        <v>2025</v>
      </c>
      <c r="N3043">
        <f t="shared" si="190"/>
        <v>33975.369999999995</v>
      </c>
      <c r="O3043" t="str">
        <f t="shared" si="191"/>
        <v>Major Delay</v>
      </c>
    </row>
    <row r="3044" spans="1:15" x14ac:dyDescent="0.25">
      <c r="A3044">
        <v>3043</v>
      </c>
      <c r="B3044" s="2">
        <v>45703</v>
      </c>
      <c r="C3044" t="s">
        <v>25</v>
      </c>
      <c r="D3044" t="s">
        <v>27</v>
      </c>
      <c r="E3044" t="s">
        <v>23</v>
      </c>
      <c r="F3044" t="s">
        <v>14</v>
      </c>
      <c r="G3044">
        <v>294</v>
      </c>
      <c r="H3044">
        <v>112.66</v>
      </c>
      <c r="I3044">
        <v>0</v>
      </c>
      <c r="J3044" t="s">
        <v>15</v>
      </c>
      <c r="K3044">
        <v>33122.04</v>
      </c>
      <c r="L3044" t="str">
        <f t="shared" si="188"/>
        <v>Feb</v>
      </c>
      <c r="M3044">
        <f t="shared" si="189"/>
        <v>2025</v>
      </c>
      <c r="N3044">
        <f t="shared" si="190"/>
        <v>33122.04</v>
      </c>
      <c r="O3044" t="str">
        <f t="shared" si="191"/>
        <v>On Time</v>
      </c>
    </row>
    <row r="3045" spans="1:15" x14ac:dyDescent="0.25">
      <c r="A3045">
        <v>3044</v>
      </c>
      <c r="B3045" s="2">
        <v>45711</v>
      </c>
      <c r="C3045" t="s">
        <v>18</v>
      </c>
      <c r="D3045" t="s">
        <v>23</v>
      </c>
      <c r="E3045" t="s">
        <v>12</v>
      </c>
      <c r="F3045" t="s">
        <v>14</v>
      </c>
      <c r="G3045">
        <v>299</v>
      </c>
      <c r="H3045">
        <v>269.37</v>
      </c>
      <c r="I3045">
        <v>33</v>
      </c>
      <c r="J3045" t="s">
        <v>15</v>
      </c>
      <c r="K3045">
        <v>80541.63</v>
      </c>
      <c r="L3045" t="str">
        <f t="shared" si="188"/>
        <v>Feb</v>
      </c>
      <c r="M3045">
        <f t="shared" si="189"/>
        <v>2025</v>
      </c>
      <c r="N3045">
        <f t="shared" si="190"/>
        <v>80541.63</v>
      </c>
      <c r="O3045" t="str">
        <f t="shared" si="191"/>
        <v>Moderate Delay</v>
      </c>
    </row>
    <row r="3046" spans="1:15" x14ac:dyDescent="0.25">
      <c r="A3046">
        <v>3045</v>
      </c>
      <c r="B3046" s="2">
        <v>45682</v>
      </c>
      <c r="C3046" t="s">
        <v>26</v>
      </c>
      <c r="D3046" t="s">
        <v>12</v>
      </c>
      <c r="E3046" t="s">
        <v>13</v>
      </c>
      <c r="F3046" t="s">
        <v>21</v>
      </c>
      <c r="G3046">
        <v>280</v>
      </c>
      <c r="H3046">
        <v>742.8</v>
      </c>
      <c r="I3046">
        <v>25</v>
      </c>
      <c r="J3046" t="s">
        <v>15</v>
      </c>
      <c r="K3046">
        <v>207984</v>
      </c>
      <c r="L3046" t="str">
        <f t="shared" si="188"/>
        <v>Jan</v>
      </c>
      <c r="M3046">
        <f t="shared" si="189"/>
        <v>2025</v>
      </c>
      <c r="N3046">
        <f t="shared" si="190"/>
        <v>207984</v>
      </c>
      <c r="O3046" t="str">
        <f t="shared" si="191"/>
        <v>Minor Delay</v>
      </c>
    </row>
    <row r="3047" spans="1:15" x14ac:dyDescent="0.25">
      <c r="A3047">
        <v>3046</v>
      </c>
      <c r="B3047" s="2">
        <v>45718</v>
      </c>
      <c r="C3047" t="s">
        <v>18</v>
      </c>
      <c r="D3047" t="s">
        <v>17</v>
      </c>
      <c r="E3047" t="s">
        <v>20</v>
      </c>
      <c r="F3047" t="s">
        <v>21</v>
      </c>
      <c r="G3047">
        <v>58</v>
      </c>
      <c r="H3047">
        <v>613.51</v>
      </c>
      <c r="I3047">
        <v>15</v>
      </c>
      <c r="J3047" t="s">
        <v>15</v>
      </c>
      <c r="K3047">
        <v>35583.58</v>
      </c>
      <c r="L3047" t="str">
        <f t="shared" si="188"/>
        <v>Mar</v>
      </c>
      <c r="M3047">
        <f t="shared" si="189"/>
        <v>2025</v>
      </c>
      <c r="N3047">
        <f t="shared" si="190"/>
        <v>35583.58</v>
      </c>
      <c r="O3047" t="str">
        <f t="shared" si="191"/>
        <v>Minor Delay</v>
      </c>
    </row>
    <row r="3048" spans="1:15" x14ac:dyDescent="0.25">
      <c r="A3048">
        <v>3047</v>
      </c>
      <c r="B3048" s="2">
        <v>45807</v>
      </c>
      <c r="C3048" t="s">
        <v>11</v>
      </c>
      <c r="D3048" t="s">
        <v>13</v>
      </c>
      <c r="E3048" t="s">
        <v>23</v>
      </c>
      <c r="F3048" t="s">
        <v>14</v>
      </c>
      <c r="G3048">
        <v>294</v>
      </c>
      <c r="H3048">
        <v>685.77</v>
      </c>
      <c r="I3048">
        <v>29</v>
      </c>
      <c r="J3048" t="s">
        <v>15</v>
      </c>
      <c r="K3048">
        <v>201616.38</v>
      </c>
      <c r="L3048" t="str">
        <f t="shared" si="188"/>
        <v>May</v>
      </c>
      <c r="M3048">
        <f t="shared" si="189"/>
        <v>2025</v>
      </c>
      <c r="N3048">
        <f t="shared" si="190"/>
        <v>201616.38</v>
      </c>
      <c r="O3048" t="str">
        <f t="shared" si="191"/>
        <v>Minor Delay</v>
      </c>
    </row>
    <row r="3049" spans="1:15" x14ac:dyDescent="0.25">
      <c r="A3049">
        <v>3048</v>
      </c>
      <c r="B3049" s="2">
        <v>45941</v>
      </c>
      <c r="C3049" t="s">
        <v>26</v>
      </c>
      <c r="D3049" t="s">
        <v>22</v>
      </c>
      <c r="E3049" t="s">
        <v>23</v>
      </c>
      <c r="F3049" t="s">
        <v>14</v>
      </c>
      <c r="G3049">
        <v>65</v>
      </c>
      <c r="H3049">
        <v>215.05</v>
      </c>
      <c r="I3049">
        <v>48</v>
      </c>
      <c r="J3049" t="s">
        <v>15</v>
      </c>
      <c r="K3049">
        <v>13978.25</v>
      </c>
      <c r="L3049" t="str">
        <f t="shared" si="188"/>
        <v>Oct</v>
      </c>
      <c r="M3049">
        <f t="shared" si="189"/>
        <v>2025</v>
      </c>
      <c r="N3049">
        <f t="shared" si="190"/>
        <v>13978.25</v>
      </c>
      <c r="O3049" t="str">
        <f t="shared" si="191"/>
        <v>Moderate Delay</v>
      </c>
    </row>
    <row r="3050" spans="1:15" x14ac:dyDescent="0.25">
      <c r="A3050">
        <v>3049</v>
      </c>
      <c r="B3050" s="2">
        <v>46014</v>
      </c>
      <c r="C3050" t="s">
        <v>18</v>
      </c>
      <c r="D3050" t="s">
        <v>17</v>
      </c>
      <c r="E3050" t="s">
        <v>13</v>
      </c>
      <c r="F3050" t="s">
        <v>21</v>
      </c>
      <c r="G3050">
        <v>221</v>
      </c>
      <c r="H3050">
        <v>131.16</v>
      </c>
      <c r="I3050">
        <v>49</v>
      </c>
      <c r="J3050" t="s">
        <v>15</v>
      </c>
      <c r="K3050">
        <v>28986.36</v>
      </c>
      <c r="L3050" t="str">
        <f t="shared" si="188"/>
        <v>Dec</v>
      </c>
      <c r="M3050">
        <f t="shared" si="189"/>
        <v>2025</v>
      </c>
      <c r="N3050">
        <f t="shared" si="190"/>
        <v>28986.36</v>
      </c>
      <c r="O3050" t="str">
        <f t="shared" si="191"/>
        <v>Moderate Delay</v>
      </c>
    </row>
    <row r="3051" spans="1:15" x14ac:dyDescent="0.25">
      <c r="A3051">
        <v>3050</v>
      </c>
      <c r="B3051" s="2">
        <v>45688</v>
      </c>
      <c r="C3051" t="s">
        <v>16</v>
      </c>
      <c r="D3051" t="s">
        <v>27</v>
      </c>
      <c r="E3051" t="s">
        <v>17</v>
      </c>
      <c r="F3051" t="s">
        <v>24</v>
      </c>
      <c r="G3051">
        <v>251</v>
      </c>
      <c r="H3051">
        <v>415.61</v>
      </c>
      <c r="I3051">
        <v>0</v>
      </c>
      <c r="J3051" t="s">
        <v>30</v>
      </c>
      <c r="K3051">
        <v>104318.11</v>
      </c>
      <c r="L3051" t="str">
        <f t="shared" si="188"/>
        <v>Jan</v>
      </c>
      <c r="M3051">
        <f t="shared" si="189"/>
        <v>2025</v>
      </c>
      <c r="N3051">
        <f t="shared" si="190"/>
        <v>104318.11</v>
      </c>
      <c r="O3051" t="str">
        <f t="shared" si="191"/>
        <v>On Time</v>
      </c>
    </row>
    <row r="3052" spans="1:15" x14ac:dyDescent="0.25">
      <c r="A3052">
        <v>3051</v>
      </c>
      <c r="B3052" s="2">
        <v>45717</v>
      </c>
      <c r="C3052" t="s">
        <v>11</v>
      </c>
      <c r="D3052" t="s">
        <v>12</v>
      </c>
      <c r="E3052" t="s">
        <v>27</v>
      </c>
      <c r="F3052" t="s">
        <v>14</v>
      </c>
      <c r="G3052">
        <v>250</v>
      </c>
      <c r="H3052">
        <v>582.01</v>
      </c>
      <c r="I3052">
        <v>1</v>
      </c>
      <c r="J3052" t="s">
        <v>30</v>
      </c>
      <c r="K3052">
        <v>145502.5</v>
      </c>
      <c r="L3052" t="str">
        <f t="shared" si="188"/>
        <v>Mar</v>
      </c>
      <c r="M3052">
        <f t="shared" si="189"/>
        <v>2025</v>
      </c>
      <c r="N3052">
        <f t="shared" si="190"/>
        <v>145502.5</v>
      </c>
      <c r="O3052" t="str">
        <f t="shared" si="191"/>
        <v>Minor Delay</v>
      </c>
    </row>
    <row r="3053" spans="1:15" x14ac:dyDescent="0.25">
      <c r="A3053">
        <v>3052</v>
      </c>
      <c r="B3053" s="2">
        <v>45813</v>
      </c>
      <c r="C3053" t="s">
        <v>18</v>
      </c>
      <c r="D3053" t="s">
        <v>13</v>
      </c>
      <c r="E3053" t="s">
        <v>19</v>
      </c>
      <c r="F3053" t="s">
        <v>21</v>
      </c>
      <c r="G3053">
        <v>272</v>
      </c>
      <c r="H3053">
        <v>63.19</v>
      </c>
      <c r="I3053">
        <v>9</v>
      </c>
      <c r="J3053" t="s">
        <v>30</v>
      </c>
      <c r="K3053">
        <v>17187.68</v>
      </c>
      <c r="L3053" t="str">
        <f t="shared" si="188"/>
        <v>Jun</v>
      </c>
      <c r="M3053">
        <f t="shared" si="189"/>
        <v>2025</v>
      </c>
      <c r="N3053">
        <f t="shared" si="190"/>
        <v>17187.68</v>
      </c>
      <c r="O3053" t="str">
        <f t="shared" si="191"/>
        <v>Minor Delay</v>
      </c>
    </row>
    <row r="3054" spans="1:15" x14ac:dyDescent="0.25">
      <c r="A3054">
        <v>3053</v>
      </c>
      <c r="B3054" s="2">
        <v>45806</v>
      </c>
      <c r="C3054" t="s">
        <v>16</v>
      </c>
      <c r="D3054" t="s">
        <v>27</v>
      </c>
      <c r="E3054" t="s">
        <v>12</v>
      </c>
      <c r="F3054" t="s">
        <v>14</v>
      </c>
      <c r="G3054">
        <v>83</v>
      </c>
      <c r="H3054">
        <v>681.88</v>
      </c>
      <c r="I3054">
        <v>0</v>
      </c>
      <c r="J3054" t="s">
        <v>15</v>
      </c>
      <c r="K3054">
        <v>56596.04</v>
      </c>
      <c r="L3054" t="str">
        <f t="shared" si="188"/>
        <v>May</v>
      </c>
      <c r="M3054">
        <f t="shared" si="189"/>
        <v>2025</v>
      </c>
      <c r="N3054">
        <f t="shared" si="190"/>
        <v>56596.04</v>
      </c>
      <c r="O3054" t="str">
        <f t="shared" si="191"/>
        <v>On Time</v>
      </c>
    </row>
    <row r="3055" spans="1:15" x14ac:dyDescent="0.25">
      <c r="A3055">
        <v>3054</v>
      </c>
      <c r="B3055" s="2">
        <v>45969</v>
      </c>
      <c r="C3055" t="s">
        <v>11</v>
      </c>
      <c r="D3055" t="s">
        <v>20</v>
      </c>
      <c r="E3055" t="s">
        <v>12</v>
      </c>
      <c r="F3055" t="s">
        <v>24</v>
      </c>
      <c r="G3055">
        <v>171</v>
      </c>
      <c r="H3055">
        <v>688.36</v>
      </c>
      <c r="I3055">
        <v>28</v>
      </c>
      <c r="J3055" t="s">
        <v>15</v>
      </c>
      <c r="K3055">
        <v>117709.56</v>
      </c>
      <c r="L3055" t="str">
        <f t="shared" si="188"/>
        <v>Nov</v>
      </c>
      <c r="M3055">
        <f t="shared" si="189"/>
        <v>2025</v>
      </c>
      <c r="N3055">
        <f t="shared" si="190"/>
        <v>117709.56</v>
      </c>
      <c r="O3055" t="str">
        <f t="shared" si="191"/>
        <v>Minor Delay</v>
      </c>
    </row>
    <row r="3056" spans="1:15" x14ac:dyDescent="0.25">
      <c r="A3056">
        <v>3055</v>
      </c>
      <c r="B3056" s="2">
        <v>45877</v>
      </c>
      <c r="C3056" t="s">
        <v>11</v>
      </c>
      <c r="D3056" t="s">
        <v>17</v>
      </c>
      <c r="E3056" t="s">
        <v>23</v>
      </c>
      <c r="F3056" t="s">
        <v>21</v>
      </c>
      <c r="G3056">
        <v>68</v>
      </c>
      <c r="H3056">
        <v>236.74</v>
      </c>
      <c r="I3056">
        <v>22</v>
      </c>
      <c r="J3056" t="s">
        <v>30</v>
      </c>
      <c r="K3056">
        <v>16098.32</v>
      </c>
      <c r="L3056" t="str">
        <f t="shared" si="188"/>
        <v>Aug</v>
      </c>
      <c r="M3056">
        <f t="shared" si="189"/>
        <v>2025</v>
      </c>
      <c r="N3056">
        <f t="shared" si="190"/>
        <v>16098.32</v>
      </c>
      <c r="O3056" t="str">
        <f t="shared" si="191"/>
        <v>Minor Delay</v>
      </c>
    </row>
    <row r="3057" spans="1:15" x14ac:dyDescent="0.25">
      <c r="A3057">
        <v>3056</v>
      </c>
      <c r="B3057" s="2">
        <v>45972</v>
      </c>
      <c r="C3057" t="s">
        <v>16</v>
      </c>
      <c r="D3057" t="s">
        <v>20</v>
      </c>
      <c r="E3057" t="s">
        <v>23</v>
      </c>
      <c r="F3057" t="s">
        <v>21</v>
      </c>
      <c r="G3057">
        <v>147</v>
      </c>
      <c r="H3057">
        <v>150.36000000000001</v>
      </c>
      <c r="I3057">
        <v>10</v>
      </c>
      <c r="J3057" t="s">
        <v>15</v>
      </c>
      <c r="K3057">
        <v>22102.92</v>
      </c>
      <c r="L3057" t="str">
        <f t="shared" si="188"/>
        <v>Nov</v>
      </c>
      <c r="M3057">
        <f t="shared" si="189"/>
        <v>2025</v>
      </c>
      <c r="N3057">
        <f t="shared" si="190"/>
        <v>22102.920000000002</v>
      </c>
      <c r="O3057" t="str">
        <f t="shared" si="191"/>
        <v>Minor Delay</v>
      </c>
    </row>
    <row r="3058" spans="1:15" x14ac:dyDescent="0.25">
      <c r="A3058">
        <v>3057</v>
      </c>
      <c r="B3058" s="2">
        <v>45785</v>
      </c>
      <c r="C3058" t="s">
        <v>25</v>
      </c>
      <c r="D3058" t="s">
        <v>23</v>
      </c>
      <c r="E3058" t="s">
        <v>29</v>
      </c>
      <c r="F3058" t="s">
        <v>14</v>
      </c>
      <c r="G3058">
        <v>80</v>
      </c>
      <c r="H3058">
        <v>317.77999999999997</v>
      </c>
      <c r="I3058">
        <v>27</v>
      </c>
      <c r="J3058" t="s">
        <v>15</v>
      </c>
      <c r="K3058">
        <v>25422.400000000001</v>
      </c>
      <c r="L3058" t="str">
        <f t="shared" si="188"/>
        <v>May</v>
      </c>
      <c r="M3058">
        <f t="shared" si="189"/>
        <v>2025</v>
      </c>
      <c r="N3058">
        <f t="shared" si="190"/>
        <v>25422.399999999998</v>
      </c>
      <c r="O3058" t="str">
        <f t="shared" si="191"/>
        <v>Minor Delay</v>
      </c>
    </row>
    <row r="3059" spans="1:15" x14ac:dyDescent="0.25">
      <c r="A3059">
        <v>3058</v>
      </c>
      <c r="B3059" s="2">
        <v>45827</v>
      </c>
      <c r="C3059" t="s">
        <v>16</v>
      </c>
      <c r="D3059" t="s">
        <v>22</v>
      </c>
      <c r="E3059" t="s">
        <v>19</v>
      </c>
      <c r="F3059" t="s">
        <v>24</v>
      </c>
      <c r="G3059">
        <v>202</v>
      </c>
      <c r="H3059">
        <v>550.96</v>
      </c>
      <c r="I3059">
        <v>13</v>
      </c>
      <c r="J3059" t="s">
        <v>30</v>
      </c>
      <c r="K3059">
        <v>111293.92</v>
      </c>
      <c r="L3059" t="str">
        <f t="shared" si="188"/>
        <v>Jun</v>
      </c>
      <c r="M3059">
        <f t="shared" si="189"/>
        <v>2025</v>
      </c>
      <c r="N3059">
        <f t="shared" si="190"/>
        <v>111293.92000000001</v>
      </c>
      <c r="O3059" t="str">
        <f t="shared" si="191"/>
        <v>Minor Delay</v>
      </c>
    </row>
    <row r="3060" spans="1:15" x14ac:dyDescent="0.25">
      <c r="A3060">
        <v>3059</v>
      </c>
      <c r="B3060" s="2">
        <v>45692</v>
      </c>
      <c r="C3060" t="s">
        <v>18</v>
      </c>
      <c r="D3060" t="s">
        <v>29</v>
      </c>
      <c r="E3060" t="s">
        <v>20</v>
      </c>
      <c r="F3060" t="s">
        <v>21</v>
      </c>
      <c r="G3060">
        <v>114</v>
      </c>
      <c r="H3060">
        <v>662.47</v>
      </c>
      <c r="I3060">
        <v>0</v>
      </c>
      <c r="J3060" t="s">
        <v>15</v>
      </c>
      <c r="K3060">
        <v>75521.58</v>
      </c>
      <c r="L3060" t="str">
        <f t="shared" si="188"/>
        <v>Feb</v>
      </c>
      <c r="M3060">
        <f t="shared" si="189"/>
        <v>2025</v>
      </c>
      <c r="N3060">
        <f t="shared" si="190"/>
        <v>75521.58</v>
      </c>
      <c r="O3060" t="str">
        <f t="shared" si="191"/>
        <v>On Time</v>
      </c>
    </row>
    <row r="3061" spans="1:15" x14ac:dyDescent="0.25">
      <c r="A3061">
        <v>3060</v>
      </c>
      <c r="B3061" s="2">
        <v>45696</v>
      </c>
      <c r="C3061" t="s">
        <v>16</v>
      </c>
      <c r="D3061" t="s">
        <v>20</v>
      </c>
      <c r="E3061" t="s">
        <v>23</v>
      </c>
      <c r="F3061" t="s">
        <v>14</v>
      </c>
      <c r="G3061">
        <v>212</v>
      </c>
      <c r="H3061">
        <v>328.83</v>
      </c>
      <c r="I3061">
        <v>96</v>
      </c>
      <c r="J3061" t="s">
        <v>15</v>
      </c>
      <c r="K3061">
        <v>69711.960000000006</v>
      </c>
      <c r="L3061" t="str">
        <f t="shared" si="188"/>
        <v>Feb</v>
      </c>
      <c r="M3061">
        <f t="shared" si="189"/>
        <v>2025</v>
      </c>
      <c r="N3061">
        <f t="shared" si="190"/>
        <v>69711.959999999992</v>
      </c>
      <c r="O3061" t="str">
        <f t="shared" si="191"/>
        <v>Major Delay</v>
      </c>
    </row>
    <row r="3062" spans="1:15" x14ac:dyDescent="0.25">
      <c r="A3062">
        <v>3061</v>
      </c>
      <c r="B3062" s="2">
        <v>45956</v>
      </c>
      <c r="C3062" t="s">
        <v>31</v>
      </c>
      <c r="D3062" t="s">
        <v>12</v>
      </c>
      <c r="E3062" t="s">
        <v>27</v>
      </c>
      <c r="F3062" t="s">
        <v>21</v>
      </c>
      <c r="G3062">
        <v>230</v>
      </c>
      <c r="H3062">
        <v>514.04999999999995</v>
      </c>
      <c r="I3062">
        <v>0</v>
      </c>
      <c r="J3062" t="s">
        <v>15</v>
      </c>
      <c r="K3062">
        <v>118231.5</v>
      </c>
      <c r="L3062" t="str">
        <f t="shared" si="188"/>
        <v>Oct</v>
      </c>
      <c r="M3062">
        <f t="shared" si="189"/>
        <v>2025</v>
      </c>
      <c r="N3062">
        <f t="shared" si="190"/>
        <v>118231.49999999999</v>
      </c>
      <c r="O3062" t="str">
        <f t="shared" si="191"/>
        <v>On Time</v>
      </c>
    </row>
    <row r="3063" spans="1:15" x14ac:dyDescent="0.25">
      <c r="A3063">
        <v>3062</v>
      </c>
      <c r="B3063" s="2">
        <v>45917</v>
      </c>
      <c r="C3063" t="s">
        <v>31</v>
      </c>
      <c r="D3063" t="s">
        <v>17</v>
      </c>
      <c r="E3063" t="s">
        <v>23</v>
      </c>
      <c r="F3063" t="s">
        <v>21</v>
      </c>
      <c r="G3063">
        <v>106</v>
      </c>
      <c r="H3063">
        <v>786.06</v>
      </c>
      <c r="I3063">
        <v>12</v>
      </c>
      <c r="J3063" t="s">
        <v>15</v>
      </c>
      <c r="K3063">
        <v>83322.36</v>
      </c>
      <c r="L3063" t="str">
        <f t="shared" si="188"/>
        <v>Sep</v>
      </c>
      <c r="M3063">
        <f t="shared" si="189"/>
        <v>2025</v>
      </c>
      <c r="N3063">
        <f t="shared" si="190"/>
        <v>83322.36</v>
      </c>
      <c r="O3063" t="str">
        <f t="shared" si="191"/>
        <v>Minor Delay</v>
      </c>
    </row>
    <row r="3064" spans="1:15" x14ac:dyDescent="0.25">
      <c r="A3064">
        <v>3063</v>
      </c>
      <c r="B3064" s="2">
        <v>45879</v>
      </c>
      <c r="C3064" t="s">
        <v>18</v>
      </c>
      <c r="D3064" t="s">
        <v>12</v>
      </c>
      <c r="E3064" t="s">
        <v>17</v>
      </c>
      <c r="F3064" t="s">
        <v>24</v>
      </c>
      <c r="G3064">
        <v>290</v>
      </c>
      <c r="H3064">
        <v>550.91999999999996</v>
      </c>
      <c r="I3064">
        <v>0</v>
      </c>
      <c r="J3064" t="s">
        <v>15</v>
      </c>
      <c r="K3064">
        <v>159766.79999999999</v>
      </c>
      <c r="L3064" t="str">
        <f t="shared" si="188"/>
        <v>Aug</v>
      </c>
      <c r="M3064">
        <f t="shared" si="189"/>
        <v>2025</v>
      </c>
      <c r="N3064">
        <f t="shared" si="190"/>
        <v>159766.79999999999</v>
      </c>
      <c r="O3064" t="str">
        <f t="shared" si="191"/>
        <v>On Time</v>
      </c>
    </row>
    <row r="3065" spans="1:15" x14ac:dyDescent="0.25">
      <c r="A3065">
        <v>3064</v>
      </c>
      <c r="B3065" s="2">
        <v>45752</v>
      </c>
      <c r="C3065" t="s">
        <v>18</v>
      </c>
      <c r="D3065" t="s">
        <v>23</v>
      </c>
      <c r="E3065" t="s">
        <v>29</v>
      </c>
      <c r="F3065" t="s">
        <v>21</v>
      </c>
      <c r="G3065">
        <v>235</v>
      </c>
      <c r="H3065">
        <v>123.95</v>
      </c>
      <c r="I3065">
        <v>33</v>
      </c>
      <c r="J3065" t="s">
        <v>15</v>
      </c>
      <c r="K3065">
        <v>29128.25</v>
      </c>
      <c r="L3065" t="str">
        <f t="shared" si="188"/>
        <v>Apr</v>
      </c>
      <c r="M3065">
        <f t="shared" si="189"/>
        <v>2025</v>
      </c>
      <c r="N3065">
        <f t="shared" si="190"/>
        <v>29128.25</v>
      </c>
      <c r="O3065" t="str">
        <f t="shared" si="191"/>
        <v>Moderate Delay</v>
      </c>
    </row>
    <row r="3066" spans="1:15" x14ac:dyDescent="0.25">
      <c r="A3066">
        <v>3065</v>
      </c>
      <c r="B3066" s="2">
        <v>45992</v>
      </c>
      <c r="C3066" t="s">
        <v>26</v>
      </c>
      <c r="D3066" t="s">
        <v>17</v>
      </c>
      <c r="E3066" t="s">
        <v>29</v>
      </c>
      <c r="F3066" t="s">
        <v>24</v>
      </c>
      <c r="G3066">
        <v>143</v>
      </c>
      <c r="H3066">
        <v>79.16</v>
      </c>
      <c r="I3066">
        <v>17</v>
      </c>
      <c r="J3066" t="s">
        <v>15</v>
      </c>
      <c r="K3066">
        <v>11319.88</v>
      </c>
      <c r="L3066" t="str">
        <f t="shared" si="188"/>
        <v>Dec</v>
      </c>
      <c r="M3066">
        <f t="shared" si="189"/>
        <v>2025</v>
      </c>
      <c r="N3066">
        <f t="shared" si="190"/>
        <v>11319.88</v>
      </c>
      <c r="O3066" t="str">
        <f t="shared" si="191"/>
        <v>Minor Delay</v>
      </c>
    </row>
    <row r="3067" spans="1:15" x14ac:dyDescent="0.25">
      <c r="A3067">
        <v>3066</v>
      </c>
      <c r="B3067" s="2">
        <v>45808</v>
      </c>
      <c r="C3067" t="s">
        <v>25</v>
      </c>
      <c r="D3067" t="s">
        <v>13</v>
      </c>
      <c r="E3067" t="s">
        <v>29</v>
      </c>
      <c r="F3067" t="s">
        <v>24</v>
      </c>
      <c r="G3067">
        <v>78</v>
      </c>
      <c r="H3067">
        <v>680.74</v>
      </c>
      <c r="I3067">
        <v>22</v>
      </c>
      <c r="J3067" t="s">
        <v>15</v>
      </c>
      <c r="K3067">
        <v>53097.72</v>
      </c>
      <c r="L3067" t="str">
        <f t="shared" si="188"/>
        <v>May</v>
      </c>
      <c r="M3067">
        <f t="shared" si="189"/>
        <v>2025</v>
      </c>
      <c r="N3067">
        <f t="shared" si="190"/>
        <v>53097.72</v>
      </c>
      <c r="O3067" t="str">
        <f t="shared" si="191"/>
        <v>Minor Delay</v>
      </c>
    </row>
    <row r="3068" spans="1:15" x14ac:dyDescent="0.25">
      <c r="A3068">
        <v>3067</v>
      </c>
      <c r="B3068" s="2">
        <v>45750</v>
      </c>
      <c r="C3068" t="s">
        <v>26</v>
      </c>
      <c r="D3068" t="s">
        <v>17</v>
      </c>
      <c r="E3068" t="s">
        <v>20</v>
      </c>
      <c r="F3068" t="s">
        <v>14</v>
      </c>
      <c r="G3068">
        <v>251</v>
      </c>
      <c r="H3068">
        <v>578.32000000000005</v>
      </c>
      <c r="I3068">
        <v>0</v>
      </c>
      <c r="J3068" t="s">
        <v>30</v>
      </c>
      <c r="K3068">
        <v>145158.32</v>
      </c>
      <c r="L3068" t="str">
        <f t="shared" si="188"/>
        <v>Apr</v>
      </c>
      <c r="M3068">
        <f t="shared" si="189"/>
        <v>2025</v>
      </c>
      <c r="N3068">
        <f t="shared" si="190"/>
        <v>145158.32</v>
      </c>
      <c r="O3068" t="str">
        <f t="shared" si="191"/>
        <v>On Time</v>
      </c>
    </row>
    <row r="3069" spans="1:15" x14ac:dyDescent="0.25">
      <c r="A3069">
        <v>3068</v>
      </c>
      <c r="B3069" s="2">
        <v>45867</v>
      </c>
      <c r="C3069" t="s">
        <v>31</v>
      </c>
      <c r="D3069" t="s">
        <v>13</v>
      </c>
      <c r="E3069" t="s">
        <v>20</v>
      </c>
      <c r="F3069" t="s">
        <v>21</v>
      </c>
      <c r="G3069">
        <v>65</v>
      </c>
      <c r="H3069">
        <v>557.51</v>
      </c>
      <c r="I3069">
        <v>35</v>
      </c>
      <c r="J3069" t="s">
        <v>28</v>
      </c>
      <c r="K3069">
        <v>36238.15</v>
      </c>
      <c r="L3069" t="str">
        <f t="shared" si="188"/>
        <v>Jul</v>
      </c>
      <c r="M3069">
        <f t="shared" si="189"/>
        <v>2025</v>
      </c>
      <c r="N3069">
        <f t="shared" si="190"/>
        <v>36238.15</v>
      </c>
      <c r="O3069" t="str">
        <f t="shared" si="191"/>
        <v>Moderate Delay</v>
      </c>
    </row>
    <row r="3070" spans="1:15" x14ac:dyDescent="0.25">
      <c r="A3070">
        <v>3069</v>
      </c>
      <c r="B3070" s="2">
        <v>45727</v>
      </c>
      <c r="C3070" t="s">
        <v>31</v>
      </c>
      <c r="D3070" t="s">
        <v>12</v>
      </c>
      <c r="E3070" t="s">
        <v>27</v>
      </c>
      <c r="F3070" t="s">
        <v>14</v>
      </c>
      <c r="G3070">
        <v>51</v>
      </c>
      <c r="H3070">
        <v>409.07</v>
      </c>
      <c r="I3070">
        <v>34</v>
      </c>
      <c r="J3070" t="s">
        <v>15</v>
      </c>
      <c r="K3070">
        <v>20862.57</v>
      </c>
      <c r="L3070" t="str">
        <f t="shared" si="188"/>
        <v>Mar</v>
      </c>
      <c r="M3070">
        <f t="shared" si="189"/>
        <v>2025</v>
      </c>
      <c r="N3070">
        <f t="shared" si="190"/>
        <v>20862.57</v>
      </c>
      <c r="O3070" t="str">
        <f t="shared" si="191"/>
        <v>Moderate Delay</v>
      </c>
    </row>
    <row r="3071" spans="1:15" x14ac:dyDescent="0.25">
      <c r="A3071">
        <v>3070</v>
      </c>
      <c r="B3071" s="2">
        <v>45729</v>
      </c>
      <c r="C3071" t="s">
        <v>11</v>
      </c>
      <c r="D3071" t="s">
        <v>22</v>
      </c>
      <c r="E3071" t="s">
        <v>29</v>
      </c>
      <c r="F3071" t="s">
        <v>14</v>
      </c>
      <c r="G3071">
        <v>191</v>
      </c>
      <c r="H3071">
        <v>169.58</v>
      </c>
      <c r="I3071">
        <v>45</v>
      </c>
      <c r="J3071" t="s">
        <v>15</v>
      </c>
      <c r="K3071">
        <v>32389.78</v>
      </c>
      <c r="L3071" t="str">
        <f t="shared" si="188"/>
        <v>Mar</v>
      </c>
      <c r="M3071">
        <f t="shared" si="189"/>
        <v>2025</v>
      </c>
      <c r="N3071">
        <f t="shared" si="190"/>
        <v>32389.780000000002</v>
      </c>
      <c r="O3071" t="str">
        <f t="shared" si="191"/>
        <v>Moderate Delay</v>
      </c>
    </row>
    <row r="3072" spans="1:15" x14ac:dyDescent="0.25">
      <c r="A3072">
        <v>3071</v>
      </c>
      <c r="B3072" s="2">
        <v>45664</v>
      </c>
      <c r="C3072" t="s">
        <v>31</v>
      </c>
      <c r="D3072" t="s">
        <v>29</v>
      </c>
      <c r="E3072" t="s">
        <v>22</v>
      </c>
      <c r="F3072" t="s">
        <v>24</v>
      </c>
      <c r="G3072">
        <v>170</v>
      </c>
      <c r="H3072">
        <v>301.79000000000002</v>
      </c>
      <c r="I3072">
        <v>29</v>
      </c>
      <c r="J3072" t="s">
        <v>28</v>
      </c>
      <c r="K3072">
        <v>51304.3</v>
      </c>
      <c r="L3072" t="str">
        <f t="shared" si="188"/>
        <v>Jan</v>
      </c>
      <c r="M3072">
        <f t="shared" si="189"/>
        <v>2025</v>
      </c>
      <c r="N3072">
        <f t="shared" si="190"/>
        <v>51304.3</v>
      </c>
      <c r="O3072" t="str">
        <f t="shared" si="191"/>
        <v>Minor Delay</v>
      </c>
    </row>
    <row r="3073" spans="1:15" x14ac:dyDescent="0.25">
      <c r="A3073">
        <v>3072</v>
      </c>
      <c r="B3073" s="2">
        <v>45658</v>
      </c>
      <c r="C3073" t="s">
        <v>26</v>
      </c>
      <c r="D3073" t="s">
        <v>23</v>
      </c>
      <c r="E3073" t="s">
        <v>13</v>
      </c>
      <c r="F3073" t="s">
        <v>14</v>
      </c>
      <c r="G3073">
        <v>59</v>
      </c>
      <c r="H3073">
        <v>597.45000000000005</v>
      </c>
      <c r="I3073">
        <v>33</v>
      </c>
      <c r="J3073" t="s">
        <v>15</v>
      </c>
      <c r="K3073">
        <v>35249.550000000003</v>
      </c>
      <c r="L3073" t="str">
        <f t="shared" si="188"/>
        <v>Jan</v>
      </c>
      <c r="M3073">
        <f t="shared" si="189"/>
        <v>2025</v>
      </c>
      <c r="N3073">
        <f t="shared" si="190"/>
        <v>35249.550000000003</v>
      </c>
      <c r="O3073" t="str">
        <f t="shared" si="191"/>
        <v>Moderate Delay</v>
      </c>
    </row>
    <row r="3074" spans="1:15" x14ac:dyDescent="0.25">
      <c r="A3074">
        <v>3073</v>
      </c>
      <c r="B3074" s="2">
        <v>45774</v>
      </c>
      <c r="C3074" t="s">
        <v>26</v>
      </c>
      <c r="D3074" t="s">
        <v>20</v>
      </c>
      <c r="E3074" t="s">
        <v>12</v>
      </c>
      <c r="F3074" t="s">
        <v>14</v>
      </c>
      <c r="G3074">
        <v>230</v>
      </c>
      <c r="H3074">
        <v>145.44</v>
      </c>
      <c r="I3074">
        <v>20</v>
      </c>
      <c r="J3074" t="s">
        <v>30</v>
      </c>
      <c r="K3074">
        <v>33451.199999999997</v>
      </c>
      <c r="L3074" t="str">
        <f t="shared" si="188"/>
        <v>Apr</v>
      </c>
      <c r="M3074">
        <f t="shared" si="189"/>
        <v>2025</v>
      </c>
      <c r="N3074">
        <f t="shared" si="190"/>
        <v>33451.199999999997</v>
      </c>
      <c r="O3074" t="str">
        <f t="shared" si="191"/>
        <v>Minor Delay</v>
      </c>
    </row>
    <row r="3075" spans="1:15" x14ac:dyDescent="0.25">
      <c r="A3075">
        <v>3074</v>
      </c>
      <c r="B3075" s="2">
        <v>45821</v>
      </c>
      <c r="C3075" t="s">
        <v>18</v>
      </c>
      <c r="D3075" t="s">
        <v>22</v>
      </c>
      <c r="E3075" t="s">
        <v>19</v>
      </c>
      <c r="F3075" t="s">
        <v>14</v>
      </c>
      <c r="G3075">
        <v>92</v>
      </c>
      <c r="H3075">
        <v>626.95000000000005</v>
      </c>
      <c r="I3075">
        <v>57</v>
      </c>
      <c r="J3075" t="s">
        <v>15</v>
      </c>
      <c r="K3075">
        <v>57679.4</v>
      </c>
      <c r="L3075" t="str">
        <f t="shared" ref="L3075:L3138" si="192">TEXT(B3075,"MMM")</f>
        <v>Jun</v>
      </c>
      <c r="M3075">
        <f t="shared" ref="M3075:M3138" si="193">YEAR(B3075)</f>
        <v>2025</v>
      </c>
      <c r="N3075">
        <f t="shared" ref="N3075:N3138" si="194">G3075*H3075</f>
        <v>57679.4</v>
      </c>
      <c r="O3075" t="str">
        <f t="shared" ref="O3075:O3138" si="195">IF(I3075=0,"On Time",IF(I3075&lt;=30,"Minor Delay",IF(I3075&lt;=60,"Moderate Delay","Major Delay")))</f>
        <v>Moderate Delay</v>
      </c>
    </row>
    <row r="3076" spans="1:15" x14ac:dyDescent="0.25">
      <c r="A3076">
        <v>3075</v>
      </c>
      <c r="B3076" s="2">
        <v>45881</v>
      </c>
      <c r="C3076" t="s">
        <v>26</v>
      </c>
      <c r="D3076" t="s">
        <v>29</v>
      </c>
      <c r="E3076" t="s">
        <v>13</v>
      </c>
      <c r="F3076" t="s">
        <v>14</v>
      </c>
      <c r="G3076">
        <v>213</v>
      </c>
      <c r="H3076">
        <v>578.15</v>
      </c>
      <c r="I3076">
        <v>0</v>
      </c>
      <c r="J3076" t="s">
        <v>15</v>
      </c>
      <c r="K3076">
        <v>123145.95</v>
      </c>
      <c r="L3076" t="str">
        <f t="shared" si="192"/>
        <v>Aug</v>
      </c>
      <c r="M3076">
        <f t="shared" si="193"/>
        <v>2025</v>
      </c>
      <c r="N3076">
        <f t="shared" si="194"/>
        <v>123145.95</v>
      </c>
      <c r="O3076" t="str">
        <f t="shared" si="195"/>
        <v>On Time</v>
      </c>
    </row>
    <row r="3077" spans="1:15" x14ac:dyDescent="0.25">
      <c r="A3077">
        <v>3076</v>
      </c>
      <c r="B3077" s="2">
        <v>45926</v>
      </c>
      <c r="C3077" t="s">
        <v>11</v>
      </c>
      <c r="D3077" t="s">
        <v>13</v>
      </c>
      <c r="E3077" t="s">
        <v>27</v>
      </c>
      <c r="F3077" t="s">
        <v>14</v>
      </c>
      <c r="G3077">
        <v>82</v>
      </c>
      <c r="H3077">
        <v>745.71</v>
      </c>
      <c r="I3077">
        <v>0</v>
      </c>
      <c r="J3077" t="s">
        <v>15</v>
      </c>
      <c r="K3077">
        <v>61148.22</v>
      </c>
      <c r="L3077" t="str">
        <f t="shared" si="192"/>
        <v>Sep</v>
      </c>
      <c r="M3077">
        <f t="shared" si="193"/>
        <v>2025</v>
      </c>
      <c r="N3077">
        <f t="shared" si="194"/>
        <v>61148.22</v>
      </c>
      <c r="O3077" t="str">
        <f t="shared" si="195"/>
        <v>On Time</v>
      </c>
    </row>
    <row r="3078" spans="1:15" x14ac:dyDescent="0.25">
      <c r="A3078">
        <v>3077</v>
      </c>
      <c r="B3078" s="2">
        <v>45811</v>
      </c>
      <c r="C3078" t="s">
        <v>16</v>
      </c>
      <c r="D3078" t="s">
        <v>12</v>
      </c>
      <c r="E3078" t="s">
        <v>13</v>
      </c>
      <c r="F3078" t="s">
        <v>21</v>
      </c>
      <c r="G3078">
        <v>123</v>
      </c>
      <c r="H3078">
        <v>733.42</v>
      </c>
      <c r="I3078">
        <v>14</v>
      </c>
      <c r="J3078" t="s">
        <v>15</v>
      </c>
      <c r="K3078">
        <v>90210.66</v>
      </c>
      <c r="L3078" t="str">
        <f t="shared" si="192"/>
        <v>Jun</v>
      </c>
      <c r="M3078">
        <f t="shared" si="193"/>
        <v>2025</v>
      </c>
      <c r="N3078">
        <f t="shared" si="194"/>
        <v>90210.659999999989</v>
      </c>
      <c r="O3078" t="str">
        <f t="shared" si="195"/>
        <v>Minor Delay</v>
      </c>
    </row>
    <row r="3079" spans="1:15" x14ac:dyDescent="0.25">
      <c r="A3079">
        <v>3078</v>
      </c>
      <c r="B3079" s="2">
        <v>45919</v>
      </c>
      <c r="C3079" t="s">
        <v>16</v>
      </c>
      <c r="D3079" t="s">
        <v>22</v>
      </c>
      <c r="E3079" t="s">
        <v>29</v>
      </c>
      <c r="F3079" t="s">
        <v>21</v>
      </c>
      <c r="G3079">
        <v>117</v>
      </c>
      <c r="H3079">
        <v>273.05</v>
      </c>
      <c r="I3079">
        <v>0</v>
      </c>
      <c r="J3079" t="s">
        <v>15</v>
      </c>
      <c r="K3079">
        <v>31946.85</v>
      </c>
      <c r="L3079" t="str">
        <f t="shared" si="192"/>
        <v>Sep</v>
      </c>
      <c r="M3079">
        <f t="shared" si="193"/>
        <v>2025</v>
      </c>
      <c r="N3079">
        <f t="shared" si="194"/>
        <v>31946.850000000002</v>
      </c>
      <c r="O3079" t="str">
        <f t="shared" si="195"/>
        <v>On Time</v>
      </c>
    </row>
    <row r="3080" spans="1:15" x14ac:dyDescent="0.25">
      <c r="A3080">
        <v>3079</v>
      </c>
      <c r="B3080" s="2">
        <v>45979</v>
      </c>
      <c r="C3080" t="s">
        <v>11</v>
      </c>
      <c r="D3080" t="s">
        <v>20</v>
      </c>
      <c r="E3080" t="s">
        <v>23</v>
      </c>
      <c r="F3080" t="s">
        <v>21</v>
      </c>
      <c r="G3080">
        <v>59</v>
      </c>
      <c r="H3080">
        <v>189.71</v>
      </c>
      <c r="I3080">
        <v>0</v>
      </c>
      <c r="J3080" t="s">
        <v>30</v>
      </c>
      <c r="K3080">
        <v>11192.89</v>
      </c>
      <c r="L3080" t="str">
        <f t="shared" si="192"/>
        <v>Nov</v>
      </c>
      <c r="M3080">
        <f t="shared" si="193"/>
        <v>2025</v>
      </c>
      <c r="N3080">
        <f t="shared" si="194"/>
        <v>11192.890000000001</v>
      </c>
      <c r="O3080" t="str">
        <f t="shared" si="195"/>
        <v>On Time</v>
      </c>
    </row>
    <row r="3081" spans="1:15" x14ac:dyDescent="0.25">
      <c r="A3081">
        <v>3080</v>
      </c>
      <c r="B3081" s="2">
        <v>45855</v>
      </c>
      <c r="C3081" t="s">
        <v>11</v>
      </c>
      <c r="D3081" t="s">
        <v>19</v>
      </c>
      <c r="E3081" t="s">
        <v>13</v>
      </c>
      <c r="F3081" t="s">
        <v>24</v>
      </c>
      <c r="G3081">
        <v>177</v>
      </c>
      <c r="H3081">
        <v>786.19</v>
      </c>
      <c r="I3081">
        <v>0</v>
      </c>
      <c r="J3081" t="s">
        <v>15</v>
      </c>
      <c r="K3081">
        <v>139155.63</v>
      </c>
      <c r="L3081" t="str">
        <f t="shared" si="192"/>
        <v>Jul</v>
      </c>
      <c r="M3081">
        <f t="shared" si="193"/>
        <v>2025</v>
      </c>
      <c r="N3081">
        <f t="shared" si="194"/>
        <v>139155.63</v>
      </c>
      <c r="O3081" t="str">
        <f t="shared" si="195"/>
        <v>On Time</v>
      </c>
    </row>
    <row r="3082" spans="1:15" x14ac:dyDescent="0.25">
      <c r="A3082">
        <v>3081</v>
      </c>
      <c r="B3082" s="2">
        <v>45895</v>
      </c>
      <c r="C3082" t="s">
        <v>31</v>
      </c>
      <c r="D3082" t="s">
        <v>13</v>
      </c>
      <c r="E3082" t="s">
        <v>23</v>
      </c>
      <c r="F3082" t="s">
        <v>21</v>
      </c>
      <c r="G3082">
        <v>247</v>
      </c>
      <c r="H3082">
        <v>145.4</v>
      </c>
      <c r="I3082">
        <v>30</v>
      </c>
      <c r="J3082" t="s">
        <v>15</v>
      </c>
      <c r="K3082">
        <v>35913.800000000003</v>
      </c>
      <c r="L3082" t="str">
        <f t="shared" si="192"/>
        <v>Aug</v>
      </c>
      <c r="M3082">
        <f t="shared" si="193"/>
        <v>2025</v>
      </c>
      <c r="N3082">
        <f t="shared" si="194"/>
        <v>35913.800000000003</v>
      </c>
      <c r="O3082" t="str">
        <f t="shared" si="195"/>
        <v>Minor Delay</v>
      </c>
    </row>
    <row r="3083" spans="1:15" x14ac:dyDescent="0.25">
      <c r="A3083">
        <v>3082</v>
      </c>
      <c r="B3083" s="2">
        <v>45780</v>
      </c>
      <c r="C3083" t="s">
        <v>25</v>
      </c>
      <c r="D3083" t="s">
        <v>20</v>
      </c>
      <c r="E3083" t="s">
        <v>23</v>
      </c>
      <c r="F3083" t="s">
        <v>24</v>
      </c>
      <c r="G3083">
        <v>202</v>
      </c>
      <c r="H3083">
        <v>486.02</v>
      </c>
      <c r="I3083">
        <v>34</v>
      </c>
      <c r="J3083" t="s">
        <v>15</v>
      </c>
      <c r="K3083">
        <v>98176.04</v>
      </c>
      <c r="L3083" t="str">
        <f t="shared" si="192"/>
        <v>May</v>
      </c>
      <c r="M3083">
        <f t="shared" si="193"/>
        <v>2025</v>
      </c>
      <c r="N3083">
        <f t="shared" si="194"/>
        <v>98176.04</v>
      </c>
      <c r="O3083" t="str">
        <f t="shared" si="195"/>
        <v>Moderate Delay</v>
      </c>
    </row>
    <row r="3084" spans="1:15" x14ac:dyDescent="0.25">
      <c r="A3084">
        <v>3083</v>
      </c>
      <c r="B3084" s="2">
        <v>45834</v>
      </c>
      <c r="C3084" t="s">
        <v>18</v>
      </c>
      <c r="D3084" t="s">
        <v>22</v>
      </c>
      <c r="E3084" t="s">
        <v>17</v>
      </c>
      <c r="F3084" t="s">
        <v>24</v>
      </c>
      <c r="G3084">
        <v>201</v>
      </c>
      <c r="H3084">
        <v>483.4</v>
      </c>
      <c r="I3084">
        <v>18</v>
      </c>
      <c r="J3084" t="s">
        <v>15</v>
      </c>
      <c r="K3084">
        <v>97163.4</v>
      </c>
      <c r="L3084" t="str">
        <f t="shared" si="192"/>
        <v>Jun</v>
      </c>
      <c r="M3084">
        <f t="shared" si="193"/>
        <v>2025</v>
      </c>
      <c r="N3084">
        <f t="shared" si="194"/>
        <v>97163.4</v>
      </c>
      <c r="O3084" t="str">
        <f t="shared" si="195"/>
        <v>Minor Delay</v>
      </c>
    </row>
    <row r="3085" spans="1:15" x14ac:dyDescent="0.25">
      <c r="A3085">
        <v>3084</v>
      </c>
      <c r="B3085" s="2">
        <v>45872</v>
      </c>
      <c r="C3085" t="s">
        <v>31</v>
      </c>
      <c r="D3085" t="s">
        <v>29</v>
      </c>
      <c r="E3085" t="s">
        <v>13</v>
      </c>
      <c r="F3085" t="s">
        <v>24</v>
      </c>
      <c r="G3085">
        <v>195</v>
      </c>
      <c r="H3085">
        <v>531.85</v>
      </c>
      <c r="I3085">
        <v>15</v>
      </c>
      <c r="J3085" t="s">
        <v>15</v>
      </c>
      <c r="K3085">
        <v>103710.75</v>
      </c>
      <c r="L3085" t="str">
        <f t="shared" si="192"/>
        <v>Aug</v>
      </c>
      <c r="M3085">
        <f t="shared" si="193"/>
        <v>2025</v>
      </c>
      <c r="N3085">
        <f t="shared" si="194"/>
        <v>103710.75</v>
      </c>
      <c r="O3085" t="str">
        <f t="shared" si="195"/>
        <v>Minor Delay</v>
      </c>
    </row>
    <row r="3086" spans="1:15" x14ac:dyDescent="0.25">
      <c r="A3086">
        <v>3085</v>
      </c>
      <c r="B3086" s="2">
        <v>45924</v>
      </c>
      <c r="C3086" t="s">
        <v>31</v>
      </c>
      <c r="D3086" t="s">
        <v>22</v>
      </c>
      <c r="E3086" t="s">
        <v>29</v>
      </c>
      <c r="F3086" t="s">
        <v>21</v>
      </c>
      <c r="G3086">
        <v>159</v>
      </c>
      <c r="H3086">
        <v>70.930000000000007</v>
      </c>
      <c r="I3086">
        <v>27</v>
      </c>
      <c r="J3086" t="s">
        <v>15</v>
      </c>
      <c r="K3086">
        <v>11277.87</v>
      </c>
      <c r="L3086" t="str">
        <f t="shared" si="192"/>
        <v>Sep</v>
      </c>
      <c r="M3086">
        <f t="shared" si="193"/>
        <v>2025</v>
      </c>
      <c r="N3086">
        <f t="shared" si="194"/>
        <v>11277.87</v>
      </c>
      <c r="O3086" t="str">
        <f t="shared" si="195"/>
        <v>Minor Delay</v>
      </c>
    </row>
    <row r="3087" spans="1:15" x14ac:dyDescent="0.25">
      <c r="A3087">
        <v>3086</v>
      </c>
      <c r="B3087" s="2">
        <v>45777</v>
      </c>
      <c r="C3087" t="s">
        <v>18</v>
      </c>
      <c r="D3087" t="s">
        <v>20</v>
      </c>
      <c r="E3087" t="s">
        <v>19</v>
      </c>
      <c r="F3087" t="s">
        <v>24</v>
      </c>
      <c r="G3087">
        <v>145</v>
      </c>
      <c r="H3087">
        <v>388.6</v>
      </c>
      <c r="I3087">
        <v>23</v>
      </c>
      <c r="J3087" t="s">
        <v>15</v>
      </c>
      <c r="K3087">
        <v>56347</v>
      </c>
      <c r="L3087" t="str">
        <f t="shared" si="192"/>
        <v>Apr</v>
      </c>
      <c r="M3087">
        <f t="shared" si="193"/>
        <v>2025</v>
      </c>
      <c r="N3087">
        <f t="shared" si="194"/>
        <v>56347</v>
      </c>
      <c r="O3087" t="str">
        <f t="shared" si="195"/>
        <v>Minor Delay</v>
      </c>
    </row>
    <row r="3088" spans="1:15" x14ac:dyDescent="0.25">
      <c r="A3088">
        <v>3087</v>
      </c>
      <c r="B3088" s="2">
        <v>45731</v>
      </c>
      <c r="C3088" t="s">
        <v>18</v>
      </c>
      <c r="D3088" t="s">
        <v>17</v>
      </c>
      <c r="E3088" t="s">
        <v>22</v>
      </c>
      <c r="F3088" t="s">
        <v>24</v>
      </c>
      <c r="G3088">
        <v>73</v>
      </c>
      <c r="H3088">
        <v>745.57</v>
      </c>
      <c r="I3088">
        <v>0</v>
      </c>
      <c r="J3088" t="s">
        <v>15</v>
      </c>
      <c r="K3088">
        <v>54426.61</v>
      </c>
      <c r="L3088" t="str">
        <f t="shared" si="192"/>
        <v>Mar</v>
      </c>
      <c r="M3088">
        <f t="shared" si="193"/>
        <v>2025</v>
      </c>
      <c r="N3088">
        <f t="shared" si="194"/>
        <v>54426.61</v>
      </c>
      <c r="O3088" t="str">
        <f t="shared" si="195"/>
        <v>On Time</v>
      </c>
    </row>
    <row r="3089" spans="1:15" x14ac:dyDescent="0.25">
      <c r="A3089">
        <v>3088</v>
      </c>
      <c r="B3089" s="2">
        <v>45729</v>
      </c>
      <c r="C3089" t="s">
        <v>26</v>
      </c>
      <c r="D3089" t="s">
        <v>27</v>
      </c>
      <c r="E3089" t="s">
        <v>13</v>
      </c>
      <c r="F3089" t="s">
        <v>14</v>
      </c>
      <c r="G3089">
        <v>212</v>
      </c>
      <c r="H3089">
        <v>75.17</v>
      </c>
      <c r="I3089">
        <v>35</v>
      </c>
      <c r="J3089" t="s">
        <v>15</v>
      </c>
      <c r="K3089">
        <v>15936.04</v>
      </c>
      <c r="L3089" t="str">
        <f t="shared" si="192"/>
        <v>Mar</v>
      </c>
      <c r="M3089">
        <f t="shared" si="193"/>
        <v>2025</v>
      </c>
      <c r="N3089">
        <f t="shared" si="194"/>
        <v>15936.04</v>
      </c>
      <c r="O3089" t="str">
        <f t="shared" si="195"/>
        <v>Moderate Delay</v>
      </c>
    </row>
    <row r="3090" spans="1:15" x14ac:dyDescent="0.25">
      <c r="A3090">
        <v>3089</v>
      </c>
      <c r="B3090" s="2">
        <v>45973</v>
      </c>
      <c r="C3090" t="s">
        <v>31</v>
      </c>
      <c r="D3090" t="s">
        <v>20</v>
      </c>
      <c r="E3090" t="s">
        <v>17</v>
      </c>
      <c r="F3090" t="s">
        <v>14</v>
      </c>
      <c r="G3090">
        <v>213</v>
      </c>
      <c r="H3090">
        <v>513.52</v>
      </c>
      <c r="I3090">
        <v>4</v>
      </c>
      <c r="J3090" t="s">
        <v>15</v>
      </c>
      <c r="K3090">
        <v>109379.76</v>
      </c>
      <c r="L3090" t="str">
        <f t="shared" si="192"/>
        <v>Nov</v>
      </c>
      <c r="M3090">
        <f t="shared" si="193"/>
        <v>2025</v>
      </c>
      <c r="N3090">
        <f t="shared" si="194"/>
        <v>109379.76</v>
      </c>
      <c r="O3090" t="str">
        <f t="shared" si="195"/>
        <v>Minor Delay</v>
      </c>
    </row>
    <row r="3091" spans="1:15" x14ac:dyDescent="0.25">
      <c r="A3091">
        <v>3090</v>
      </c>
      <c r="B3091" s="2">
        <v>45823</v>
      </c>
      <c r="C3091" t="s">
        <v>16</v>
      </c>
      <c r="D3091" t="s">
        <v>20</v>
      </c>
      <c r="E3091" t="s">
        <v>29</v>
      </c>
      <c r="F3091" t="s">
        <v>21</v>
      </c>
      <c r="G3091">
        <v>122</v>
      </c>
      <c r="H3091">
        <v>559.73</v>
      </c>
      <c r="I3091">
        <v>31</v>
      </c>
      <c r="J3091" t="s">
        <v>15</v>
      </c>
      <c r="K3091">
        <v>68287.06</v>
      </c>
      <c r="L3091" t="str">
        <f t="shared" si="192"/>
        <v>Jun</v>
      </c>
      <c r="M3091">
        <f t="shared" si="193"/>
        <v>2025</v>
      </c>
      <c r="N3091">
        <f t="shared" si="194"/>
        <v>68287.06</v>
      </c>
      <c r="O3091" t="str">
        <f t="shared" si="195"/>
        <v>Moderate Delay</v>
      </c>
    </row>
    <row r="3092" spans="1:15" x14ac:dyDescent="0.25">
      <c r="A3092">
        <v>3091</v>
      </c>
      <c r="B3092" s="2">
        <v>45747</v>
      </c>
      <c r="C3092" t="s">
        <v>11</v>
      </c>
      <c r="D3092" t="s">
        <v>29</v>
      </c>
      <c r="E3092" t="s">
        <v>22</v>
      </c>
      <c r="F3092" t="s">
        <v>24</v>
      </c>
      <c r="G3092">
        <v>181</v>
      </c>
      <c r="H3092">
        <v>63.53</v>
      </c>
      <c r="I3092">
        <v>30</v>
      </c>
      <c r="J3092" t="s">
        <v>15</v>
      </c>
      <c r="K3092">
        <v>11498.93</v>
      </c>
      <c r="L3092" t="str">
        <f t="shared" si="192"/>
        <v>Mar</v>
      </c>
      <c r="M3092">
        <f t="shared" si="193"/>
        <v>2025</v>
      </c>
      <c r="N3092">
        <f t="shared" si="194"/>
        <v>11498.93</v>
      </c>
      <c r="O3092" t="str">
        <f t="shared" si="195"/>
        <v>Minor Delay</v>
      </c>
    </row>
    <row r="3093" spans="1:15" x14ac:dyDescent="0.25">
      <c r="A3093">
        <v>3092</v>
      </c>
      <c r="B3093" s="2">
        <v>45827</v>
      </c>
      <c r="C3093" t="s">
        <v>26</v>
      </c>
      <c r="D3093" t="s">
        <v>23</v>
      </c>
      <c r="E3093" t="s">
        <v>12</v>
      </c>
      <c r="F3093" t="s">
        <v>14</v>
      </c>
      <c r="G3093">
        <v>291</v>
      </c>
      <c r="H3093">
        <v>706.1</v>
      </c>
      <c r="I3093">
        <v>22</v>
      </c>
      <c r="J3093" t="s">
        <v>15</v>
      </c>
      <c r="K3093">
        <v>205475.1</v>
      </c>
      <c r="L3093" t="str">
        <f t="shared" si="192"/>
        <v>Jun</v>
      </c>
      <c r="M3093">
        <f t="shared" si="193"/>
        <v>2025</v>
      </c>
      <c r="N3093">
        <f t="shared" si="194"/>
        <v>205475.1</v>
      </c>
      <c r="O3093" t="str">
        <f t="shared" si="195"/>
        <v>Minor Delay</v>
      </c>
    </row>
    <row r="3094" spans="1:15" x14ac:dyDescent="0.25">
      <c r="A3094">
        <v>3093</v>
      </c>
      <c r="B3094" s="2">
        <v>45819</v>
      </c>
      <c r="C3094" t="s">
        <v>18</v>
      </c>
      <c r="D3094" t="s">
        <v>22</v>
      </c>
      <c r="E3094" t="s">
        <v>17</v>
      </c>
      <c r="F3094" t="s">
        <v>24</v>
      </c>
      <c r="G3094">
        <v>266</v>
      </c>
      <c r="H3094">
        <v>767.95</v>
      </c>
      <c r="I3094">
        <v>42</v>
      </c>
      <c r="J3094" t="s">
        <v>30</v>
      </c>
      <c r="K3094">
        <v>204274.7</v>
      </c>
      <c r="L3094" t="str">
        <f t="shared" si="192"/>
        <v>Jun</v>
      </c>
      <c r="M3094">
        <f t="shared" si="193"/>
        <v>2025</v>
      </c>
      <c r="N3094">
        <f t="shared" si="194"/>
        <v>204274.7</v>
      </c>
      <c r="O3094" t="str">
        <f t="shared" si="195"/>
        <v>Moderate Delay</v>
      </c>
    </row>
    <row r="3095" spans="1:15" x14ac:dyDescent="0.25">
      <c r="A3095">
        <v>3094</v>
      </c>
      <c r="B3095" s="2">
        <v>45741</v>
      </c>
      <c r="C3095" t="s">
        <v>26</v>
      </c>
      <c r="D3095" t="s">
        <v>17</v>
      </c>
      <c r="E3095" t="s">
        <v>13</v>
      </c>
      <c r="F3095" t="s">
        <v>14</v>
      </c>
      <c r="G3095">
        <v>144</v>
      </c>
      <c r="H3095">
        <v>394.61</v>
      </c>
      <c r="I3095">
        <v>9</v>
      </c>
      <c r="J3095" t="s">
        <v>15</v>
      </c>
      <c r="K3095">
        <v>56823.839999999997</v>
      </c>
      <c r="L3095" t="str">
        <f t="shared" si="192"/>
        <v>Mar</v>
      </c>
      <c r="M3095">
        <f t="shared" si="193"/>
        <v>2025</v>
      </c>
      <c r="N3095">
        <f t="shared" si="194"/>
        <v>56823.840000000004</v>
      </c>
      <c r="O3095" t="str">
        <f t="shared" si="195"/>
        <v>Minor Delay</v>
      </c>
    </row>
    <row r="3096" spans="1:15" x14ac:dyDescent="0.25">
      <c r="A3096">
        <v>3095</v>
      </c>
      <c r="B3096" s="2">
        <v>45994</v>
      </c>
      <c r="C3096" t="s">
        <v>11</v>
      </c>
      <c r="D3096" t="s">
        <v>19</v>
      </c>
      <c r="E3096" t="s">
        <v>23</v>
      </c>
      <c r="F3096" t="s">
        <v>21</v>
      </c>
      <c r="G3096">
        <v>253</v>
      </c>
      <c r="H3096">
        <v>310.07</v>
      </c>
      <c r="I3096">
        <v>0</v>
      </c>
      <c r="J3096" t="s">
        <v>30</v>
      </c>
      <c r="K3096">
        <v>78447.710000000006</v>
      </c>
      <c r="L3096" t="str">
        <f t="shared" si="192"/>
        <v>Dec</v>
      </c>
      <c r="M3096">
        <f t="shared" si="193"/>
        <v>2025</v>
      </c>
      <c r="N3096">
        <f t="shared" si="194"/>
        <v>78447.709999999992</v>
      </c>
      <c r="O3096" t="str">
        <f t="shared" si="195"/>
        <v>On Time</v>
      </c>
    </row>
    <row r="3097" spans="1:15" x14ac:dyDescent="0.25">
      <c r="A3097">
        <v>3096</v>
      </c>
      <c r="B3097" s="2">
        <v>45985</v>
      </c>
      <c r="C3097" t="s">
        <v>31</v>
      </c>
      <c r="D3097" t="s">
        <v>12</v>
      </c>
      <c r="E3097" t="s">
        <v>17</v>
      </c>
      <c r="F3097" t="s">
        <v>14</v>
      </c>
      <c r="G3097">
        <v>184</v>
      </c>
      <c r="H3097">
        <v>346.29</v>
      </c>
      <c r="I3097">
        <v>6</v>
      </c>
      <c r="J3097" t="s">
        <v>15</v>
      </c>
      <c r="K3097">
        <v>63717.36</v>
      </c>
      <c r="L3097" t="str">
        <f t="shared" si="192"/>
        <v>Nov</v>
      </c>
      <c r="M3097">
        <f t="shared" si="193"/>
        <v>2025</v>
      </c>
      <c r="N3097">
        <f t="shared" si="194"/>
        <v>63717.36</v>
      </c>
      <c r="O3097" t="str">
        <f t="shared" si="195"/>
        <v>Minor Delay</v>
      </c>
    </row>
    <row r="3098" spans="1:15" x14ac:dyDescent="0.25">
      <c r="A3098">
        <v>3097</v>
      </c>
      <c r="B3098" s="2">
        <v>45967</v>
      </c>
      <c r="C3098" t="s">
        <v>18</v>
      </c>
      <c r="D3098" t="s">
        <v>13</v>
      </c>
      <c r="E3098" t="s">
        <v>19</v>
      </c>
      <c r="F3098" t="s">
        <v>24</v>
      </c>
      <c r="G3098">
        <v>97</v>
      </c>
      <c r="H3098">
        <v>729.57</v>
      </c>
      <c r="I3098">
        <v>7</v>
      </c>
      <c r="J3098" t="s">
        <v>15</v>
      </c>
      <c r="K3098">
        <v>70768.289999999994</v>
      </c>
      <c r="L3098" t="str">
        <f t="shared" si="192"/>
        <v>Nov</v>
      </c>
      <c r="M3098">
        <f t="shared" si="193"/>
        <v>2025</v>
      </c>
      <c r="N3098">
        <f t="shared" si="194"/>
        <v>70768.290000000008</v>
      </c>
      <c r="O3098" t="str">
        <f t="shared" si="195"/>
        <v>Minor Delay</v>
      </c>
    </row>
    <row r="3099" spans="1:15" x14ac:dyDescent="0.25">
      <c r="A3099">
        <v>3098</v>
      </c>
      <c r="B3099" s="2">
        <v>45809</v>
      </c>
      <c r="C3099" t="s">
        <v>11</v>
      </c>
      <c r="D3099" t="s">
        <v>12</v>
      </c>
      <c r="E3099" t="s">
        <v>27</v>
      </c>
      <c r="F3099" t="s">
        <v>21</v>
      </c>
      <c r="G3099">
        <v>85</v>
      </c>
      <c r="H3099">
        <v>673.62</v>
      </c>
      <c r="I3099">
        <v>0</v>
      </c>
      <c r="J3099" t="s">
        <v>15</v>
      </c>
      <c r="K3099">
        <v>57257.7</v>
      </c>
      <c r="L3099" t="str">
        <f t="shared" si="192"/>
        <v>Jun</v>
      </c>
      <c r="M3099">
        <f t="shared" si="193"/>
        <v>2025</v>
      </c>
      <c r="N3099">
        <f t="shared" si="194"/>
        <v>57257.7</v>
      </c>
      <c r="O3099" t="str">
        <f t="shared" si="195"/>
        <v>On Time</v>
      </c>
    </row>
    <row r="3100" spans="1:15" x14ac:dyDescent="0.25">
      <c r="A3100">
        <v>3099</v>
      </c>
      <c r="B3100" s="2">
        <v>45895</v>
      </c>
      <c r="C3100" t="s">
        <v>31</v>
      </c>
      <c r="D3100" t="s">
        <v>12</v>
      </c>
      <c r="E3100" t="s">
        <v>20</v>
      </c>
      <c r="F3100" t="s">
        <v>14</v>
      </c>
      <c r="G3100">
        <v>281</v>
      </c>
      <c r="H3100">
        <v>148.22999999999999</v>
      </c>
      <c r="I3100">
        <v>6</v>
      </c>
      <c r="J3100" t="s">
        <v>30</v>
      </c>
      <c r="K3100">
        <v>41652.629999999997</v>
      </c>
      <c r="L3100" t="str">
        <f t="shared" si="192"/>
        <v>Aug</v>
      </c>
      <c r="M3100">
        <f t="shared" si="193"/>
        <v>2025</v>
      </c>
      <c r="N3100">
        <f t="shared" si="194"/>
        <v>41652.629999999997</v>
      </c>
      <c r="O3100" t="str">
        <f t="shared" si="195"/>
        <v>Minor Delay</v>
      </c>
    </row>
    <row r="3101" spans="1:15" x14ac:dyDescent="0.25">
      <c r="A3101">
        <v>3100</v>
      </c>
      <c r="B3101" s="2">
        <v>45901</v>
      </c>
      <c r="C3101" t="s">
        <v>16</v>
      </c>
      <c r="D3101" t="s">
        <v>17</v>
      </c>
      <c r="E3101" t="s">
        <v>19</v>
      </c>
      <c r="F3101" t="s">
        <v>24</v>
      </c>
      <c r="G3101">
        <v>106</v>
      </c>
      <c r="H3101">
        <v>789.79</v>
      </c>
      <c r="I3101">
        <v>0</v>
      </c>
      <c r="J3101" t="s">
        <v>30</v>
      </c>
      <c r="K3101">
        <v>83717.740000000005</v>
      </c>
      <c r="L3101" t="str">
        <f t="shared" si="192"/>
        <v>Sep</v>
      </c>
      <c r="M3101">
        <f t="shared" si="193"/>
        <v>2025</v>
      </c>
      <c r="N3101">
        <f t="shared" si="194"/>
        <v>83717.739999999991</v>
      </c>
      <c r="O3101" t="str">
        <f t="shared" si="195"/>
        <v>On Time</v>
      </c>
    </row>
    <row r="3102" spans="1:15" x14ac:dyDescent="0.25">
      <c r="A3102">
        <v>3101</v>
      </c>
      <c r="B3102" s="2">
        <v>45720</v>
      </c>
      <c r="C3102" t="s">
        <v>11</v>
      </c>
      <c r="D3102" t="s">
        <v>13</v>
      </c>
      <c r="E3102" t="s">
        <v>23</v>
      </c>
      <c r="F3102" t="s">
        <v>21</v>
      </c>
      <c r="G3102">
        <v>90</v>
      </c>
      <c r="H3102">
        <v>430.08</v>
      </c>
      <c r="I3102">
        <v>6</v>
      </c>
      <c r="J3102" t="s">
        <v>30</v>
      </c>
      <c r="K3102">
        <v>38707.199999999997</v>
      </c>
      <c r="L3102" t="str">
        <f t="shared" si="192"/>
        <v>Mar</v>
      </c>
      <c r="M3102">
        <f t="shared" si="193"/>
        <v>2025</v>
      </c>
      <c r="N3102">
        <f t="shared" si="194"/>
        <v>38707.199999999997</v>
      </c>
      <c r="O3102" t="str">
        <f t="shared" si="195"/>
        <v>Minor Delay</v>
      </c>
    </row>
    <row r="3103" spans="1:15" x14ac:dyDescent="0.25">
      <c r="A3103">
        <v>3102</v>
      </c>
      <c r="B3103" s="2">
        <v>45735</v>
      </c>
      <c r="C3103" t="s">
        <v>16</v>
      </c>
      <c r="D3103" t="s">
        <v>13</v>
      </c>
      <c r="E3103" t="s">
        <v>19</v>
      </c>
      <c r="F3103" t="s">
        <v>24</v>
      </c>
      <c r="G3103">
        <v>74</v>
      </c>
      <c r="H3103">
        <v>556.85</v>
      </c>
      <c r="I3103">
        <v>61</v>
      </c>
      <c r="J3103" t="s">
        <v>15</v>
      </c>
      <c r="K3103">
        <v>41206.9</v>
      </c>
      <c r="L3103" t="str">
        <f t="shared" si="192"/>
        <v>Mar</v>
      </c>
      <c r="M3103">
        <f t="shared" si="193"/>
        <v>2025</v>
      </c>
      <c r="N3103">
        <f t="shared" si="194"/>
        <v>41206.9</v>
      </c>
      <c r="O3103" t="str">
        <f t="shared" si="195"/>
        <v>Major Delay</v>
      </c>
    </row>
    <row r="3104" spans="1:15" x14ac:dyDescent="0.25">
      <c r="A3104">
        <v>3103</v>
      </c>
      <c r="B3104" s="2">
        <v>45766</v>
      </c>
      <c r="C3104" t="s">
        <v>26</v>
      </c>
      <c r="D3104" t="s">
        <v>19</v>
      </c>
      <c r="E3104" t="s">
        <v>23</v>
      </c>
      <c r="F3104" t="s">
        <v>21</v>
      </c>
      <c r="G3104">
        <v>107</v>
      </c>
      <c r="H3104">
        <v>422.16</v>
      </c>
      <c r="I3104">
        <v>0</v>
      </c>
      <c r="J3104" t="s">
        <v>15</v>
      </c>
      <c r="K3104">
        <v>45171.12</v>
      </c>
      <c r="L3104" t="str">
        <f t="shared" si="192"/>
        <v>Apr</v>
      </c>
      <c r="M3104">
        <f t="shared" si="193"/>
        <v>2025</v>
      </c>
      <c r="N3104">
        <f t="shared" si="194"/>
        <v>45171.12</v>
      </c>
      <c r="O3104" t="str">
        <f t="shared" si="195"/>
        <v>On Time</v>
      </c>
    </row>
    <row r="3105" spans="1:15" x14ac:dyDescent="0.25">
      <c r="A3105">
        <v>3104</v>
      </c>
      <c r="B3105" s="2">
        <v>46020</v>
      </c>
      <c r="C3105" t="s">
        <v>31</v>
      </c>
      <c r="D3105" t="s">
        <v>13</v>
      </c>
      <c r="E3105" t="s">
        <v>19</v>
      </c>
      <c r="F3105" t="s">
        <v>21</v>
      </c>
      <c r="G3105">
        <v>137</v>
      </c>
      <c r="H3105">
        <v>378.41</v>
      </c>
      <c r="I3105">
        <v>22</v>
      </c>
      <c r="J3105" t="s">
        <v>15</v>
      </c>
      <c r="K3105">
        <v>51842.17</v>
      </c>
      <c r="L3105" t="str">
        <f t="shared" si="192"/>
        <v>Dec</v>
      </c>
      <c r="M3105">
        <f t="shared" si="193"/>
        <v>2025</v>
      </c>
      <c r="N3105">
        <f t="shared" si="194"/>
        <v>51842.170000000006</v>
      </c>
      <c r="O3105" t="str">
        <f t="shared" si="195"/>
        <v>Minor Delay</v>
      </c>
    </row>
    <row r="3106" spans="1:15" x14ac:dyDescent="0.25">
      <c r="A3106">
        <v>3105</v>
      </c>
      <c r="B3106" s="2">
        <v>45850</v>
      </c>
      <c r="C3106" t="s">
        <v>25</v>
      </c>
      <c r="D3106" t="s">
        <v>29</v>
      </c>
      <c r="E3106" t="s">
        <v>17</v>
      </c>
      <c r="F3106" t="s">
        <v>21</v>
      </c>
      <c r="G3106">
        <v>223</v>
      </c>
      <c r="H3106">
        <v>267.77</v>
      </c>
      <c r="I3106">
        <v>0</v>
      </c>
      <c r="J3106" t="s">
        <v>15</v>
      </c>
      <c r="K3106">
        <v>59712.71</v>
      </c>
      <c r="L3106" t="str">
        <f t="shared" si="192"/>
        <v>Jul</v>
      </c>
      <c r="M3106">
        <f t="shared" si="193"/>
        <v>2025</v>
      </c>
      <c r="N3106">
        <f t="shared" si="194"/>
        <v>59712.71</v>
      </c>
      <c r="O3106" t="str">
        <f t="shared" si="195"/>
        <v>On Time</v>
      </c>
    </row>
    <row r="3107" spans="1:15" x14ac:dyDescent="0.25">
      <c r="A3107">
        <v>3106</v>
      </c>
      <c r="B3107" s="2">
        <v>45888</v>
      </c>
      <c r="C3107" t="s">
        <v>31</v>
      </c>
      <c r="D3107" t="s">
        <v>23</v>
      </c>
      <c r="E3107" t="s">
        <v>13</v>
      </c>
      <c r="F3107" t="s">
        <v>21</v>
      </c>
      <c r="G3107">
        <v>257</v>
      </c>
      <c r="H3107">
        <v>724.9</v>
      </c>
      <c r="I3107">
        <v>21</v>
      </c>
      <c r="J3107" t="s">
        <v>15</v>
      </c>
      <c r="K3107">
        <v>186299.3</v>
      </c>
      <c r="L3107" t="str">
        <f t="shared" si="192"/>
        <v>Aug</v>
      </c>
      <c r="M3107">
        <f t="shared" si="193"/>
        <v>2025</v>
      </c>
      <c r="N3107">
        <f t="shared" si="194"/>
        <v>186299.3</v>
      </c>
      <c r="O3107" t="str">
        <f t="shared" si="195"/>
        <v>Minor Delay</v>
      </c>
    </row>
    <row r="3108" spans="1:15" x14ac:dyDescent="0.25">
      <c r="A3108">
        <v>3107</v>
      </c>
      <c r="B3108" s="2">
        <v>45769</v>
      </c>
      <c r="C3108" t="s">
        <v>11</v>
      </c>
      <c r="D3108" t="s">
        <v>23</v>
      </c>
      <c r="E3108" t="s">
        <v>17</v>
      </c>
      <c r="F3108" t="s">
        <v>21</v>
      </c>
      <c r="G3108">
        <v>109</v>
      </c>
      <c r="H3108">
        <v>121.3</v>
      </c>
      <c r="I3108">
        <v>0</v>
      </c>
      <c r="J3108" t="s">
        <v>15</v>
      </c>
      <c r="K3108">
        <v>13221.7</v>
      </c>
      <c r="L3108" t="str">
        <f t="shared" si="192"/>
        <v>Apr</v>
      </c>
      <c r="M3108">
        <f t="shared" si="193"/>
        <v>2025</v>
      </c>
      <c r="N3108">
        <f t="shared" si="194"/>
        <v>13221.699999999999</v>
      </c>
      <c r="O3108" t="str">
        <f t="shared" si="195"/>
        <v>On Time</v>
      </c>
    </row>
    <row r="3109" spans="1:15" x14ac:dyDescent="0.25">
      <c r="A3109">
        <v>3108</v>
      </c>
      <c r="B3109" s="2">
        <v>45803</v>
      </c>
      <c r="C3109" t="s">
        <v>26</v>
      </c>
      <c r="D3109" t="s">
        <v>27</v>
      </c>
      <c r="E3109" t="s">
        <v>12</v>
      </c>
      <c r="F3109" t="s">
        <v>24</v>
      </c>
      <c r="G3109">
        <v>124</v>
      </c>
      <c r="H3109">
        <v>386.41</v>
      </c>
      <c r="I3109">
        <v>43</v>
      </c>
      <c r="J3109" t="s">
        <v>15</v>
      </c>
      <c r="K3109">
        <v>47914.84</v>
      </c>
      <c r="L3109" t="str">
        <f t="shared" si="192"/>
        <v>May</v>
      </c>
      <c r="M3109">
        <f t="shared" si="193"/>
        <v>2025</v>
      </c>
      <c r="N3109">
        <f t="shared" si="194"/>
        <v>47914.840000000004</v>
      </c>
      <c r="O3109" t="str">
        <f t="shared" si="195"/>
        <v>Moderate Delay</v>
      </c>
    </row>
    <row r="3110" spans="1:15" x14ac:dyDescent="0.25">
      <c r="A3110">
        <v>3109</v>
      </c>
      <c r="B3110" s="2">
        <v>45664</v>
      </c>
      <c r="C3110" t="s">
        <v>25</v>
      </c>
      <c r="D3110" t="s">
        <v>19</v>
      </c>
      <c r="E3110" t="s">
        <v>27</v>
      </c>
      <c r="F3110" t="s">
        <v>14</v>
      </c>
      <c r="G3110">
        <v>207</v>
      </c>
      <c r="H3110">
        <v>278.82</v>
      </c>
      <c r="I3110">
        <v>20</v>
      </c>
      <c r="J3110" t="s">
        <v>15</v>
      </c>
      <c r="K3110">
        <v>57715.74</v>
      </c>
      <c r="L3110" t="str">
        <f t="shared" si="192"/>
        <v>Jan</v>
      </c>
      <c r="M3110">
        <f t="shared" si="193"/>
        <v>2025</v>
      </c>
      <c r="N3110">
        <f t="shared" si="194"/>
        <v>57715.74</v>
      </c>
      <c r="O3110" t="str">
        <f t="shared" si="195"/>
        <v>Minor Delay</v>
      </c>
    </row>
    <row r="3111" spans="1:15" x14ac:dyDescent="0.25">
      <c r="A3111">
        <v>3110</v>
      </c>
      <c r="B3111" s="2">
        <v>46001</v>
      </c>
      <c r="C3111" t="s">
        <v>18</v>
      </c>
      <c r="D3111" t="s">
        <v>12</v>
      </c>
      <c r="E3111" t="s">
        <v>29</v>
      </c>
      <c r="F3111" t="s">
        <v>24</v>
      </c>
      <c r="G3111">
        <v>159</v>
      </c>
      <c r="H3111">
        <v>777.21</v>
      </c>
      <c r="I3111">
        <v>3</v>
      </c>
      <c r="J3111" t="s">
        <v>15</v>
      </c>
      <c r="K3111">
        <v>123576.39</v>
      </c>
      <c r="L3111" t="str">
        <f t="shared" si="192"/>
        <v>Dec</v>
      </c>
      <c r="M3111">
        <f t="shared" si="193"/>
        <v>2025</v>
      </c>
      <c r="N3111">
        <f t="shared" si="194"/>
        <v>123576.39</v>
      </c>
      <c r="O3111" t="str">
        <f t="shared" si="195"/>
        <v>Minor Delay</v>
      </c>
    </row>
    <row r="3112" spans="1:15" x14ac:dyDescent="0.25">
      <c r="A3112">
        <v>3111</v>
      </c>
      <c r="B3112" s="2">
        <v>45834</v>
      </c>
      <c r="C3112" t="s">
        <v>11</v>
      </c>
      <c r="D3112" t="s">
        <v>22</v>
      </c>
      <c r="E3112" t="s">
        <v>13</v>
      </c>
      <c r="F3112" t="s">
        <v>21</v>
      </c>
      <c r="G3112">
        <v>170</v>
      </c>
      <c r="H3112">
        <v>539.6</v>
      </c>
      <c r="I3112">
        <v>20</v>
      </c>
      <c r="J3112" t="s">
        <v>15</v>
      </c>
      <c r="K3112">
        <v>91732</v>
      </c>
      <c r="L3112" t="str">
        <f t="shared" si="192"/>
        <v>Jun</v>
      </c>
      <c r="M3112">
        <f t="shared" si="193"/>
        <v>2025</v>
      </c>
      <c r="N3112">
        <f t="shared" si="194"/>
        <v>91732</v>
      </c>
      <c r="O3112" t="str">
        <f t="shared" si="195"/>
        <v>Minor Delay</v>
      </c>
    </row>
    <row r="3113" spans="1:15" x14ac:dyDescent="0.25">
      <c r="A3113">
        <v>3112</v>
      </c>
      <c r="B3113" s="2">
        <v>46016</v>
      </c>
      <c r="C3113" t="s">
        <v>25</v>
      </c>
      <c r="D3113" t="s">
        <v>29</v>
      </c>
      <c r="E3113" t="s">
        <v>12</v>
      </c>
      <c r="F3113" t="s">
        <v>24</v>
      </c>
      <c r="G3113">
        <v>172</v>
      </c>
      <c r="H3113">
        <v>465.11</v>
      </c>
      <c r="I3113">
        <v>10</v>
      </c>
      <c r="J3113" t="s">
        <v>15</v>
      </c>
      <c r="K3113">
        <v>79998.92</v>
      </c>
      <c r="L3113" t="str">
        <f t="shared" si="192"/>
        <v>Dec</v>
      </c>
      <c r="M3113">
        <f t="shared" si="193"/>
        <v>2025</v>
      </c>
      <c r="N3113">
        <f t="shared" si="194"/>
        <v>79998.92</v>
      </c>
      <c r="O3113" t="str">
        <f t="shared" si="195"/>
        <v>Minor Delay</v>
      </c>
    </row>
    <row r="3114" spans="1:15" x14ac:dyDescent="0.25">
      <c r="A3114">
        <v>3113</v>
      </c>
      <c r="B3114" s="2">
        <v>45737</v>
      </c>
      <c r="C3114" t="s">
        <v>11</v>
      </c>
      <c r="D3114" t="s">
        <v>12</v>
      </c>
      <c r="E3114" t="s">
        <v>13</v>
      </c>
      <c r="F3114" t="s">
        <v>14</v>
      </c>
      <c r="G3114">
        <v>67</v>
      </c>
      <c r="H3114">
        <v>559.63</v>
      </c>
      <c r="I3114">
        <v>0</v>
      </c>
      <c r="J3114" t="s">
        <v>15</v>
      </c>
      <c r="K3114">
        <v>37495.21</v>
      </c>
      <c r="L3114" t="str">
        <f t="shared" si="192"/>
        <v>Mar</v>
      </c>
      <c r="M3114">
        <f t="shared" si="193"/>
        <v>2025</v>
      </c>
      <c r="N3114">
        <f t="shared" si="194"/>
        <v>37495.21</v>
      </c>
      <c r="O3114" t="str">
        <f t="shared" si="195"/>
        <v>On Time</v>
      </c>
    </row>
    <row r="3115" spans="1:15" x14ac:dyDescent="0.25">
      <c r="A3115">
        <v>3114</v>
      </c>
      <c r="B3115" s="2">
        <v>45855</v>
      </c>
      <c r="C3115" t="s">
        <v>25</v>
      </c>
      <c r="D3115" t="s">
        <v>20</v>
      </c>
      <c r="E3115" t="s">
        <v>13</v>
      </c>
      <c r="F3115" t="s">
        <v>24</v>
      </c>
      <c r="G3115">
        <v>211</v>
      </c>
      <c r="H3115">
        <v>376.41</v>
      </c>
      <c r="I3115">
        <v>42</v>
      </c>
      <c r="J3115" t="s">
        <v>15</v>
      </c>
      <c r="K3115">
        <v>79422.509999999995</v>
      </c>
      <c r="L3115" t="str">
        <f t="shared" si="192"/>
        <v>Jul</v>
      </c>
      <c r="M3115">
        <f t="shared" si="193"/>
        <v>2025</v>
      </c>
      <c r="N3115">
        <f t="shared" si="194"/>
        <v>79422.510000000009</v>
      </c>
      <c r="O3115" t="str">
        <f t="shared" si="195"/>
        <v>Moderate Delay</v>
      </c>
    </row>
    <row r="3116" spans="1:15" x14ac:dyDescent="0.25">
      <c r="A3116">
        <v>3115</v>
      </c>
      <c r="B3116" s="2">
        <v>45759</v>
      </c>
      <c r="C3116" t="s">
        <v>25</v>
      </c>
      <c r="D3116" t="s">
        <v>29</v>
      </c>
      <c r="E3116" t="s">
        <v>19</v>
      </c>
      <c r="F3116" t="s">
        <v>24</v>
      </c>
      <c r="G3116">
        <v>81</v>
      </c>
      <c r="H3116">
        <v>458.97</v>
      </c>
      <c r="I3116">
        <v>11</v>
      </c>
      <c r="J3116" t="s">
        <v>15</v>
      </c>
      <c r="K3116">
        <v>37176.57</v>
      </c>
      <c r="L3116" t="str">
        <f t="shared" si="192"/>
        <v>Apr</v>
      </c>
      <c r="M3116">
        <f t="shared" si="193"/>
        <v>2025</v>
      </c>
      <c r="N3116">
        <f t="shared" si="194"/>
        <v>37176.57</v>
      </c>
      <c r="O3116" t="str">
        <f t="shared" si="195"/>
        <v>Minor Delay</v>
      </c>
    </row>
    <row r="3117" spans="1:15" x14ac:dyDescent="0.25">
      <c r="A3117">
        <v>3116</v>
      </c>
      <c r="B3117" s="2">
        <v>45989</v>
      </c>
      <c r="C3117" t="s">
        <v>31</v>
      </c>
      <c r="D3117" t="s">
        <v>27</v>
      </c>
      <c r="E3117" t="s">
        <v>23</v>
      </c>
      <c r="F3117" t="s">
        <v>24</v>
      </c>
      <c r="G3117">
        <v>156</v>
      </c>
      <c r="H3117">
        <v>223.3</v>
      </c>
      <c r="I3117">
        <v>15</v>
      </c>
      <c r="J3117" t="s">
        <v>15</v>
      </c>
      <c r="K3117">
        <v>34834.800000000003</v>
      </c>
      <c r="L3117" t="str">
        <f t="shared" si="192"/>
        <v>Nov</v>
      </c>
      <c r="M3117">
        <f t="shared" si="193"/>
        <v>2025</v>
      </c>
      <c r="N3117">
        <f t="shared" si="194"/>
        <v>34834.800000000003</v>
      </c>
      <c r="O3117" t="str">
        <f t="shared" si="195"/>
        <v>Minor Delay</v>
      </c>
    </row>
    <row r="3118" spans="1:15" x14ac:dyDescent="0.25">
      <c r="A3118">
        <v>3117</v>
      </c>
      <c r="B3118" s="2">
        <v>45735</v>
      </c>
      <c r="C3118" t="s">
        <v>31</v>
      </c>
      <c r="D3118" t="s">
        <v>12</v>
      </c>
      <c r="E3118" t="s">
        <v>22</v>
      </c>
      <c r="F3118" t="s">
        <v>24</v>
      </c>
      <c r="G3118">
        <v>99</v>
      </c>
      <c r="H3118">
        <v>75.959999999999994</v>
      </c>
      <c r="I3118">
        <v>60</v>
      </c>
      <c r="J3118" t="s">
        <v>15</v>
      </c>
      <c r="K3118">
        <v>7520.04</v>
      </c>
      <c r="L3118" t="str">
        <f t="shared" si="192"/>
        <v>Mar</v>
      </c>
      <c r="M3118">
        <f t="shared" si="193"/>
        <v>2025</v>
      </c>
      <c r="N3118">
        <f t="shared" si="194"/>
        <v>7520.0399999999991</v>
      </c>
      <c r="O3118" t="str">
        <f t="shared" si="195"/>
        <v>Moderate Delay</v>
      </c>
    </row>
    <row r="3119" spans="1:15" x14ac:dyDescent="0.25">
      <c r="A3119">
        <v>3118</v>
      </c>
      <c r="B3119" s="2">
        <v>45949</v>
      </c>
      <c r="C3119" t="s">
        <v>31</v>
      </c>
      <c r="D3119" t="s">
        <v>22</v>
      </c>
      <c r="E3119" t="s">
        <v>19</v>
      </c>
      <c r="F3119" t="s">
        <v>21</v>
      </c>
      <c r="G3119">
        <v>282</v>
      </c>
      <c r="H3119">
        <v>575.70000000000005</v>
      </c>
      <c r="I3119">
        <v>27</v>
      </c>
      <c r="J3119" t="s">
        <v>30</v>
      </c>
      <c r="K3119">
        <v>162347.4</v>
      </c>
      <c r="L3119" t="str">
        <f t="shared" si="192"/>
        <v>Oct</v>
      </c>
      <c r="M3119">
        <f t="shared" si="193"/>
        <v>2025</v>
      </c>
      <c r="N3119">
        <f t="shared" si="194"/>
        <v>162347.40000000002</v>
      </c>
      <c r="O3119" t="str">
        <f t="shared" si="195"/>
        <v>Minor Delay</v>
      </c>
    </row>
    <row r="3120" spans="1:15" x14ac:dyDescent="0.25">
      <c r="A3120">
        <v>3119</v>
      </c>
      <c r="B3120" s="2">
        <v>45731</v>
      </c>
      <c r="C3120" t="s">
        <v>26</v>
      </c>
      <c r="D3120" t="s">
        <v>12</v>
      </c>
      <c r="E3120" t="s">
        <v>23</v>
      </c>
      <c r="F3120" t="s">
        <v>24</v>
      </c>
      <c r="G3120">
        <v>138</v>
      </c>
      <c r="H3120">
        <v>503.58</v>
      </c>
      <c r="I3120">
        <v>0</v>
      </c>
      <c r="J3120" t="s">
        <v>15</v>
      </c>
      <c r="K3120">
        <v>69494.039999999994</v>
      </c>
      <c r="L3120" t="str">
        <f t="shared" si="192"/>
        <v>Mar</v>
      </c>
      <c r="M3120">
        <f t="shared" si="193"/>
        <v>2025</v>
      </c>
      <c r="N3120">
        <f t="shared" si="194"/>
        <v>69494.039999999994</v>
      </c>
      <c r="O3120" t="str">
        <f t="shared" si="195"/>
        <v>On Time</v>
      </c>
    </row>
    <row r="3121" spans="1:15" x14ac:dyDescent="0.25">
      <c r="A3121">
        <v>3120</v>
      </c>
      <c r="B3121" s="2">
        <v>45903</v>
      </c>
      <c r="C3121" t="s">
        <v>31</v>
      </c>
      <c r="D3121" t="s">
        <v>19</v>
      </c>
      <c r="E3121" t="s">
        <v>29</v>
      </c>
      <c r="F3121" t="s">
        <v>21</v>
      </c>
      <c r="G3121">
        <v>116</v>
      </c>
      <c r="H3121">
        <v>136.43</v>
      </c>
      <c r="I3121">
        <v>0</v>
      </c>
      <c r="J3121" t="s">
        <v>15</v>
      </c>
      <c r="K3121">
        <v>15825.88</v>
      </c>
      <c r="L3121" t="str">
        <f t="shared" si="192"/>
        <v>Sep</v>
      </c>
      <c r="M3121">
        <f t="shared" si="193"/>
        <v>2025</v>
      </c>
      <c r="N3121">
        <f t="shared" si="194"/>
        <v>15825.880000000001</v>
      </c>
      <c r="O3121" t="str">
        <f t="shared" si="195"/>
        <v>On Time</v>
      </c>
    </row>
    <row r="3122" spans="1:15" x14ac:dyDescent="0.25">
      <c r="A3122">
        <v>3121</v>
      </c>
      <c r="B3122" s="2">
        <v>45869</v>
      </c>
      <c r="C3122" t="s">
        <v>26</v>
      </c>
      <c r="D3122" t="s">
        <v>19</v>
      </c>
      <c r="E3122" t="s">
        <v>27</v>
      </c>
      <c r="F3122" t="s">
        <v>21</v>
      </c>
      <c r="G3122">
        <v>68</v>
      </c>
      <c r="H3122">
        <v>712.96</v>
      </c>
      <c r="I3122">
        <v>10</v>
      </c>
      <c r="J3122" t="s">
        <v>15</v>
      </c>
      <c r="K3122">
        <v>48481.279999999999</v>
      </c>
      <c r="L3122" t="str">
        <f t="shared" si="192"/>
        <v>Jul</v>
      </c>
      <c r="M3122">
        <f t="shared" si="193"/>
        <v>2025</v>
      </c>
      <c r="N3122">
        <f t="shared" si="194"/>
        <v>48481.279999999999</v>
      </c>
      <c r="O3122" t="str">
        <f t="shared" si="195"/>
        <v>Minor Delay</v>
      </c>
    </row>
    <row r="3123" spans="1:15" x14ac:dyDescent="0.25">
      <c r="A3123">
        <v>3122</v>
      </c>
      <c r="B3123" s="2">
        <v>45708</v>
      </c>
      <c r="C3123" t="s">
        <v>26</v>
      </c>
      <c r="D3123" t="s">
        <v>13</v>
      </c>
      <c r="E3123" t="s">
        <v>29</v>
      </c>
      <c r="F3123" t="s">
        <v>21</v>
      </c>
      <c r="G3123">
        <v>272</v>
      </c>
      <c r="H3123">
        <v>82.45</v>
      </c>
      <c r="I3123">
        <v>34</v>
      </c>
      <c r="J3123" t="s">
        <v>15</v>
      </c>
      <c r="K3123">
        <v>22426.400000000001</v>
      </c>
      <c r="L3123" t="str">
        <f t="shared" si="192"/>
        <v>Feb</v>
      </c>
      <c r="M3123">
        <f t="shared" si="193"/>
        <v>2025</v>
      </c>
      <c r="N3123">
        <f t="shared" si="194"/>
        <v>22426.400000000001</v>
      </c>
      <c r="O3123" t="str">
        <f t="shared" si="195"/>
        <v>Moderate Delay</v>
      </c>
    </row>
    <row r="3124" spans="1:15" x14ac:dyDescent="0.25">
      <c r="A3124">
        <v>3123</v>
      </c>
      <c r="B3124" s="2">
        <v>46016</v>
      </c>
      <c r="C3124" t="s">
        <v>18</v>
      </c>
      <c r="D3124" t="s">
        <v>22</v>
      </c>
      <c r="E3124" t="s">
        <v>29</v>
      </c>
      <c r="F3124" t="s">
        <v>24</v>
      </c>
      <c r="G3124">
        <v>124</v>
      </c>
      <c r="H3124">
        <v>196.15</v>
      </c>
      <c r="I3124">
        <v>0</v>
      </c>
      <c r="J3124" t="s">
        <v>15</v>
      </c>
      <c r="K3124">
        <v>24322.6</v>
      </c>
      <c r="L3124" t="str">
        <f t="shared" si="192"/>
        <v>Dec</v>
      </c>
      <c r="M3124">
        <f t="shared" si="193"/>
        <v>2025</v>
      </c>
      <c r="N3124">
        <f t="shared" si="194"/>
        <v>24322.600000000002</v>
      </c>
      <c r="O3124" t="str">
        <f t="shared" si="195"/>
        <v>On Time</v>
      </c>
    </row>
    <row r="3125" spans="1:15" x14ac:dyDescent="0.25">
      <c r="A3125">
        <v>3124</v>
      </c>
      <c r="B3125" s="2">
        <v>45731</v>
      </c>
      <c r="C3125" t="s">
        <v>18</v>
      </c>
      <c r="D3125" t="s">
        <v>22</v>
      </c>
      <c r="E3125" t="s">
        <v>12</v>
      </c>
      <c r="F3125" t="s">
        <v>14</v>
      </c>
      <c r="G3125">
        <v>121</v>
      </c>
      <c r="H3125">
        <v>293.77999999999997</v>
      </c>
      <c r="I3125">
        <v>35</v>
      </c>
      <c r="J3125" t="s">
        <v>15</v>
      </c>
      <c r="K3125">
        <v>35547.379999999997</v>
      </c>
      <c r="L3125" t="str">
        <f t="shared" si="192"/>
        <v>Mar</v>
      </c>
      <c r="M3125">
        <f t="shared" si="193"/>
        <v>2025</v>
      </c>
      <c r="N3125">
        <f t="shared" si="194"/>
        <v>35547.379999999997</v>
      </c>
      <c r="O3125" t="str">
        <f t="shared" si="195"/>
        <v>Moderate Delay</v>
      </c>
    </row>
    <row r="3126" spans="1:15" x14ac:dyDescent="0.25">
      <c r="A3126">
        <v>3125</v>
      </c>
      <c r="B3126" s="2">
        <v>45845</v>
      </c>
      <c r="C3126" t="s">
        <v>25</v>
      </c>
      <c r="D3126" t="s">
        <v>19</v>
      </c>
      <c r="E3126" t="s">
        <v>27</v>
      </c>
      <c r="F3126" t="s">
        <v>24</v>
      </c>
      <c r="G3126">
        <v>130</v>
      </c>
      <c r="H3126">
        <v>748.46</v>
      </c>
      <c r="I3126">
        <v>0</v>
      </c>
      <c r="J3126" t="s">
        <v>15</v>
      </c>
      <c r="K3126">
        <v>97299.8</v>
      </c>
      <c r="L3126" t="str">
        <f t="shared" si="192"/>
        <v>Jul</v>
      </c>
      <c r="M3126">
        <f t="shared" si="193"/>
        <v>2025</v>
      </c>
      <c r="N3126">
        <f t="shared" si="194"/>
        <v>97299.8</v>
      </c>
      <c r="O3126" t="str">
        <f t="shared" si="195"/>
        <v>On Time</v>
      </c>
    </row>
    <row r="3127" spans="1:15" x14ac:dyDescent="0.25">
      <c r="A3127">
        <v>3126</v>
      </c>
      <c r="B3127" s="2">
        <v>45919</v>
      </c>
      <c r="C3127" t="s">
        <v>26</v>
      </c>
      <c r="D3127" t="s">
        <v>27</v>
      </c>
      <c r="E3127" t="s">
        <v>20</v>
      </c>
      <c r="F3127" t="s">
        <v>21</v>
      </c>
      <c r="G3127">
        <v>159</v>
      </c>
      <c r="H3127">
        <v>178.21</v>
      </c>
      <c r="I3127">
        <v>38</v>
      </c>
      <c r="J3127" t="s">
        <v>15</v>
      </c>
      <c r="K3127">
        <v>28335.39</v>
      </c>
      <c r="L3127" t="str">
        <f t="shared" si="192"/>
        <v>Sep</v>
      </c>
      <c r="M3127">
        <f t="shared" si="193"/>
        <v>2025</v>
      </c>
      <c r="N3127">
        <f t="shared" si="194"/>
        <v>28335.390000000003</v>
      </c>
      <c r="O3127" t="str">
        <f t="shared" si="195"/>
        <v>Moderate Delay</v>
      </c>
    </row>
    <row r="3128" spans="1:15" x14ac:dyDescent="0.25">
      <c r="A3128">
        <v>3127</v>
      </c>
      <c r="B3128" s="2">
        <v>45719</v>
      </c>
      <c r="C3128" t="s">
        <v>16</v>
      </c>
      <c r="D3128" t="s">
        <v>23</v>
      </c>
      <c r="E3128" t="s">
        <v>17</v>
      </c>
      <c r="F3128" t="s">
        <v>24</v>
      </c>
      <c r="G3128">
        <v>154</v>
      </c>
      <c r="H3128">
        <v>522.85</v>
      </c>
      <c r="I3128">
        <v>0</v>
      </c>
      <c r="J3128" t="s">
        <v>15</v>
      </c>
      <c r="K3128">
        <v>80518.899999999994</v>
      </c>
      <c r="L3128" t="str">
        <f t="shared" si="192"/>
        <v>Mar</v>
      </c>
      <c r="M3128">
        <f t="shared" si="193"/>
        <v>2025</v>
      </c>
      <c r="N3128">
        <f t="shared" si="194"/>
        <v>80518.900000000009</v>
      </c>
      <c r="O3128" t="str">
        <f t="shared" si="195"/>
        <v>On Time</v>
      </c>
    </row>
    <row r="3129" spans="1:15" x14ac:dyDescent="0.25">
      <c r="A3129">
        <v>3128</v>
      </c>
      <c r="B3129" s="2">
        <v>45854</v>
      </c>
      <c r="C3129" t="s">
        <v>31</v>
      </c>
      <c r="D3129" t="s">
        <v>17</v>
      </c>
      <c r="E3129" t="s">
        <v>22</v>
      </c>
      <c r="F3129" t="s">
        <v>24</v>
      </c>
      <c r="G3129">
        <v>269</v>
      </c>
      <c r="H3129">
        <v>141.29</v>
      </c>
      <c r="I3129">
        <v>77</v>
      </c>
      <c r="J3129" t="s">
        <v>30</v>
      </c>
      <c r="K3129">
        <v>38007.01</v>
      </c>
      <c r="L3129" t="str">
        <f t="shared" si="192"/>
        <v>Jul</v>
      </c>
      <c r="M3129">
        <f t="shared" si="193"/>
        <v>2025</v>
      </c>
      <c r="N3129">
        <f t="shared" si="194"/>
        <v>38007.009999999995</v>
      </c>
      <c r="O3129" t="str">
        <f t="shared" si="195"/>
        <v>Major Delay</v>
      </c>
    </row>
    <row r="3130" spans="1:15" x14ac:dyDescent="0.25">
      <c r="A3130">
        <v>3129</v>
      </c>
      <c r="B3130" s="2">
        <v>45722</v>
      </c>
      <c r="C3130" t="s">
        <v>18</v>
      </c>
      <c r="D3130" t="s">
        <v>13</v>
      </c>
      <c r="E3130" t="s">
        <v>20</v>
      </c>
      <c r="F3130" t="s">
        <v>24</v>
      </c>
      <c r="G3130">
        <v>232</v>
      </c>
      <c r="H3130">
        <v>424.22</v>
      </c>
      <c r="I3130">
        <v>5</v>
      </c>
      <c r="J3130" t="s">
        <v>15</v>
      </c>
      <c r="K3130">
        <v>98419.04</v>
      </c>
      <c r="L3130" t="str">
        <f t="shared" si="192"/>
        <v>Mar</v>
      </c>
      <c r="M3130">
        <f t="shared" si="193"/>
        <v>2025</v>
      </c>
      <c r="N3130">
        <f t="shared" si="194"/>
        <v>98419.040000000008</v>
      </c>
      <c r="O3130" t="str">
        <f t="shared" si="195"/>
        <v>Minor Delay</v>
      </c>
    </row>
    <row r="3131" spans="1:15" x14ac:dyDescent="0.25">
      <c r="A3131">
        <v>3130</v>
      </c>
      <c r="B3131" s="2">
        <v>45957</v>
      </c>
      <c r="C3131" t="s">
        <v>11</v>
      </c>
      <c r="D3131" t="s">
        <v>13</v>
      </c>
      <c r="E3131" t="s">
        <v>27</v>
      </c>
      <c r="F3131" t="s">
        <v>24</v>
      </c>
      <c r="G3131">
        <v>225</v>
      </c>
      <c r="H3131">
        <v>709.23</v>
      </c>
      <c r="I3131">
        <v>9</v>
      </c>
      <c r="J3131" t="s">
        <v>30</v>
      </c>
      <c r="K3131">
        <v>159576.75</v>
      </c>
      <c r="L3131" t="str">
        <f t="shared" si="192"/>
        <v>Oct</v>
      </c>
      <c r="M3131">
        <f t="shared" si="193"/>
        <v>2025</v>
      </c>
      <c r="N3131">
        <f t="shared" si="194"/>
        <v>159576.75</v>
      </c>
      <c r="O3131" t="str">
        <f t="shared" si="195"/>
        <v>Minor Delay</v>
      </c>
    </row>
    <row r="3132" spans="1:15" x14ac:dyDescent="0.25">
      <c r="A3132">
        <v>3131</v>
      </c>
      <c r="B3132" s="2">
        <v>45952</v>
      </c>
      <c r="C3132" t="s">
        <v>16</v>
      </c>
      <c r="D3132" t="s">
        <v>12</v>
      </c>
      <c r="E3132" t="s">
        <v>19</v>
      </c>
      <c r="F3132" t="s">
        <v>24</v>
      </c>
      <c r="G3132">
        <v>161</v>
      </c>
      <c r="H3132">
        <v>702.82</v>
      </c>
      <c r="I3132">
        <v>0</v>
      </c>
      <c r="J3132" t="s">
        <v>15</v>
      </c>
      <c r="K3132">
        <v>113154.02</v>
      </c>
      <c r="L3132" t="str">
        <f t="shared" si="192"/>
        <v>Oct</v>
      </c>
      <c r="M3132">
        <f t="shared" si="193"/>
        <v>2025</v>
      </c>
      <c r="N3132">
        <f t="shared" si="194"/>
        <v>113154.02</v>
      </c>
      <c r="O3132" t="str">
        <f t="shared" si="195"/>
        <v>On Time</v>
      </c>
    </row>
    <row r="3133" spans="1:15" x14ac:dyDescent="0.25">
      <c r="A3133">
        <v>3132</v>
      </c>
      <c r="B3133" s="2">
        <v>45910</v>
      </c>
      <c r="C3133" t="s">
        <v>18</v>
      </c>
      <c r="D3133" t="s">
        <v>19</v>
      </c>
      <c r="E3133" t="s">
        <v>22</v>
      </c>
      <c r="F3133" t="s">
        <v>21</v>
      </c>
      <c r="G3133">
        <v>269</v>
      </c>
      <c r="H3133">
        <v>570.28</v>
      </c>
      <c r="I3133">
        <v>0</v>
      </c>
      <c r="J3133" t="s">
        <v>30</v>
      </c>
      <c r="K3133">
        <v>153405.32</v>
      </c>
      <c r="L3133" t="str">
        <f t="shared" si="192"/>
        <v>Sep</v>
      </c>
      <c r="M3133">
        <f t="shared" si="193"/>
        <v>2025</v>
      </c>
      <c r="N3133">
        <f t="shared" si="194"/>
        <v>153405.32</v>
      </c>
      <c r="O3133" t="str">
        <f t="shared" si="195"/>
        <v>On Time</v>
      </c>
    </row>
    <row r="3134" spans="1:15" x14ac:dyDescent="0.25">
      <c r="A3134">
        <v>3133</v>
      </c>
      <c r="B3134" s="2">
        <v>45834</v>
      </c>
      <c r="C3134" t="s">
        <v>18</v>
      </c>
      <c r="D3134" t="s">
        <v>13</v>
      </c>
      <c r="E3134" t="s">
        <v>22</v>
      </c>
      <c r="F3134" t="s">
        <v>21</v>
      </c>
      <c r="G3134">
        <v>195</v>
      </c>
      <c r="H3134">
        <v>403.09</v>
      </c>
      <c r="I3134">
        <v>37</v>
      </c>
      <c r="J3134" t="s">
        <v>30</v>
      </c>
      <c r="K3134">
        <v>78602.55</v>
      </c>
      <c r="L3134" t="str">
        <f t="shared" si="192"/>
        <v>Jun</v>
      </c>
      <c r="M3134">
        <f t="shared" si="193"/>
        <v>2025</v>
      </c>
      <c r="N3134">
        <f t="shared" si="194"/>
        <v>78602.549999999988</v>
      </c>
      <c r="O3134" t="str">
        <f t="shared" si="195"/>
        <v>Moderate Delay</v>
      </c>
    </row>
    <row r="3135" spans="1:15" x14ac:dyDescent="0.25">
      <c r="A3135">
        <v>3134</v>
      </c>
      <c r="B3135" s="2">
        <v>45892</v>
      </c>
      <c r="C3135" t="s">
        <v>16</v>
      </c>
      <c r="D3135" t="s">
        <v>23</v>
      </c>
      <c r="E3135" t="s">
        <v>13</v>
      </c>
      <c r="F3135" t="s">
        <v>14</v>
      </c>
      <c r="G3135">
        <v>108</v>
      </c>
      <c r="H3135">
        <v>540.79999999999995</v>
      </c>
      <c r="I3135">
        <v>3</v>
      </c>
      <c r="J3135" t="s">
        <v>15</v>
      </c>
      <c r="K3135">
        <v>58406.400000000001</v>
      </c>
      <c r="L3135" t="str">
        <f t="shared" si="192"/>
        <v>Aug</v>
      </c>
      <c r="M3135">
        <f t="shared" si="193"/>
        <v>2025</v>
      </c>
      <c r="N3135">
        <f t="shared" si="194"/>
        <v>58406.399999999994</v>
      </c>
      <c r="O3135" t="str">
        <f t="shared" si="195"/>
        <v>Minor Delay</v>
      </c>
    </row>
    <row r="3136" spans="1:15" x14ac:dyDescent="0.25">
      <c r="A3136">
        <v>3135</v>
      </c>
      <c r="B3136" s="2">
        <v>45889</v>
      </c>
      <c r="C3136" t="s">
        <v>31</v>
      </c>
      <c r="D3136" t="s">
        <v>12</v>
      </c>
      <c r="E3136" t="s">
        <v>22</v>
      </c>
      <c r="F3136" t="s">
        <v>21</v>
      </c>
      <c r="G3136">
        <v>265</v>
      </c>
      <c r="H3136">
        <v>760.66</v>
      </c>
      <c r="I3136">
        <v>33</v>
      </c>
      <c r="J3136" t="s">
        <v>15</v>
      </c>
      <c r="K3136">
        <v>201574.9</v>
      </c>
      <c r="L3136" t="str">
        <f t="shared" si="192"/>
        <v>Aug</v>
      </c>
      <c r="M3136">
        <f t="shared" si="193"/>
        <v>2025</v>
      </c>
      <c r="N3136">
        <f t="shared" si="194"/>
        <v>201574.9</v>
      </c>
      <c r="O3136" t="str">
        <f t="shared" si="195"/>
        <v>Moderate Delay</v>
      </c>
    </row>
    <row r="3137" spans="1:15" x14ac:dyDescent="0.25">
      <c r="A3137">
        <v>3136</v>
      </c>
      <c r="B3137" s="2">
        <v>46013</v>
      </c>
      <c r="C3137" t="s">
        <v>16</v>
      </c>
      <c r="D3137" t="s">
        <v>20</v>
      </c>
      <c r="E3137" t="s">
        <v>29</v>
      </c>
      <c r="F3137" t="s">
        <v>21</v>
      </c>
      <c r="G3137">
        <v>228</v>
      </c>
      <c r="H3137">
        <v>580.34</v>
      </c>
      <c r="I3137">
        <v>18</v>
      </c>
      <c r="J3137" t="s">
        <v>15</v>
      </c>
      <c r="K3137">
        <v>132317.51999999999</v>
      </c>
      <c r="L3137" t="str">
        <f t="shared" si="192"/>
        <v>Dec</v>
      </c>
      <c r="M3137">
        <f t="shared" si="193"/>
        <v>2025</v>
      </c>
      <c r="N3137">
        <f t="shared" si="194"/>
        <v>132317.52000000002</v>
      </c>
      <c r="O3137" t="str">
        <f t="shared" si="195"/>
        <v>Minor Delay</v>
      </c>
    </row>
    <row r="3138" spans="1:15" x14ac:dyDescent="0.25">
      <c r="A3138">
        <v>3137</v>
      </c>
      <c r="B3138" s="2">
        <v>45862</v>
      </c>
      <c r="C3138" t="s">
        <v>25</v>
      </c>
      <c r="D3138" t="s">
        <v>17</v>
      </c>
      <c r="E3138" t="s">
        <v>27</v>
      </c>
      <c r="F3138" t="s">
        <v>24</v>
      </c>
      <c r="G3138">
        <v>53</v>
      </c>
      <c r="H3138">
        <v>352.61</v>
      </c>
      <c r="I3138">
        <v>5</v>
      </c>
      <c r="J3138" t="s">
        <v>15</v>
      </c>
      <c r="K3138">
        <v>18688.330000000002</v>
      </c>
      <c r="L3138" t="str">
        <f t="shared" si="192"/>
        <v>Jul</v>
      </c>
      <c r="M3138">
        <f t="shared" si="193"/>
        <v>2025</v>
      </c>
      <c r="N3138">
        <f t="shared" si="194"/>
        <v>18688.330000000002</v>
      </c>
      <c r="O3138" t="str">
        <f t="shared" si="195"/>
        <v>Minor Delay</v>
      </c>
    </row>
    <row r="3139" spans="1:15" x14ac:dyDescent="0.25">
      <c r="A3139">
        <v>3138</v>
      </c>
      <c r="B3139" s="2">
        <v>45760</v>
      </c>
      <c r="C3139" t="s">
        <v>16</v>
      </c>
      <c r="D3139" t="s">
        <v>27</v>
      </c>
      <c r="E3139" t="s">
        <v>17</v>
      </c>
      <c r="F3139" t="s">
        <v>14</v>
      </c>
      <c r="G3139">
        <v>67</v>
      </c>
      <c r="H3139">
        <v>791.45</v>
      </c>
      <c r="I3139">
        <v>29</v>
      </c>
      <c r="J3139" t="s">
        <v>30</v>
      </c>
      <c r="K3139">
        <v>53027.15</v>
      </c>
      <c r="L3139" t="str">
        <f t="shared" ref="L3139:L3202" si="196">TEXT(B3139,"MMM")</f>
        <v>Apr</v>
      </c>
      <c r="M3139">
        <f t="shared" ref="M3139:M3202" si="197">YEAR(B3139)</f>
        <v>2025</v>
      </c>
      <c r="N3139">
        <f t="shared" ref="N3139:N3202" si="198">G3139*H3139</f>
        <v>53027.15</v>
      </c>
      <c r="O3139" t="str">
        <f t="shared" ref="O3139:O3202" si="199">IF(I3139=0,"On Time",IF(I3139&lt;=30,"Minor Delay",IF(I3139&lt;=60,"Moderate Delay","Major Delay")))</f>
        <v>Minor Delay</v>
      </c>
    </row>
    <row r="3140" spans="1:15" x14ac:dyDescent="0.25">
      <c r="A3140">
        <v>3139</v>
      </c>
      <c r="B3140" s="2">
        <v>45683</v>
      </c>
      <c r="C3140" t="s">
        <v>25</v>
      </c>
      <c r="D3140" t="s">
        <v>29</v>
      </c>
      <c r="E3140" t="s">
        <v>13</v>
      </c>
      <c r="F3140" t="s">
        <v>21</v>
      </c>
      <c r="G3140">
        <v>182</v>
      </c>
      <c r="H3140">
        <v>276.20999999999998</v>
      </c>
      <c r="I3140">
        <v>31</v>
      </c>
      <c r="J3140" t="s">
        <v>30</v>
      </c>
      <c r="K3140">
        <v>50270.22</v>
      </c>
      <c r="L3140" t="str">
        <f t="shared" si="196"/>
        <v>Jan</v>
      </c>
      <c r="M3140">
        <f t="shared" si="197"/>
        <v>2025</v>
      </c>
      <c r="N3140">
        <f t="shared" si="198"/>
        <v>50270.219999999994</v>
      </c>
      <c r="O3140" t="str">
        <f t="shared" si="199"/>
        <v>Moderate Delay</v>
      </c>
    </row>
    <row r="3141" spans="1:15" x14ac:dyDescent="0.25">
      <c r="A3141">
        <v>3140</v>
      </c>
      <c r="B3141" s="2">
        <v>45762</v>
      </c>
      <c r="C3141" t="s">
        <v>11</v>
      </c>
      <c r="D3141" t="s">
        <v>27</v>
      </c>
      <c r="E3141" t="s">
        <v>19</v>
      </c>
      <c r="F3141" t="s">
        <v>24</v>
      </c>
      <c r="G3141">
        <v>267</v>
      </c>
      <c r="H3141">
        <v>394.01</v>
      </c>
      <c r="I3141">
        <v>13</v>
      </c>
      <c r="J3141" t="s">
        <v>15</v>
      </c>
      <c r="K3141">
        <v>105200.67</v>
      </c>
      <c r="L3141" t="str">
        <f t="shared" si="196"/>
        <v>Apr</v>
      </c>
      <c r="M3141">
        <f t="shared" si="197"/>
        <v>2025</v>
      </c>
      <c r="N3141">
        <f t="shared" si="198"/>
        <v>105200.67</v>
      </c>
      <c r="O3141" t="str">
        <f t="shared" si="199"/>
        <v>Minor Delay</v>
      </c>
    </row>
    <row r="3142" spans="1:15" x14ac:dyDescent="0.25">
      <c r="A3142">
        <v>3141</v>
      </c>
      <c r="B3142" s="2">
        <v>46011</v>
      </c>
      <c r="C3142" t="s">
        <v>31</v>
      </c>
      <c r="D3142" t="s">
        <v>13</v>
      </c>
      <c r="E3142" t="s">
        <v>19</v>
      </c>
      <c r="F3142" t="s">
        <v>21</v>
      </c>
      <c r="G3142">
        <v>153</v>
      </c>
      <c r="H3142">
        <v>429.09</v>
      </c>
      <c r="I3142">
        <v>19</v>
      </c>
      <c r="J3142" t="s">
        <v>15</v>
      </c>
      <c r="K3142">
        <v>65650.77</v>
      </c>
      <c r="L3142" t="str">
        <f t="shared" si="196"/>
        <v>Dec</v>
      </c>
      <c r="M3142">
        <f t="shared" si="197"/>
        <v>2025</v>
      </c>
      <c r="N3142">
        <f t="shared" si="198"/>
        <v>65650.76999999999</v>
      </c>
      <c r="O3142" t="str">
        <f t="shared" si="199"/>
        <v>Minor Delay</v>
      </c>
    </row>
    <row r="3143" spans="1:15" x14ac:dyDescent="0.25">
      <c r="A3143">
        <v>3142</v>
      </c>
      <c r="B3143" s="2">
        <v>45985</v>
      </c>
      <c r="C3143" t="s">
        <v>25</v>
      </c>
      <c r="D3143" t="s">
        <v>13</v>
      </c>
      <c r="E3143" t="s">
        <v>17</v>
      </c>
      <c r="F3143" t="s">
        <v>24</v>
      </c>
      <c r="G3143">
        <v>205</v>
      </c>
      <c r="H3143">
        <v>738.84</v>
      </c>
      <c r="I3143">
        <v>9</v>
      </c>
      <c r="J3143" t="s">
        <v>30</v>
      </c>
      <c r="K3143">
        <v>151462.20000000001</v>
      </c>
      <c r="L3143" t="str">
        <f t="shared" si="196"/>
        <v>Nov</v>
      </c>
      <c r="M3143">
        <f t="shared" si="197"/>
        <v>2025</v>
      </c>
      <c r="N3143">
        <f t="shared" si="198"/>
        <v>151462.20000000001</v>
      </c>
      <c r="O3143" t="str">
        <f t="shared" si="199"/>
        <v>Minor Delay</v>
      </c>
    </row>
    <row r="3144" spans="1:15" x14ac:dyDescent="0.25">
      <c r="A3144">
        <v>3143</v>
      </c>
      <c r="B3144" s="2">
        <v>45945</v>
      </c>
      <c r="C3144" t="s">
        <v>26</v>
      </c>
      <c r="D3144" t="s">
        <v>29</v>
      </c>
      <c r="E3144" t="s">
        <v>13</v>
      </c>
      <c r="F3144" t="s">
        <v>24</v>
      </c>
      <c r="G3144">
        <v>121</v>
      </c>
      <c r="H3144">
        <v>480.51</v>
      </c>
      <c r="I3144">
        <v>26</v>
      </c>
      <c r="J3144" t="s">
        <v>15</v>
      </c>
      <c r="K3144">
        <v>58141.71</v>
      </c>
      <c r="L3144" t="str">
        <f t="shared" si="196"/>
        <v>Oct</v>
      </c>
      <c r="M3144">
        <f t="shared" si="197"/>
        <v>2025</v>
      </c>
      <c r="N3144">
        <f t="shared" si="198"/>
        <v>58141.71</v>
      </c>
      <c r="O3144" t="str">
        <f t="shared" si="199"/>
        <v>Minor Delay</v>
      </c>
    </row>
    <row r="3145" spans="1:15" x14ac:dyDescent="0.25">
      <c r="A3145">
        <v>3144</v>
      </c>
      <c r="B3145" s="2">
        <v>45705</v>
      </c>
      <c r="C3145" t="s">
        <v>31</v>
      </c>
      <c r="D3145" t="s">
        <v>23</v>
      </c>
      <c r="E3145" t="s">
        <v>17</v>
      </c>
      <c r="F3145" t="s">
        <v>14</v>
      </c>
      <c r="G3145">
        <v>145</v>
      </c>
      <c r="H3145">
        <v>96.94</v>
      </c>
      <c r="I3145">
        <v>9</v>
      </c>
      <c r="J3145" t="s">
        <v>15</v>
      </c>
      <c r="K3145">
        <v>14056.3</v>
      </c>
      <c r="L3145" t="str">
        <f t="shared" si="196"/>
        <v>Feb</v>
      </c>
      <c r="M3145">
        <f t="shared" si="197"/>
        <v>2025</v>
      </c>
      <c r="N3145">
        <f t="shared" si="198"/>
        <v>14056.3</v>
      </c>
      <c r="O3145" t="str">
        <f t="shared" si="199"/>
        <v>Minor Delay</v>
      </c>
    </row>
    <row r="3146" spans="1:15" x14ac:dyDescent="0.25">
      <c r="A3146">
        <v>3145</v>
      </c>
      <c r="B3146" s="2">
        <v>45713</v>
      </c>
      <c r="C3146" t="s">
        <v>26</v>
      </c>
      <c r="D3146" t="s">
        <v>13</v>
      </c>
      <c r="E3146" t="s">
        <v>29</v>
      </c>
      <c r="F3146" t="s">
        <v>24</v>
      </c>
      <c r="G3146">
        <v>150</v>
      </c>
      <c r="H3146">
        <v>141.19999999999999</v>
      </c>
      <c r="I3146">
        <v>0</v>
      </c>
      <c r="J3146" t="s">
        <v>15</v>
      </c>
      <c r="K3146">
        <v>21180</v>
      </c>
      <c r="L3146" t="str">
        <f t="shared" si="196"/>
        <v>Feb</v>
      </c>
      <c r="M3146">
        <f t="shared" si="197"/>
        <v>2025</v>
      </c>
      <c r="N3146">
        <f t="shared" si="198"/>
        <v>21180</v>
      </c>
      <c r="O3146" t="str">
        <f t="shared" si="199"/>
        <v>On Time</v>
      </c>
    </row>
    <row r="3147" spans="1:15" x14ac:dyDescent="0.25">
      <c r="A3147">
        <v>3146</v>
      </c>
      <c r="B3147" s="2">
        <v>45768</v>
      </c>
      <c r="C3147" t="s">
        <v>31</v>
      </c>
      <c r="D3147" t="s">
        <v>13</v>
      </c>
      <c r="E3147" t="s">
        <v>12</v>
      </c>
      <c r="F3147" t="s">
        <v>21</v>
      </c>
      <c r="G3147">
        <v>180</v>
      </c>
      <c r="H3147">
        <v>487.04</v>
      </c>
      <c r="I3147">
        <v>64</v>
      </c>
      <c r="J3147" t="s">
        <v>15</v>
      </c>
      <c r="K3147">
        <v>87667.199999999997</v>
      </c>
      <c r="L3147" t="str">
        <f t="shared" si="196"/>
        <v>Apr</v>
      </c>
      <c r="M3147">
        <f t="shared" si="197"/>
        <v>2025</v>
      </c>
      <c r="N3147">
        <f t="shared" si="198"/>
        <v>87667.199999999997</v>
      </c>
      <c r="O3147" t="str">
        <f t="shared" si="199"/>
        <v>Major Delay</v>
      </c>
    </row>
    <row r="3148" spans="1:15" x14ac:dyDescent="0.25">
      <c r="A3148">
        <v>3147</v>
      </c>
      <c r="B3148" s="2">
        <v>45788</v>
      </c>
      <c r="C3148" t="s">
        <v>25</v>
      </c>
      <c r="D3148" t="s">
        <v>13</v>
      </c>
      <c r="E3148" t="s">
        <v>22</v>
      </c>
      <c r="F3148" t="s">
        <v>14</v>
      </c>
      <c r="G3148">
        <v>65</v>
      </c>
      <c r="H3148">
        <v>268.57</v>
      </c>
      <c r="I3148">
        <v>18</v>
      </c>
      <c r="J3148" t="s">
        <v>15</v>
      </c>
      <c r="K3148">
        <v>17457.05</v>
      </c>
      <c r="L3148" t="str">
        <f t="shared" si="196"/>
        <v>May</v>
      </c>
      <c r="M3148">
        <f t="shared" si="197"/>
        <v>2025</v>
      </c>
      <c r="N3148">
        <f t="shared" si="198"/>
        <v>17457.05</v>
      </c>
      <c r="O3148" t="str">
        <f t="shared" si="199"/>
        <v>Minor Delay</v>
      </c>
    </row>
    <row r="3149" spans="1:15" x14ac:dyDescent="0.25">
      <c r="A3149">
        <v>3148</v>
      </c>
      <c r="B3149" s="2">
        <v>45696</v>
      </c>
      <c r="C3149" t="s">
        <v>25</v>
      </c>
      <c r="D3149" t="s">
        <v>27</v>
      </c>
      <c r="E3149" t="s">
        <v>22</v>
      </c>
      <c r="F3149" t="s">
        <v>14</v>
      </c>
      <c r="G3149">
        <v>263</v>
      </c>
      <c r="H3149">
        <v>304.33</v>
      </c>
      <c r="I3149">
        <v>28</v>
      </c>
      <c r="J3149" t="s">
        <v>15</v>
      </c>
      <c r="K3149">
        <v>80038.789999999994</v>
      </c>
      <c r="L3149" t="str">
        <f t="shared" si="196"/>
        <v>Feb</v>
      </c>
      <c r="M3149">
        <f t="shared" si="197"/>
        <v>2025</v>
      </c>
      <c r="N3149">
        <f t="shared" si="198"/>
        <v>80038.789999999994</v>
      </c>
      <c r="O3149" t="str">
        <f t="shared" si="199"/>
        <v>Minor Delay</v>
      </c>
    </row>
    <row r="3150" spans="1:15" x14ac:dyDescent="0.25">
      <c r="A3150">
        <v>3149</v>
      </c>
      <c r="B3150" s="2">
        <v>45921</v>
      </c>
      <c r="C3150" t="s">
        <v>25</v>
      </c>
      <c r="D3150" t="s">
        <v>12</v>
      </c>
      <c r="E3150" t="s">
        <v>22</v>
      </c>
      <c r="F3150" t="s">
        <v>14</v>
      </c>
      <c r="G3150">
        <v>172</v>
      </c>
      <c r="H3150">
        <v>289.62</v>
      </c>
      <c r="I3150">
        <v>7</v>
      </c>
      <c r="J3150" t="s">
        <v>15</v>
      </c>
      <c r="K3150">
        <v>49814.64</v>
      </c>
      <c r="L3150" t="str">
        <f t="shared" si="196"/>
        <v>Sep</v>
      </c>
      <c r="M3150">
        <f t="shared" si="197"/>
        <v>2025</v>
      </c>
      <c r="N3150">
        <f t="shared" si="198"/>
        <v>49814.64</v>
      </c>
      <c r="O3150" t="str">
        <f t="shared" si="199"/>
        <v>Minor Delay</v>
      </c>
    </row>
    <row r="3151" spans="1:15" x14ac:dyDescent="0.25">
      <c r="A3151">
        <v>3150</v>
      </c>
      <c r="B3151" s="2">
        <v>45864</v>
      </c>
      <c r="C3151" t="s">
        <v>31</v>
      </c>
      <c r="D3151" t="s">
        <v>13</v>
      </c>
      <c r="E3151" t="s">
        <v>29</v>
      </c>
      <c r="F3151" t="s">
        <v>24</v>
      </c>
      <c r="G3151">
        <v>147</v>
      </c>
      <c r="H3151">
        <v>268.56</v>
      </c>
      <c r="I3151">
        <v>46</v>
      </c>
      <c r="J3151" t="s">
        <v>15</v>
      </c>
      <c r="K3151">
        <v>39478.32</v>
      </c>
      <c r="L3151" t="str">
        <f t="shared" si="196"/>
        <v>Jul</v>
      </c>
      <c r="M3151">
        <f t="shared" si="197"/>
        <v>2025</v>
      </c>
      <c r="N3151">
        <f t="shared" si="198"/>
        <v>39478.32</v>
      </c>
      <c r="O3151" t="str">
        <f t="shared" si="199"/>
        <v>Moderate Delay</v>
      </c>
    </row>
    <row r="3152" spans="1:15" x14ac:dyDescent="0.25">
      <c r="A3152">
        <v>3151</v>
      </c>
      <c r="B3152" s="2">
        <v>45676</v>
      </c>
      <c r="C3152" t="s">
        <v>16</v>
      </c>
      <c r="D3152" t="s">
        <v>20</v>
      </c>
      <c r="E3152" t="s">
        <v>23</v>
      </c>
      <c r="F3152" t="s">
        <v>21</v>
      </c>
      <c r="G3152">
        <v>59</v>
      </c>
      <c r="H3152">
        <v>174.53</v>
      </c>
      <c r="I3152">
        <v>0</v>
      </c>
      <c r="J3152" t="s">
        <v>15</v>
      </c>
      <c r="K3152">
        <v>10297.27</v>
      </c>
      <c r="L3152" t="str">
        <f t="shared" si="196"/>
        <v>Jan</v>
      </c>
      <c r="M3152">
        <f t="shared" si="197"/>
        <v>2025</v>
      </c>
      <c r="N3152">
        <f t="shared" si="198"/>
        <v>10297.27</v>
      </c>
      <c r="O3152" t="str">
        <f t="shared" si="199"/>
        <v>On Time</v>
      </c>
    </row>
    <row r="3153" spans="1:15" x14ac:dyDescent="0.25">
      <c r="A3153">
        <v>3152</v>
      </c>
      <c r="B3153" s="2">
        <v>45905</v>
      </c>
      <c r="C3153" t="s">
        <v>25</v>
      </c>
      <c r="D3153" t="s">
        <v>27</v>
      </c>
      <c r="E3153" t="s">
        <v>19</v>
      </c>
      <c r="F3153" t="s">
        <v>14</v>
      </c>
      <c r="G3153">
        <v>161</v>
      </c>
      <c r="H3153">
        <v>129.12</v>
      </c>
      <c r="I3153">
        <v>32</v>
      </c>
      <c r="J3153" t="s">
        <v>15</v>
      </c>
      <c r="K3153">
        <v>20788.32</v>
      </c>
      <c r="L3153" t="str">
        <f t="shared" si="196"/>
        <v>Sep</v>
      </c>
      <c r="M3153">
        <f t="shared" si="197"/>
        <v>2025</v>
      </c>
      <c r="N3153">
        <f t="shared" si="198"/>
        <v>20788.32</v>
      </c>
      <c r="O3153" t="str">
        <f t="shared" si="199"/>
        <v>Moderate Delay</v>
      </c>
    </row>
    <row r="3154" spans="1:15" x14ac:dyDescent="0.25">
      <c r="A3154">
        <v>3153</v>
      </c>
      <c r="B3154" s="2">
        <v>45922</v>
      </c>
      <c r="C3154" t="s">
        <v>18</v>
      </c>
      <c r="D3154" t="s">
        <v>17</v>
      </c>
      <c r="E3154" t="s">
        <v>20</v>
      </c>
      <c r="F3154" t="s">
        <v>14</v>
      </c>
      <c r="G3154">
        <v>71</v>
      </c>
      <c r="H3154">
        <v>480.88</v>
      </c>
      <c r="I3154">
        <v>0</v>
      </c>
      <c r="J3154" t="s">
        <v>15</v>
      </c>
      <c r="K3154">
        <v>34142.480000000003</v>
      </c>
      <c r="L3154" t="str">
        <f t="shared" si="196"/>
        <v>Sep</v>
      </c>
      <c r="M3154">
        <f t="shared" si="197"/>
        <v>2025</v>
      </c>
      <c r="N3154">
        <f t="shared" si="198"/>
        <v>34142.480000000003</v>
      </c>
      <c r="O3154" t="str">
        <f t="shared" si="199"/>
        <v>On Time</v>
      </c>
    </row>
    <row r="3155" spans="1:15" x14ac:dyDescent="0.25">
      <c r="A3155">
        <v>3154</v>
      </c>
      <c r="B3155" s="2">
        <v>45997</v>
      </c>
      <c r="C3155" t="s">
        <v>11</v>
      </c>
      <c r="D3155" t="s">
        <v>27</v>
      </c>
      <c r="E3155" t="s">
        <v>19</v>
      </c>
      <c r="F3155" t="s">
        <v>14</v>
      </c>
      <c r="G3155">
        <v>155</v>
      </c>
      <c r="H3155">
        <v>108.6</v>
      </c>
      <c r="I3155">
        <v>28</v>
      </c>
      <c r="J3155" t="s">
        <v>30</v>
      </c>
      <c r="K3155">
        <v>16833</v>
      </c>
      <c r="L3155" t="str">
        <f t="shared" si="196"/>
        <v>Dec</v>
      </c>
      <c r="M3155">
        <f t="shared" si="197"/>
        <v>2025</v>
      </c>
      <c r="N3155">
        <f t="shared" si="198"/>
        <v>16833</v>
      </c>
      <c r="O3155" t="str">
        <f t="shared" si="199"/>
        <v>Minor Delay</v>
      </c>
    </row>
    <row r="3156" spans="1:15" x14ac:dyDescent="0.25">
      <c r="A3156">
        <v>3155</v>
      </c>
      <c r="B3156" s="2">
        <v>45828</v>
      </c>
      <c r="C3156" t="s">
        <v>31</v>
      </c>
      <c r="D3156" t="s">
        <v>22</v>
      </c>
      <c r="E3156" t="s">
        <v>13</v>
      </c>
      <c r="F3156" t="s">
        <v>14</v>
      </c>
      <c r="G3156">
        <v>145</v>
      </c>
      <c r="H3156">
        <v>200.3</v>
      </c>
      <c r="I3156">
        <v>0</v>
      </c>
      <c r="J3156" t="s">
        <v>15</v>
      </c>
      <c r="K3156">
        <v>29043.5</v>
      </c>
      <c r="L3156" t="str">
        <f t="shared" si="196"/>
        <v>Jun</v>
      </c>
      <c r="M3156">
        <f t="shared" si="197"/>
        <v>2025</v>
      </c>
      <c r="N3156">
        <f t="shared" si="198"/>
        <v>29043.5</v>
      </c>
      <c r="O3156" t="str">
        <f t="shared" si="199"/>
        <v>On Time</v>
      </c>
    </row>
    <row r="3157" spans="1:15" x14ac:dyDescent="0.25">
      <c r="A3157">
        <v>3156</v>
      </c>
      <c r="B3157" s="2">
        <v>45883</v>
      </c>
      <c r="C3157" t="s">
        <v>25</v>
      </c>
      <c r="D3157" t="s">
        <v>17</v>
      </c>
      <c r="E3157" t="s">
        <v>22</v>
      </c>
      <c r="F3157" t="s">
        <v>14</v>
      </c>
      <c r="G3157">
        <v>189</v>
      </c>
      <c r="H3157">
        <v>333.52</v>
      </c>
      <c r="I3157">
        <v>44</v>
      </c>
      <c r="J3157" t="s">
        <v>15</v>
      </c>
      <c r="K3157">
        <v>63035.28</v>
      </c>
      <c r="L3157" t="str">
        <f t="shared" si="196"/>
        <v>Aug</v>
      </c>
      <c r="M3157">
        <f t="shared" si="197"/>
        <v>2025</v>
      </c>
      <c r="N3157">
        <f t="shared" si="198"/>
        <v>63035.28</v>
      </c>
      <c r="O3157" t="str">
        <f t="shared" si="199"/>
        <v>Moderate Delay</v>
      </c>
    </row>
    <row r="3158" spans="1:15" x14ac:dyDescent="0.25">
      <c r="A3158">
        <v>3157</v>
      </c>
      <c r="B3158" s="2">
        <v>45954</v>
      </c>
      <c r="C3158" t="s">
        <v>25</v>
      </c>
      <c r="D3158" t="s">
        <v>19</v>
      </c>
      <c r="E3158" t="s">
        <v>23</v>
      </c>
      <c r="F3158" t="s">
        <v>21</v>
      </c>
      <c r="G3158">
        <v>247</v>
      </c>
      <c r="H3158">
        <v>623.20000000000005</v>
      </c>
      <c r="I3158">
        <v>27</v>
      </c>
      <c r="J3158" t="s">
        <v>15</v>
      </c>
      <c r="K3158">
        <v>153930.4</v>
      </c>
      <c r="L3158" t="str">
        <f t="shared" si="196"/>
        <v>Oct</v>
      </c>
      <c r="M3158">
        <f t="shared" si="197"/>
        <v>2025</v>
      </c>
      <c r="N3158">
        <f t="shared" si="198"/>
        <v>153930.40000000002</v>
      </c>
      <c r="O3158" t="str">
        <f t="shared" si="199"/>
        <v>Minor Delay</v>
      </c>
    </row>
    <row r="3159" spans="1:15" x14ac:dyDescent="0.25">
      <c r="A3159">
        <v>3158</v>
      </c>
      <c r="B3159" s="2">
        <v>45897</v>
      </c>
      <c r="C3159" t="s">
        <v>25</v>
      </c>
      <c r="D3159" t="s">
        <v>29</v>
      </c>
      <c r="E3159" t="s">
        <v>12</v>
      </c>
      <c r="F3159" t="s">
        <v>24</v>
      </c>
      <c r="G3159">
        <v>135</v>
      </c>
      <c r="H3159">
        <v>474.07</v>
      </c>
      <c r="I3159">
        <v>32</v>
      </c>
      <c r="J3159" t="s">
        <v>15</v>
      </c>
      <c r="K3159">
        <v>63999.45</v>
      </c>
      <c r="L3159" t="str">
        <f t="shared" si="196"/>
        <v>Aug</v>
      </c>
      <c r="M3159">
        <f t="shared" si="197"/>
        <v>2025</v>
      </c>
      <c r="N3159">
        <f t="shared" si="198"/>
        <v>63999.45</v>
      </c>
      <c r="O3159" t="str">
        <f t="shared" si="199"/>
        <v>Moderate Delay</v>
      </c>
    </row>
    <row r="3160" spans="1:15" x14ac:dyDescent="0.25">
      <c r="A3160">
        <v>3159</v>
      </c>
      <c r="B3160" s="2">
        <v>45875</v>
      </c>
      <c r="C3160" t="s">
        <v>18</v>
      </c>
      <c r="D3160" t="s">
        <v>22</v>
      </c>
      <c r="E3160" t="s">
        <v>23</v>
      </c>
      <c r="F3160" t="s">
        <v>21</v>
      </c>
      <c r="G3160">
        <v>174</v>
      </c>
      <c r="H3160">
        <v>507.52</v>
      </c>
      <c r="I3160">
        <v>31</v>
      </c>
      <c r="J3160" t="s">
        <v>15</v>
      </c>
      <c r="K3160">
        <v>88308.479999999996</v>
      </c>
      <c r="L3160" t="str">
        <f t="shared" si="196"/>
        <v>Aug</v>
      </c>
      <c r="M3160">
        <f t="shared" si="197"/>
        <v>2025</v>
      </c>
      <c r="N3160">
        <f t="shared" si="198"/>
        <v>88308.479999999996</v>
      </c>
      <c r="O3160" t="str">
        <f t="shared" si="199"/>
        <v>Moderate Delay</v>
      </c>
    </row>
    <row r="3161" spans="1:15" x14ac:dyDescent="0.25">
      <c r="A3161">
        <v>3160</v>
      </c>
      <c r="B3161" s="2">
        <v>45921</v>
      </c>
      <c r="C3161" t="s">
        <v>26</v>
      </c>
      <c r="D3161" t="s">
        <v>13</v>
      </c>
      <c r="E3161" t="s">
        <v>19</v>
      </c>
      <c r="F3161" t="s">
        <v>14</v>
      </c>
      <c r="G3161">
        <v>90</v>
      </c>
      <c r="H3161">
        <v>726.7</v>
      </c>
      <c r="I3161">
        <v>64</v>
      </c>
      <c r="J3161" t="s">
        <v>15</v>
      </c>
      <c r="K3161">
        <v>65403</v>
      </c>
      <c r="L3161" t="str">
        <f t="shared" si="196"/>
        <v>Sep</v>
      </c>
      <c r="M3161">
        <f t="shared" si="197"/>
        <v>2025</v>
      </c>
      <c r="N3161">
        <f t="shared" si="198"/>
        <v>65403.000000000007</v>
      </c>
      <c r="O3161" t="str">
        <f t="shared" si="199"/>
        <v>Major Delay</v>
      </c>
    </row>
    <row r="3162" spans="1:15" x14ac:dyDescent="0.25">
      <c r="A3162">
        <v>3161</v>
      </c>
      <c r="B3162" s="2">
        <v>45878</v>
      </c>
      <c r="C3162" t="s">
        <v>31</v>
      </c>
      <c r="D3162" t="s">
        <v>20</v>
      </c>
      <c r="E3162" t="s">
        <v>17</v>
      </c>
      <c r="F3162" t="s">
        <v>21</v>
      </c>
      <c r="G3162">
        <v>257</v>
      </c>
      <c r="H3162">
        <v>539.04</v>
      </c>
      <c r="I3162">
        <v>19</v>
      </c>
      <c r="J3162" t="s">
        <v>15</v>
      </c>
      <c r="K3162">
        <v>138533.28</v>
      </c>
      <c r="L3162" t="str">
        <f t="shared" si="196"/>
        <v>Aug</v>
      </c>
      <c r="M3162">
        <f t="shared" si="197"/>
        <v>2025</v>
      </c>
      <c r="N3162">
        <f t="shared" si="198"/>
        <v>138533.28</v>
      </c>
      <c r="O3162" t="str">
        <f t="shared" si="199"/>
        <v>Minor Delay</v>
      </c>
    </row>
    <row r="3163" spans="1:15" x14ac:dyDescent="0.25">
      <c r="A3163">
        <v>3162</v>
      </c>
      <c r="B3163" s="2">
        <v>45821</v>
      </c>
      <c r="C3163" t="s">
        <v>11</v>
      </c>
      <c r="D3163" t="s">
        <v>13</v>
      </c>
      <c r="E3163" t="s">
        <v>19</v>
      </c>
      <c r="F3163" t="s">
        <v>21</v>
      </c>
      <c r="G3163">
        <v>144</v>
      </c>
      <c r="H3163">
        <v>758.11</v>
      </c>
      <c r="I3163">
        <v>29</v>
      </c>
      <c r="J3163" t="s">
        <v>15</v>
      </c>
      <c r="K3163">
        <v>109167.84</v>
      </c>
      <c r="L3163" t="str">
        <f t="shared" si="196"/>
        <v>Jun</v>
      </c>
      <c r="M3163">
        <f t="shared" si="197"/>
        <v>2025</v>
      </c>
      <c r="N3163">
        <f t="shared" si="198"/>
        <v>109167.84</v>
      </c>
      <c r="O3163" t="str">
        <f t="shared" si="199"/>
        <v>Minor Delay</v>
      </c>
    </row>
    <row r="3164" spans="1:15" x14ac:dyDescent="0.25">
      <c r="A3164">
        <v>3163</v>
      </c>
      <c r="B3164" s="2">
        <v>45936</v>
      </c>
      <c r="C3164" t="s">
        <v>18</v>
      </c>
      <c r="D3164" t="s">
        <v>19</v>
      </c>
      <c r="E3164" t="s">
        <v>13</v>
      </c>
      <c r="F3164" t="s">
        <v>14</v>
      </c>
      <c r="G3164">
        <v>290</v>
      </c>
      <c r="H3164">
        <v>737.3</v>
      </c>
      <c r="I3164">
        <v>0</v>
      </c>
      <c r="J3164" t="s">
        <v>15</v>
      </c>
      <c r="K3164">
        <v>213817</v>
      </c>
      <c r="L3164" t="str">
        <f t="shared" si="196"/>
        <v>Oct</v>
      </c>
      <c r="M3164">
        <f t="shared" si="197"/>
        <v>2025</v>
      </c>
      <c r="N3164">
        <f t="shared" si="198"/>
        <v>213817</v>
      </c>
      <c r="O3164" t="str">
        <f t="shared" si="199"/>
        <v>On Time</v>
      </c>
    </row>
    <row r="3165" spans="1:15" x14ac:dyDescent="0.25">
      <c r="A3165">
        <v>3164</v>
      </c>
      <c r="B3165" s="2">
        <v>45772</v>
      </c>
      <c r="C3165" t="s">
        <v>31</v>
      </c>
      <c r="D3165" t="s">
        <v>13</v>
      </c>
      <c r="E3165" t="s">
        <v>27</v>
      </c>
      <c r="F3165" t="s">
        <v>21</v>
      </c>
      <c r="G3165">
        <v>266</v>
      </c>
      <c r="H3165">
        <v>183.52</v>
      </c>
      <c r="I3165">
        <v>12</v>
      </c>
      <c r="J3165" t="s">
        <v>15</v>
      </c>
      <c r="K3165">
        <v>48816.32</v>
      </c>
      <c r="L3165" t="str">
        <f t="shared" si="196"/>
        <v>Apr</v>
      </c>
      <c r="M3165">
        <f t="shared" si="197"/>
        <v>2025</v>
      </c>
      <c r="N3165">
        <f t="shared" si="198"/>
        <v>48816.32</v>
      </c>
      <c r="O3165" t="str">
        <f t="shared" si="199"/>
        <v>Minor Delay</v>
      </c>
    </row>
    <row r="3166" spans="1:15" x14ac:dyDescent="0.25">
      <c r="A3166">
        <v>3165</v>
      </c>
      <c r="B3166" s="2">
        <v>45891</v>
      </c>
      <c r="C3166" t="s">
        <v>25</v>
      </c>
      <c r="D3166" t="s">
        <v>20</v>
      </c>
      <c r="E3166" t="s">
        <v>27</v>
      </c>
      <c r="F3166" t="s">
        <v>14</v>
      </c>
      <c r="G3166">
        <v>80</v>
      </c>
      <c r="H3166">
        <v>710.33</v>
      </c>
      <c r="I3166">
        <v>6</v>
      </c>
      <c r="J3166" t="s">
        <v>15</v>
      </c>
      <c r="K3166">
        <v>56826.400000000001</v>
      </c>
      <c r="L3166" t="str">
        <f t="shared" si="196"/>
        <v>Aug</v>
      </c>
      <c r="M3166">
        <f t="shared" si="197"/>
        <v>2025</v>
      </c>
      <c r="N3166">
        <f t="shared" si="198"/>
        <v>56826.400000000001</v>
      </c>
      <c r="O3166" t="str">
        <f t="shared" si="199"/>
        <v>Minor Delay</v>
      </c>
    </row>
    <row r="3167" spans="1:15" x14ac:dyDescent="0.25">
      <c r="A3167">
        <v>3166</v>
      </c>
      <c r="B3167" s="2">
        <v>45759</v>
      </c>
      <c r="C3167" t="s">
        <v>16</v>
      </c>
      <c r="D3167" t="s">
        <v>20</v>
      </c>
      <c r="E3167" t="s">
        <v>17</v>
      </c>
      <c r="F3167" t="s">
        <v>21</v>
      </c>
      <c r="G3167">
        <v>65</v>
      </c>
      <c r="H3167">
        <v>66.38</v>
      </c>
      <c r="I3167">
        <v>19</v>
      </c>
      <c r="J3167" t="s">
        <v>30</v>
      </c>
      <c r="K3167">
        <v>4314.7</v>
      </c>
      <c r="L3167" t="str">
        <f t="shared" si="196"/>
        <v>Apr</v>
      </c>
      <c r="M3167">
        <f t="shared" si="197"/>
        <v>2025</v>
      </c>
      <c r="N3167">
        <f t="shared" si="198"/>
        <v>4314.7</v>
      </c>
      <c r="O3167" t="str">
        <f t="shared" si="199"/>
        <v>Minor Delay</v>
      </c>
    </row>
    <row r="3168" spans="1:15" x14ac:dyDescent="0.25">
      <c r="A3168">
        <v>3167</v>
      </c>
      <c r="B3168" s="2">
        <v>45682</v>
      </c>
      <c r="C3168" t="s">
        <v>11</v>
      </c>
      <c r="D3168" t="s">
        <v>29</v>
      </c>
      <c r="E3168" t="s">
        <v>12</v>
      </c>
      <c r="F3168" t="s">
        <v>21</v>
      </c>
      <c r="G3168">
        <v>269</v>
      </c>
      <c r="H3168">
        <v>266.20999999999998</v>
      </c>
      <c r="I3168">
        <v>33</v>
      </c>
      <c r="J3168" t="s">
        <v>15</v>
      </c>
      <c r="K3168">
        <v>71610.490000000005</v>
      </c>
      <c r="L3168" t="str">
        <f t="shared" si="196"/>
        <v>Jan</v>
      </c>
      <c r="M3168">
        <f t="shared" si="197"/>
        <v>2025</v>
      </c>
      <c r="N3168">
        <f t="shared" si="198"/>
        <v>71610.489999999991</v>
      </c>
      <c r="O3168" t="str">
        <f t="shared" si="199"/>
        <v>Moderate Delay</v>
      </c>
    </row>
    <row r="3169" spans="1:15" x14ac:dyDescent="0.25">
      <c r="A3169">
        <v>3168</v>
      </c>
      <c r="B3169" s="2">
        <v>45995</v>
      </c>
      <c r="C3169" t="s">
        <v>18</v>
      </c>
      <c r="D3169" t="s">
        <v>13</v>
      </c>
      <c r="E3169" t="s">
        <v>17</v>
      </c>
      <c r="F3169" t="s">
        <v>21</v>
      </c>
      <c r="G3169">
        <v>219</v>
      </c>
      <c r="H3169">
        <v>390.81</v>
      </c>
      <c r="I3169">
        <v>55</v>
      </c>
      <c r="J3169" t="s">
        <v>15</v>
      </c>
      <c r="K3169">
        <v>85587.39</v>
      </c>
      <c r="L3169" t="str">
        <f t="shared" si="196"/>
        <v>Dec</v>
      </c>
      <c r="M3169">
        <f t="shared" si="197"/>
        <v>2025</v>
      </c>
      <c r="N3169">
        <f t="shared" si="198"/>
        <v>85587.39</v>
      </c>
      <c r="O3169" t="str">
        <f t="shared" si="199"/>
        <v>Moderate Delay</v>
      </c>
    </row>
    <row r="3170" spans="1:15" x14ac:dyDescent="0.25">
      <c r="A3170">
        <v>3169</v>
      </c>
      <c r="B3170" s="2">
        <v>46005</v>
      </c>
      <c r="C3170" t="s">
        <v>31</v>
      </c>
      <c r="D3170" t="s">
        <v>17</v>
      </c>
      <c r="E3170" t="s">
        <v>12</v>
      </c>
      <c r="F3170" t="s">
        <v>21</v>
      </c>
      <c r="G3170">
        <v>211</v>
      </c>
      <c r="H3170">
        <v>411.31</v>
      </c>
      <c r="I3170">
        <v>0</v>
      </c>
      <c r="J3170" t="s">
        <v>15</v>
      </c>
      <c r="K3170">
        <v>86786.41</v>
      </c>
      <c r="L3170" t="str">
        <f t="shared" si="196"/>
        <v>Dec</v>
      </c>
      <c r="M3170">
        <f t="shared" si="197"/>
        <v>2025</v>
      </c>
      <c r="N3170">
        <f t="shared" si="198"/>
        <v>86786.41</v>
      </c>
      <c r="O3170" t="str">
        <f t="shared" si="199"/>
        <v>On Time</v>
      </c>
    </row>
    <row r="3171" spans="1:15" x14ac:dyDescent="0.25">
      <c r="A3171">
        <v>3170</v>
      </c>
      <c r="B3171" s="2">
        <v>45891</v>
      </c>
      <c r="C3171" t="s">
        <v>18</v>
      </c>
      <c r="D3171" t="s">
        <v>17</v>
      </c>
      <c r="E3171" t="s">
        <v>20</v>
      </c>
      <c r="F3171" t="s">
        <v>24</v>
      </c>
      <c r="G3171">
        <v>60</v>
      </c>
      <c r="H3171">
        <v>509.37</v>
      </c>
      <c r="I3171">
        <v>47</v>
      </c>
      <c r="J3171" t="s">
        <v>15</v>
      </c>
      <c r="K3171">
        <v>30562.2</v>
      </c>
      <c r="L3171" t="str">
        <f t="shared" si="196"/>
        <v>Aug</v>
      </c>
      <c r="M3171">
        <f t="shared" si="197"/>
        <v>2025</v>
      </c>
      <c r="N3171">
        <f t="shared" si="198"/>
        <v>30562.2</v>
      </c>
      <c r="O3171" t="str">
        <f t="shared" si="199"/>
        <v>Moderate Delay</v>
      </c>
    </row>
    <row r="3172" spans="1:15" x14ac:dyDescent="0.25">
      <c r="A3172">
        <v>3171</v>
      </c>
      <c r="B3172" s="2">
        <v>45757</v>
      </c>
      <c r="C3172" t="s">
        <v>26</v>
      </c>
      <c r="D3172" t="s">
        <v>17</v>
      </c>
      <c r="E3172" t="s">
        <v>19</v>
      </c>
      <c r="F3172" t="s">
        <v>24</v>
      </c>
      <c r="G3172">
        <v>54</v>
      </c>
      <c r="H3172">
        <v>72.92</v>
      </c>
      <c r="I3172">
        <v>16</v>
      </c>
      <c r="J3172" t="s">
        <v>30</v>
      </c>
      <c r="K3172">
        <v>3937.68</v>
      </c>
      <c r="L3172" t="str">
        <f t="shared" si="196"/>
        <v>Apr</v>
      </c>
      <c r="M3172">
        <f t="shared" si="197"/>
        <v>2025</v>
      </c>
      <c r="N3172">
        <f t="shared" si="198"/>
        <v>3937.6800000000003</v>
      </c>
      <c r="O3172" t="str">
        <f t="shared" si="199"/>
        <v>Minor Delay</v>
      </c>
    </row>
    <row r="3173" spans="1:15" x14ac:dyDescent="0.25">
      <c r="A3173">
        <v>3172</v>
      </c>
      <c r="B3173" s="2">
        <v>46003</v>
      </c>
      <c r="C3173" t="s">
        <v>18</v>
      </c>
      <c r="D3173" t="s">
        <v>23</v>
      </c>
      <c r="E3173" t="s">
        <v>29</v>
      </c>
      <c r="F3173" t="s">
        <v>21</v>
      </c>
      <c r="G3173">
        <v>232</v>
      </c>
      <c r="H3173">
        <v>329.75</v>
      </c>
      <c r="I3173">
        <v>6</v>
      </c>
      <c r="J3173" t="s">
        <v>15</v>
      </c>
      <c r="K3173">
        <v>76502</v>
      </c>
      <c r="L3173" t="str">
        <f t="shared" si="196"/>
        <v>Dec</v>
      </c>
      <c r="M3173">
        <f t="shared" si="197"/>
        <v>2025</v>
      </c>
      <c r="N3173">
        <f t="shared" si="198"/>
        <v>76502</v>
      </c>
      <c r="O3173" t="str">
        <f t="shared" si="199"/>
        <v>Minor Delay</v>
      </c>
    </row>
    <row r="3174" spans="1:15" x14ac:dyDescent="0.25">
      <c r="A3174">
        <v>3173</v>
      </c>
      <c r="B3174" s="2">
        <v>45723</v>
      </c>
      <c r="C3174" t="s">
        <v>16</v>
      </c>
      <c r="D3174" t="s">
        <v>19</v>
      </c>
      <c r="E3174" t="s">
        <v>29</v>
      </c>
      <c r="F3174" t="s">
        <v>21</v>
      </c>
      <c r="G3174">
        <v>69</v>
      </c>
      <c r="H3174">
        <v>622.58000000000004</v>
      </c>
      <c r="I3174">
        <v>21</v>
      </c>
      <c r="J3174" t="s">
        <v>15</v>
      </c>
      <c r="K3174">
        <v>42958.02</v>
      </c>
      <c r="L3174" t="str">
        <f t="shared" si="196"/>
        <v>Mar</v>
      </c>
      <c r="M3174">
        <f t="shared" si="197"/>
        <v>2025</v>
      </c>
      <c r="N3174">
        <f t="shared" si="198"/>
        <v>42958.020000000004</v>
      </c>
      <c r="O3174" t="str">
        <f t="shared" si="199"/>
        <v>Minor Delay</v>
      </c>
    </row>
    <row r="3175" spans="1:15" x14ac:dyDescent="0.25">
      <c r="A3175">
        <v>3174</v>
      </c>
      <c r="B3175" s="2">
        <v>46012</v>
      </c>
      <c r="C3175" t="s">
        <v>26</v>
      </c>
      <c r="D3175" t="s">
        <v>13</v>
      </c>
      <c r="E3175" t="s">
        <v>17</v>
      </c>
      <c r="F3175" t="s">
        <v>24</v>
      </c>
      <c r="G3175">
        <v>221</v>
      </c>
      <c r="H3175">
        <v>240</v>
      </c>
      <c r="I3175">
        <v>54</v>
      </c>
      <c r="J3175" t="s">
        <v>15</v>
      </c>
      <c r="K3175">
        <v>53040</v>
      </c>
      <c r="L3175" t="str">
        <f t="shared" si="196"/>
        <v>Dec</v>
      </c>
      <c r="M3175">
        <f t="shared" si="197"/>
        <v>2025</v>
      </c>
      <c r="N3175">
        <f t="shared" si="198"/>
        <v>53040</v>
      </c>
      <c r="O3175" t="str">
        <f t="shared" si="199"/>
        <v>Moderate Delay</v>
      </c>
    </row>
    <row r="3176" spans="1:15" x14ac:dyDescent="0.25">
      <c r="A3176">
        <v>3175</v>
      </c>
      <c r="B3176" s="2">
        <v>45910</v>
      </c>
      <c r="C3176" t="s">
        <v>25</v>
      </c>
      <c r="D3176" t="s">
        <v>12</v>
      </c>
      <c r="E3176" t="s">
        <v>17</v>
      </c>
      <c r="F3176" t="s">
        <v>21</v>
      </c>
      <c r="G3176">
        <v>79</v>
      </c>
      <c r="H3176">
        <v>121.14</v>
      </c>
      <c r="I3176">
        <v>26</v>
      </c>
      <c r="J3176" t="s">
        <v>15</v>
      </c>
      <c r="K3176">
        <v>9570.06</v>
      </c>
      <c r="L3176" t="str">
        <f t="shared" si="196"/>
        <v>Sep</v>
      </c>
      <c r="M3176">
        <f t="shared" si="197"/>
        <v>2025</v>
      </c>
      <c r="N3176">
        <f t="shared" si="198"/>
        <v>9570.06</v>
      </c>
      <c r="O3176" t="str">
        <f t="shared" si="199"/>
        <v>Minor Delay</v>
      </c>
    </row>
    <row r="3177" spans="1:15" x14ac:dyDescent="0.25">
      <c r="A3177">
        <v>3176</v>
      </c>
      <c r="B3177" s="2">
        <v>45861</v>
      </c>
      <c r="C3177" t="s">
        <v>25</v>
      </c>
      <c r="D3177" t="s">
        <v>13</v>
      </c>
      <c r="E3177" t="s">
        <v>29</v>
      </c>
      <c r="F3177" t="s">
        <v>14</v>
      </c>
      <c r="G3177">
        <v>157</v>
      </c>
      <c r="H3177">
        <v>66.599999999999994</v>
      </c>
      <c r="I3177">
        <v>17</v>
      </c>
      <c r="J3177" t="s">
        <v>15</v>
      </c>
      <c r="K3177">
        <v>10456.200000000001</v>
      </c>
      <c r="L3177" t="str">
        <f t="shared" si="196"/>
        <v>Jul</v>
      </c>
      <c r="M3177">
        <f t="shared" si="197"/>
        <v>2025</v>
      </c>
      <c r="N3177">
        <f t="shared" si="198"/>
        <v>10456.199999999999</v>
      </c>
      <c r="O3177" t="str">
        <f t="shared" si="199"/>
        <v>Minor Delay</v>
      </c>
    </row>
    <row r="3178" spans="1:15" x14ac:dyDescent="0.25">
      <c r="A3178">
        <v>3177</v>
      </c>
      <c r="B3178" s="2">
        <v>45836</v>
      </c>
      <c r="C3178" t="s">
        <v>31</v>
      </c>
      <c r="D3178" t="s">
        <v>29</v>
      </c>
      <c r="E3178" t="s">
        <v>20</v>
      </c>
      <c r="F3178" t="s">
        <v>21</v>
      </c>
      <c r="G3178">
        <v>233</v>
      </c>
      <c r="H3178">
        <v>214.61</v>
      </c>
      <c r="I3178">
        <v>17</v>
      </c>
      <c r="J3178" t="s">
        <v>15</v>
      </c>
      <c r="K3178">
        <v>50004.13</v>
      </c>
      <c r="L3178" t="str">
        <f t="shared" si="196"/>
        <v>Jun</v>
      </c>
      <c r="M3178">
        <f t="shared" si="197"/>
        <v>2025</v>
      </c>
      <c r="N3178">
        <f t="shared" si="198"/>
        <v>50004.130000000005</v>
      </c>
      <c r="O3178" t="str">
        <f t="shared" si="199"/>
        <v>Minor Delay</v>
      </c>
    </row>
    <row r="3179" spans="1:15" x14ac:dyDescent="0.25">
      <c r="A3179">
        <v>3178</v>
      </c>
      <c r="B3179" s="2">
        <v>45770</v>
      </c>
      <c r="C3179" t="s">
        <v>26</v>
      </c>
      <c r="D3179" t="s">
        <v>20</v>
      </c>
      <c r="E3179" t="s">
        <v>19</v>
      </c>
      <c r="F3179" t="s">
        <v>24</v>
      </c>
      <c r="G3179">
        <v>179</v>
      </c>
      <c r="H3179">
        <v>430.29</v>
      </c>
      <c r="I3179">
        <v>48</v>
      </c>
      <c r="J3179" t="s">
        <v>15</v>
      </c>
      <c r="K3179">
        <v>77021.91</v>
      </c>
      <c r="L3179" t="str">
        <f t="shared" si="196"/>
        <v>Apr</v>
      </c>
      <c r="M3179">
        <f t="shared" si="197"/>
        <v>2025</v>
      </c>
      <c r="N3179">
        <f t="shared" si="198"/>
        <v>77021.91</v>
      </c>
      <c r="O3179" t="str">
        <f t="shared" si="199"/>
        <v>Moderate Delay</v>
      </c>
    </row>
    <row r="3180" spans="1:15" x14ac:dyDescent="0.25">
      <c r="A3180">
        <v>3179</v>
      </c>
      <c r="B3180" s="2">
        <v>45965</v>
      </c>
      <c r="C3180" t="s">
        <v>11</v>
      </c>
      <c r="D3180" t="s">
        <v>20</v>
      </c>
      <c r="E3180" t="s">
        <v>12</v>
      </c>
      <c r="F3180" t="s">
        <v>14</v>
      </c>
      <c r="G3180">
        <v>122</v>
      </c>
      <c r="H3180">
        <v>482.14</v>
      </c>
      <c r="I3180">
        <v>9</v>
      </c>
      <c r="J3180" t="s">
        <v>15</v>
      </c>
      <c r="K3180">
        <v>58821.08</v>
      </c>
      <c r="L3180" t="str">
        <f t="shared" si="196"/>
        <v>Nov</v>
      </c>
      <c r="M3180">
        <f t="shared" si="197"/>
        <v>2025</v>
      </c>
      <c r="N3180">
        <f t="shared" si="198"/>
        <v>58821.08</v>
      </c>
      <c r="O3180" t="str">
        <f t="shared" si="199"/>
        <v>Minor Delay</v>
      </c>
    </row>
    <row r="3181" spans="1:15" x14ac:dyDescent="0.25">
      <c r="A3181">
        <v>3180</v>
      </c>
      <c r="B3181" s="2">
        <v>45982</v>
      </c>
      <c r="C3181" t="s">
        <v>18</v>
      </c>
      <c r="D3181" t="s">
        <v>19</v>
      </c>
      <c r="E3181" t="s">
        <v>20</v>
      </c>
      <c r="F3181" t="s">
        <v>24</v>
      </c>
      <c r="G3181">
        <v>223</v>
      </c>
      <c r="H3181">
        <v>675.5</v>
      </c>
      <c r="I3181">
        <v>21</v>
      </c>
      <c r="J3181" t="s">
        <v>30</v>
      </c>
      <c r="K3181">
        <v>150636.5</v>
      </c>
      <c r="L3181" t="str">
        <f t="shared" si="196"/>
        <v>Nov</v>
      </c>
      <c r="M3181">
        <f t="shared" si="197"/>
        <v>2025</v>
      </c>
      <c r="N3181">
        <f t="shared" si="198"/>
        <v>150636.5</v>
      </c>
      <c r="O3181" t="str">
        <f t="shared" si="199"/>
        <v>Minor Delay</v>
      </c>
    </row>
    <row r="3182" spans="1:15" x14ac:dyDescent="0.25">
      <c r="A3182">
        <v>3181</v>
      </c>
      <c r="B3182" s="2">
        <v>45704</v>
      </c>
      <c r="C3182" t="s">
        <v>18</v>
      </c>
      <c r="D3182" t="s">
        <v>13</v>
      </c>
      <c r="E3182" t="s">
        <v>23</v>
      </c>
      <c r="F3182" t="s">
        <v>21</v>
      </c>
      <c r="G3182">
        <v>85</v>
      </c>
      <c r="H3182">
        <v>664.79</v>
      </c>
      <c r="I3182">
        <v>0</v>
      </c>
      <c r="J3182" t="s">
        <v>15</v>
      </c>
      <c r="K3182">
        <v>56507.15</v>
      </c>
      <c r="L3182" t="str">
        <f t="shared" si="196"/>
        <v>Feb</v>
      </c>
      <c r="M3182">
        <f t="shared" si="197"/>
        <v>2025</v>
      </c>
      <c r="N3182">
        <f t="shared" si="198"/>
        <v>56507.149999999994</v>
      </c>
      <c r="O3182" t="str">
        <f t="shared" si="199"/>
        <v>On Time</v>
      </c>
    </row>
    <row r="3183" spans="1:15" x14ac:dyDescent="0.25">
      <c r="A3183">
        <v>3182</v>
      </c>
      <c r="B3183" s="2">
        <v>45859</v>
      </c>
      <c r="C3183" t="s">
        <v>31</v>
      </c>
      <c r="D3183" t="s">
        <v>29</v>
      </c>
      <c r="E3183" t="s">
        <v>22</v>
      </c>
      <c r="F3183" t="s">
        <v>24</v>
      </c>
      <c r="G3183">
        <v>117</v>
      </c>
      <c r="H3183">
        <v>695.15</v>
      </c>
      <c r="I3183">
        <v>33</v>
      </c>
      <c r="J3183" t="s">
        <v>15</v>
      </c>
      <c r="K3183">
        <v>81332.55</v>
      </c>
      <c r="L3183" t="str">
        <f t="shared" si="196"/>
        <v>Jul</v>
      </c>
      <c r="M3183">
        <f t="shared" si="197"/>
        <v>2025</v>
      </c>
      <c r="N3183">
        <f t="shared" si="198"/>
        <v>81332.55</v>
      </c>
      <c r="O3183" t="str">
        <f t="shared" si="199"/>
        <v>Moderate Delay</v>
      </c>
    </row>
    <row r="3184" spans="1:15" x14ac:dyDescent="0.25">
      <c r="A3184">
        <v>3183</v>
      </c>
      <c r="B3184" s="2">
        <v>46000</v>
      </c>
      <c r="C3184" t="s">
        <v>11</v>
      </c>
      <c r="D3184" t="s">
        <v>29</v>
      </c>
      <c r="E3184" t="s">
        <v>27</v>
      </c>
      <c r="F3184" t="s">
        <v>24</v>
      </c>
      <c r="G3184">
        <v>50</v>
      </c>
      <c r="H3184">
        <v>89.15</v>
      </c>
      <c r="I3184">
        <v>70</v>
      </c>
      <c r="J3184" t="s">
        <v>15</v>
      </c>
      <c r="K3184">
        <v>4457.5</v>
      </c>
      <c r="L3184" t="str">
        <f t="shared" si="196"/>
        <v>Dec</v>
      </c>
      <c r="M3184">
        <f t="shared" si="197"/>
        <v>2025</v>
      </c>
      <c r="N3184">
        <f t="shared" si="198"/>
        <v>4457.5</v>
      </c>
      <c r="O3184" t="str">
        <f t="shared" si="199"/>
        <v>Major Delay</v>
      </c>
    </row>
    <row r="3185" spans="1:15" x14ac:dyDescent="0.25">
      <c r="A3185">
        <v>3184</v>
      </c>
      <c r="B3185" s="2">
        <v>45937</v>
      </c>
      <c r="C3185" t="s">
        <v>18</v>
      </c>
      <c r="D3185" t="s">
        <v>29</v>
      </c>
      <c r="E3185" t="s">
        <v>13</v>
      </c>
      <c r="F3185" t="s">
        <v>21</v>
      </c>
      <c r="G3185">
        <v>62</v>
      </c>
      <c r="H3185">
        <v>123.91</v>
      </c>
      <c r="I3185">
        <v>31</v>
      </c>
      <c r="J3185" t="s">
        <v>15</v>
      </c>
      <c r="K3185">
        <v>7682.42</v>
      </c>
      <c r="L3185" t="str">
        <f t="shared" si="196"/>
        <v>Oct</v>
      </c>
      <c r="M3185">
        <f t="shared" si="197"/>
        <v>2025</v>
      </c>
      <c r="N3185">
        <f t="shared" si="198"/>
        <v>7682.42</v>
      </c>
      <c r="O3185" t="str">
        <f t="shared" si="199"/>
        <v>Moderate Delay</v>
      </c>
    </row>
    <row r="3186" spans="1:15" x14ac:dyDescent="0.25">
      <c r="A3186">
        <v>3185</v>
      </c>
      <c r="B3186" s="2">
        <v>45821</v>
      </c>
      <c r="C3186" t="s">
        <v>16</v>
      </c>
      <c r="D3186" t="s">
        <v>17</v>
      </c>
      <c r="E3186" t="s">
        <v>13</v>
      </c>
      <c r="F3186" t="s">
        <v>21</v>
      </c>
      <c r="G3186">
        <v>56</v>
      </c>
      <c r="H3186">
        <v>474.01</v>
      </c>
      <c r="I3186">
        <v>11</v>
      </c>
      <c r="J3186" t="s">
        <v>15</v>
      </c>
      <c r="K3186">
        <v>26544.560000000001</v>
      </c>
      <c r="L3186" t="str">
        <f t="shared" si="196"/>
        <v>Jun</v>
      </c>
      <c r="M3186">
        <f t="shared" si="197"/>
        <v>2025</v>
      </c>
      <c r="N3186">
        <f t="shared" si="198"/>
        <v>26544.559999999998</v>
      </c>
      <c r="O3186" t="str">
        <f t="shared" si="199"/>
        <v>Minor Delay</v>
      </c>
    </row>
    <row r="3187" spans="1:15" x14ac:dyDescent="0.25">
      <c r="A3187">
        <v>3186</v>
      </c>
      <c r="B3187" s="2">
        <v>45991</v>
      </c>
      <c r="C3187" t="s">
        <v>11</v>
      </c>
      <c r="D3187" t="s">
        <v>12</v>
      </c>
      <c r="E3187" t="s">
        <v>20</v>
      </c>
      <c r="F3187" t="s">
        <v>21</v>
      </c>
      <c r="G3187">
        <v>64</v>
      </c>
      <c r="H3187">
        <v>710.54</v>
      </c>
      <c r="I3187">
        <v>34</v>
      </c>
      <c r="J3187" t="s">
        <v>15</v>
      </c>
      <c r="K3187">
        <v>45474.559999999998</v>
      </c>
      <c r="L3187" t="str">
        <f t="shared" si="196"/>
        <v>Nov</v>
      </c>
      <c r="M3187">
        <f t="shared" si="197"/>
        <v>2025</v>
      </c>
      <c r="N3187">
        <f t="shared" si="198"/>
        <v>45474.559999999998</v>
      </c>
      <c r="O3187" t="str">
        <f t="shared" si="199"/>
        <v>Moderate Delay</v>
      </c>
    </row>
    <row r="3188" spans="1:15" x14ac:dyDescent="0.25">
      <c r="A3188">
        <v>3187</v>
      </c>
      <c r="B3188" s="2">
        <v>45821</v>
      </c>
      <c r="C3188" t="s">
        <v>18</v>
      </c>
      <c r="D3188" t="s">
        <v>19</v>
      </c>
      <c r="E3188" t="s">
        <v>23</v>
      </c>
      <c r="F3188" t="s">
        <v>21</v>
      </c>
      <c r="G3188">
        <v>282</v>
      </c>
      <c r="H3188">
        <v>220.63</v>
      </c>
      <c r="I3188">
        <v>0</v>
      </c>
      <c r="J3188" t="s">
        <v>30</v>
      </c>
      <c r="K3188">
        <v>62217.66</v>
      </c>
      <c r="L3188" t="str">
        <f t="shared" si="196"/>
        <v>Jun</v>
      </c>
      <c r="M3188">
        <f t="shared" si="197"/>
        <v>2025</v>
      </c>
      <c r="N3188">
        <f t="shared" si="198"/>
        <v>62217.659999999996</v>
      </c>
      <c r="O3188" t="str">
        <f t="shared" si="199"/>
        <v>On Time</v>
      </c>
    </row>
    <row r="3189" spans="1:15" x14ac:dyDescent="0.25">
      <c r="A3189">
        <v>3188</v>
      </c>
      <c r="B3189" s="2">
        <v>45687</v>
      </c>
      <c r="C3189" t="s">
        <v>16</v>
      </c>
      <c r="D3189" t="s">
        <v>13</v>
      </c>
      <c r="E3189" t="s">
        <v>29</v>
      </c>
      <c r="F3189" t="s">
        <v>21</v>
      </c>
      <c r="G3189">
        <v>59</v>
      </c>
      <c r="H3189">
        <v>496.11</v>
      </c>
      <c r="I3189">
        <v>0</v>
      </c>
      <c r="J3189" t="s">
        <v>15</v>
      </c>
      <c r="K3189">
        <v>29270.49</v>
      </c>
      <c r="L3189" t="str">
        <f t="shared" si="196"/>
        <v>Jan</v>
      </c>
      <c r="M3189">
        <f t="shared" si="197"/>
        <v>2025</v>
      </c>
      <c r="N3189">
        <f t="shared" si="198"/>
        <v>29270.49</v>
      </c>
      <c r="O3189" t="str">
        <f t="shared" si="199"/>
        <v>On Time</v>
      </c>
    </row>
    <row r="3190" spans="1:15" x14ac:dyDescent="0.25">
      <c r="A3190">
        <v>3189</v>
      </c>
      <c r="B3190" s="2">
        <v>45941</v>
      </c>
      <c r="C3190" t="s">
        <v>18</v>
      </c>
      <c r="D3190" t="s">
        <v>19</v>
      </c>
      <c r="E3190" t="s">
        <v>12</v>
      </c>
      <c r="F3190" t="s">
        <v>21</v>
      </c>
      <c r="G3190">
        <v>79</v>
      </c>
      <c r="H3190">
        <v>598.07000000000005</v>
      </c>
      <c r="I3190">
        <v>27</v>
      </c>
      <c r="J3190" t="s">
        <v>30</v>
      </c>
      <c r="K3190">
        <v>47247.53</v>
      </c>
      <c r="L3190" t="str">
        <f t="shared" si="196"/>
        <v>Oct</v>
      </c>
      <c r="M3190">
        <f t="shared" si="197"/>
        <v>2025</v>
      </c>
      <c r="N3190">
        <f t="shared" si="198"/>
        <v>47247.530000000006</v>
      </c>
      <c r="O3190" t="str">
        <f t="shared" si="199"/>
        <v>Minor Delay</v>
      </c>
    </row>
    <row r="3191" spans="1:15" x14ac:dyDescent="0.25">
      <c r="A3191">
        <v>3190</v>
      </c>
      <c r="B3191" s="2">
        <v>45927</v>
      </c>
      <c r="C3191" t="s">
        <v>25</v>
      </c>
      <c r="D3191" t="s">
        <v>13</v>
      </c>
      <c r="E3191" t="s">
        <v>19</v>
      </c>
      <c r="F3191" t="s">
        <v>14</v>
      </c>
      <c r="G3191">
        <v>135</v>
      </c>
      <c r="H3191">
        <v>577.28</v>
      </c>
      <c r="I3191">
        <v>0</v>
      </c>
      <c r="J3191" t="s">
        <v>15</v>
      </c>
      <c r="K3191">
        <v>77932.800000000003</v>
      </c>
      <c r="L3191" t="str">
        <f t="shared" si="196"/>
        <v>Sep</v>
      </c>
      <c r="M3191">
        <f t="shared" si="197"/>
        <v>2025</v>
      </c>
      <c r="N3191">
        <f t="shared" si="198"/>
        <v>77932.800000000003</v>
      </c>
      <c r="O3191" t="str">
        <f t="shared" si="199"/>
        <v>On Time</v>
      </c>
    </row>
    <row r="3192" spans="1:15" x14ac:dyDescent="0.25">
      <c r="A3192">
        <v>3191</v>
      </c>
      <c r="B3192" s="2">
        <v>45977</v>
      </c>
      <c r="C3192" t="s">
        <v>25</v>
      </c>
      <c r="D3192" t="s">
        <v>22</v>
      </c>
      <c r="E3192" t="s">
        <v>29</v>
      </c>
      <c r="F3192" t="s">
        <v>14</v>
      </c>
      <c r="G3192">
        <v>209</v>
      </c>
      <c r="H3192">
        <v>607.29999999999995</v>
      </c>
      <c r="I3192">
        <v>38</v>
      </c>
      <c r="J3192" t="s">
        <v>15</v>
      </c>
      <c r="K3192">
        <v>126925.7</v>
      </c>
      <c r="L3192" t="str">
        <f t="shared" si="196"/>
        <v>Nov</v>
      </c>
      <c r="M3192">
        <f t="shared" si="197"/>
        <v>2025</v>
      </c>
      <c r="N3192">
        <f t="shared" si="198"/>
        <v>126925.7</v>
      </c>
      <c r="O3192" t="str">
        <f t="shared" si="199"/>
        <v>Moderate Delay</v>
      </c>
    </row>
    <row r="3193" spans="1:15" x14ac:dyDescent="0.25">
      <c r="A3193">
        <v>3192</v>
      </c>
      <c r="B3193" s="2">
        <v>45875</v>
      </c>
      <c r="C3193" t="s">
        <v>16</v>
      </c>
      <c r="D3193" t="s">
        <v>20</v>
      </c>
      <c r="E3193" t="s">
        <v>17</v>
      </c>
      <c r="F3193" t="s">
        <v>14</v>
      </c>
      <c r="G3193">
        <v>247</v>
      </c>
      <c r="H3193">
        <v>368.94</v>
      </c>
      <c r="I3193">
        <v>25</v>
      </c>
      <c r="J3193" t="s">
        <v>15</v>
      </c>
      <c r="K3193">
        <v>91128.18</v>
      </c>
      <c r="L3193" t="str">
        <f t="shared" si="196"/>
        <v>Aug</v>
      </c>
      <c r="M3193">
        <f t="shared" si="197"/>
        <v>2025</v>
      </c>
      <c r="N3193">
        <f t="shared" si="198"/>
        <v>91128.18</v>
      </c>
      <c r="O3193" t="str">
        <f t="shared" si="199"/>
        <v>Minor Delay</v>
      </c>
    </row>
    <row r="3194" spans="1:15" x14ac:dyDescent="0.25">
      <c r="A3194">
        <v>3193</v>
      </c>
      <c r="B3194" s="2">
        <v>45729</v>
      </c>
      <c r="C3194" t="s">
        <v>11</v>
      </c>
      <c r="D3194" t="s">
        <v>13</v>
      </c>
      <c r="E3194" t="s">
        <v>29</v>
      </c>
      <c r="F3194" t="s">
        <v>21</v>
      </c>
      <c r="G3194">
        <v>212</v>
      </c>
      <c r="H3194">
        <v>377.53</v>
      </c>
      <c r="I3194">
        <v>64</v>
      </c>
      <c r="J3194" t="s">
        <v>30</v>
      </c>
      <c r="K3194">
        <v>80036.36</v>
      </c>
      <c r="L3194" t="str">
        <f t="shared" si="196"/>
        <v>Mar</v>
      </c>
      <c r="M3194">
        <f t="shared" si="197"/>
        <v>2025</v>
      </c>
      <c r="N3194">
        <f t="shared" si="198"/>
        <v>80036.36</v>
      </c>
      <c r="O3194" t="str">
        <f t="shared" si="199"/>
        <v>Major Delay</v>
      </c>
    </row>
    <row r="3195" spans="1:15" x14ac:dyDescent="0.25">
      <c r="A3195">
        <v>3194</v>
      </c>
      <c r="B3195" s="2">
        <v>46015</v>
      </c>
      <c r="C3195" t="s">
        <v>26</v>
      </c>
      <c r="D3195" t="s">
        <v>23</v>
      </c>
      <c r="E3195" t="s">
        <v>27</v>
      </c>
      <c r="F3195" t="s">
        <v>24</v>
      </c>
      <c r="G3195">
        <v>266</v>
      </c>
      <c r="H3195">
        <v>62.77</v>
      </c>
      <c r="I3195">
        <v>39</v>
      </c>
      <c r="J3195" t="s">
        <v>15</v>
      </c>
      <c r="K3195">
        <v>16696.82</v>
      </c>
      <c r="L3195" t="str">
        <f t="shared" si="196"/>
        <v>Dec</v>
      </c>
      <c r="M3195">
        <f t="shared" si="197"/>
        <v>2025</v>
      </c>
      <c r="N3195">
        <f t="shared" si="198"/>
        <v>16696.82</v>
      </c>
      <c r="O3195" t="str">
        <f t="shared" si="199"/>
        <v>Moderate Delay</v>
      </c>
    </row>
    <row r="3196" spans="1:15" x14ac:dyDescent="0.25">
      <c r="A3196">
        <v>3195</v>
      </c>
      <c r="B3196" s="2">
        <v>45703</v>
      </c>
      <c r="C3196" t="s">
        <v>16</v>
      </c>
      <c r="D3196" t="s">
        <v>19</v>
      </c>
      <c r="E3196" t="s">
        <v>12</v>
      </c>
      <c r="F3196" t="s">
        <v>24</v>
      </c>
      <c r="G3196">
        <v>224</v>
      </c>
      <c r="H3196">
        <v>465.88</v>
      </c>
      <c r="I3196">
        <v>30</v>
      </c>
      <c r="J3196" t="s">
        <v>15</v>
      </c>
      <c r="K3196">
        <v>104357.12</v>
      </c>
      <c r="L3196" t="str">
        <f t="shared" si="196"/>
        <v>Feb</v>
      </c>
      <c r="M3196">
        <f t="shared" si="197"/>
        <v>2025</v>
      </c>
      <c r="N3196">
        <f t="shared" si="198"/>
        <v>104357.12</v>
      </c>
      <c r="O3196" t="str">
        <f t="shared" si="199"/>
        <v>Minor Delay</v>
      </c>
    </row>
    <row r="3197" spans="1:15" x14ac:dyDescent="0.25">
      <c r="A3197">
        <v>3196</v>
      </c>
      <c r="B3197" s="2">
        <v>45761</v>
      </c>
      <c r="C3197" t="s">
        <v>31</v>
      </c>
      <c r="D3197" t="s">
        <v>17</v>
      </c>
      <c r="E3197" t="s">
        <v>27</v>
      </c>
      <c r="F3197" t="s">
        <v>24</v>
      </c>
      <c r="G3197">
        <v>208</v>
      </c>
      <c r="H3197">
        <v>432.84</v>
      </c>
      <c r="I3197">
        <v>62</v>
      </c>
      <c r="J3197" t="s">
        <v>30</v>
      </c>
      <c r="K3197">
        <v>90030.720000000001</v>
      </c>
      <c r="L3197" t="str">
        <f t="shared" si="196"/>
        <v>Apr</v>
      </c>
      <c r="M3197">
        <f t="shared" si="197"/>
        <v>2025</v>
      </c>
      <c r="N3197">
        <f t="shared" si="198"/>
        <v>90030.720000000001</v>
      </c>
      <c r="O3197" t="str">
        <f t="shared" si="199"/>
        <v>Major Delay</v>
      </c>
    </row>
    <row r="3198" spans="1:15" x14ac:dyDescent="0.25">
      <c r="A3198">
        <v>3197</v>
      </c>
      <c r="B3198" s="2">
        <v>45815</v>
      </c>
      <c r="C3198" t="s">
        <v>11</v>
      </c>
      <c r="D3198" t="s">
        <v>12</v>
      </c>
      <c r="E3198" t="s">
        <v>29</v>
      </c>
      <c r="F3198" t="s">
        <v>21</v>
      </c>
      <c r="G3198">
        <v>158</v>
      </c>
      <c r="H3198">
        <v>508.74</v>
      </c>
      <c r="I3198">
        <v>0</v>
      </c>
      <c r="J3198" t="s">
        <v>30</v>
      </c>
      <c r="K3198">
        <v>80380.92</v>
      </c>
      <c r="L3198" t="str">
        <f t="shared" si="196"/>
        <v>Jun</v>
      </c>
      <c r="M3198">
        <f t="shared" si="197"/>
        <v>2025</v>
      </c>
      <c r="N3198">
        <f t="shared" si="198"/>
        <v>80380.92</v>
      </c>
      <c r="O3198" t="str">
        <f t="shared" si="199"/>
        <v>On Time</v>
      </c>
    </row>
    <row r="3199" spans="1:15" x14ac:dyDescent="0.25">
      <c r="A3199">
        <v>3198</v>
      </c>
      <c r="B3199" s="2">
        <v>45865</v>
      </c>
      <c r="C3199" t="s">
        <v>18</v>
      </c>
      <c r="D3199" t="s">
        <v>13</v>
      </c>
      <c r="E3199" t="s">
        <v>29</v>
      </c>
      <c r="F3199" t="s">
        <v>24</v>
      </c>
      <c r="G3199">
        <v>172</v>
      </c>
      <c r="H3199">
        <v>570.66</v>
      </c>
      <c r="I3199">
        <v>24</v>
      </c>
      <c r="J3199" t="s">
        <v>15</v>
      </c>
      <c r="K3199">
        <v>98153.52</v>
      </c>
      <c r="L3199" t="str">
        <f t="shared" si="196"/>
        <v>Jul</v>
      </c>
      <c r="M3199">
        <f t="shared" si="197"/>
        <v>2025</v>
      </c>
      <c r="N3199">
        <f t="shared" si="198"/>
        <v>98153.51999999999</v>
      </c>
      <c r="O3199" t="str">
        <f t="shared" si="199"/>
        <v>Minor Delay</v>
      </c>
    </row>
    <row r="3200" spans="1:15" x14ac:dyDescent="0.25">
      <c r="A3200">
        <v>3199</v>
      </c>
      <c r="B3200" s="2">
        <v>45861</v>
      </c>
      <c r="C3200" t="s">
        <v>11</v>
      </c>
      <c r="D3200" t="s">
        <v>20</v>
      </c>
      <c r="E3200" t="s">
        <v>27</v>
      </c>
      <c r="F3200" t="s">
        <v>21</v>
      </c>
      <c r="G3200">
        <v>185</v>
      </c>
      <c r="H3200">
        <v>461.59</v>
      </c>
      <c r="I3200">
        <v>44</v>
      </c>
      <c r="J3200" t="s">
        <v>15</v>
      </c>
      <c r="K3200">
        <v>85394.15</v>
      </c>
      <c r="L3200" t="str">
        <f t="shared" si="196"/>
        <v>Jul</v>
      </c>
      <c r="M3200">
        <f t="shared" si="197"/>
        <v>2025</v>
      </c>
      <c r="N3200">
        <f t="shared" si="198"/>
        <v>85394.15</v>
      </c>
      <c r="O3200" t="str">
        <f t="shared" si="199"/>
        <v>Moderate Delay</v>
      </c>
    </row>
    <row r="3201" spans="1:15" x14ac:dyDescent="0.25">
      <c r="A3201">
        <v>3200</v>
      </c>
      <c r="B3201" s="2">
        <v>45670</v>
      </c>
      <c r="C3201" t="s">
        <v>16</v>
      </c>
      <c r="D3201" t="s">
        <v>27</v>
      </c>
      <c r="E3201" t="s">
        <v>22</v>
      </c>
      <c r="F3201" t="s">
        <v>21</v>
      </c>
      <c r="G3201">
        <v>217</v>
      </c>
      <c r="H3201">
        <v>353.42</v>
      </c>
      <c r="I3201">
        <v>13</v>
      </c>
      <c r="J3201" t="s">
        <v>15</v>
      </c>
      <c r="K3201">
        <v>76692.14</v>
      </c>
      <c r="L3201" t="str">
        <f t="shared" si="196"/>
        <v>Jan</v>
      </c>
      <c r="M3201">
        <f t="shared" si="197"/>
        <v>2025</v>
      </c>
      <c r="N3201">
        <f t="shared" si="198"/>
        <v>76692.14</v>
      </c>
      <c r="O3201" t="str">
        <f t="shared" si="199"/>
        <v>Minor Delay</v>
      </c>
    </row>
    <row r="3202" spans="1:15" x14ac:dyDescent="0.25">
      <c r="A3202">
        <v>3201</v>
      </c>
      <c r="B3202" s="2">
        <v>45863</v>
      </c>
      <c r="C3202" t="s">
        <v>11</v>
      </c>
      <c r="D3202" t="s">
        <v>29</v>
      </c>
      <c r="E3202" t="s">
        <v>27</v>
      </c>
      <c r="F3202" t="s">
        <v>21</v>
      </c>
      <c r="G3202">
        <v>90</v>
      </c>
      <c r="H3202">
        <v>196.22</v>
      </c>
      <c r="I3202">
        <v>0</v>
      </c>
      <c r="J3202" t="s">
        <v>30</v>
      </c>
      <c r="K3202">
        <v>17659.8</v>
      </c>
      <c r="L3202" t="str">
        <f t="shared" si="196"/>
        <v>Jul</v>
      </c>
      <c r="M3202">
        <f t="shared" si="197"/>
        <v>2025</v>
      </c>
      <c r="N3202">
        <f t="shared" si="198"/>
        <v>17659.8</v>
      </c>
      <c r="O3202" t="str">
        <f t="shared" si="199"/>
        <v>On Time</v>
      </c>
    </row>
    <row r="3203" spans="1:15" x14ac:dyDescent="0.25">
      <c r="A3203">
        <v>3202</v>
      </c>
      <c r="B3203" s="2">
        <v>45949</v>
      </c>
      <c r="C3203" t="s">
        <v>25</v>
      </c>
      <c r="D3203" t="s">
        <v>27</v>
      </c>
      <c r="E3203" t="s">
        <v>13</v>
      </c>
      <c r="F3203" t="s">
        <v>21</v>
      </c>
      <c r="G3203">
        <v>99</v>
      </c>
      <c r="H3203">
        <v>391.18</v>
      </c>
      <c r="I3203">
        <v>31</v>
      </c>
      <c r="J3203" t="s">
        <v>15</v>
      </c>
      <c r="K3203">
        <v>38726.82</v>
      </c>
      <c r="L3203" t="str">
        <f t="shared" ref="L3203:L3266" si="200">TEXT(B3203,"MMM")</f>
        <v>Oct</v>
      </c>
      <c r="M3203">
        <f t="shared" ref="M3203:M3266" si="201">YEAR(B3203)</f>
        <v>2025</v>
      </c>
      <c r="N3203">
        <f t="shared" ref="N3203:N3266" si="202">G3203*H3203</f>
        <v>38726.82</v>
      </c>
      <c r="O3203" t="str">
        <f t="shared" ref="O3203:O3266" si="203">IF(I3203=0,"On Time",IF(I3203&lt;=30,"Minor Delay",IF(I3203&lt;=60,"Moderate Delay","Major Delay")))</f>
        <v>Moderate Delay</v>
      </c>
    </row>
    <row r="3204" spans="1:15" x14ac:dyDescent="0.25">
      <c r="A3204">
        <v>3203</v>
      </c>
      <c r="B3204" s="2">
        <v>45744</v>
      </c>
      <c r="C3204" t="s">
        <v>11</v>
      </c>
      <c r="D3204" t="s">
        <v>17</v>
      </c>
      <c r="E3204" t="s">
        <v>22</v>
      </c>
      <c r="F3204" t="s">
        <v>21</v>
      </c>
      <c r="G3204">
        <v>284</v>
      </c>
      <c r="H3204">
        <v>534.21</v>
      </c>
      <c r="I3204">
        <v>2</v>
      </c>
      <c r="J3204" t="s">
        <v>30</v>
      </c>
      <c r="K3204">
        <v>151715.64000000001</v>
      </c>
      <c r="L3204" t="str">
        <f t="shared" si="200"/>
        <v>Mar</v>
      </c>
      <c r="M3204">
        <f t="shared" si="201"/>
        <v>2025</v>
      </c>
      <c r="N3204">
        <f t="shared" si="202"/>
        <v>151715.64000000001</v>
      </c>
      <c r="O3204" t="str">
        <f t="shared" si="203"/>
        <v>Minor Delay</v>
      </c>
    </row>
    <row r="3205" spans="1:15" x14ac:dyDescent="0.25">
      <c r="A3205">
        <v>3204</v>
      </c>
      <c r="B3205" s="2">
        <v>45807</v>
      </c>
      <c r="C3205" t="s">
        <v>31</v>
      </c>
      <c r="D3205" t="s">
        <v>13</v>
      </c>
      <c r="E3205" t="s">
        <v>27</v>
      </c>
      <c r="F3205" t="s">
        <v>21</v>
      </c>
      <c r="G3205">
        <v>111</v>
      </c>
      <c r="H3205">
        <v>658.23</v>
      </c>
      <c r="I3205">
        <v>0</v>
      </c>
      <c r="J3205" t="s">
        <v>15</v>
      </c>
      <c r="K3205">
        <v>73063.53</v>
      </c>
      <c r="L3205" t="str">
        <f t="shared" si="200"/>
        <v>May</v>
      </c>
      <c r="M3205">
        <f t="shared" si="201"/>
        <v>2025</v>
      </c>
      <c r="N3205">
        <f t="shared" si="202"/>
        <v>73063.53</v>
      </c>
      <c r="O3205" t="str">
        <f t="shared" si="203"/>
        <v>On Time</v>
      </c>
    </row>
    <row r="3206" spans="1:15" x14ac:dyDescent="0.25">
      <c r="A3206">
        <v>3205</v>
      </c>
      <c r="B3206" s="2">
        <v>45823</v>
      </c>
      <c r="C3206" t="s">
        <v>26</v>
      </c>
      <c r="D3206" t="s">
        <v>12</v>
      </c>
      <c r="E3206" t="s">
        <v>19</v>
      </c>
      <c r="F3206" t="s">
        <v>21</v>
      </c>
      <c r="G3206">
        <v>172</v>
      </c>
      <c r="H3206">
        <v>415.4</v>
      </c>
      <c r="I3206">
        <v>32</v>
      </c>
      <c r="J3206" t="s">
        <v>15</v>
      </c>
      <c r="K3206">
        <v>71448.800000000003</v>
      </c>
      <c r="L3206" t="str">
        <f t="shared" si="200"/>
        <v>Jun</v>
      </c>
      <c r="M3206">
        <f t="shared" si="201"/>
        <v>2025</v>
      </c>
      <c r="N3206">
        <f t="shared" si="202"/>
        <v>71448.800000000003</v>
      </c>
      <c r="O3206" t="str">
        <f t="shared" si="203"/>
        <v>Moderate Delay</v>
      </c>
    </row>
    <row r="3207" spans="1:15" x14ac:dyDescent="0.25">
      <c r="A3207">
        <v>3206</v>
      </c>
      <c r="B3207" s="2">
        <v>45809</v>
      </c>
      <c r="C3207" t="s">
        <v>16</v>
      </c>
      <c r="D3207" t="s">
        <v>20</v>
      </c>
      <c r="E3207" t="s">
        <v>17</v>
      </c>
      <c r="F3207" t="s">
        <v>21</v>
      </c>
      <c r="G3207">
        <v>264</v>
      </c>
      <c r="H3207">
        <v>199.09</v>
      </c>
      <c r="I3207">
        <v>38</v>
      </c>
      <c r="J3207" t="s">
        <v>15</v>
      </c>
      <c r="K3207">
        <v>52559.76</v>
      </c>
      <c r="L3207" t="str">
        <f t="shared" si="200"/>
        <v>Jun</v>
      </c>
      <c r="M3207">
        <f t="shared" si="201"/>
        <v>2025</v>
      </c>
      <c r="N3207">
        <f t="shared" si="202"/>
        <v>52559.76</v>
      </c>
      <c r="O3207" t="str">
        <f t="shared" si="203"/>
        <v>Moderate Delay</v>
      </c>
    </row>
    <row r="3208" spans="1:15" x14ac:dyDescent="0.25">
      <c r="A3208">
        <v>3207</v>
      </c>
      <c r="B3208" s="2">
        <v>45820</v>
      </c>
      <c r="C3208" t="s">
        <v>16</v>
      </c>
      <c r="D3208" t="s">
        <v>27</v>
      </c>
      <c r="E3208" t="s">
        <v>13</v>
      </c>
      <c r="F3208" t="s">
        <v>14</v>
      </c>
      <c r="G3208">
        <v>285</v>
      </c>
      <c r="H3208">
        <v>585.83000000000004</v>
      </c>
      <c r="I3208">
        <v>31</v>
      </c>
      <c r="J3208" t="s">
        <v>15</v>
      </c>
      <c r="K3208">
        <v>166961.54999999999</v>
      </c>
      <c r="L3208" t="str">
        <f t="shared" si="200"/>
        <v>Jun</v>
      </c>
      <c r="M3208">
        <f t="shared" si="201"/>
        <v>2025</v>
      </c>
      <c r="N3208">
        <f t="shared" si="202"/>
        <v>166961.55000000002</v>
      </c>
      <c r="O3208" t="str">
        <f t="shared" si="203"/>
        <v>Moderate Delay</v>
      </c>
    </row>
    <row r="3209" spans="1:15" x14ac:dyDescent="0.25">
      <c r="A3209">
        <v>3208</v>
      </c>
      <c r="B3209" s="2">
        <v>45905</v>
      </c>
      <c r="C3209" t="s">
        <v>31</v>
      </c>
      <c r="D3209" t="s">
        <v>17</v>
      </c>
      <c r="E3209" t="s">
        <v>22</v>
      </c>
      <c r="F3209" t="s">
        <v>21</v>
      </c>
      <c r="G3209">
        <v>98</v>
      </c>
      <c r="H3209">
        <v>483.03</v>
      </c>
      <c r="I3209">
        <v>14</v>
      </c>
      <c r="J3209" t="s">
        <v>30</v>
      </c>
      <c r="K3209">
        <v>47336.94</v>
      </c>
      <c r="L3209" t="str">
        <f t="shared" si="200"/>
        <v>Sep</v>
      </c>
      <c r="M3209">
        <f t="shared" si="201"/>
        <v>2025</v>
      </c>
      <c r="N3209">
        <f t="shared" si="202"/>
        <v>47336.939999999995</v>
      </c>
      <c r="O3209" t="str">
        <f t="shared" si="203"/>
        <v>Minor Delay</v>
      </c>
    </row>
    <row r="3210" spans="1:15" x14ac:dyDescent="0.25">
      <c r="A3210">
        <v>3209</v>
      </c>
      <c r="B3210" s="2">
        <v>45860</v>
      </c>
      <c r="C3210" t="s">
        <v>26</v>
      </c>
      <c r="D3210" t="s">
        <v>29</v>
      </c>
      <c r="E3210" t="s">
        <v>17</v>
      </c>
      <c r="F3210" t="s">
        <v>14</v>
      </c>
      <c r="G3210">
        <v>186</v>
      </c>
      <c r="H3210">
        <v>454.33</v>
      </c>
      <c r="I3210">
        <v>30</v>
      </c>
      <c r="J3210" t="s">
        <v>30</v>
      </c>
      <c r="K3210">
        <v>84505.38</v>
      </c>
      <c r="L3210" t="str">
        <f t="shared" si="200"/>
        <v>Jul</v>
      </c>
      <c r="M3210">
        <f t="shared" si="201"/>
        <v>2025</v>
      </c>
      <c r="N3210">
        <f t="shared" si="202"/>
        <v>84505.37999999999</v>
      </c>
      <c r="O3210" t="str">
        <f t="shared" si="203"/>
        <v>Minor Delay</v>
      </c>
    </row>
    <row r="3211" spans="1:15" x14ac:dyDescent="0.25">
      <c r="A3211">
        <v>3210</v>
      </c>
      <c r="B3211" s="2">
        <v>45678</v>
      </c>
      <c r="C3211" t="s">
        <v>16</v>
      </c>
      <c r="D3211" t="s">
        <v>27</v>
      </c>
      <c r="E3211" t="s">
        <v>17</v>
      </c>
      <c r="F3211" t="s">
        <v>21</v>
      </c>
      <c r="G3211">
        <v>142</v>
      </c>
      <c r="H3211">
        <v>632.66</v>
      </c>
      <c r="I3211">
        <v>25</v>
      </c>
      <c r="J3211" t="s">
        <v>15</v>
      </c>
      <c r="K3211">
        <v>89837.72</v>
      </c>
      <c r="L3211" t="str">
        <f t="shared" si="200"/>
        <v>Jan</v>
      </c>
      <c r="M3211">
        <f t="shared" si="201"/>
        <v>2025</v>
      </c>
      <c r="N3211">
        <f t="shared" si="202"/>
        <v>89837.72</v>
      </c>
      <c r="O3211" t="str">
        <f t="shared" si="203"/>
        <v>Minor Delay</v>
      </c>
    </row>
    <row r="3212" spans="1:15" x14ac:dyDescent="0.25">
      <c r="A3212">
        <v>3211</v>
      </c>
      <c r="B3212" s="2">
        <v>45796</v>
      </c>
      <c r="C3212" t="s">
        <v>31</v>
      </c>
      <c r="D3212" t="s">
        <v>29</v>
      </c>
      <c r="E3212" t="s">
        <v>22</v>
      </c>
      <c r="F3212" t="s">
        <v>21</v>
      </c>
      <c r="G3212">
        <v>213</v>
      </c>
      <c r="H3212">
        <v>193.9</v>
      </c>
      <c r="I3212">
        <v>50</v>
      </c>
      <c r="J3212" t="s">
        <v>30</v>
      </c>
      <c r="K3212">
        <v>41300.699999999997</v>
      </c>
      <c r="L3212" t="str">
        <f t="shared" si="200"/>
        <v>May</v>
      </c>
      <c r="M3212">
        <f t="shared" si="201"/>
        <v>2025</v>
      </c>
      <c r="N3212">
        <f t="shared" si="202"/>
        <v>41300.700000000004</v>
      </c>
      <c r="O3212" t="str">
        <f t="shared" si="203"/>
        <v>Moderate Delay</v>
      </c>
    </row>
    <row r="3213" spans="1:15" x14ac:dyDescent="0.25">
      <c r="A3213">
        <v>3212</v>
      </c>
      <c r="B3213" s="2">
        <v>45683</v>
      </c>
      <c r="C3213" t="s">
        <v>25</v>
      </c>
      <c r="D3213" t="s">
        <v>22</v>
      </c>
      <c r="E3213" t="s">
        <v>27</v>
      </c>
      <c r="F3213" t="s">
        <v>14</v>
      </c>
      <c r="G3213">
        <v>214</v>
      </c>
      <c r="H3213">
        <v>72.33</v>
      </c>
      <c r="I3213">
        <v>9</v>
      </c>
      <c r="J3213" t="s">
        <v>15</v>
      </c>
      <c r="K3213">
        <v>15478.62</v>
      </c>
      <c r="L3213" t="str">
        <f t="shared" si="200"/>
        <v>Jan</v>
      </c>
      <c r="M3213">
        <f t="shared" si="201"/>
        <v>2025</v>
      </c>
      <c r="N3213">
        <f t="shared" si="202"/>
        <v>15478.619999999999</v>
      </c>
      <c r="O3213" t="str">
        <f t="shared" si="203"/>
        <v>Minor Delay</v>
      </c>
    </row>
    <row r="3214" spans="1:15" x14ac:dyDescent="0.25">
      <c r="A3214">
        <v>3213</v>
      </c>
      <c r="B3214" s="2">
        <v>45721</v>
      </c>
      <c r="C3214" t="s">
        <v>16</v>
      </c>
      <c r="D3214" t="s">
        <v>19</v>
      </c>
      <c r="E3214" t="s">
        <v>13</v>
      </c>
      <c r="F3214" t="s">
        <v>21</v>
      </c>
      <c r="G3214">
        <v>274</v>
      </c>
      <c r="H3214">
        <v>170.94</v>
      </c>
      <c r="I3214">
        <v>13</v>
      </c>
      <c r="J3214" t="s">
        <v>15</v>
      </c>
      <c r="K3214">
        <v>46837.56</v>
      </c>
      <c r="L3214" t="str">
        <f t="shared" si="200"/>
        <v>Mar</v>
      </c>
      <c r="M3214">
        <f t="shared" si="201"/>
        <v>2025</v>
      </c>
      <c r="N3214">
        <f t="shared" si="202"/>
        <v>46837.56</v>
      </c>
      <c r="O3214" t="str">
        <f t="shared" si="203"/>
        <v>Minor Delay</v>
      </c>
    </row>
    <row r="3215" spans="1:15" x14ac:dyDescent="0.25">
      <c r="A3215">
        <v>3214</v>
      </c>
      <c r="B3215" s="2">
        <v>45798</v>
      </c>
      <c r="C3215" t="s">
        <v>11</v>
      </c>
      <c r="D3215" t="s">
        <v>13</v>
      </c>
      <c r="E3215" t="s">
        <v>27</v>
      </c>
      <c r="F3215" t="s">
        <v>21</v>
      </c>
      <c r="G3215">
        <v>243</v>
      </c>
      <c r="H3215">
        <v>777.09</v>
      </c>
      <c r="I3215">
        <v>13</v>
      </c>
      <c r="J3215" t="s">
        <v>15</v>
      </c>
      <c r="K3215">
        <v>188832.87</v>
      </c>
      <c r="L3215" t="str">
        <f t="shared" si="200"/>
        <v>May</v>
      </c>
      <c r="M3215">
        <f t="shared" si="201"/>
        <v>2025</v>
      </c>
      <c r="N3215">
        <f t="shared" si="202"/>
        <v>188832.87</v>
      </c>
      <c r="O3215" t="str">
        <f t="shared" si="203"/>
        <v>Minor Delay</v>
      </c>
    </row>
    <row r="3216" spans="1:15" x14ac:dyDescent="0.25">
      <c r="A3216">
        <v>3215</v>
      </c>
      <c r="B3216" s="2">
        <v>45750</v>
      </c>
      <c r="C3216" t="s">
        <v>11</v>
      </c>
      <c r="D3216" t="s">
        <v>22</v>
      </c>
      <c r="E3216" t="s">
        <v>29</v>
      </c>
      <c r="F3216" t="s">
        <v>14</v>
      </c>
      <c r="G3216">
        <v>267</v>
      </c>
      <c r="H3216">
        <v>199.88</v>
      </c>
      <c r="I3216">
        <v>0</v>
      </c>
      <c r="J3216" t="s">
        <v>15</v>
      </c>
      <c r="K3216">
        <v>53367.96</v>
      </c>
      <c r="L3216" t="str">
        <f t="shared" si="200"/>
        <v>Apr</v>
      </c>
      <c r="M3216">
        <f t="shared" si="201"/>
        <v>2025</v>
      </c>
      <c r="N3216">
        <f t="shared" si="202"/>
        <v>53367.96</v>
      </c>
      <c r="O3216" t="str">
        <f t="shared" si="203"/>
        <v>On Time</v>
      </c>
    </row>
    <row r="3217" spans="1:15" x14ac:dyDescent="0.25">
      <c r="A3217">
        <v>3216</v>
      </c>
      <c r="B3217" s="2">
        <v>45744</v>
      </c>
      <c r="C3217" t="s">
        <v>16</v>
      </c>
      <c r="D3217" t="s">
        <v>13</v>
      </c>
      <c r="E3217" t="s">
        <v>20</v>
      </c>
      <c r="F3217" t="s">
        <v>14</v>
      </c>
      <c r="G3217">
        <v>250</v>
      </c>
      <c r="H3217">
        <v>764.65</v>
      </c>
      <c r="I3217">
        <v>0</v>
      </c>
      <c r="J3217" t="s">
        <v>15</v>
      </c>
      <c r="K3217">
        <v>191162.5</v>
      </c>
      <c r="L3217" t="str">
        <f t="shared" si="200"/>
        <v>Mar</v>
      </c>
      <c r="M3217">
        <f t="shared" si="201"/>
        <v>2025</v>
      </c>
      <c r="N3217">
        <f t="shared" si="202"/>
        <v>191162.5</v>
      </c>
      <c r="O3217" t="str">
        <f t="shared" si="203"/>
        <v>On Time</v>
      </c>
    </row>
    <row r="3218" spans="1:15" x14ac:dyDescent="0.25">
      <c r="A3218">
        <v>3217</v>
      </c>
      <c r="B3218" s="2">
        <v>45791</v>
      </c>
      <c r="C3218" t="s">
        <v>11</v>
      </c>
      <c r="D3218" t="s">
        <v>13</v>
      </c>
      <c r="E3218" t="s">
        <v>19</v>
      </c>
      <c r="F3218" t="s">
        <v>24</v>
      </c>
      <c r="G3218">
        <v>216</v>
      </c>
      <c r="H3218">
        <v>585.83000000000004</v>
      </c>
      <c r="I3218">
        <v>44</v>
      </c>
      <c r="J3218" t="s">
        <v>15</v>
      </c>
      <c r="K3218">
        <v>126539.28</v>
      </c>
      <c r="L3218" t="str">
        <f t="shared" si="200"/>
        <v>May</v>
      </c>
      <c r="M3218">
        <f t="shared" si="201"/>
        <v>2025</v>
      </c>
      <c r="N3218">
        <f t="shared" si="202"/>
        <v>126539.28000000001</v>
      </c>
      <c r="O3218" t="str">
        <f t="shared" si="203"/>
        <v>Moderate Delay</v>
      </c>
    </row>
    <row r="3219" spans="1:15" x14ac:dyDescent="0.25">
      <c r="A3219">
        <v>3218</v>
      </c>
      <c r="B3219" s="2">
        <v>45898</v>
      </c>
      <c r="C3219" t="s">
        <v>25</v>
      </c>
      <c r="D3219" t="s">
        <v>22</v>
      </c>
      <c r="E3219" t="s">
        <v>19</v>
      </c>
      <c r="F3219" t="s">
        <v>21</v>
      </c>
      <c r="G3219">
        <v>123</v>
      </c>
      <c r="H3219">
        <v>795.67</v>
      </c>
      <c r="I3219">
        <v>49</v>
      </c>
      <c r="J3219" t="s">
        <v>15</v>
      </c>
      <c r="K3219">
        <v>97867.41</v>
      </c>
      <c r="L3219" t="str">
        <f t="shared" si="200"/>
        <v>Aug</v>
      </c>
      <c r="M3219">
        <f t="shared" si="201"/>
        <v>2025</v>
      </c>
      <c r="N3219">
        <f t="shared" si="202"/>
        <v>97867.409999999989</v>
      </c>
      <c r="O3219" t="str">
        <f t="shared" si="203"/>
        <v>Moderate Delay</v>
      </c>
    </row>
    <row r="3220" spans="1:15" x14ac:dyDescent="0.25">
      <c r="A3220">
        <v>3219</v>
      </c>
      <c r="B3220" s="2">
        <v>46011</v>
      </c>
      <c r="C3220" t="s">
        <v>16</v>
      </c>
      <c r="D3220" t="s">
        <v>22</v>
      </c>
      <c r="E3220" t="s">
        <v>27</v>
      </c>
      <c r="F3220" t="s">
        <v>21</v>
      </c>
      <c r="G3220">
        <v>245</v>
      </c>
      <c r="H3220">
        <v>265.05</v>
      </c>
      <c r="I3220">
        <v>0</v>
      </c>
      <c r="J3220" t="s">
        <v>15</v>
      </c>
      <c r="K3220">
        <v>64937.25</v>
      </c>
      <c r="L3220" t="str">
        <f t="shared" si="200"/>
        <v>Dec</v>
      </c>
      <c r="M3220">
        <f t="shared" si="201"/>
        <v>2025</v>
      </c>
      <c r="N3220">
        <f t="shared" si="202"/>
        <v>64937.25</v>
      </c>
      <c r="O3220" t="str">
        <f t="shared" si="203"/>
        <v>On Time</v>
      </c>
    </row>
    <row r="3221" spans="1:15" x14ac:dyDescent="0.25">
      <c r="A3221">
        <v>3220</v>
      </c>
      <c r="B3221" s="2">
        <v>45788</v>
      </c>
      <c r="C3221" t="s">
        <v>16</v>
      </c>
      <c r="D3221" t="s">
        <v>17</v>
      </c>
      <c r="E3221" t="s">
        <v>27</v>
      </c>
      <c r="F3221" t="s">
        <v>21</v>
      </c>
      <c r="G3221">
        <v>147</v>
      </c>
      <c r="H3221">
        <v>461.64</v>
      </c>
      <c r="I3221">
        <v>43</v>
      </c>
      <c r="J3221" t="s">
        <v>15</v>
      </c>
      <c r="K3221">
        <v>67861.08</v>
      </c>
      <c r="L3221" t="str">
        <f t="shared" si="200"/>
        <v>May</v>
      </c>
      <c r="M3221">
        <f t="shared" si="201"/>
        <v>2025</v>
      </c>
      <c r="N3221">
        <f t="shared" si="202"/>
        <v>67861.08</v>
      </c>
      <c r="O3221" t="str">
        <f t="shared" si="203"/>
        <v>Moderate Delay</v>
      </c>
    </row>
    <row r="3222" spans="1:15" x14ac:dyDescent="0.25">
      <c r="A3222">
        <v>3221</v>
      </c>
      <c r="B3222" s="2">
        <v>45988</v>
      </c>
      <c r="C3222" t="s">
        <v>26</v>
      </c>
      <c r="D3222" t="s">
        <v>19</v>
      </c>
      <c r="E3222" t="s">
        <v>17</v>
      </c>
      <c r="F3222" t="s">
        <v>24</v>
      </c>
      <c r="G3222">
        <v>290</v>
      </c>
      <c r="H3222">
        <v>335.78</v>
      </c>
      <c r="I3222">
        <v>18</v>
      </c>
      <c r="J3222" t="s">
        <v>15</v>
      </c>
      <c r="K3222">
        <v>97376.2</v>
      </c>
      <c r="L3222" t="str">
        <f t="shared" si="200"/>
        <v>Nov</v>
      </c>
      <c r="M3222">
        <f t="shared" si="201"/>
        <v>2025</v>
      </c>
      <c r="N3222">
        <f t="shared" si="202"/>
        <v>97376.2</v>
      </c>
      <c r="O3222" t="str">
        <f t="shared" si="203"/>
        <v>Minor Delay</v>
      </c>
    </row>
    <row r="3223" spans="1:15" x14ac:dyDescent="0.25">
      <c r="A3223">
        <v>3222</v>
      </c>
      <c r="B3223" s="2">
        <v>45839</v>
      </c>
      <c r="C3223" t="s">
        <v>31</v>
      </c>
      <c r="D3223" t="s">
        <v>17</v>
      </c>
      <c r="E3223" t="s">
        <v>20</v>
      </c>
      <c r="F3223" t="s">
        <v>14</v>
      </c>
      <c r="G3223">
        <v>220</v>
      </c>
      <c r="H3223">
        <v>613.17999999999995</v>
      </c>
      <c r="I3223">
        <v>60</v>
      </c>
      <c r="J3223" t="s">
        <v>15</v>
      </c>
      <c r="K3223">
        <v>134899.6</v>
      </c>
      <c r="L3223" t="str">
        <f t="shared" si="200"/>
        <v>Jul</v>
      </c>
      <c r="M3223">
        <f t="shared" si="201"/>
        <v>2025</v>
      </c>
      <c r="N3223">
        <f t="shared" si="202"/>
        <v>134899.59999999998</v>
      </c>
      <c r="O3223" t="str">
        <f t="shared" si="203"/>
        <v>Moderate Delay</v>
      </c>
    </row>
    <row r="3224" spans="1:15" x14ac:dyDescent="0.25">
      <c r="A3224">
        <v>3223</v>
      </c>
      <c r="B3224" s="2">
        <v>45945</v>
      </c>
      <c r="C3224" t="s">
        <v>25</v>
      </c>
      <c r="D3224" t="s">
        <v>19</v>
      </c>
      <c r="E3224" t="s">
        <v>22</v>
      </c>
      <c r="F3224" t="s">
        <v>14</v>
      </c>
      <c r="G3224">
        <v>219</v>
      </c>
      <c r="H3224">
        <v>755.44</v>
      </c>
      <c r="I3224">
        <v>1</v>
      </c>
      <c r="J3224" t="s">
        <v>15</v>
      </c>
      <c r="K3224">
        <v>165441.35999999999</v>
      </c>
      <c r="L3224" t="str">
        <f t="shared" si="200"/>
        <v>Oct</v>
      </c>
      <c r="M3224">
        <f t="shared" si="201"/>
        <v>2025</v>
      </c>
      <c r="N3224">
        <f t="shared" si="202"/>
        <v>165441.36000000002</v>
      </c>
      <c r="O3224" t="str">
        <f t="shared" si="203"/>
        <v>Minor Delay</v>
      </c>
    </row>
    <row r="3225" spans="1:15" x14ac:dyDescent="0.25">
      <c r="A3225">
        <v>3224</v>
      </c>
      <c r="B3225" s="2">
        <v>45911</v>
      </c>
      <c r="C3225" t="s">
        <v>11</v>
      </c>
      <c r="D3225" t="s">
        <v>29</v>
      </c>
      <c r="E3225" t="s">
        <v>20</v>
      </c>
      <c r="F3225" t="s">
        <v>24</v>
      </c>
      <c r="G3225">
        <v>300</v>
      </c>
      <c r="H3225">
        <v>349.81</v>
      </c>
      <c r="I3225">
        <v>45</v>
      </c>
      <c r="J3225" t="s">
        <v>15</v>
      </c>
      <c r="K3225">
        <v>104943</v>
      </c>
      <c r="L3225" t="str">
        <f t="shared" si="200"/>
        <v>Sep</v>
      </c>
      <c r="M3225">
        <f t="shared" si="201"/>
        <v>2025</v>
      </c>
      <c r="N3225">
        <f t="shared" si="202"/>
        <v>104943</v>
      </c>
      <c r="O3225" t="str">
        <f t="shared" si="203"/>
        <v>Moderate Delay</v>
      </c>
    </row>
    <row r="3226" spans="1:15" x14ac:dyDescent="0.25">
      <c r="A3226">
        <v>3225</v>
      </c>
      <c r="B3226" s="2">
        <v>45736</v>
      </c>
      <c r="C3226" t="s">
        <v>16</v>
      </c>
      <c r="D3226" t="s">
        <v>22</v>
      </c>
      <c r="E3226" t="s">
        <v>19</v>
      </c>
      <c r="F3226" t="s">
        <v>21</v>
      </c>
      <c r="G3226">
        <v>257</v>
      </c>
      <c r="H3226">
        <v>400.94</v>
      </c>
      <c r="I3226">
        <v>1</v>
      </c>
      <c r="J3226" t="s">
        <v>30</v>
      </c>
      <c r="K3226">
        <v>103041.58</v>
      </c>
      <c r="L3226" t="str">
        <f t="shared" si="200"/>
        <v>Mar</v>
      </c>
      <c r="M3226">
        <f t="shared" si="201"/>
        <v>2025</v>
      </c>
      <c r="N3226">
        <f t="shared" si="202"/>
        <v>103041.58</v>
      </c>
      <c r="O3226" t="str">
        <f t="shared" si="203"/>
        <v>Minor Delay</v>
      </c>
    </row>
    <row r="3227" spans="1:15" x14ac:dyDescent="0.25">
      <c r="A3227">
        <v>3226</v>
      </c>
      <c r="B3227" s="2">
        <v>45739</v>
      </c>
      <c r="C3227" t="s">
        <v>25</v>
      </c>
      <c r="D3227" t="s">
        <v>23</v>
      </c>
      <c r="E3227" t="s">
        <v>19</v>
      </c>
      <c r="F3227" t="s">
        <v>24</v>
      </c>
      <c r="G3227">
        <v>247</v>
      </c>
      <c r="H3227">
        <v>655.09</v>
      </c>
      <c r="I3227">
        <v>41</v>
      </c>
      <c r="J3227" t="s">
        <v>15</v>
      </c>
      <c r="K3227">
        <v>161807.23000000001</v>
      </c>
      <c r="L3227" t="str">
        <f t="shared" si="200"/>
        <v>Mar</v>
      </c>
      <c r="M3227">
        <f t="shared" si="201"/>
        <v>2025</v>
      </c>
      <c r="N3227">
        <f t="shared" si="202"/>
        <v>161807.23000000001</v>
      </c>
      <c r="O3227" t="str">
        <f t="shared" si="203"/>
        <v>Moderate Delay</v>
      </c>
    </row>
    <row r="3228" spans="1:15" x14ac:dyDescent="0.25">
      <c r="A3228">
        <v>3227</v>
      </c>
      <c r="B3228" s="2">
        <v>45782</v>
      </c>
      <c r="C3228" t="s">
        <v>25</v>
      </c>
      <c r="D3228" t="s">
        <v>23</v>
      </c>
      <c r="E3228" t="s">
        <v>22</v>
      </c>
      <c r="F3228" t="s">
        <v>24</v>
      </c>
      <c r="G3228">
        <v>202</v>
      </c>
      <c r="H3228">
        <v>570.98</v>
      </c>
      <c r="I3228">
        <v>24</v>
      </c>
      <c r="J3228" t="s">
        <v>15</v>
      </c>
      <c r="K3228">
        <v>115337.96</v>
      </c>
      <c r="L3228" t="str">
        <f t="shared" si="200"/>
        <v>May</v>
      </c>
      <c r="M3228">
        <f t="shared" si="201"/>
        <v>2025</v>
      </c>
      <c r="N3228">
        <f t="shared" si="202"/>
        <v>115337.96</v>
      </c>
      <c r="O3228" t="str">
        <f t="shared" si="203"/>
        <v>Minor Delay</v>
      </c>
    </row>
    <row r="3229" spans="1:15" x14ac:dyDescent="0.25">
      <c r="A3229">
        <v>3228</v>
      </c>
      <c r="B3229" s="2">
        <v>45688</v>
      </c>
      <c r="C3229" t="s">
        <v>26</v>
      </c>
      <c r="D3229" t="s">
        <v>23</v>
      </c>
      <c r="E3229" t="s">
        <v>17</v>
      </c>
      <c r="F3229" t="s">
        <v>21</v>
      </c>
      <c r="G3229">
        <v>58</v>
      </c>
      <c r="H3229">
        <v>500.95</v>
      </c>
      <c r="I3229">
        <v>15</v>
      </c>
      <c r="J3229" t="s">
        <v>15</v>
      </c>
      <c r="K3229">
        <v>29055.1</v>
      </c>
      <c r="L3229" t="str">
        <f t="shared" si="200"/>
        <v>Jan</v>
      </c>
      <c r="M3229">
        <f t="shared" si="201"/>
        <v>2025</v>
      </c>
      <c r="N3229">
        <f t="shared" si="202"/>
        <v>29055.1</v>
      </c>
      <c r="O3229" t="str">
        <f t="shared" si="203"/>
        <v>Minor Delay</v>
      </c>
    </row>
    <row r="3230" spans="1:15" x14ac:dyDescent="0.25">
      <c r="A3230">
        <v>3229</v>
      </c>
      <c r="B3230" s="2">
        <v>45742</v>
      </c>
      <c r="C3230" t="s">
        <v>25</v>
      </c>
      <c r="D3230" t="s">
        <v>17</v>
      </c>
      <c r="E3230" t="s">
        <v>27</v>
      </c>
      <c r="F3230" t="s">
        <v>14</v>
      </c>
      <c r="G3230">
        <v>63</v>
      </c>
      <c r="H3230">
        <v>398.84</v>
      </c>
      <c r="I3230">
        <v>9</v>
      </c>
      <c r="J3230" t="s">
        <v>15</v>
      </c>
      <c r="K3230">
        <v>25126.92</v>
      </c>
      <c r="L3230" t="str">
        <f t="shared" si="200"/>
        <v>Mar</v>
      </c>
      <c r="M3230">
        <f t="shared" si="201"/>
        <v>2025</v>
      </c>
      <c r="N3230">
        <f t="shared" si="202"/>
        <v>25126.92</v>
      </c>
      <c r="O3230" t="str">
        <f t="shared" si="203"/>
        <v>Minor Delay</v>
      </c>
    </row>
    <row r="3231" spans="1:15" x14ac:dyDescent="0.25">
      <c r="A3231">
        <v>3230</v>
      </c>
      <c r="B3231" s="2">
        <v>46014</v>
      </c>
      <c r="C3231" t="s">
        <v>18</v>
      </c>
      <c r="D3231" t="s">
        <v>19</v>
      </c>
      <c r="E3231" t="s">
        <v>13</v>
      </c>
      <c r="F3231" t="s">
        <v>24</v>
      </c>
      <c r="G3231">
        <v>108</v>
      </c>
      <c r="H3231">
        <v>736.86</v>
      </c>
      <c r="I3231">
        <v>74</v>
      </c>
      <c r="J3231" t="s">
        <v>15</v>
      </c>
      <c r="K3231">
        <v>79580.88</v>
      </c>
      <c r="L3231" t="str">
        <f t="shared" si="200"/>
        <v>Dec</v>
      </c>
      <c r="M3231">
        <f t="shared" si="201"/>
        <v>2025</v>
      </c>
      <c r="N3231">
        <f t="shared" si="202"/>
        <v>79580.88</v>
      </c>
      <c r="O3231" t="str">
        <f t="shared" si="203"/>
        <v>Major Delay</v>
      </c>
    </row>
    <row r="3232" spans="1:15" x14ac:dyDescent="0.25">
      <c r="A3232">
        <v>3231</v>
      </c>
      <c r="B3232" s="2">
        <v>45796</v>
      </c>
      <c r="C3232" t="s">
        <v>25</v>
      </c>
      <c r="D3232" t="s">
        <v>29</v>
      </c>
      <c r="E3232" t="s">
        <v>17</v>
      </c>
      <c r="F3232" t="s">
        <v>24</v>
      </c>
      <c r="G3232">
        <v>220</v>
      </c>
      <c r="H3232">
        <v>525.38</v>
      </c>
      <c r="I3232">
        <v>12</v>
      </c>
      <c r="J3232" t="s">
        <v>30</v>
      </c>
      <c r="K3232">
        <v>115583.6</v>
      </c>
      <c r="L3232" t="str">
        <f t="shared" si="200"/>
        <v>May</v>
      </c>
      <c r="M3232">
        <f t="shared" si="201"/>
        <v>2025</v>
      </c>
      <c r="N3232">
        <f t="shared" si="202"/>
        <v>115583.6</v>
      </c>
      <c r="O3232" t="str">
        <f t="shared" si="203"/>
        <v>Minor Delay</v>
      </c>
    </row>
    <row r="3233" spans="1:15" x14ac:dyDescent="0.25">
      <c r="A3233">
        <v>3232</v>
      </c>
      <c r="B3233" s="2">
        <v>45728</v>
      </c>
      <c r="C3233" t="s">
        <v>26</v>
      </c>
      <c r="D3233" t="s">
        <v>12</v>
      </c>
      <c r="E3233" t="s">
        <v>20</v>
      </c>
      <c r="F3233" t="s">
        <v>21</v>
      </c>
      <c r="G3233">
        <v>139</v>
      </c>
      <c r="H3233">
        <v>141.35</v>
      </c>
      <c r="I3233">
        <v>2</v>
      </c>
      <c r="J3233" t="s">
        <v>15</v>
      </c>
      <c r="K3233">
        <v>19647.650000000001</v>
      </c>
      <c r="L3233" t="str">
        <f t="shared" si="200"/>
        <v>Mar</v>
      </c>
      <c r="M3233">
        <f t="shared" si="201"/>
        <v>2025</v>
      </c>
      <c r="N3233">
        <f t="shared" si="202"/>
        <v>19647.649999999998</v>
      </c>
      <c r="O3233" t="str">
        <f t="shared" si="203"/>
        <v>Minor Delay</v>
      </c>
    </row>
    <row r="3234" spans="1:15" x14ac:dyDescent="0.25">
      <c r="A3234">
        <v>3233</v>
      </c>
      <c r="B3234" s="2">
        <v>45811</v>
      </c>
      <c r="C3234" t="s">
        <v>26</v>
      </c>
      <c r="D3234" t="s">
        <v>29</v>
      </c>
      <c r="E3234" t="s">
        <v>13</v>
      </c>
      <c r="F3234" t="s">
        <v>14</v>
      </c>
      <c r="G3234">
        <v>218</v>
      </c>
      <c r="H3234">
        <v>196.89</v>
      </c>
      <c r="I3234">
        <v>0</v>
      </c>
      <c r="J3234" t="s">
        <v>15</v>
      </c>
      <c r="K3234">
        <v>42922.02</v>
      </c>
      <c r="L3234" t="str">
        <f t="shared" si="200"/>
        <v>Jun</v>
      </c>
      <c r="M3234">
        <f t="shared" si="201"/>
        <v>2025</v>
      </c>
      <c r="N3234">
        <f t="shared" si="202"/>
        <v>42922.02</v>
      </c>
      <c r="O3234" t="str">
        <f t="shared" si="203"/>
        <v>On Time</v>
      </c>
    </row>
    <row r="3235" spans="1:15" x14ac:dyDescent="0.25">
      <c r="A3235">
        <v>3234</v>
      </c>
      <c r="B3235" s="2">
        <v>45895</v>
      </c>
      <c r="C3235" t="s">
        <v>31</v>
      </c>
      <c r="D3235" t="s">
        <v>12</v>
      </c>
      <c r="E3235" t="s">
        <v>19</v>
      </c>
      <c r="F3235" t="s">
        <v>24</v>
      </c>
      <c r="G3235">
        <v>247</v>
      </c>
      <c r="H3235">
        <v>566</v>
      </c>
      <c r="I3235">
        <v>11</v>
      </c>
      <c r="J3235" t="s">
        <v>15</v>
      </c>
      <c r="K3235">
        <v>139802</v>
      </c>
      <c r="L3235" t="str">
        <f t="shared" si="200"/>
        <v>Aug</v>
      </c>
      <c r="M3235">
        <f t="shared" si="201"/>
        <v>2025</v>
      </c>
      <c r="N3235">
        <f t="shared" si="202"/>
        <v>139802</v>
      </c>
      <c r="O3235" t="str">
        <f t="shared" si="203"/>
        <v>Minor Delay</v>
      </c>
    </row>
    <row r="3236" spans="1:15" x14ac:dyDescent="0.25">
      <c r="A3236">
        <v>3235</v>
      </c>
      <c r="B3236" s="2">
        <v>45909</v>
      </c>
      <c r="C3236" t="s">
        <v>31</v>
      </c>
      <c r="D3236" t="s">
        <v>19</v>
      </c>
      <c r="E3236" t="s">
        <v>23</v>
      </c>
      <c r="F3236" t="s">
        <v>24</v>
      </c>
      <c r="G3236">
        <v>98</v>
      </c>
      <c r="H3236">
        <v>118.22</v>
      </c>
      <c r="I3236">
        <v>10</v>
      </c>
      <c r="J3236" t="s">
        <v>15</v>
      </c>
      <c r="K3236">
        <v>11585.56</v>
      </c>
      <c r="L3236" t="str">
        <f t="shared" si="200"/>
        <v>Sep</v>
      </c>
      <c r="M3236">
        <f t="shared" si="201"/>
        <v>2025</v>
      </c>
      <c r="N3236">
        <f t="shared" si="202"/>
        <v>11585.56</v>
      </c>
      <c r="O3236" t="str">
        <f t="shared" si="203"/>
        <v>Minor Delay</v>
      </c>
    </row>
    <row r="3237" spans="1:15" x14ac:dyDescent="0.25">
      <c r="A3237">
        <v>3236</v>
      </c>
      <c r="B3237" s="2">
        <v>45952</v>
      </c>
      <c r="C3237" t="s">
        <v>16</v>
      </c>
      <c r="D3237" t="s">
        <v>19</v>
      </c>
      <c r="E3237" t="s">
        <v>17</v>
      </c>
      <c r="F3237" t="s">
        <v>24</v>
      </c>
      <c r="G3237">
        <v>272</v>
      </c>
      <c r="H3237">
        <v>183.48</v>
      </c>
      <c r="I3237">
        <v>0</v>
      </c>
      <c r="J3237" t="s">
        <v>15</v>
      </c>
      <c r="K3237">
        <v>49906.559999999998</v>
      </c>
      <c r="L3237" t="str">
        <f t="shared" si="200"/>
        <v>Oct</v>
      </c>
      <c r="M3237">
        <f t="shared" si="201"/>
        <v>2025</v>
      </c>
      <c r="N3237">
        <f t="shared" si="202"/>
        <v>49906.559999999998</v>
      </c>
      <c r="O3237" t="str">
        <f t="shared" si="203"/>
        <v>On Time</v>
      </c>
    </row>
    <row r="3238" spans="1:15" x14ac:dyDescent="0.25">
      <c r="A3238">
        <v>3237</v>
      </c>
      <c r="B3238" s="2">
        <v>45734</v>
      </c>
      <c r="C3238" t="s">
        <v>31</v>
      </c>
      <c r="D3238" t="s">
        <v>20</v>
      </c>
      <c r="E3238" t="s">
        <v>23</v>
      </c>
      <c r="F3238" t="s">
        <v>24</v>
      </c>
      <c r="G3238">
        <v>265</v>
      </c>
      <c r="H3238">
        <v>559.98</v>
      </c>
      <c r="I3238">
        <v>57</v>
      </c>
      <c r="J3238" t="s">
        <v>15</v>
      </c>
      <c r="K3238">
        <v>148394.70000000001</v>
      </c>
      <c r="L3238" t="str">
        <f t="shared" si="200"/>
        <v>Mar</v>
      </c>
      <c r="M3238">
        <f t="shared" si="201"/>
        <v>2025</v>
      </c>
      <c r="N3238">
        <f t="shared" si="202"/>
        <v>148394.70000000001</v>
      </c>
      <c r="O3238" t="str">
        <f t="shared" si="203"/>
        <v>Moderate Delay</v>
      </c>
    </row>
    <row r="3239" spans="1:15" x14ac:dyDescent="0.25">
      <c r="A3239">
        <v>3238</v>
      </c>
      <c r="B3239" s="2">
        <v>45911</v>
      </c>
      <c r="C3239" t="s">
        <v>11</v>
      </c>
      <c r="D3239" t="s">
        <v>13</v>
      </c>
      <c r="E3239" t="s">
        <v>17</v>
      </c>
      <c r="F3239" t="s">
        <v>21</v>
      </c>
      <c r="G3239">
        <v>99</v>
      </c>
      <c r="H3239">
        <v>469.97</v>
      </c>
      <c r="I3239">
        <v>0</v>
      </c>
      <c r="J3239" t="s">
        <v>15</v>
      </c>
      <c r="K3239">
        <v>46527.03</v>
      </c>
      <c r="L3239" t="str">
        <f t="shared" si="200"/>
        <v>Sep</v>
      </c>
      <c r="M3239">
        <f t="shared" si="201"/>
        <v>2025</v>
      </c>
      <c r="N3239">
        <f t="shared" si="202"/>
        <v>46527.030000000006</v>
      </c>
      <c r="O3239" t="str">
        <f t="shared" si="203"/>
        <v>On Time</v>
      </c>
    </row>
    <row r="3240" spans="1:15" x14ac:dyDescent="0.25">
      <c r="A3240">
        <v>3239</v>
      </c>
      <c r="B3240" s="2">
        <v>45833</v>
      </c>
      <c r="C3240" t="s">
        <v>16</v>
      </c>
      <c r="D3240" t="s">
        <v>22</v>
      </c>
      <c r="E3240" t="s">
        <v>23</v>
      </c>
      <c r="F3240" t="s">
        <v>24</v>
      </c>
      <c r="G3240">
        <v>211</v>
      </c>
      <c r="H3240">
        <v>619.88</v>
      </c>
      <c r="I3240">
        <v>64</v>
      </c>
      <c r="J3240" t="s">
        <v>30</v>
      </c>
      <c r="K3240">
        <v>130794.68</v>
      </c>
      <c r="L3240" t="str">
        <f t="shared" si="200"/>
        <v>Jun</v>
      </c>
      <c r="M3240">
        <f t="shared" si="201"/>
        <v>2025</v>
      </c>
      <c r="N3240">
        <f t="shared" si="202"/>
        <v>130794.68</v>
      </c>
      <c r="O3240" t="str">
        <f t="shared" si="203"/>
        <v>Major Delay</v>
      </c>
    </row>
    <row r="3241" spans="1:15" x14ac:dyDescent="0.25">
      <c r="A3241">
        <v>3240</v>
      </c>
      <c r="B3241" s="2">
        <v>45823</v>
      </c>
      <c r="C3241" t="s">
        <v>16</v>
      </c>
      <c r="D3241" t="s">
        <v>12</v>
      </c>
      <c r="E3241" t="s">
        <v>23</v>
      </c>
      <c r="F3241" t="s">
        <v>14</v>
      </c>
      <c r="G3241">
        <v>172</v>
      </c>
      <c r="H3241">
        <v>552.52</v>
      </c>
      <c r="I3241">
        <v>13</v>
      </c>
      <c r="J3241" t="s">
        <v>30</v>
      </c>
      <c r="K3241">
        <v>95033.44</v>
      </c>
      <c r="L3241" t="str">
        <f t="shared" si="200"/>
        <v>Jun</v>
      </c>
      <c r="M3241">
        <f t="shared" si="201"/>
        <v>2025</v>
      </c>
      <c r="N3241">
        <f t="shared" si="202"/>
        <v>95033.44</v>
      </c>
      <c r="O3241" t="str">
        <f t="shared" si="203"/>
        <v>Minor Delay</v>
      </c>
    </row>
    <row r="3242" spans="1:15" x14ac:dyDescent="0.25">
      <c r="A3242">
        <v>3241</v>
      </c>
      <c r="B3242" s="2">
        <v>45818</v>
      </c>
      <c r="C3242" t="s">
        <v>25</v>
      </c>
      <c r="D3242" t="s">
        <v>22</v>
      </c>
      <c r="E3242" t="s">
        <v>17</v>
      </c>
      <c r="F3242" t="s">
        <v>14</v>
      </c>
      <c r="G3242">
        <v>226</v>
      </c>
      <c r="H3242">
        <v>395.78</v>
      </c>
      <c r="I3242">
        <v>61</v>
      </c>
      <c r="J3242" t="s">
        <v>15</v>
      </c>
      <c r="K3242">
        <v>89446.28</v>
      </c>
      <c r="L3242" t="str">
        <f t="shared" si="200"/>
        <v>Jun</v>
      </c>
      <c r="M3242">
        <f t="shared" si="201"/>
        <v>2025</v>
      </c>
      <c r="N3242">
        <f t="shared" si="202"/>
        <v>89446.28</v>
      </c>
      <c r="O3242" t="str">
        <f t="shared" si="203"/>
        <v>Major Delay</v>
      </c>
    </row>
    <row r="3243" spans="1:15" x14ac:dyDescent="0.25">
      <c r="A3243">
        <v>3242</v>
      </c>
      <c r="B3243" s="2">
        <v>45870</v>
      </c>
      <c r="C3243" t="s">
        <v>18</v>
      </c>
      <c r="D3243" t="s">
        <v>29</v>
      </c>
      <c r="E3243" t="s">
        <v>12</v>
      </c>
      <c r="F3243" t="s">
        <v>14</v>
      </c>
      <c r="G3243">
        <v>113</v>
      </c>
      <c r="H3243">
        <v>387.27</v>
      </c>
      <c r="I3243">
        <v>28</v>
      </c>
      <c r="J3243" t="s">
        <v>15</v>
      </c>
      <c r="K3243">
        <v>43761.51</v>
      </c>
      <c r="L3243" t="str">
        <f t="shared" si="200"/>
        <v>Aug</v>
      </c>
      <c r="M3243">
        <f t="shared" si="201"/>
        <v>2025</v>
      </c>
      <c r="N3243">
        <f t="shared" si="202"/>
        <v>43761.509999999995</v>
      </c>
      <c r="O3243" t="str">
        <f t="shared" si="203"/>
        <v>Minor Delay</v>
      </c>
    </row>
    <row r="3244" spans="1:15" x14ac:dyDescent="0.25">
      <c r="A3244">
        <v>3243</v>
      </c>
      <c r="B3244" s="2">
        <v>45999</v>
      </c>
      <c r="C3244" t="s">
        <v>26</v>
      </c>
      <c r="D3244" t="s">
        <v>29</v>
      </c>
      <c r="E3244" t="s">
        <v>12</v>
      </c>
      <c r="F3244" t="s">
        <v>24</v>
      </c>
      <c r="G3244">
        <v>145</v>
      </c>
      <c r="H3244">
        <v>772.86</v>
      </c>
      <c r="I3244">
        <v>11</v>
      </c>
      <c r="J3244" t="s">
        <v>15</v>
      </c>
      <c r="K3244">
        <v>112064.7</v>
      </c>
      <c r="L3244" t="str">
        <f t="shared" si="200"/>
        <v>Dec</v>
      </c>
      <c r="M3244">
        <f t="shared" si="201"/>
        <v>2025</v>
      </c>
      <c r="N3244">
        <f t="shared" si="202"/>
        <v>112064.7</v>
      </c>
      <c r="O3244" t="str">
        <f t="shared" si="203"/>
        <v>Minor Delay</v>
      </c>
    </row>
    <row r="3245" spans="1:15" x14ac:dyDescent="0.25">
      <c r="A3245">
        <v>3244</v>
      </c>
      <c r="B3245" s="2">
        <v>45709</v>
      </c>
      <c r="C3245" t="s">
        <v>11</v>
      </c>
      <c r="D3245" t="s">
        <v>17</v>
      </c>
      <c r="E3245" t="s">
        <v>23</v>
      </c>
      <c r="F3245" t="s">
        <v>24</v>
      </c>
      <c r="G3245">
        <v>57</v>
      </c>
      <c r="H3245">
        <v>440.13</v>
      </c>
      <c r="I3245">
        <v>0</v>
      </c>
      <c r="J3245" t="s">
        <v>15</v>
      </c>
      <c r="K3245">
        <v>25087.41</v>
      </c>
      <c r="L3245" t="str">
        <f t="shared" si="200"/>
        <v>Feb</v>
      </c>
      <c r="M3245">
        <f t="shared" si="201"/>
        <v>2025</v>
      </c>
      <c r="N3245">
        <f t="shared" si="202"/>
        <v>25087.41</v>
      </c>
      <c r="O3245" t="str">
        <f t="shared" si="203"/>
        <v>On Time</v>
      </c>
    </row>
    <row r="3246" spans="1:15" x14ac:dyDescent="0.25">
      <c r="A3246">
        <v>3245</v>
      </c>
      <c r="B3246" s="2">
        <v>45858</v>
      </c>
      <c r="C3246" t="s">
        <v>11</v>
      </c>
      <c r="D3246" t="s">
        <v>27</v>
      </c>
      <c r="E3246" t="s">
        <v>20</v>
      </c>
      <c r="F3246" t="s">
        <v>14</v>
      </c>
      <c r="G3246">
        <v>200</v>
      </c>
      <c r="H3246">
        <v>519.86</v>
      </c>
      <c r="I3246">
        <v>50</v>
      </c>
      <c r="J3246" t="s">
        <v>15</v>
      </c>
      <c r="K3246">
        <v>103972</v>
      </c>
      <c r="L3246" t="str">
        <f t="shared" si="200"/>
        <v>Jul</v>
      </c>
      <c r="M3246">
        <f t="shared" si="201"/>
        <v>2025</v>
      </c>
      <c r="N3246">
        <f t="shared" si="202"/>
        <v>103972</v>
      </c>
      <c r="O3246" t="str">
        <f t="shared" si="203"/>
        <v>Moderate Delay</v>
      </c>
    </row>
    <row r="3247" spans="1:15" x14ac:dyDescent="0.25">
      <c r="A3247">
        <v>3246</v>
      </c>
      <c r="B3247" s="2">
        <v>45668</v>
      </c>
      <c r="C3247" t="s">
        <v>11</v>
      </c>
      <c r="D3247" t="s">
        <v>17</v>
      </c>
      <c r="E3247" t="s">
        <v>19</v>
      </c>
      <c r="F3247" t="s">
        <v>21</v>
      </c>
      <c r="G3247">
        <v>203</v>
      </c>
      <c r="H3247">
        <v>308.66000000000003</v>
      </c>
      <c r="I3247">
        <v>31</v>
      </c>
      <c r="J3247" t="s">
        <v>15</v>
      </c>
      <c r="K3247">
        <v>62657.98</v>
      </c>
      <c r="L3247" t="str">
        <f t="shared" si="200"/>
        <v>Jan</v>
      </c>
      <c r="M3247">
        <f t="shared" si="201"/>
        <v>2025</v>
      </c>
      <c r="N3247">
        <f t="shared" si="202"/>
        <v>62657.98</v>
      </c>
      <c r="O3247" t="str">
        <f t="shared" si="203"/>
        <v>Moderate Delay</v>
      </c>
    </row>
    <row r="3248" spans="1:15" x14ac:dyDescent="0.25">
      <c r="A3248">
        <v>3247</v>
      </c>
      <c r="B3248" s="2">
        <v>45817</v>
      </c>
      <c r="C3248" t="s">
        <v>26</v>
      </c>
      <c r="D3248" t="s">
        <v>20</v>
      </c>
      <c r="E3248" t="s">
        <v>13</v>
      </c>
      <c r="F3248" t="s">
        <v>14</v>
      </c>
      <c r="G3248">
        <v>232</v>
      </c>
      <c r="H3248">
        <v>304.14999999999998</v>
      </c>
      <c r="I3248">
        <v>0</v>
      </c>
      <c r="J3248" t="s">
        <v>15</v>
      </c>
      <c r="K3248">
        <v>70562.8</v>
      </c>
      <c r="L3248" t="str">
        <f t="shared" si="200"/>
        <v>Jun</v>
      </c>
      <c r="M3248">
        <f t="shared" si="201"/>
        <v>2025</v>
      </c>
      <c r="N3248">
        <f t="shared" si="202"/>
        <v>70562.799999999988</v>
      </c>
      <c r="O3248" t="str">
        <f t="shared" si="203"/>
        <v>On Time</v>
      </c>
    </row>
    <row r="3249" spans="1:15" x14ac:dyDescent="0.25">
      <c r="A3249">
        <v>3248</v>
      </c>
      <c r="B3249" s="2">
        <v>45883</v>
      </c>
      <c r="C3249" t="s">
        <v>11</v>
      </c>
      <c r="D3249" t="s">
        <v>29</v>
      </c>
      <c r="E3249" t="s">
        <v>20</v>
      </c>
      <c r="F3249" t="s">
        <v>21</v>
      </c>
      <c r="G3249">
        <v>255</v>
      </c>
      <c r="H3249">
        <v>133.97</v>
      </c>
      <c r="I3249">
        <v>0</v>
      </c>
      <c r="J3249" t="s">
        <v>15</v>
      </c>
      <c r="K3249">
        <v>34162.35</v>
      </c>
      <c r="L3249" t="str">
        <f t="shared" si="200"/>
        <v>Aug</v>
      </c>
      <c r="M3249">
        <f t="shared" si="201"/>
        <v>2025</v>
      </c>
      <c r="N3249">
        <f t="shared" si="202"/>
        <v>34162.35</v>
      </c>
      <c r="O3249" t="str">
        <f t="shared" si="203"/>
        <v>On Time</v>
      </c>
    </row>
    <row r="3250" spans="1:15" x14ac:dyDescent="0.25">
      <c r="A3250">
        <v>3249</v>
      </c>
      <c r="B3250" s="2">
        <v>45775</v>
      </c>
      <c r="C3250" t="s">
        <v>31</v>
      </c>
      <c r="D3250" t="s">
        <v>19</v>
      </c>
      <c r="E3250" t="s">
        <v>22</v>
      </c>
      <c r="F3250" t="s">
        <v>21</v>
      </c>
      <c r="G3250">
        <v>185</v>
      </c>
      <c r="H3250">
        <v>768.38</v>
      </c>
      <c r="I3250">
        <v>11</v>
      </c>
      <c r="J3250" t="s">
        <v>30</v>
      </c>
      <c r="K3250">
        <v>142150.29999999999</v>
      </c>
      <c r="L3250" t="str">
        <f t="shared" si="200"/>
        <v>Apr</v>
      </c>
      <c r="M3250">
        <f t="shared" si="201"/>
        <v>2025</v>
      </c>
      <c r="N3250">
        <f t="shared" si="202"/>
        <v>142150.29999999999</v>
      </c>
      <c r="O3250" t="str">
        <f t="shared" si="203"/>
        <v>Minor Delay</v>
      </c>
    </row>
    <row r="3251" spans="1:15" x14ac:dyDescent="0.25">
      <c r="A3251">
        <v>3250</v>
      </c>
      <c r="B3251" s="2">
        <v>45687</v>
      </c>
      <c r="C3251" t="s">
        <v>11</v>
      </c>
      <c r="D3251" t="s">
        <v>23</v>
      </c>
      <c r="E3251" t="s">
        <v>29</v>
      </c>
      <c r="F3251" t="s">
        <v>24</v>
      </c>
      <c r="G3251">
        <v>205</v>
      </c>
      <c r="H3251">
        <v>663.77</v>
      </c>
      <c r="I3251">
        <v>41</v>
      </c>
      <c r="J3251" t="s">
        <v>15</v>
      </c>
      <c r="K3251">
        <v>136072.85</v>
      </c>
      <c r="L3251" t="str">
        <f t="shared" si="200"/>
        <v>Jan</v>
      </c>
      <c r="M3251">
        <f t="shared" si="201"/>
        <v>2025</v>
      </c>
      <c r="N3251">
        <f t="shared" si="202"/>
        <v>136072.85</v>
      </c>
      <c r="O3251" t="str">
        <f t="shared" si="203"/>
        <v>Moderate Delay</v>
      </c>
    </row>
    <row r="3252" spans="1:15" x14ac:dyDescent="0.25">
      <c r="A3252">
        <v>3251</v>
      </c>
      <c r="B3252" s="2">
        <v>46005</v>
      </c>
      <c r="C3252" t="s">
        <v>11</v>
      </c>
      <c r="D3252" t="s">
        <v>22</v>
      </c>
      <c r="E3252" t="s">
        <v>13</v>
      </c>
      <c r="F3252" t="s">
        <v>21</v>
      </c>
      <c r="G3252">
        <v>94</v>
      </c>
      <c r="H3252">
        <v>641.22</v>
      </c>
      <c r="I3252">
        <v>21</v>
      </c>
      <c r="J3252" t="s">
        <v>15</v>
      </c>
      <c r="K3252">
        <v>60274.68</v>
      </c>
      <c r="L3252" t="str">
        <f t="shared" si="200"/>
        <v>Dec</v>
      </c>
      <c r="M3252">
        <f t="shared" si="201"/>
        <v>2025</v>
      </c>
      <c r="N3252">
        <f t="shared" si="202"/>
        <v>60274.68</v>
      </c>
      <c r="O3252" t="str">
        <f t="shared" si="203"/>
        <v>Minor Delay</v>
      </c>
    </row>
    <row r="3253" spans="1:15" x14ac:dyDescent="0.25">
      <c r="A3253">
        <v>3252</v>
      </c>
      <c r="B3253" s="2">
        <v>45884</v>
      </c>
      <c r="C3253" t="s">
        <v>18</v>
      </c>
      <c r="D3253" t="s">
        <v>22</v>
      </c>
      <c r="E3253" t="s">
        <v>17</v>
      </c>
      <c r="F3253" t="s">
        <v>24</v>
      </c>
      <c r="G3253">
        <v>97</v>
      </c>
      <c r="H3253">
        <v>508.72</v>
      </c>
      <c r="I3253">
        <v>38</v>
      </c>
      <c r="J3253" t="s">
        <v>15</v>
      </c>
      <c r="K3253">
        <v>49345.84</v>
      </c>
      <c r="L3253" t="str">
        <f t="shared" si="200"/>
        <v>Aug</v>
      </c>
      <c r="M3253">
        <f t="shared" si="201"/>
        <v>2025</v>
      </c>
      <c r="N3253">
        <f t="shared" si="202"/>
        <v>49345.840000000004</v>
      </c>
      <c r="O3253" t="str">
        <f t="shared" si="203"/>
        <v>Moderate Delay</v>
      </c>
    </row>
    <row r="3254" spans="1:15" x14ac:dyDescent="0.25">
      <c r="A3254">
        <v>3253</v>
      </c>
      <c r="B3254" s="2">
        <v>45960</v>
      </c>
      <c r="C3254" t="s">
        <v>16</v>
      </c>
      <c r="D3254" t="s">
        <v>22</v>
      </c>
      <c r="E3254" t="s">
        <v>23</v>
      </c>
      <c r="F3254" t="s">
        <v>21</v>
      </c>
      <c r="G3254">
        <v>123</v>
      </c>
      <c r="H3254">
        <v>525.25</v>
      </c>
      <c r="I3254">
        <v>23</v>
      </c>
      <c r="J3254" t="s">
        <v>30</v>
      </c>
      <c r="K3254">
        <v>64605.75</v>
      </c>
      <c r="L3254" t="str">
        <f t="shared" si="200"/>
        <v>Oct</v>
      </c>
      <c r="M3254">
        <f t="shared" si="201"/>
        <v>2025</v>
      </c>
      <c r="N3254">
        <f t="shared" si="202"/>
        <v>64605.75</v>
      </c>
      <c r="O3254" t="str">
        <f t="shared" si="203"/>
        <v>Minor Delay</v>
      </c>
    </row>
    <row r="3255" spans="1:15" x14ac:dyDescent="0.25">
      <c r="A3255">
        <v>3254</v>
      </c>
      <c r="B3255" s="2">
        <v>45785</v>
      </c>
      <c r="C3255" t="s">
        <v>18</v>
      </c>
      <c r="D3255" t="s">
        <v>19</v>
      </c>
      <c r="E3255" t="s">
        <v>22</v>
      </c>
      <c r="F3255" t="s">
        <v>21</v>
      </c>
      <c r="G3255">
        <v>145</v>
      </c>
      <c r="H3255">
        <v>226.52</v>
      </c>
      <c r="I3255">
        <v>29</v>
      </c>
      <c r="J3255" t="s">
        <v>15</v>
      </c>
      <c r="K3255">
        <v>32845.4</v>
      </c>
      <c r="L3255" t="str">
        <f t="shared" si="200"/>
        <v>May</v>
      </c>
      <c r="M3255">
        <f t="shared" si="201"/>
        <v>2025</v>
      </c>
      <c r="N3255">
        <f t="shared" si="202"/>
        <v>32845.4</v>
      </c>
      <c r="O3255" t="str">
        <f t="shared" si="203"/>
        <v>Minor Delay</v>
      </c>
    </row>
    <row r="3256" spans="1:15" x14ac:dyDescent="0.25">
      <c r="A3256">
        <v>3255</v>
      </c>
      <c r="B3256" s="2">
        <v>45998</v>
      </c>
      <c r="C3256" t="s">
        <v>31</v>
      </c>
      <c r="D3256" t="s">
        <v>13</v>
      </c>
      <c r="E3256" t="s">
        <v>19</v>
      </c>
      <c r="F3256" t="s">
        <v>24</v>
      </c>
      <c r="G3256">
        <v>173</v>
      </c>
      <c r="H3256">
        <v>147.84</v>
      </c>
      <c r="I3256">
        <v>6</v>
      </c>
      <c r="J3256" t="s">
        <v>15</v>
      </c>
      <c r="K3256">
        <v>25576.32</v>
      </c>
      <c r="L3256" t="str">
        <f t="shared" si="200"/>
        <v>Dec</v>
      </c>
      <c r="M3256">
        <f t="shared" si="201"/>
        <v>2025</v>
      </c>
      <c r="N3256">
        <f t="shared" si="202"/>
        <v>25576.32</v>
      </c>
      <c r="O3256" t="str">
        <f t="shared" si="203"/>
        <v>Minor Delay</v>
      </c>
    </row>
    <row r="3257" spans="1:15" x14ac:dyDescent="0.25">
      <c r="A3257">
        <v>3256</v>
      </c>
      <c r="B3257" s="2">
        <v>45967</v>
      </c>
      <c r="C3257" t="s">
        <v>11</v>
      </c>
      <c r="D3257" t="s">
        <v>12</v>
      </c>
      <c r="E3257" t="s">
        <v>27</v>
      </c>
      <c r="F3257" t="s">
        <v>24</v>
      </c>
      <c r="G3257">
        <v>281</v>
      </c>
      <c r="H3257">
        <v>638.87</v>
      </c>
      <c r="I3257">
        <v>2</v>
      </c>
      <c r="J3257" t="s">
        <v>15</v>
      </c>
      <c r="K3257">
        <v>179522.47</v>
      </c>
      <c r="L3257" t="str">
        <f t="shared" si="200"/>
        <v>Nov</v>
      </c>
      <c r="M3257">
        <f t="shared" si="201"/>
        <v>2025</v>
      </c>
      <c r="N3257">
        <f t="shared" si="202"/>
        <v>179522.47</v>
      </c>
      <c r="O3257" t="str">
        <f t="shared" si="203"/>
        <v>Minor Delay</v>
      </c>
    </row>
    <row r="3258" spans="1:15" x14ac:dyDescent="0.25">
      <c r="A3258">
        <v>3257</v>
      </c>
      <c r="B3258" s="2">
        <v>45767</v>
      </c>
      <c r="C3258" t="s">
        <v>11</v>
      </c>
      <c r="D3258" t="s">
        <v>12</v>
      </c>
      <c r="E3258" t="s">
        <v>27</v>
      </c>
      <c r="F3258" t="s">
        <v>21</v>
      </c>
      <c r="G3258">
        <v>78</v>
      </c>
      <c r="H3258">
        <v>682.97</v>
      </c>
      <c r="I3258">
        <v>41</v>
      </c>
      <c r="J3258" t="s">
        <v>15</v>
      </c>
      <c r="K3258">
        <v>53271.66</v>
      </c>
      <c r="L3258" t="str">
        <f t="shared" si="200"/>
        <v>Apr</v>
      </c>
      <c r="M3258">
        <f t="shared" si="201"/>
        <v>2025</v>
      </c>
      <c r="N3258">
        <f t="shared" si="202"/>
        <v>53271.66</v>
      </c>
      <c r="O3258" t="str">
        <f t="shared" si="203"/>
        <v>Moderate Delay</v>
      </c>
    </row>
    <row r="3259" spans="1:15" x14ac:dyDescent="0.25">
      <c r="A3259">
        <v>3258</v>
      </c>
      <c r="B3259" s="2">
        <v>45775</v>
      </c>
      <c r="C3259" t="s">
        <v>31</v>
      </c>
      <c r="D3259" t="s">
        <v>27</v>
      </c>
      <c r="E3259" t="s">
        <v>20</v>
      </c>
      <c r="F3259" t="s">
        <v>14</v>
      </c>
      <c r="G3259">
        <v>90</v>
      </c>
      <c r="H3259">
        <v>132.47999999999999</v>
      </c>
      <c r="I3259">
        <v>46</v>
      </c>
      <c r="J3259" t="s">
        <v>15</v>
      </c>
      <c r="K3259">
        <v>11923.2</v>
      </c>
      <c r="L3259" t="str">
        <f t="shared" si="200"/>
        <v>Apr</v>
      </c>
      <c r="M3259">
        <f t="shared" si="201"/>
        <v>2025</v>
      </c>
      <c r="N3259">
        <f t="shared" si="202"/>
        <v>11923.199999999999</v>
      </c>
      <c r="O3259" t="str">
        <f t="shared" si="203"/>
        <v>Moderate Delay</v>
      </c>
    </row>
    <row r="3260" spans="1:15" x14ac:dyDescent="0.25">
      <c r="A3260">
        <v>3259</v>
      </c>
      <c r="B3260" s="2">
        <v>45822</v>
      </c>
      <c r="C3260" t="s">
        <v>18</v>
      </c>
      <c r="D3260" t="s">
        <v>17</v>
      </c>
      <c r="E3260" t="s">
        <v>12</v>
      </c>
      <c r="F3260" t="s">
        <v>14</v>
      </c>
      <c r="G3260">
        <v>223</v>
      </c>
      <c r="H3260">
        <v>400.78</v>
      </c>
      <c r="I3260">
        <v>22</v>
      </c>
      <c r="J3260" t="s">
        <v>15</v>
      </c>
      <c r="K3260">
        <v>89373.94</v>
      </c>
      <c r="L3260" t="str">
        <f t="shared" si="200"/>
        <v>Jun</v>
      </c>
      <c r="M3260">
        <f t="shared" si="201"/>
        <v>2025</v>
      </c>
      <c r="N3260">
        <f t="shared" si="202"/>
        <v>89373.939999999988</v>
      </c>
      <c r="O3260" t="str">
        <f t="shared" si="203"/>
        <v>Minor Delay</v>
      </c>
    </row>
    <row r="3261" spans="1:15" x14ac:dyDescent="0.25">
      <c r="A3261">
        <v>3260</v>
      </c>
      <c r="B3261" s="2">
        <v>45907</v>
      </c>
      <c r="C3261" t="s">
        <v>16</v>
      </c>
      <c r="D3261" t="s">
        <v>29</v>
      </c>
      <c r="E3261" t="s">
        <v>27</v>
      </c>
      <c r="F3261" t="s">
        <v>24</v>
      </c>
      <c r="G3261">
        <v>214</v>
      </c>
      <c r="H3261">
        <v>276.08999999999997</v>
      </c>
      <c r="I3261">
        <v>7</v>
      </c>
      <c r="J3261" t="s">
        <v>30</v>
      </c>
      <c r="K3261">
        <v>59083.26</v>
      </c>
      <c r="L3261" t="str">
        <f t="shared" si="200"/>
        <v>Sep</v>
      </c>
      <c r="M3261">
        <f t="shared" si="201"/>
        <v>2025</v>
      </c>
      <c r="N3261">
        <f t="shared" si="202"/>
        <v>59083.259999999995</v>
      </c>
      <c r="O3261" t="str">
        <f t="shared" si="203"/>
        <v>Minor Delay</v>
      </c>
    </row>
    <row r="3262" spans="1:15" x14ac:dyDescent="0.25">
      <c r="A3262">
        <v>3261</v>
      </c>
      <c r="B3262" s="2">
        <v>45758</v>
      </c>
      <c r="C3262" t="s">
        <v>16</v>
      </c>
      <c r="D3262" t="s">
        <v>12</v>
      </c>
      <c r="E3262" t="s">
        <v>17</v>
      </c>
      <c r="F3262" t="s">
        <v>24</v>
      </c>
      <c r="G3262">
        <v>120</v>
      </c>
      <c r="H3262">
        <v>295.17</v>
      </c>
      <c r="I3262">
        <v>94</v>
      </c>
      <c r="J3262" t="s">
        <v>15</v>
      </c>
      <c r="K3262">
        <v>35420.400000000001</v>
      </c>
      <c r="L3262" t="str">
        <f t="shared" si="200"/>
        <v>Apr</v>
      </c>
      <c r="M3262">
        <f t="shared" si="201"/>
        <v>2025</v>
      </c>
      <c r="N3262">
        <f t="shared" si="202"/>
        <v>35420.400000000001</v>
      </c>
      <c r="O3262" t="str">
        <f t="shared" si="203"/>
        <v>Major Delay</v>
      </c>
    </row>
    <row r="3263" spans="1:15" x14ac:dyDescent="0.25">
      <c r="A3263">
        <v>3262</v>
      </c>
      <c r="B3263" s="2">
        <v>45944</v>
      </c>
      <c r="C3263" t="s">
        <v>18</v>
      </c>
      <c r="D3263" t="s">
        <v>17</v>
      </c>
      <c r="E3263" t="s">
        <v>19</v>
      </c>
      <c r="F3263" t="s">
        <v>21</v>
      </c>
      <c r="G3263">
        <v>206</v>
      </c>
      <c r="H3263">
        <v>85.32</v>
      </c>
      <c r="I3263">
        <v>24</v>
      </c>
      <c r="J3263" t="s">
        <v>15</v>
      </c>
      <c r="K3263">
        <v>17575.919999999998</v>
      </c>
      <c r="L3263" t="str">
        <f t="shared" si="200"/>
        <v>Oct</v>
      </c>
      <c r="M3263">
        <f t="shared" si="201"/>
        <v>2025</v>
      </c>
      <c r="N3263">
        <f t="shared" si="202"/>
        <v>17575.919999999998</v>
      </c>
      <c r="O3263" t="str">
        <f t="shared" si="203"/>
        <v>Minor Delay</v>
      </c>
    </row>
    <row r="3264" spans="1:15" x14ac:dyDescent="0.25">
      <c r="A3264">
        <v>3263</v>
      </c>
      <c r="B3264" s="2">
        <v>45686</v>
      </c>
      <c r="C3264" t="s">
        <v>11</v>
      </c>
      <c r="D3264" t="s">
        <v>23</v>
      </c>
      <c r="E3264" t="s">
        <v>17</v>
      </c>
      <c r="F3264" t="s">
        <v>21</v>
      </c>
      <c r="G3264">
        <v>130</v>
      </c>
      <c r="H3264">
        <v>432.22</v>
      </c>
      <c r="I3264">
        <v>0</v>
      </c>
      <c r="J3264" t="s">
        <v>15</v>
      </c>
      <c r="K3264">
        <v>56188.6</v>
      </c>
      <c r="L3264" t="str">
        <f t="shared" si="200"/>
        <v>Jan</v>
      </c>
      <c r="M3264">
        <f t="shared" si="201"/>
        <v>2025</v>
      </c>
      <c r="N3264">
        <f t="shared" si="202"/>
        <v>56188.600000000006</v>
      </c>
      <c r="O3264" t="str">
        <f t="shared" si="203"/>
        <v>On Time</v>
      </c>
    </row>
    <row r="3265" spans="1:15" x14ac:dyDescent="0.25">
      <c r="A3265">
        <v>3264</v>
      </c>
      <c r="B3265" s="2">
        <v>45662</v>
      </c>
      <c r="C3265" t="s">
        <v>31</v>
      </c>
      <c r="D3265" t="s">
        <v>13</v>
      </c>
      <c r="E3265" t="s">
        <v>22</v>
      </c>
      <c r="F3265" t="s">
        <v>21</v>
      </c>
      <c r="G3265">
        <v>251</v>
      </c>
      <c r="H3265">
        <v>212.23</v>
      </c>
      <c r="I3265">
        <v>27</v>
      </c>
      <c r="J3265" t="s">
        <v>15</v>
      </c>
      <c r="K3265">
        <v>53269.73</v>
      </c>
      <c r="L3265" t="str">
        <f t="shared" si="200"/>
        <v>Jan</v>
      </c>
      <c r="M3265">
        <f t="shared" si="201"/>
        <v>2025</v>
      </c>
      <c r="N3265">
        <f t="shared" si="202"/>
        <v>53269.729999999996</v>
      </c>
      <c r="O3265" t="str">
        <f t="shared" si="203"/>
        <v>Minor Delay</v>
      </c>
    </row>
    <row r="3266" spans="1:15" x14ac:dyDescent="0.25">
      <c r="A3266">
        <v>3265</v>
      </c>
      <c r="B3266" s="2">
        <v>45810</v>
      </c>
      <c r="C3266" t="s">
        <v>25</v>
      </c>
      <c r="D3266" t="s">
        <v>20</v>
      </c>
      <c r="E3266" t="s">
        <v>22</v>
      </c>
      <c r="F3266" t="s">
        <v>14</v>
      </c>
      <c r="G3266">
        <v>187</v>
      </c>
      <c r="H3266">
        <v>586.13</v>
      </c>
      <c r="I3266">
        <v>46</v>
      </c>
      <c r="J3266" t="s">
        <v>15</v>
      </c>
      <c r="K3266">
        <v>109606.31</v>
      </c>
      <c r="L3266" t="str">
        <f t="shared" si="200"/>
        <v>Jun</v>
      </c>
      <c r="M3266">
        <f t="shared" si="201"/>
        <v>2025</v>
      </c>
      <c r="N3266">
        <f t="shared" si="202"/>
        <v>109606.31</v>
      </c>
      <c r="O3266" t="str">
        <f t="shared" si="203"/>
        <v>Moderate Delay</v>
      </c>
    </row>
    <row r="3267" spans="1:15" x14ac:dyDescent="0.25">
      <c r="A3267">
        <v>3266</v>
      </c>
      <c r="B3267" s="2">
        <v>45696</v>
      </c>
      <c r="C3267" t="s">
        <v>11</v>
      </c>
      <c r="D3267" t="s">
        <v>12</v>
      </c>
      <c r="E3267" t="s">
        <v>13</v>
      </c>
      <c r="F3267" t="s">
        <v>21</v>
      </c>
      <c r="G3267">
        <v>220</v>
      </c>
      <c r="H3267">
        <v>157.80000000000001</v>
      </c>
      <c r="I3267">
        <v>55</v>
      </c>
      <c r="J3267" t="s">
        <v>15</v>
      </c>
      <c r="K3267">
        <v>34716</v>
      </c>
      <c r="L3267" t="str">
        <f t="shared" ref="L3267:L3330" si="204">TEXT(B3267,"MMM")</f>
        <v>Feb</v>
      </c>
      <c r="M3267">
        <f t="shared" ref="M3267:M3330" si="205">YEAR(B3267)</f>
        <v>2025</v>
      </c>
      <c r="N3267">
        <f t="shared" ref="N3267:N3330" si="206">G3267*H3267</f>
        <v>34716</v>
      </c>
      <c r="O3267" t="str">
        <f t="shared" ref="O3267:O3330" si="207">IF(I3267=0,"On Time",IF(I3267&lt;=30,"Minor Delay",IF(I3267&lt;=60,"Moderate Delay","Major Delay")))</f>
        <v>Moderate Delay</v>
      </c>
    </row>
    <row r="3268" spans="1:15" x14ac:dyDescent="0.25">
      <c r="A3268">
        <v>3267</v>
      </c>
      <c r="B3268" s="2">
        <v>45709</v>
      </c>
      <c r="C3268" t="s">
        <v>11</v>
      </c>
      <c r="D3268" t="s">
        <v>13</v>
      </c>
      <c r="E3268" t="s">
        <v>17</v>
      </c>
      <c r="F3268" t="s">
        <v>14</v>
      </c>
      <c r="G3268">
        <v>121</v>
      </c>
      <c r="H3268">
        <v>337.72</v>
      </c>
      <c r="I3268">
        <v>37</v>
      </c>
      <c r="J3268" t="s">
        <v>15</v>
      </c>
      <c r="K3268">
        <v>40864.120000000003</v>
      </c>
      <c r="L3268" t="str">
        <f t="shared" si="204"/>
        <v>Feb</v>
      </c>
      <c r="M3268">
        <f t="shared" si="205"/>
        <v>2025</v>
      </c>
      <c r="N3268">
        <f t="shared" si="206"/>
        <v>40864.120000000003</v>
      </c>
      <c r="O3268" t="str">
        <f t="shared" si="207"/>
        <v>Moderate Delay</v>
      </c>
    </row>
    <row r="3269" spans="1:15" x14ac:dyDescent="0.25">
      <c r="A3269">
        <v>3268</v>
      </c>
      <c r="B3269" s="2">
        <v>45932</v>
      </c>
      <c r="C3269" t="s">
        <v>25</v>
      </c>
      <c r="D3269" t="s">
        <v>12</v>
      </c>
      <c r="E3269" t="s">
        <v>23</v>
      </c>
      <c r="F3269" t="s">
        <v>21</v>
      </c>
      <c r="G3269">
        <v>93</v>
      </c>
      <c r="H3269">
        <v>327.63</v>
      </c>
      <c r="I3269">
        <v>32</v>
      </c>
      <c r="J3269" t="s">
        <v>15</v>
      </c>
      <c r="K3269">
        <v>30469.59</v>
      </c>
      <c r="L3269" t="str">
        <f t="shared" si="204"/>
        <v>Oct</v>
      </c>
      <c r="M3269">
        <f t="shared" si="205"/>
        <v>2025</v>
      </c>
      <c r="N3269">
        <f t="shared" si="206"/>
        <v>30469.59</v>
      </c>
      <c r="O3269" t="str">
        <f t="shared" si="207"/>
        <v>Moderate Delay</v>
      </c>
    </row>
    <row r="3270" spans="1:15" x14ac:dyDescent="0.25">
      <c r="A3270">
        <v>3269</v>
      </c>
      <c r="B3270" s="2">
        <v>46008</v>
      </c>
      <c r="C3270" t="s">
        <v>25</v>
      </c>
      <c r="D3270" t="s">
        <v>13</v>
      </c>
      <c r="E3270" t="s">
        <v>23</v>
      </c>
      <c r="F3270" t="s">
        <v>14</v>
      </c>
      <c r="G3270">
        <v>275</v>
      </c>
      <c r="H3270">
        <v>616.66999999999996</v>
      </c>
      <c r="I3270">
        <v>10</v>
      </c>
      <c r="J3270" t="s">
        <v>15</v>
      </c>
      <c r="K3270">
        <v>169584.25</v>
      </c>
      <c r="L3270" t="str">
        <f t="shared" si="204"/>
        <v>Dec</v>
      </c>
      <c r="M3270">
        <f t="shared" si="205"/>
        <v>2025</v>
      </c>
      <c r="N3270">
        <f t="shared" si="206"/>
        <v>169584.25</v>
      </c>
      <c r="O3270" t="str">
        <f t="shared" si="207"/>
        <v>Minor Delay</v>
      </c>
    </row>
    <row r="3271" spans="1:15" x14ac:dyDescent="0.25">
      <c r="A3271">
        <v>3270</v>
      </c>
      <c r="B3271" s="2">
        <v>45870</v>
      </c>
      <c r="C3271" t="s">
        <v>16</v>
      </c>
      <c r="D3271" t="s">
        <v>17</v>
      </c>
      <c r="E3271" t="s">
        <v>19</v>
      </c>
      <c r="F3271" t="s">
        <v>14</v>
      </c>
      <c r="G3271">
        <v>187</v>
      </c>
      <c r="H3271">
        <v>478.35</v>
      </c>
      <c r="I3271">
        <v>28</v>
      </c>
      <c r="J3271" t="s">
        <v>15</v>
      </c>
      <c r="K3271">
        <v>89451.45</v>
      </c>
      <c r="L3271" t="str">
        <f t="shared" si="204"/>
        <v>Aug</v>
      </c>
      <c r="M3271">
        <f t="shared" si="205"/>
        <v>2025</v>
      </c>
      <c r="N3271">
        <f t="shared" si="206"/>
        <v>89451.45</v>
      </c>
      <c r="O3271" t="str">
        <f t="shared" si="207"/>
        <v>Minor Delay</v>
      </c>
    </row>
    <row r="3272" spans="1:15" x14ac:dyDescent="0.25">
      <c r="A3272">
        <v>3271</v>
      </c>
      <c r="B3272" s="2">
        <v>45783</v>
      </c>
      <c r="C3272" t="s">
        <v>25</v>
      </c>
      <c r="D3272" t="s">
        <v>12</v>
      </c>
      <c r="E3272" t="s">
        <v>27</v>
      </c>
      <c r="F3272" t="s">
        <v>24</v>
      </c>
      <c r="G3272">
        <v>203</v>
      </c>
      <c r="H3272">
        <v>69.349999999999994</v>
      </c>
      <c r="I3272">
        <v>19</v>
      </c>
      <c r="J3272" t="s">
        <v>15</v>
      </c>
      <c r="K3272">
        <v>14078.05</v>
      </c>
      <c r="L3272" t="str">
        <f t="shared" si="204"/>
        <v>May</v>
      </c>
      <c r="M3272">
        <f t="shared" si="205"/>
        <v>2025</v>
      </c>
      <c r="N3272">
        <f t="shared" si="206"/>
        <v>14078.05</v>
      </c>
      <c r="O3272" t="str">
        <f t="shared" si="207"/>
        <v>Minor Delay</v>
      </c>
    </row>
    <row r="3273" spans="1:15" x14ac:dyDescent="0.25">
      <c r="A3273">
        <v>3272</v>
      </c>
      <c r="B3273" s="2">
        <v>45904</v>
      </c>
      <c r="C3273" t="s">
        <v>11</v>
      </c>
      <c r="D3273" t="s">
        <v>20</v>
      </c>
      <c r="E3273" t="s">
        <v>17</v>
      </c>
      <c r="F3273" t="s">
        <v>14</v>
      </c>
      <c r="G3273">
        <v>60</v>
      </c>
      <c r="H3273">
        <v>77.12</v>
      </c>
      <c r="I3273">
        <v>0</v>
      </c>
      <c r="J3273" t="s">
        <v>15</v>
      </c>
      <c r="K3273">
        <v>4627.2</v>
      </c>
      <c r="L3273" t="str">
        <f t="shared" si="204"/>
        <v>Sep</v>
      </c>
      <c r="M3273">
        <f t="shared" si="205"/>
        <v>2025</v>
      </c>
      <c r="N3273">
        <f t="shared" si="206"/>
        <v>4627.2000000000007</v>
      </c>
      <c r="O3273" t="str">
        <f t="shared" si="207"/>
        <v>On Time</v>
      </c>
    </row>
    <row r="3274" spans="1:15" x14ac:dyDescent="0.25">
      <c r="A3274">
        <v>3273</v>
      </c>
      <c r="B3274" s="2">
        <v>45683</v>
      </c>
      <c r="C3274" t="s">
        <v>18</v>
      </c>
      <c r="D3274" t="s">
        <v>23</v>
      </c>
      <c r="E3274" t="s">
        <v>12</v>
      </c>
      <c r="F3274" t="s">
        <v>14</v>
      </c>
      <c r="G3274">
        <v>166</v>
      </c>
      <c r="H3274">
        <v>144.46</v>
      </c>
      <c r="I3274">
        <v>21</v>
      </c>
      <c r="J3274" t="s">
        <v>30</v>
      </c>
      <c r="K3274">
        <v>23980.36</v>
      </c>
      <c r="L3274" t="str">
        <f t="shared" si="204"/>
        <v>Jan</v>
      </c>
      <c r="M3274">
        <f t="shared" si="205"/>
        <v>2025</v>
      </c>
      <c r="N3274">
        <f t="shared" si="206"/>
        <v>23980.36</v>
      </c>
      <c r="O3274" t="str">
        <f t="shared" si="207"/>
        <v>Minor Delay</v>
      </c>
    </row>
    <row r="3275" spans="1:15" x14ac:dyDescent="0.25">
      <c r="A3275">
        <v>3274</v>
      </c>
      <c r="B3275" s="2">
        <v>45711</v>
      </c>
      <c r="C3275" t="s">
        <v>11</v>
      </c>
      <c r="D3275" t="s">
        <v>13</v>
      </c>
      <c r="E3275" t="s">
        <v>17</v>
      </c>
      <c r="F3275" t="s">
        <v>14</v>
      </c>
      <c r="G3275">
        <v>167</v>
      </c>
      <c r="H3275">
        <v>64.75</v>
      </c>
      <c r="I3275">
        <v>52</v>
      </c>
      <c r="J3275" t="s">
        <v>15</v>
      </c>
      <c r="K3275">
        <v>10813.25</v>
      </c>
      <c r="L3275" t="str">
        <f t="shared" si="204"/>
        <v>Feb</v>
      </c>
      <c r="M3275">
        <f t="shared" si="205"/>
        <v>2025</v>
      </c>
      <c r="N3275">
        <f t="shared" si="206"/>
        <v>10813.25</v>
      </c>
      <c r="O3275" t="str">
        <f t="shared" si="207"/>
        <v>Moderate Delay</v>
      </c>
    </row>
    <row r="3276" spans="1:15" x14ac:dyDescent="0.25">
      <c r="A3276">
        <v>3275</v>
      </c>
      <c r="B3276" s="2">
        <v>45976</v>
      </c>
      <c r="C3276" t="s">
        <v>26</v>
      </c>
      <c r="D3276" t="s">
        <v>12</v>
      </c>
      <c r="E3276" t="s">
        <v>29</v>
      </c>
      <c r="F3276" t="s">
        <v>21</v>
      </c>
      <c r="G3276">
        <v>127</v>
      </c>
      <c r="H3276">
        <v>327.74</v>
      </c>
      <c r="I3276">
        <v>43</v>
      </c>
      <c r="J3276" t="s">
        <v>15</v>
      </c>
      <c r="K3276">
        <v>41622.980000000003</v>
      </c>
      <c r="L3276" t="str">
        <f t="shared" si="204"/>
        <v>Nov</v>
      </c>
      <c r="M3276">
        <f t="shared" si="205"/>
        <v>2025</v>
      </c>
      <c r="N3276">
        <f t="shared" si="206"/>
        <v>41622.980000000003</v>
      </c>
      <c r="O3276" t="str">
        <f t="shared" si="207"/>
        <v>Moderate Delay</v>
      </c>
    </row>
    <row r="3277" spans="1:15" x14ac:dyDescent="0.25">
      <c r="A3277">
        <v>3276</v>
      </c>
      <c r="B3277" s="2">
        <v>45831</v>
      </c>
      <c r="C3277" t="s">
        <v>18</v>
      </c>
      <c r="D3277" t="s">
        <v>17</v>
      </c>
      <c r="E3277" t="s">
        <v>22</v>
      </c>
      <c r="F3277" t="s">
        <v>14</v>
      </c>
      <c r="G3277">
        <v>203</v>
      </c>
      <c r="H3277">
        <v>197.69</v>
      </c>
      <c r="I3277">
        <v>9</v>
      </c>
      <c r="J3277" t="s">
        <v>15</v>
      </c>
      <c r="K3277">
        <v>40131.07</v>
      </c>
      <c r="L3277" t="str">
        <f t="shared" si="204"/>
        <v>Jun</v>
      </c>
      <c r="M3277">
        <f t="shared" si="205"/>
        <v>2025</v>
      </c>
      <c r="N3277">
        <f t="shared" si="206"/>
        <v>40131.07</v>
      </c>
      <c r="O3277" t="str">
        <f t="shared" si="207"/>
        <v>Minor Delay</v>
      </c>
    </row>
    <row r="3278" spans="1:15" x14ac:dyDescent="0.25">
      <c r="A3278">
        <v>3277</v>
      </c>
      <c r="B3278" s="2">
        <v>45882</v>
      </c>
      <c r="C3278" t="s">
        <v>18</v>
      </c>
      <c r="D3278" t="s">
        <v>12</v>
      </c>
      <c r="E3278" t="s">
        <v>23</v>
      </c>
      <c r="F3278" t="s">
        <v>21</v>
      </c>
      <c r="G3278">
        <v>225</v>
      </c>
      <c r="H3278">
        <v>660.05</v>
      </c>
      <c r="I3278">
        <v>5</v>
      </c>
      <c r="J3278" t="s">
        <v>15</v>
      </c>
      <c r="K3278">
        <v>148511.25</v>
      </c>
      <c r="L3278" t="str">
        <f t="shared" si="204"/>
        <v>Aug</v>
      </c>
      <c r="M3278">
        <f t="shared" si="205"/>
        <v>2025</v>
      </c>
      <c r="N3278">
        <f t="shared" si="206"/>
        <v>148511.25</v>
      </c>
      <c r="O3278" t="str">
        <f t="shared" si="207"/>
        <v>Minor Delay</v>
      </c>
    </row>
    <row r="3279" spans="1:15" x14ac:dyDescent="0.25">
      <c r="A3279">
        <v>3278</v>
      </c>
      <c r="B3279" s="2">
        <v>45781</v>
      </c>
      <c r="C3279" t="s">
        <v>31</v>
      </c>
      <c r="D3279" t="s">
        <v>29</v>
      </c>
      <c r="E3279" t="s">
        <v>20</v>
      </c>
      <c r="F3279" t="s">
        <v>24</v>
      </c>
      <c r="G3279">
        <v>152</v>
      </c>
      <c r="H3279">
        <v>138.85</v>
      </c>
      <c r="I3279">
        <v>0</v>
      </c>
      <c r="J3279" t="s">
        <v>15</v>
      </c>
      <c r="K3279">
        <v>21105.200000000001</v>
      </c>
      <c r="L3279" t="str">
        <f t="shared" si="204"/>
        <v>May</v>
      </c>
      <c r="M3279">
        <f t="shared" si="205"/>
        <v>2025</v>
      </c>
      <c r="N3279">
        <f t="shared" si="206"/>
        <v>21105.200000000001</v>
      </c>
      <c r="O3279" t="str">
        <f t="shared" si="207"/>
        <v>On Time</v>
      </c>
    </row>
    <row r="3280" spans="1:15" x14ac:dyDescent="0.25">
      <c r="A3280">
        <v>3279</v>
      </c>
      <c r="B3280" s="2">
        <v>45936</v>
      </c>
      <c r="C3280" t="s">
        <v>11</v>
      </c>
      <c r="D3280" t="s">
        <v>17</v>
      </c>
      <c r="E3280" t="s">
        <v>27</v>
      </c>
      <c r="F3280" t="s">
        <v>14</v>
      </c>
      <c r="G3280">
        <v>145</v>
      </c>
      <c r="H3280">
        <v>328.96</v>
      </c>
      <c r="I3280">
        <v>23</v>
      </c>
      <c r="J3280" t="s">
        <v>15</v>
      </c>
      <c r="K3280">
        <v>47699.199999999997</v>
      </c>
      <c r="L3280" t="str">
        <f t="shared" si="204"/>
        <v>Oct</v>
      </c>
      <c r="M3280">
        <f t="shared" si="205"/>
        <v>2025</v>
      </c>
      <c r="N3280">
        <f t="shared" si="206"/>
        <v>47699.199999999997</v>
      </c>
      <c r="O3280" t="str">
        <f t="shared" si="207"/>
        <v>Minor Delay</v>
      </c>
    </row>
    <row r="3281" spans="1:15" x14ac:dyDescent="0.25">
      <c r="A3281">
        <v>3280</v>
      </c>
      <c r="B3281" s="2">
        <v>45804</v>
      </c>
      <c r="C3281" t="s">
        <v>16</v>
      </c>
      <c r="D3281" t="s">
        <v>27</v>
      </c>
      <c r="E3281" t="s">
        <v>20</v>
      </c>
      <c r="F3281" t="s">
        <v>14</v>
      </c>
      <c r="G3281">
        <v>236</v>
      </c>
      <c r="H3281">
        <v>163.44</v>
      </c>
      <c r="I3281">
        <v>30</v>
      </c>
      <c r="J3281" t="s">
        <v>15</v>
      </c>
      <c r="K3281">
        <v>38571.839999999997</v>
      </c>
      <c r="L3281" t="str">
        <f t="shared" si="204"/>
        <v>May</v>
      </c>
      <c r="M3281">
        <f t="shared" si="205"/>
        <v>2025</v>
      </c>
      <c r="N3281">
        <f t="shared" si="206"/>
        <v>38571.839999999997</v>
      </c>
      <c r="O3281" t="str">
        <f t="shared" si="207"/>
        <v>Minor Delay</v>
      </c>
    </row>
    <row r="3282" spans="1:15" x14ac:dyDescent="0.25">
      <c r="A3282">
        <v>3281</v>
      </c>
      <c r="B3282" s="2">
        <v>45693</v>
      </c>
      <c r="C3282" t="s">
        <v>26</v>
      </c>
      <c r="D3282" t="s">
        <v>23</v>
      </c>
      <c r="E3282" t="s">
        <v>20</v>
      </c>
      <c r="F3282" t="s">
        <v>24</v>
      </c>
      <c r="G3282">
        <v>251</v>
      </c>
      <c r="H3282">
        <v>349.33</v>
      </c>
      <c r="I3282">
        <v>0</v>
      </c>
      <c r="J3282" t="s">
        <v>15</v>
      </c>
      <c r="K3282">
        <v>87681.83</v>
      </c>
      <c r="L3282" t="str">
        <f t="shared" si="204"/>
        <v>Feb</v>
      </c>
      <c r="M3282">
        <f t="shared" si="205"/>
        <v>2025</v>
      </c>
      <c r="N3282">
        <f t="shared" si="206"/>
        <v>87681.83</v>
      </c>
      <c r="O3282" t="str">
        <f t="shared" si="207"/>
        <v>On Time</v>
      </c>
    </row>
    <row r="3283" spans="1:15" x14ac:dyDescent="0.25">
      <c r="A3283">
        <v>3282</v>
      </c>
      <c r="B3283" s="2">
        <v>45809</v>
      </c>
      <c r="C3283" t="s">
        <v>25</v>
      </c>
      <c r="D3283" t="s">
        <v>19</v>
      </c>
      <c r="E3283" t="s">
        <v>13</v>
      </c>
      <c r="F3283" t="s">
        <v>14</v>
      </c>
      <c r="G3283">
        <v>68</v>
      </c>
      <c r="H3283">
        <v>656.1</v>
      </c>
      <c r="I3283">
        <v>39</v>
      </c>
      <c r="J3283" t="s">
        <v>15</v>
      </c>
      <c r="K3283">
        <v>44614.8</v>
      </c>
      <c r="L3283" t="str">
        <f t="shared" si="204"/>
        <v>Jun</v>
      </c>
      <c r="M3283">
        <f t="shared" si="205"/>
        <v>2025</v>
      </c>
      <c r="N3283">
        <f t="shared" si="206"/>
        <v>44614.8</v>
      </c>
      <c r="O3283" t="str">
        <f t="shared" si="207"/>
        <v>Moderate Delay</v>
      </c>
    </row>
    <row r="3284" spans="1:15" x14ac:dyDescent="0.25">
      <c r="A3284">
        <v>3283</v>
      </c>
      <c r="B3284" s="2">
        <v>45747</v>
      </c>
      <c r="C3284" t="s">
        <v>25</v>
      </c>
      <c r="D3284" t="s">
        <v>12</v>
      </c>
      <c r="E3284" t="s">
        <v>22</v>
      </c>
      <c r="F3284" t="s">
        <v>21</v>
      </c>
      <c r="G3284">
        <v>76</v>
      </c>
      <c r="H3284">
        <v>337.2</v>
      </c>
      <c r="I3284">
        <v>14</v>
      </c>
      <c r="J3284" t="s">
        <v>15</v>
      </c>
      <c r="K3284">
        <v>25627.200000000001</v>
      </c>
      <c r="L3284" t="str">
        <f t="shared" si="204"/>
        <v>Mar</v>
      </c>
      <c r="M3284">
        <f t="shared" si="205"/>
        <v>2025</v>
      </c>
      <c r="N3284">
        <f t="shared" si="206"/>
        <v>25627.200000000001</v>
      </c>
      <c r="O3284" t="str">
        <f t="shared" si="207"/>
        <v>Minor Delay</v>
      </c>
    </row>
    <row r="3285" spans="1:15" x14ac:dyDescent="0.25">
      <c r="A3285">
        <v>3284</v>
      </c>
      <c r="B3285" s="2">
        <v>45764</v>
      </c>
      <c r="C3285" t="s">
        <v>18</v>
      </c>
      <c r="D3285" t="s">
        <v>27</v>
      </c>
      <c r="E3285" t="s">
        <v>17</v>
      </c>
      <c r="F3285" t="s">
        <v>24</v>
      </c>
      <c r="G3285">
        <v>172</v>
      </c>
      <c r="H3285">
        <v>80.14</v>
      </c>
      <c r="I3285">
        <v>37</v>
      </c>
      <c r="J3285" t="s">
        <v>15</v>
      </c>
      <c r="K3285">
        <v>13784.08</v>
      </c>
      <c r="L3285" t="str">
        <f t="shared" si="204"/>
        <v>Apr</v>
      </c>
      <c r="M3285">
        <f t="shared" si="205"/>
        <v>2025</v>
      </c>
      <c r="N3285">
        <f t="shared" si="206"/>
        <v>13784.08</v>
      </c>
      <c r="O3285" t="str">
        <f t="shared" si="207"/>
        <v>Moderate Delay</v>
      </c>
    </row>
    <row r="3286" spans="1:15" x14ac:dyDescent="0.25">
      <c r="A3286">
        <v>3285</v>
      </c>
      <c r="B3286" s="2">
        <v>45933</v>
      </c>
      <c r="C3286" t="s">
        <v>31</v>
      </c>
      <c r="D3286" t="s">
        <v>22</v>
      </c>
      <c r="E3286" t="s">
        <v>20</v>
      </c>
      <c r="F3286" t="s">
        <v>24</v>
      </c>
      <c r="G3286">
        <v>201</v>
      </c>
      <c r="H3286">
        <v>437.78</v>
      </c>
      <c r="I3286">
        <v>14</v>
      </c>
      <c r="J3286" t="s">
        <v>15</v>
      </c>
      <c r="K3286">
        <v>87993.78</v>
      </c>
      <c r="L3286" t="str">
        <f t="shared" si="204"/>
        <v>Oct</v>
      </c>
      <c r="M3286">
        <f t="shared" si="205"/>
        <v>2025</v>
      </c>
      <c r="N3286">
        <f t="shared" si="206"/>
        <v>87993.78</v>
      </c>
      <c r="O3286" t="str">
        <f t="shared" si="207"/>
        <v>Minor Delay</v>
      </c>
    </row>
    <row r="3287" spans="1:15" x14ac:dyDescent="0.25">
      <c r="A3287">
        <v>3286</v>
      </c>
      <c r="B3287" s="2">
        <v>45659</v>
      </c>
      <c r="C3287" t="s">
        <v>16</v>
      </c>
      <c r="D3287" t="s">
        <v>27</v>
      </c>
      <c r="E3287" t="s">
        <v>19</v>
      </c>
      <c r="F3287" t="s">
        <v>24</v>
      </c>
      <c r="G3287">
        <v>188</v>
      </c>
      <c r="H3287">
        <v>222.72</v>
      </c>
      <c r="I3287">
        <v>20</v>
      </c>
      <c r="J3287" t="s">
        <v>15</v>
      </c>
      <c r="K3287">
        <v>41871.360000000001</v>
      </c>
      <c r="L3287" t="str">
        <f t="shared" si="204"/>
        <v>Jan</v>
      </c>
      <c r="M3287">
        <f t="shared" si="205"/>
        <v>2025</v>
      </c>
      <c r="N3287">
        <f t="shared" si="206"/>
        <v>41871.360000000001</v>
      </c>
      <c r="O3287" t="str">
        <f t="shared" si="207"/>
        <v>Minor Delay</v>
      </c>
    </row>
    <row r="3288" spans="1:15" x14ac:dyDescent="0.25">
      <c r="A3288">
        <v>3287</v>
      </c>
      <c r="B3288" s="2">
        <v>45774</v>
      </c>
      <c r="C3288" t="s">
        <v>25</v>
      </c>
      <c r="D3288" t="s">
        <v>19</v>
      </c>
      <c r="E3288" t="s">
        <v>20</v>
      </c>
      <c r="F3288" t="s">
        <v>14</v>
      </c>
      <c r="G3288">
        <v>245</v>
      </c>
      <c r="H3288">
        <v>314.94</v>
      </c>
      <c r="I3288">
        <v>60</v>
      </c>
      <c r="J3288" t="s">
        <v>15</v>
      </c>
      <c r="K3288">
        <v>77160.3</v>
      </c>
      <c r="L3288" t="str">
        <f t="shared" si="204"/>
        <v>Apr</v>
      </c>
      <c r="M3288">
        <f t="shared" si="205"/>
        <v>2025</v>
      </c>
      <c r="N3288">
        <f t="shared" si="206"/>
        <v>77160.3</v>
      </c>
      <c r="O3288" t="str">
        <f t="shared" si="207"/>
        <v>Moderate Delay</v>
      </c>
    </row>
    <row r="3289" spans="1:15" x14ac:dyDescent="0.25">
      <c r="A3289">
        <v>3288</v>
      </c>
      <c r="B3289" s="2">
        <v>45905</v>
      </c>
      <c r="C3289" t="s">
        <v>16</v>
      </c>
      <c r="D3289" t="s">
        <v>12</v>
      </c>
      <c r="E3289" t="s">
        <v>19</v>
      </c>
      <c r="F3289" t="s">
        <v>24</v>
      </c>
      <c r="G3289">
        <v>134</v>
      </c>
      <c r="H3289">
        <v>502.75</v>
      </c>
      <c r="I3289">
        <v>13</v>
      </c>
      <c r="J3289" t="s">
        <v>15</v>
      </c>
      <c r="K3289">
        <v>67368.5</v>
      </c>
      <c r="L3289" t="str">
        <f t="shared" si="204"/>
        <v>Sep</v>
      </c>
      <c r="M3289">
        <f t="shared" si="205"/>
        <v>2025</v>
      </c>
      <c r="N3289">
        <f t="shared" si="206"/>
        <v>67368.5</v>
      </c>
      <c r="O3289" t="str">
        <f t="shared" si="207"/>
        <v>Minor Delay</v>
      </c>
    </row>
    <row r="3290" spans="1:15" x14ac:dyDescent="0.25">
      <c r="A3290">
        <v>3289</v>
      </c>
      <c r="B3290" s="2">
        <v>45683</v>
      </c>
      <c r="C3290" t="s">
        <v>18</v>
      </c>
      <c r="D3290" t="s">
        <v>13</v>
      </c>
      <c r="E3290" t="s">
        <v>22</v>
      </c>
      <c r="F3290" t="s">
        <v>21</v>
      </c>
      <c r="G3290">
        <v>289</v>
      </c>
      <c r="H3290">
        <v>567.34</v>
      </c>
      <c r="I3290">
        <v>10</v>
      </c>
      <c r="J3290" t="s">
        <v>15</v>
      </c>
      <c r="K3290">
        <v>163961.26</v>
      </c>
      <c r="L3290" t="str">
        <f t="shared" si="204"/>
        <v>Jan</v>
      </c>
      <c r="M3290">
        <f t="shared" si="205"/>
        <v>2025</v>
      </c>
      <c r="N3290">
        <f t="shared" si="206"/>
        <v>163961.26</v>
      </c>
      <c r="O3290" t="str">
        <f t="shared" si="207"/>
        <v>Minor Delay</v>
      </c>
    </row>
    <row r="3291" spans="1:15" x14ac:dyDescent="0.25">
      <c r="A3291">
        <v>3290</v>
      </c>
      <c r="B3291" s="2">
        <v>45801</v>
      </c>
      <c r="C3291" t="s">
        <v>18</v>
      </c>
      <c r="D3291" t="s">
        <v>29</v>
      </c>
      <c r="E3291" t="s">
        <v>19</v>
      </c>
      <c r="F3291" t="s">
        <v>14</v>
      </c>
      <c r="G3291">
        <v>182</v>
      </c>
      <c r="H3291">
        <v>202.51</v>
      </c>
      <c r="I3291">
        <v>15</v>
      </c>
      <c r="J3291" t="s">
        <v>15</v>
      </c>
      <c r="K3291">
        <v>36856.82</v>
      </c>
      <c r="L3291" t="str">
        <f t="shared" si="204"/>
        <v>May</v>
      </c>
      <c r="M3291">
        <f t="shared" si="205"/>
        <v>2025</v>
      </c>
      <c r="N3291">
        <f t="shared" si="206"/>
        <v>36856.82</v>
      </c>
      <c r="O3291" t="str">
        <f t="shared" si="207"/>
        <v>Minor Delay</v>
      </c>
    </row>
    <row r="3292" spans="1:15" x14ac:dyDescent="0.25">
      <c r="A3292">
        <v>3291</v>
      </c>
      <c r="B3292" s="2">
        <v>46014</v>
      </c>
      <c r="C3292" t="s">
        <v>31</v>
      </c>
      <c r="D3292" t="s">
        <v>12</v>
      </c>
      <c r="E3292" t="s">
        <v>27</v>
      </c>
      <c r="F3292" t="s">
        <v>24</v>
      </c>
      <c r="G3292">
        <v>216</v>
      </c>
      <c r="H3292">
        <v>99.54</v>
      </c>
      <c r="I3292">
        <v>30</v>
      </c>
      <c r="J3292" t="s">
        <v>15</v>
      </c>
      <c r="K3292">
        <v>21500.639999999999</v>
      </c>
      <c r="L3292" t="str">
        <f t="shared" si="204"/>
        <v>Dec</v>
      </c>
      <c r="M3292">
        <f t="shared" si="205"/>
        <v>2025</v>
      </c>
      <c r="N3292">
        <f t="shared" si="206"/>
        <v>21500.640000000003</v>
      </c>
      <c r="O3292" t="str">
        <f t="shared" si="207"/>
        <v>Minor Delay</v>
      </c>
    </row>
    <row r="3293" spans="1:15" x14ac:dyDescent="0.25">
      <c r="A3293">
        <v>3292</v>
      </c>
      <c r="B3293" s="2">
        <v>45953</v>
      </c>
      <c r="C3293" t="s">
        <v>18</v>
      </c>
      <c r="D3293" t="s">
        <v>27</v>
      </c>
      <c r="E3293" t="s">
        <v>23</v>
      </c>
      <c r="F3293" t="s">
        <v>24</v>
      </c>
      <c r="G3293">
        <v>198</v>
      </c>
      <c r="H3293">
        <v>514.58000000000004</v>
      </c>
      <c r="I3293">
        <v>0</v>
      </c>
      <c r="J3293" t="s">
        <v>15</v>
      </c>
      <c r="K3293">
        <v>101886.84</v>
      </c>
      <c r="L3293" t="str">
        <f t="shared" si="204"/>
        <v>Oct</v>
      </c>
      <c r="M3293">
        <f t="shared" si="205"/>
        <v>2025</v>
      </c>
      <c r="N3293">
        <f t="shared" si="206"/>
        <v>101886.84000000001</v>
      </c>
      <c r="O3293" t="str">
        <f t="shared" si="207"/>
        <v>On Time</v>
      </c>
    </row>
    <row r="3294" spans="1:15" x14ac:dyDescent="0.25">
      <c r="A3294">
        <v>3293</v>
      </c>
      <c r="B3294" s="2">
        <v>45740</v>
      </c>
      <c r="C3294" t="s">
        <v>11</v>
      </c>
      <c r="D3294" t="s">
        <v>13</v>
      </c>
      <c r="E3294" t="s">
        <v>17</v>
      </c>
      <c r="F3294" t="s">
        <v>14</v>
      </c>
      <c r="G3294">
        <v>175</v>
      </c>
      <c r="H3294">
        <v>151.94</v>
      </c>
      <c r="I3294">
        <v>11</v>
      </c>
      <c r="J3294" t="s">
        <v>15</v>
      </c>
      <c r="K3294">
        <v>26589.5</v>
      </c>
      <c r="L3294" t="str">
        <f t="shared" si="204"/>
        <v>Mar</v>
      </c>
      <c r="M3294">
        <f t="shared" si="205"/>
        <v>2025</v>
      </c>
      <c r="N3294">
        <f t="shared" si="206"/>
        <v>26589.5</v>
      </c>
      <c r="O3294" t="str">
        <f t="shared" si="207"/>
        <v>Minor Delay</v>
      </c>
    </row>
    <row r="3295" spans="1:15" x14ac:dyDescent="0.25">
      <c r="A3295">
        <v>3294</v>
      </c>
      <c r="B3295" s="2">
        <v>45922</v>
      </c>
      <c r="C3295" t="s">
        <v>25</v>
      </c>
      <c r="D3295" t="s">
        <v>17</v>
      </c>
      <c r="E3295" t="s">
        <v>22</v>
      </c>
      <c r="F3295" t="s">
        <v>14</v>
      </c>
      <c r="G3295">
        <v>191</v>
      </c>
      <c r="H3295">
        <v>518.66</v>
      </c>
      <c r="I3295">
        <v>68</v>
      </c>
      <c r="J3295" t="s">
        <v>15</v>
      </c>
      <c r="K3295">
        <v>99064.06</v>
      </c>
      <c r="L3295" t="str">
        <f t="shared" si="204"/>
        <v>Sep</v>
      </c>
      <c r="M3295">
        <f t="shared" si="205"/>
        <v>2025</v>
      </c>
      <c r="N3295">
        <f t="shared" si="206"/>
        <v>99064.06</v>
      </c>
      <c r="O3295" t="str">
        <f t="shared" si="207"/>
        <v>Major Delay</v>
      </c>
    </row>
    <row r="3296" spans="1:15" x14ac:dyDescent="0.25">
      <c r="A3296">
        <v>3295</v>
      </c>
      <c r="B3296" s="2">
        <v>45697</v>
      </c>
      <c r="C3296" t="s">
        <v>18</v>
      </c>
      <c r="D3296" t="s">
        <v>13</v>
      </c>
      <c r="E3296" t="s">
        <v>20</v>
      </c>
      <c r="F3296" t="s">
        <v>14</v>
      </c>
      <c r="G3296">
        <v>211</v>
      </c>
      <c r="H3296">
        <v>652.58000000000004</v>
      </c>
      <c r="I3296">
        <v>50</v>
      </c>
      <c r="J3296" t="s">
        <v>15</v>
      </c>
      <c r="K3296">
        <v>137694.38</v>
      </c>
      <c r="L3296" t="str">
        <f t="shared" si="204"/>
        <v>Feb</v>
      </c>
      <c r="M3296">
        <f t="shared" si="205"/>
        <v>2025</v>
      </c>
      <c r="N3296">
        <f t="shared" si="206"/>
        <v>137694.38</v>
      </c>
      <c r="O3296" t="str">
        <f t="shared" si="207"/>
        <v>Moderate Delay</v>
      </c>
    </row>
    <row r="3297" spans="1:15" x14ac:dyDescent="0.25">
      <c r="A3297">
        <v>3296</v>
      </c>
      <c r="B3297" s="2">
        <v>45866</v>
      </c>
      <c r="C3297" t="s">
        <v>11</v>
      </c>
      <c r="D3297" t="s">
        <v>19</v>
      </c>
      <c r="E3297" t="s">
        <v>12</v>
      </c>
      <c r="F3297" t="s">
        <v>14</v>
      </c>
      <c r="G3297">
        <v>93</v>
      </c>
      <c r="H3297">
        <v>501.32</v>
      </c>
      <c r="I3297">
        <v>0</v>
      </c>
      <c r="J3297" t="s">
        <v>28</v>
      </c>
      <c r="K3297">
        <v>46622.76</v>
      </c>
      <c r="L3297" t="str">
        <f t="shared" si="204"/>
        <v>Jul</v>
      </c>
      <c r="M3297">
        <f t="shared" si="205"/>
        <v>2025</v>
      </c>
      <c r="N3297">
        <f t="shared" si="206"/>
        <v>46622.76</v>
      </c>
      <c r="O3297" t="str">
        <f t="shared" si="207"/>
        <v>On Time</v>
      </c>
    </row>
    <row r="3298" spans="1:15" x14ac:dyDescent="0.25">
      <c r="A3298">
        <v>3297</v>
      </c>
      <c r="B3298" s="2">
        <v>45887</v>
      </c>
      <c r="C3298" t="s">
        <v>11</v>
      </c>
      <c r="D3298" t="s">
        <v>22</v>
      </c>
      <c r="E3298" t="s">
        <v>17</v>
      </c>
      <c r="F3298" t="s">
        <v>21</v>
      </c>
      <c r="G3298">
        <v>271</v>
      </c>
      <c r="H3298">
        <v>617.44000000000005</v>
      </c>
      <c r="I3298">
        <v>46</v>
      </c>
      <c r="J3298" t="s">
        <v>15</v>
      </c>
      <c r="K3298">
        <v>167326.24</v>
      </c>
      <c r="L3298" t="str">
        <f t="shared" si="204"/>
        <v>Aug</v>
      </c>
      <c r="M3298">
        <f t="shared" si="205"/>
        <v>2025</v>
      </c>
      <c r="N3298">
        <f t="shared" si="206"/>
        <v>167326.24000000002</v>
      </c>
      <c r="O3298" t="str">
        <f t="shared" si="207"/>
        <v>Moderate Delay</v>
      </c>
    </row>
    <row r="3299" spans="1:15" x14ac:dyDescent="0.25">
      <c r="A3299">
        <v>3298</v>
      </c>
      <c r="B3299" s="2">
        <v>45945</v>
      </c>
      <c r="C3299" t="s">
        <v>31</v>
      </c>
      <c r="D3299" t="s">
        <v>19</v>
      </c>
      <c r="E3299" t="s">
        <v>27</v>
      </c>
      <c r="F3299" t="s">
        <v>14</v>
      </c>
      <c r="G3299">
        <v>72</v>
      </c>
      <c r="H3299">
        <v>484.73</v>
      </c>
      <c r="I3299">
        <v>40</v>
      </c>
      <c r="J3299" t="s">
        <v>30</v>
      </c>
      <c r="K3299">
        <v>34900.559999999998</v>
      </c>
      <c r="L3299" t="str">
        <f t="shared" si="204"/>
        <v>Oct</v>
      </c>
      <c r="M3299">
        <f t="shared" si="205"/>
        <v>2025</v>
      </c>
      <c r="N3299">
        <f t="shared" si="206"/>
        <v>34900.559999999998</v>
      </c>
      <c r="O3299" t="str">
        <f t="shared" si="207"/>
        <v>Moderate Delay</v>
      </c>
    </row>
    <row r="3300" spans="1:15" x14ac:dyDescent="0.25">
      <c r="A3300">
        <v>3299</v>
      </c>
      <c r="B3300" s="2">
        <v>45858</v>
      </c>
      <c r="C3300" t="s">
        <v>31</v>
      </c>
      <c r="D3300" t="s">
        <v>27</v>
      </c>
      <c r="E3300" t="s">
        <v>13</v>
      </c>
      <c r="F3300" t="s">
        <v>14</v>
      </c>
      <c r="G3300">
        <v>228</v>
      </c>
      <c r="H3300">
        <v>95.05</v>
      </c>
      <c r="I3300">
        <v>23</v>
      </c>
      <c r="J3300" t="s">
        <v>15</v>
      </c>
      <c r="K3300">
        <v>21671.4</v>
      </c>
      <c r="L3300" t="str">
        <f t="shared" si="204"/>
        <v>Jul</v>
      </c>
      <c r="M3300">
        <f t="shared" si="205"/>
        <v>2025</v>
      </c>
      <c r="N3300">
        <f t="shared" si="206"/>
        <v>21671.399999999998</v>
      </c>
      <c r="O3300" t="str">
        <f t="shared" si="207"/>
        <v>Minor Delay</v>
      </c>
    </row>
    <row r="3301" spans="1:15" x14ac:dyDescent="0.25">
      <c r="A3301">
        <v>3300</v>
      </c>
      <c r="B3301" s="2">
        <v>45910</v>
      </c>
      <c r="C3301" t="s">
        <v>26</v>
      </c>
      <c r="D3301" t="s">
        <v>12</v>
      </c>
      <c r="E3301" t="s">
        <v>20</v>
      </c>
      <c r="F3301" t="s">
        <v>14</v>
      </c>
      <c r="G3301">
        <v>253</v>
      </c>
      <c r="H3301">
        <v>565.62</v>
      </c>
      <c r="I3301">
        <v>0</v>
      </c>
      <c r="J3301" t="s">
        <v>15</v>
      </c>
      <c r="K3301">
        <v>143101.85999999999</v>
      </c>
      <c r="L3301" t="str">
        <f t="shared" si="204"/>
        <v>Sep</v>
      </c>
      <c r="M3301">
        <f t="shared" si="205"/>
        <v>2025</v>
      </c>
      <c r="N3301">
        <f t="shared" si="206"/>
        <v>143101.86000000002</v>
      </c>
      <c r="O3301" t="str">
        <f t="shared" si="207"/>
        <v>On Time</v>
      </c>
    </row>
    <row r="3302" spans="1:15" x14ac:dyDescent="0.25">
      <c r="A3302">
        <v>3301</v>
      </c>
      <c r="B3302" s="2">
        <v>46011</v>
      </c>
      <c r="C3302" t="s">
        <v>11</v>
      </c>
      <c r="D3302" t="s">
        <v>17</v>
      </c>
      <c r="E3302" t="s">
        <v>19</v>
      </c>
      <c r="F3302" t="s">
        <v>24</v>
      </c>
      <c r="G3302">
        <v>285</v>
      </c>
      <c r="H3302">
        <v>149.19999999999999</v>
      </c>
      <c r="I3302">
        <v>25</v>
      </c>
      <c r="J3302" t="s">
        <v>15</v>
      </c>
      <c r="K3302">
        <v>42522</v>
      </c>
      <c r="L3302" t="str">
        <f t="shared" si="204"/>
        <v>Dec</v>
      </c>
      <c r="M3302">
        <f t="shared" si="205"/>
        <v>2025</v>
      </c>
      <c r="N3302">
        <f t="shared" si="206"/>
        <v>42522</v>
      </c>
      <c r="O3302" t="str">
        <f t="shared" si="207"/>
        <v>Minor Delay</v>
      </c>
    </row>
    <row r="3303" spans="1:15" x14ac:dyDescent="0.25">
      <c r="A3303">
        <v>3302</v>
      </c>
      <c r="B3303" s="2">
        <v>45795</v>
      </c>
      <c r="C3303" t="s">
        <v>31</v>
      </c>
      <c r="D3303" t="s">
        <v>27</v>
      </c>
      <c r="E3303" t="s">
        <v>22</v>
      </c>
      <c r="F3303" t="s">
        <v>14</v>
      </c>
      <c r="G3303">
        <v>243</v>
      </c>
      <c r="H3303">
        <v>687.43</v>
      </c>
      <c r="I3303">
        <v>11</v>
      </c>
      <c r="J3303" t="s">
        <v>15</v>
      </c>
      <c r="K3303">
        <v>167045.49</v>
      </c>
      <c r="L3303" t="str">
        <f t="shared" si="204"/>
        <v>May</v>
      </c>
      <c r="M3303">
        <f t="shared" si="205"/>
        <v>2025</v>
      </c>
      <c r="N3303">
        <f t="shared" si="206"/>
        <v>167045.49</v>
      </c>
      <c r="O3303" t="str">
        <f t="shared" si="207"/>
        <v>Minor Delay</v>
      </c>
    </row>
    <row r="3304" spans="1:15" x14ac:dyDescent="0.25">
      <c r="A3304">
        <v>3303</v>
      </c>
      <c r="B3304" s="2">
        <v>45901</v>
      </c>
      <c r="C3304" t="s">
        <v>25</v>
      </c>
      <c r="D3304" t="s">
        <v>13</v>
      </c>
      <c r="E3304" t="s">
        <v>23</v>
      </c>
      <c r="F3304" t="s">
        <v>14</v>
      </c>
      <c r="G3304">
        <v>203</v>
      </c>
      <c r="H3304">
        <v>324.37</v>
      </c>
      <c r="I3304">
        <v>11</v>
      </c>
      <c r="J3304" t="s">
        <v>15</v>
      </c>
      <c r="K3304">
        <v>65847.11</v>
      </c>
      <c r="L3304" t="str">
        <f t="shared" si="204"/>
        <v>Sep</v>
      </c>
      <c r="M3304">
        <f t="shared" si="205"/>
        <v>2025</v>
      </c>
      <c r="N3304">
        <f t="shared" si="206"/>
        <v>65847.11</v>
      </c>
      <c r="O3304" t="str">
        <f t="shared" si="207"/>
        <v>Minor Delay</v>
      </c>
    </row>
    <row r="3305" spans="1:15" x14ac:dyDescent="0.25">
      <c r="A3305">
        <v>3304</v>
      </c>
      <c r="B3305" s="2">
        <v>46013</v>
      </c>
      <c r="C3305" t="s">
        <v>18</v>
      </c>
      <c r="D3305" t="s">
        <v>19</v>
      </c>
      <c r="E3305" t="s">
        <v>17</v>
      </c>
      <c r="F3305" t="s">
        <v>14</v>
      </c>
      <c r="G3305">
        <v>224</v>
      </c>
      <c r="H3305">
        <v>502.3</v>
      </c>
      <c r="I3305">
        <v>48</v>
      </c>
      <c r="J3305" t="s">
        <v>15</v>
      </c>
      <c r="K3305">
        <v>112515.2</v>
      </c>
      <c r="L3305" t="str">
        <f t="shared" si="204"/>
        <v>Dec</v>
      </c>
      <c r="M3305">
        <f t="shared" si="205"/>
        <v>2025</v>
      </c>
      <c r="N3305">
        <f t="shared" si="206"/>
        <v>112515.2</v>
      </c>
      <c r="O3305" t="str">
        <f t="shared" si="207"/>
        <v>Moderate Delay</v>
      </c>
    </row>
    <row r="3306" spans="1:15" x14ac:dyDescent="0.25">
      <c r="A3306">
        <v>3305</v>
      </c>
      <c r="B3306" s="2">
        <v>45904</v>
      </c>
      <c r="C3306" t="s">
        <v>26</v>
      </c>
      <c r="D3306" t="s">
        <v>12</v>
      </c>
      <c r="E3306" t="s">
        <v>19</v>
      </c>
      <c r="F3306" t="s">
        <v>21</v>
      </c>
      <c r="G3306">
        <v>105</v>
      </c>
      <c r="H3306">
        <v>506.78</v>
      </c>
      <c r="I3306">
        <v>51</v>
      </c>
      <c r="J3306" t="s">
        <v>15</v>
      </c>
      <c r="K3306">
        <v>53211.9</v>
      </c>
      <c r="L3306" t="str">
        <f t="shared" si="204"/>
        <v>Sep</v>
      </c>
      <c r="M3306">
        <f t="shared" si="205"/>
        <v>2025</v>
      </c>
      <c r="N3306">
        <f t="shared" si="206"/>
        <v>53211.899999999994</v>
      </c>
      <c r="O3306" t="str">
        <f t="shared" si="207"/>
        <v>Moderate Delay</v>
      </c>
    </row>
    <row r="3307" spans="1:15" x14ac:dyDescent="0.25">
      <c r="A3307">
        <v>3306</v>
      </c>
      <c r="B3307" s="2">
        <v>45882</v>
      </c>
      <c r="C3307" t="s">
        <v>26</v>
      </c>
      <c r="D3307" t="s">
        <v>22</v>
      </c>
      <c r="E3307" t="s">
        <v>12</v>
      </c>
      <c r="F3307" t="s">
        <v>14</v>
      </c>
      <c r="G3307">
        <v>263</v>
      </c>
      <c r="H3307">
        <v>504.15</v>
      </c>
      <c r="I3307">
        <v>65</v>
      </c>
      <c r="J3307" t="s">
        <v>15</v>
      </c>
      <c r="K3307">
        <v>132591.45000000001</v>
      </c>
      <c r="L3307" t="str">
        <f t="shared" si="204"/>
        <v>Aug</v>
      </c>
      <c r="M3307">
        <f t="shared" si="205"/>
        <v>2025</v>
      </c>
      <c r="N3307">
        <f t="shared" si="206"/>
        <v>132591.44999999998</v>
      </c>
      <c r="O3307" t="str">
        <f t="shared" si="207"/>
        <v>Major Delay</v>
      </c>
    </row>
    <row r="3308" spans="1:15" x14ac:dyDescent="0.25">
      <c r="A3308">
        <v>3307</v>
      </c>
      <c r="B3308" s="2">
        <v>45980</v>
      </c>
      <c r="C3308" t="s">
        <v>25</v>
      </c>
      <c r="D3308" t="s">
        <v>22</v>
      </c>
      <c r="E3308" t="s">
        <v>12</v>
      </c>
      <c r="F3308" t="s">
        <v>24</v>
      </c>
      <c r="G3308">
        <v>263</v>
      </c>
      <c r="H3308">
        <v>425.21</v>
      </c>
      <c r="I3308">
        <v>6</v>
      </c>
      <c r="J3308" t="s">
        <v>30</v>
      </c>
      <c r="K3308">
        <v>111830.23</v>
      </c>
      <c r="L3308" t="str">
        <f t="shared" si="204"/>
        <v>Nov</v>
      </c>
      <c r="M3308">
        <f t="shared" si="205"/>
        <v>2025</v>
      </c>
      <c r="N3308">
        <f t="shared" si="206"/>
        <v>111830.23</v>
      </c>
      <c r="O3308" t="str">
        <f t="shared" si="207"/>
        <v>Minor Delay</v>
      </c>
    </row>
    <row r="3309" spans="1:15" x14ac:dyDescent="0.25">
      <c r="A3309">
        <v>3308</v>
      </c>
      <c r="B3309" s="2">
        <v>45865</v>
      </c>
      <c r="C3309" t="s">
        <v>16</v>
      </c>
      <c r="D3309" t="s">
        <v>29</v>
      </c>
      <c r="E3309" t="s">
        <v>23</v>
      </c>
      <c r="F3309" t="s">
        <v>14</v>
      </c>
      <c r="G3309">
        <v>228</v>
      </c>
      <c r="H3309">
        <v>461.08</v>
      </c>
      <c r="I3309">
        <v>27</v>
      </c>
      <c r="J3309" t="s">
        <v>15</v>
      </c>
      <c r="K3309">
        <v>105126.24</v>
      </c>
      <c r="L3309" t="str">
        <f t="shared" si="204"/>
        <v>Jul</v>
      </c>
      <c r="M3309">
        <f t="shared" si="205"/>
        <v>2025</v>
      </c>
      <c r="N3309">
        <f t="shared" si="206"/>
        <v>105126.23999999999</v>
      </c>
      <c r="O3309" t="str">
        <f t="shared" si="207"/>
        <v>Minor Delay</v>
      </c>
    </row>
    <row r="3310" spans="1:15" x14ac:dyDescent="0.25">
      <c r="A3310">
        <v>3309</v>
      </c>
      <c r="B3310" s="2">
        <v>45790</v>
      </c>
      <c r="C3310" t="s">
        <v>16</v>
      </c>
      <c r="D3310" t="s">
        <v>23</v>
      </c>
      <c r="E3310" t="s">
        <v>17</v>
      </c>
      <c r="F3310" t="s">
        <v>14</v>
      </c>
      <c r="G3310">
        <v>235</v>
      </c>
      <c r="H3310">
        <v>631.69000000000005</v>
      </c>
      <c r="I3310">
        <v>19</v>
      </c>
      <c r="J3310" t="s">
        <v>15</v>
      </c>
      <c r="K3310">
        <v>148447.15</v>
      </c>
      <c r="L3310" t="str">
        <f t="shared" si="204"/>
        <v>May</v>
      </c>
      <c r="M3310">
        <f t="shared" si="205"/>
        <v>2025</v>
      </c>
      <c r="N3310">
        <f t="shared" si="206"/>
        <v>148447.15000000002</v>
      </c>
      <c r="O3310" t="str">
        <f t="shared" si="207"/>
        <v>Minor Delay</v>
      </c>
    </row>
    <row r="3311" spans="1:15" x14ac:dyDescent="0.25">
      <c r="A3311">
        <v>3310</v>
      </c>
      <c r="B3311" s="2">
        <v>45966</v>
      </c>
      <c r="C3311" t="s">
        <v>11</v>
      </c>
      <c r="D3311" t="s">
        <v>19</v>
      </c>
      <c r="E3311" t="s">
        <v>13</v>
      </c>
      <c r="F3311" t="s">
        <v>14</v>
      </c>
      <c r="G3311">
        <v>279</v>
      </c>
      <c r="H3311">
        <v>631.14</v>
      </c>
      <c r="I3311">
        <v>38</v>
      </c>
      <c r="J3311" t="s">
        <v>15</v>
      </c>
      <c r="K3311">
        <v>176088.06</v>
      </c>
      <c r="L3311" t="str">
        <f t="shared" si="204"/>
        <v>Nov</v>
      </c>
      <c r="M3311">
        <f t="shared" si="205"/>
        <v>2025</v>
      </c>
      <c r="N3311">
        <f t="shared" si="206"/>
        <v>176088.06</v>
      </c>
      <c r="O3311" t="str">
        <f t="shared" si="207"/>
        <v>Moderate Delay</v>
      </c>
    </row>
    <row r="3312" spans="1:15" x14ac:dyDescent="0.25">
      <c r="A3312">
        <v>3311</v>
      </c>
      <c r="B3312" s="2">
        <v>45976</v>
      </c>
      <c r="C3312" t="s">
        <v>16</v>
      </c>
      <c r="D3312" t="s">
        <v>17</v>
      </c>
      <c r="E3312" t="s">
        <v>22</v>
      </c>
      <c r="F3312" t="s">
        <v>21</v>
      </c>
      <c r="G3312">
        <v>200</v>
      </c>
      <c r="H3312">
        <v>377.2</v>
      </c>
      <c r="I3312">
        <v>7</v>
      </c>
      <c r="J3312" t="s">
        <v>15</v>
      </c>
      <c r="K3312">
        <v>75440</v>
      </c>
      <c r="L3312" t="str">
        <f t="shared" si="204"/>
        <v>Nov</v>
      </c>
      <c r="M3312">
        <f t="shared" si="205"/>
        <v>2025</v>
      </c>
      <c r="N3312">
        <f t="shared" si="206"/>
        <v>75440</v>
      </c>
      <c r="O3312" t="str">
        <f t="shared" si="207"/>
        <v>Minor Delay</v>
      </c>
    </row>
    <row r="3313" spans="1:15" x14ac:dyDescent="0.25">
      <c r="A3313">
        <v>3312</v>
      </c>
      <c r="B3313" s="2">
        <v>45727</v>
      </c>
      <c r="C3313" t="s">
        <v>25</v>
      </c>
      <c r="D3313" t="s">
        <v>27</v>
      </c>
      <c r="E3313" t="s">
        <v>20</v>
      </c>
      <c r="F3313" t="s">
        <v>24</v>
      </c>
      <c r="G3313">
        <v>284</v>
      </c>
      <c r="H3313">
        <v>599.74</v>
      </c>
      <c r="I3313">
        <v>0</v>
      </c>
      <c r="J3313" t="s">
        <v>15</v>
      </c>
      <c r="K3313">
        <v>170326.16</v>
      </c>
      <c r="L3313" t="str">
        <f t="shared" si="204"/>
        <v>Mar</v>
      </c>
      <c r="M3313">
        <f t="shared" si="205"/>
        <v>2025</v>
      </c>
      <c r="N3313">
        <f t="shared" si="206"/>
        <v>170326.16</v>
      </c>
      <c r="O3313" t="str">
        <f t="shared" si="207"/>
        <v>On Time</v>
      </c>
    </row>
    <row r="3314" spans="1:15" x14ac:dyDescent="0.25">
      <c r="A3314">
        <v>3313</v>
      </c>
      <c r="B3314" s="2">
        <v>45893</v>
      </c>
      <c r="C3314" t="s">
        <v>18</v>
      </c>
      <c r="D3314" t="s">
        <v>29</v>
      </c>
      <c r="E3314" t="s">
        <v>12</v>
      </c>
      <c r="F3314" t="s">
        <v>21</v>
      </c>
      <c r="G3314">
        <v>248</v>
      </c>
      <c r="H3314">
        <v>720.11</v>
      </c>
      <c r="I3314">
        <v>0</v>
      </c>
      <c r="J3314" t="s">
        <v>30</v>
      </c>
      <c r="K3314">
        <v>178587.28</v>
      </c>
      <c r="L3314" t="str">
        <f t="shared" si="204"/>
        <v>Aug</v>
      </c>
      <c r="M3314">
        <f t="shared" si="205"/>
        <v>2025</v>
      </c>
      <c r="N3314">
        <f t="shared" si="206"/>
        <v>178587.28</v>
      </c>
      <c r="O3314" t="str">
        <f t="shared" si="207"/>
        <v>On Time</v>
      </c>
    </row>
    <row r="3315" spans="1:15" x14ac:dyDescent="0.25">
      <c r="A3315">
        <v>3314</v>
      </c>
      <c r="B3315" s="2">
        <v>45918</v>
      </c>
      <c r="C3315" t="s">
        <v>16</v>
      </c>
      <c r="D3315" t="s">
        <v>17</v>
      </c>
      <c r="E3315" t="s">
        <v>20</v>
      </c>
      <c r="F3315" t="s">
        <v>14</v>
      </c>
      <c r="G3315">
        <v>274</v>
      </c>
      <c r="H3315">
        <v>212.58</v>
      </c>
      <c r="I3315">
        <v>73</v>
      </c>
      <c r="J3315" t="s">
        <v>30</v>
      </c>
      <c r="K3315">
        <v>58246.92</v>
      </c>
      <c r="L3315" t="str">
        <f t="shared" si="204"/>
        <v>Sep</v>
      </c>
      <c r="M3315">
        <f t="shared" si="205"/>
        <v>2025</v>
      </c>
      <c r="N3315">
        <f t="shared" si="206"/>
        <v>58246.920000000006</v>
      </c>
      <c r="O3315" t="str">
        <f t="shared" si="207"/>
        <v>Major Delay</v>
      </c>
    </row>
    <row r="3316" spans="1:15" x14ac:dyDescent="0.25">
      <c r="A3316">
        <v>3315</v>
      </c>
      <c r="B3316" s="2">
        <v>45877</v>
      </c>
      <c r="C3316" t="s">
        <v>18</v>
      </c>
      <c r="D3316" t="s">
        <v>20</v>
      </c>
      <c r="E3316" t="s">
        <v>19</v>
      </c>
      <c r="F3316" t="s">
        <v>14</v>
      </c>
      <c r="G3316">
        <v>172</v>
      </c>
      <c r="H3316">
        <v>572.38</v>
      </c>
      <c r="I3316">
        <v>46</v>
      </c>
      <c r="J3316" t="s">
        <v>15</v>
      </c>
      <c r="K3316">
        <v>98449.36</v>
      </c>
      <c r="L3316" t="str">
        <f t="shared" si="204"/>
        <v>Aug</v>
      </c>
      <c r="M3316">
        <f t="shared" si="205"/>
        <v>2025</v>
      </c>
      <c r="N3316">
        <f t="shared" si="206"/>
        <v>98449.36</v>
      </c>
      <c r="O3316" t="str">
        <f t="shared" si="207"/>
        <v>Moderate Delay</v>
      </c>
    </row>
    <row r="3317" spans="1:15" x14ac:dyDescent="0.25">
      <c r="A3317">
        <v>3316</v>
      </c>
      <c r="B3317" s="2">
        <v>45814</v>
      </c>
      <c r="C3317" t="s">
        <v>11</v>
      </c>
      <c r="D3317" t="s">
        <v>13</v>
      </c>
      <c r="E3317" t="s">
        <v>19</v>
      </c>
      <c r="F3317" t="s">
        <v>21</v>
      </c>
      <c r="G3317">
        <v>93</v>
      </c>
      <c r="H3317">
        <v>538.29</v>
      </c>
      <c r="I3317">
        <v>45</v>
      </c>
      <c r="J3317" t="s">
        <v>15</v>
      </c>
      <c r="K3317">
        <v>50060.97</v>
      </c>
      <c r="L3317" t="str">
        <f t="shared" si="204"/>
        <v>Jun</v>
      </c>
      <c r="M3317">
        <f t="shared" si="205"/>
        <v>2025</v>
      </c>
      <c r="N3317">
        <f t="shared" si="206"/>
        <v>50060.969999999994</v>
      </c>
      <c r="O3317" t="str">
        <f t="shared" si="207"/>
        <v>Moderate Delay</v>
      </c>
    </row>
    <row r="3318" spans="1:15" x14ac:dyDescent="0.25">
      <c r="A3318">
        <v>3317</v>
      </c>
      <c r="B3318" s="2">
        <v>46010</v>
      </c>
      <c r="C3318" t="s">
        <v>31</v>
      </c>
      <c r="D3318" t="s">
        <v>23</v>
      </c>
      <c r="E3318" t="s">
        <v>12</v>
      </c>
      <c r="F3318" t="s">
        <v>21</v>
      </c>
      <c r="G3318">
        <v>275</v>
      </c>
      <c r="H3318">
        <v>646.02</v>
      </c>
      <c r="I3318">
        <v>11</v>
      </c>
      <c r="J3318" t="s">
        <v>15</v>
      </c>
      <c r="K3318">
        <v>177655.5</v>
      </c>
      <c r="L3318" t="str">
        <f t="shared" si="204"/>
        <v>Dec</v>
      </c>
      <c r="M3318">
        <f t="shared" si="205"/>
        <v>2025</v>
      </c>
      <c r="N3318">
        <f t="shared" si="206"/>
        <v>177655.5</v>
      </c>
      <c r="O3318" t="str">
        <f t="shared" si="207"/>
        <v>Minor Delay</v>
      </c>
    </row>
    <row r="3319" spans="1:15" x14ac:dyDescent="0.25">
      <c r="A3319">
        <v>3318</v>
      </c>
      <c r="B3319" s="2">
        <v>45778</v>
      </c>
      <c r="C3319" t="s">
        <v>18</v>
      </c>
      <c r="D3319" t="s">
        <v>19</v>
      </c>
      <c r="E3319" t="s">
        <v>29</v>
      </c>
      <c r="F3319" t="s">
        <v>24</v>
      </c>
      <c r="G3319">
        <v>128</v>
      </c>
      <c r="H3319">
        <v>727.32</v>
      </c>
      <c r="I3319">
        <v>0</v>
      </c>
      <c r="J3319" t="s">
        <v>15</v>
      </c>
      <c r="K3319">
        <v>93096.960000000006</v>
      </c>
      <c r="L3319" t="str">
        <f t="shared" si="204"/>
        <v>May</v>
      </c>
      <c r="M3319">
        <f t="shared" si="205"/>
        <v>2025</v>
      </c>
      <c r="N3319">
        <f t="shared" si="206"/>
        <v>93096.960000000006</v>
      </c>
      <c r="O3319" t="str">
        <f t="shared" si="207"/>
        <v>On Time</v>
      </c>
    </row>
    <row r="3320" spans="1:15" x14ac:dyDescent="0.25">
      <c r="A3320">
        <v>3319</v>
      </c>
      <c r="B3320" s="2">
        <v>45990</v>
      </c>
      <c r="C3320" t="s">
        <v>26</v>
      </c>
      <c r="D3320" t="s">
        <v>27</v>
      </c>
      <c r="E3320" t="s">
        <v>12</v>
      </c>
      <c r="F3320" t="s">
        <v>24</v>
      </c>
      <c r="G3320">
        <v>118</v>
      </c>
      <c r="H3320">
        <v>184.46</v>
      </c>
      <c r="I3320">
        <v>22</v>
      </c>
      <c r="J3320" t="s">
        <v>30</v>
      </c>
      <c r="K3320">
        <v>21766.28</v>
      </c>
      <c r="L3320" t="str">
        <f t="shared" si="204"/>
        <v>Nov</v>
      </c>
      <c r="M3320">
        <f t="shared" si="205"/>
        <v>2025</v>
      </c>
      <c r="N3320">
        <f t="shared" si="206"/>
        <v>21766.280000000002</v>
      </c>
      <c r="O3320" t="str">
        <f t="shared" si="207"/>
        <v>Minor Delay</v>
      </c>
    </row>
    <row r="3321" spans="1:15" x14ac:dyDescent="0.25">
      <c r="A3321">
        <v>3320</v>
      </c>
      <c r="B3321" s="2">
        <v>45738</v>
      </c>
      <c r="C3321" t="s">
        <v>25</v>
      </c>
      <c r="D3321" t="s">
        <v>29</v>
      </c>
      <c r="E3321" t="s">
        <v>13</v>
      </c>
      <c r="F3321" t="s">
        <v>24</v>
      </c>
      <c r="G3321">
        <v>112</v>
      </c>
      <c r="H3321">
        <v>658.3</v>
      </c>
      <c r="I3321">
        <v>0</v>
      </c>
      <c r="J3321" t="s">
        <v>15</v>
      </c>
      <c r="K3321">
        <v>73729.600000000006</v>
      </c>
      <c r="L3321" t="str">
        <f t="shared" si="204"/>
        <v>Mar</v>
      </c>
      <c r="M3321">
        <f t="shared" si="205"/>
        <v>2025</v>
      </c>
      <c r="N3321">
        <f t="shared" si="206"/>
        <v>73729.599999999991</v>
      </c>
      <c r="O3321" t="str">
        <f t="shared" si="207"/>
        <v>On Time</v>
      </c>
    </row>
    <row r="3322" spans="1:15" x14ac:dyDescent="0.25">
      <c r="A3322">
        <v>3321</v>
      </c>
      <c r="B3322" s="2">
        <v>45882</v>
      </c>
      <c r="C3322" t="s">
        <v>18</v>
      </c>
      <c r="D3322" t="s">
        <v>13</v>
      </c>
      <c r="E3322" t="s">
        <v>22</v>
      </c>
      <c r="F3322" t="s">
        <v>24</v>
      </c>
      <c r="G3322">
        <v>229</v>
      </c>
      <c r="H3322">
        <v>721.89</v>
      </c>
      <c r="I3322">
        <v>51</v>
      </c>
      <c r="J3322" t="s">
        <v>15</v>
      </c>
      <c r="K3322">
        <v>165312.81</v>
      </c>
      <c r="L3322" t="str">
        <f t="shared" si="204"/>
        <v>Aug</v>
      </c>
      <c r="M3322">
        <f t="shared" si="205"/>
        <v>2025</v>
      </c>
      <c r="N3322">
        <f t="shared" si="206"/>
        <v>165312.81</v>
      </c>
      <c r="O3322" t="str">
        <f t="shared" si="207"/>
        <v>Moderate Delay</v>
      </c>
    </row>
    <row r="3323" spans="1:15" x14ac:dyDescent="0.25">
      <c r="A3323">
        <v>3322</v>
      </c>
      <c r="B3323" s="2">
        <v>45871</v>
      </c>
      <c r="C3323" t="s">
        <v>26</v>
      </c>
      <c r="D3323" t="s">
        <v>12</v>
      </c>
      <c r="E3323" t="s">
        <v>17</v>
      </c>
      <c r="F3323" t="s">
        <v>14</v>
      </c>
      <c r="G3323">
        <v>206</v>
      </c>
      <c r="H3323">
        <v>654</v>
      </c>
      <c r="I3323">
        <v>40</v>
      </c>
      <c r="J3323" t="s">
        <v>15</v>
      </c>
      <c r="K3323">
        <v>134724</v>
      </c>
      <c r="L3323" t="str">
        <f t="shared" si="204"/>
        <v>Aug</v>
      </c>
      <c r="M3323">
        <f t="shared" si="205"/>
        <v>2025</v>
      </c>
      <c r="N3323">
        <f t="shared" si="206"/>
        <v>134724</v>
      </c>
      <c r="O3323" t="str">
        <f t="shared" si="207"/>
        <v>Moderate Delay</v>
      </c>
    </row>
    <row r="3324" spans="1:15" x14ac:dyDescent="0.25">
      <c r="A3324">
        <v>3323</v>
      </c>
      <c r="B3324" s="2">
        <v>45837</v>
      </c>
      <c r="C3324" t="s">
        <v>11</v>
      </c>
      <c r="D3324" t="s">
        <v>23</v>
      </c>
      <c r="E3324" t="s">
        <v>27</v>
      </c>
      <c r="F3324" t="s">
        <v>21</v>
      </c>
      <c r="G3324">
        <v>188</v>
      </c>
      <c r="H3324">
        <v>518.83000000000004</v>
      </c>
      <c r="I3324">
        <v>35</v>
      </c>
      <c r="J3324" t="s">
        <v>15</v>
      </c>
      <c r="K3324">
        <v>97540.04</v>
      </c>
      <c r="L3324" t="str">
        <f t="shared" si="204"/>
        <v>Jun</v>
      </c>
      <c r="M3324">
        <f t="shared" si="205"/>
        <v>2025</v>
      </c>
      <c r="N3324">
        <f t="shared" si="206"/>
        <v>97540.040000000008</v>
      </c>
      <c r="O3324" t="str">
        <f t="shared" si="207"/>
        <v>Moderate Delay</v>
      </c>
    </row>
    <row r="3325" spans="1:15" x14ac:dyDescent="0.25">
      <c r="A3325">
        <v>3324</v>
      </c>
      <c r="B3325" s="2">
        <v>45811</v>
      </c>
      <c r="C3325" t="s">
        <v>26</v>
      </c>
      <c r="D3325" t="s">
        <v>23</v>
      </c>
      <c r="E3325" t="s">
        <v>29</v>
      </c>
      <c r="F3325" t="s">
        <v>14</v>
      </c>
      <c r="G3325">
        <v>225</v>
      </c>
      <c r="H3325">
        <v>528.74</v>
      </c>
      <c r="I3325">
        <v>26</v>
      </c>
      <c r="J3325" t="s">
        <v>15</v>
      </c>
      <c r="K3325">
        <v>118966.5</v>
      </c>
      <c r="L3325" t="str">
        <f t="shared" si="204"/>
        <v>Jun</v>
      </c>
      <c r="M3325">
        <f t="shared" si="205"/>
        <v>2025</v>
      </c>
      <c r="N3325">
        <f t="shared" si="206"/>
        <v>118966.5</v>
      </c>
      <c r="O3325" t="str">
        <f t="shared" si="207"/>
        <v>Minor Delay</v>
      </c>
    </row>
    <row r="3326" spans="1:15" x14ac:dyDescent="0.25">
      <c r="A3326">
        <v>3325</v>
      </c>
      <c r="B3326" s="2">
        <v>45696</v>
      </c>
      <c r="C3326" t="s">
        <v>25</v>
      </c>
      <c r="D3326" t="s">
        <v>29</v>
      </c>
      <c r="E3326" t="s">
        <v>20</v>
      </c>
      <c r="F3326" t="s">
        <v>14</v>
      </c>
      <c r="G3326">
        <v>56</v>
      </c>
      <c r="H3326">
        <v>535.82000000000005</v>
      </c>
      <c r="I3326">
        <v>10</v>
      </c>
      <c r="J3326" t="s">
        <v>15</v>
      </c>
      <c r="K3326">
        <v>30005.919999999998</v>
      </c>
      <c r="L3326" t="str">
        <f t="shared" si="204"/>
        <v>Feb</v>
      </c>
      <c r="M3326">
        <f t="shared" si="205"/>
        <v>2025</v>
      </c>
      <c r="N3326">
        <f t="shared" si="206"/>
        <v>30005.920000000002</v>
      </c>
      <c r="O3326" t="str">
        <f t="shared" si="207"/>
        <v>Minor Delay</v>
      </c>
    </row>
    <row r="3327" spans="1:15" x14ac:dyDescent="0.25">
      <c r="A3327">
        <v>3326</v>
      </c>
      <c r="B3327" s="2">
        <v>45982</v>
      </c>
      <c r="C3327" t="s">
        <v>11</v>
      </c>
      <c r="D3327" t="s">
        <v>29</v>
      </c>
      <c r="E3327" t="s">
        <v>13</v>
      </c>
      <c r="F3327" t="s">
        <v>14</v>
      </c>
      <c r="G3327">
        <v>172</v>
      </c>
      <c r="H3327">
        <v>342.85</v>
      </c>
      <c r="I3327">
        <v>39</v>
      </c>
      <c r="J3327" t="s">
        <v>15</v>
      </c>
      <c r="K3327">
        <v>58970.2</v>
      </c>
      <c r="L3327" t="str">
        <f t="shared" si="204"/>
        <v>Nov</v>
      </c>
      <c r="M3327">
        <f t="shared" si="205"/>
        <v>2025</v>
      </c>
      <c r="N3327">
        <f t="shared" si="206"/>
        <v>58970.200000000004</v>
      </c>
      <c r="O3327" t="str">
        <f t="shared" si="207"/>
        <v>Moderate Delay</v>
      </c>
    </row>
    <row r="3328" spans="1:15" x14ac:dyDescent="0.25">
      <c r="A3328">
        <v>3327</v>
      </c>
      <c r="B3328" s="2">
        <v>45743</v>
      </c>
      <c r="C3328" t="s">
        <v>31</v>
      </c>
      <c r="D3328" t="s">
        <v>17</v>
      </c>
      <c r="E3328" t="s">
        <v>29</v>
      </c>
      <c r="F3328" t="s">
        <v>24</v>
      </c>
      <c r="G3328">
        <v>109</v>
      </c>
      <c r="H3328">
        <v>231.47</v>
      </c>
      <c r="I3328">
        <v>0</v>
      </c>
      <c r="J3328" t="s">
        <v>15</v>
      </c>
      <c r="K3328">
        <v>25230.23</v>
      </c>
      <c r="L3328" t="str">
        <f t="shared" si="204"/>
        <v>Mar</v>
      </c>
      <c r="M3328">
        <f t="shared" si="205"/>
        <v>2025</v>
      </c>
      <c r="N3328">
        <f t="shared" si="206"/>
        <v>25230.23</v>
      </c>
      <c r="O3328" t="str">
        <f t="shared" si="207"/>
        <v>On Time</v>
      </c>
    </row>
    <row r="3329" spans="1:15" x14ac:dyDescent="0.25">
      <c r="A3329">
        <v>3328</v>
      </c>
      <c r="B3329" s="2">
        <v>45969</v>
      </c>
      <c r="C3329" t="s">
        <v>25</v>
      </c>
      <c r="D3329" t="s">
        <v>12</v>
      </c>
      <c r="E3329" t="s">
        <v>23</v>
      </c>
      <c r="F3329" t="s">
        <v>14</v>
      </c>
      <c r="G3329">
        <v>263</v>
      </c>
      <c r="H3329">
        <v>519.62</v>
      </c>
      <c r="I3329">
        <v>41</v>
      </c>
      <c r="J3329" t="s">
        <v>15</v>
      </c>
      <c r="K3329">
        <v>136660.06</v>
      </c>
      <c r="L3329" t="str">
        <f t="shared" si="204"/>
        <v>Nov</v>
      </c>
      <c r="M3329">
        <f t="shared" si="205"/>
        <v>2025</v>
      </c>
      <c r="N3329">
        <f t="shared" si="206"/>
        <v>136660.06</v>
      </c>
      <c r="O3329" t="str">
        <f t="shared" si="207"/>
        <v>Moderate Delay</v>
      </c>
    </row>
    <row r="3330" spans="1:15" x14ac:dyDescent="0.25">
      <c r="A3330">
        <v>3329</v>
      </c>
      <c r="B3330" s="2">
        <v>45801</v>
      </c>
      <c r="C3330" t="s">
        <v>25</v>
      </c>
      <c r="D3330" t="s">
        <v>23</v>
      </c>
      <c r="E3330" t="s">
        <v>29</v>
      </c>
      <c r="F3330" t="s">
        <v>21</v>
      </c>
      <c r="G3330">
        <v>269</v>
      </c>
      <c r="H3330">
        <v>170.11</v>
      </c>
      <c r="I3330">
        <v>46</v>
      </c>
      <c r="J3330" t="s">
        <v>15</v>
      </c>
      <c r="K3330">
        <v>45759.59</v>
      </c>
      <c r="L3330" t="str">
        <f t="shared" si="204"/>
        <v>May</v>
      </c>
      <c r="M3330">
        <f t="shared" si="205"/>
        <v>2025</v>
      </c>
      <c r="N3330">
        <f t="shared" si="206"/>
        <v>45759.590000000004</v>
      </c>
      <c r="O3330" t="str">
        <f t="shared" si="207"/>
        <v>Moderate Delay</v>
      </c>
    </row>
    <row r="3331" spans="1:15" x14ac:dyDescent="0.25">
      <c r="A3331">
        <v>3330</v>
      </c>
      <c r="B3331" s="2">
        <v>45867</v>
      </c>
      <c r="C3331" t="s">
        <v>11</v>
      </c>
      <c r="D3331" t="s">
        <v>19</v>
      </c>
      <c r="E3331" t="s">
        <v>22</v>
      </c>
      <c r="F3331" t="s">
        <v>14</v>
      </c>
      <c r="G3331">
        <v>256</v>
      </c>
      <c r="H3331">
        <v>281.93</v>
      </c>
      <c r="I3331">
        <v>20</v>
      </c>
      <c r="J3331" t="s">
        <v>15</v>
      </c>
      <c r="K3331">
        <v>72174.080000000002</v>
      </c>
      <c r="L3331" t="str">
        <f t="shared" ref="L3331:L3394" si="208">TEXT(B3331,"MMM")</f>
        <v>Jul</v>
      </c>
      <c r="M3331">
        <f t="shared" ref="M3331:M3394" si="209">YEAR(B3331)</f>
        <v>2025</v>
      </c>
      <c r="N3331">
        <f t="shared" ref="N3331:N3394" si="210">G3331*H3331</f>
        <v>72174.080000000002</v>
      </c>
      <c r="O3331" t="str">
        <f t="shared" ref="O3331:O3394" si="211">IF(I3331=0,"On Time",IF(I3331&lt;=30,"Minor Delay",IF(I3331&lt;=60,"Moderate Delay","Major Delay")))</f>
        <v>Minor Delay</v>
      </c>
    </row>
    <row r="3332" spans="1:15" x14ac:dyDescent="0.25">
      <c r="A3332">
        <v>3331</v>
      </c>
      <c r="B3332" s="2">
        <v>45789</v>
      </c>
      <c r="C3332" t="s">
        <v>11</v>
      </c>
      <c r="D3332" t="s">
        <v>19</v>
      </c>
      <c r="E3332" t="s">
        <v>23</v>
      </c>
      <c r="F3332" t="s">
        <v>24</v>
      </c>
      <c r="G3332">
        <v>144</v>
      </c>
      <c r="H3332">
        <v>135.87</v>
      </c>
      <c r="I3332">
        <v>49</v>
      </c>
      <c r="J3332" t="s">
        <v>15</v>
      </c>
      <c r="K3332">
        <v>19565.28</v>
      </c>
      <c r="L3332" t="str">
        <f t="shared" si="208"/>
        <v>May</v>
      </c>
      <c r="M3332">
        <f t="shared" si="209"/>
        <v>2025</v>
      </c>
      <c r="N3332">
        <f t="shared" si="210"/>
        <v>19565.28</v>
      </c>
      <c r="O3332" t="str">
        <f t="shared" si="211"/>
        <v>Moderate Delay</v>
      </c>
    </row>
    <row r="3333" spans="1:15" x14ac:dyDescent="0.25">
      <c r="A3333">
        <v>3332</v>
      </c>
      <c r="B3333" s="2">
        <v>45917</v>
      </c>
      <c r="C3333" t="s">
        <v>18</v>
      </c>
      <c r="D3333" t="s">
        <v>23</v>
      </c>
      <c r="E3333" t="s">
        <v>13</v>
      </c>
      <c r="F3333" t="s">
        <v>24</v>
      </c>
      <c r="G3333">
        <v>257</v>
      </c>
      <c r="H3333">
        <v>273.10000000000002</v>
      </c>
      <c r="I3333">
        <v>11</v>
      </c>
      <c r="J3333" t="s">
        <v>15</v>
      </c>
      <c r="K3333">
        <v>70186.7</v>
      </c>
      <c r="L3333" t="str">
        <f t="shared" si="208"/>
        <v>Sep</v>
      </c>
      <c r="M3333">
        <f t="shared" si="209"/>
        <v>2025</v>
      </c>
      <c r="N3333">
        <f t="shared" si="210"/>
        <v>70186.700000000012</v>
      </c>
      <c r="O3333" t="str">
        <f t="shared" si="211"/>
        <v>Minor Delay</v>
      </c>
    </row>
    <row r="3334" spans="1:15" x14ac:dyDescent="0.25">
      <c r="A3334">
        <v>3333</v>
      </c>
      <c r="B3334" s="2">
        <v>45854</v>
      </c>
      <c r="C3334" t="s">
        <v>31</v>
      </c>
      <c r="D3334" t="s">
        <v>27</v>
      </c>
      <c r="E3334" t="s">
        <v>29</v>
      </c>
      <c r="F3334" t="s">
        <v>14</v>
      </c>
      <c r="G3334">
        <v>191</v>
      </c>
      <c r="H3334">
        <v>304.02999999999997</v>
      </c>
      <c r="I3334">
        <v>39</v>
      </c>
      <c r="J3334" t="s">
        <v>15</v>
      </c>
      <c r="K3334">
        <v>58069.73</v>
      </c>
      <c r="L3334" t="str">
        <f t="shared" si="208"/>
        <v>Jul</v>
      </c>
      <c r="M3334">
        <f t="shared" si="209"/>
        <v>2025</v>
      </c>
      <c r="N3334">
        <f t="shared" si="210"/>
        <v>58069.729999999996</v>
      </c>
      <c r="O3334" t="str">
        <f t="shared" si="211"/>
        <v>Moderate Delay</v>
      </c>
    </row>
    <row r="3335" spans="1:15" x14ac:dyDescent="0.25">
      <c r="A3335">
        <v>3334</v>
      </c>
      <c r="B3335" s="2">
        <v>45741</v>
      </c>
      <c r="C3335" t="s">
        <v>31</v>
      </c>
      <c r="D3335" t="s">
        <v>13</v>
      </c>
      <c r="E3335" t="s">
        <v>17</v>
      </c>
      <c r="F3335" t="s">
        <v>21</v>
      </c>
      <c r="G3335">
        <v>281</v>
      </c>
      <c r="H3335">
        <v>752.6</v>
      </c>
      <c r="I3335">
        <v>22</v>
      </c>
      <c r="J3335" t="s">
        <v>30</v>
      </c>
      <c r="K3335">
        <v>211480.6</v>
      </c>
      <c r="L3335" t="str">
        <f t="shared" si="208"/>
        <v>Mar</v>
      </c>
      <c r="M3335">
        <f t="shared" si="209"/>
        <v>2025</v>
      </c>
      <c r="N3335">
        <f t="shared" si="210"/>
        <v>211480.6</v>
      </c>
      <c r="O3335" t="str">
        <f t="shared" si="211"/>
        <v>Minor Delay</v>
      </c>
    </row>
    <row r="3336" spans="1:15" x14ac:dyDescent="0.25">
      <c r="A3336">
        <v>3335</v>
      </c>
      <c r="B3336" s="2">
        <v>45903</v>
      </c>
      <c r="C3336" t="s">
        <v>25</v>
      </c>
      <c r="D3336" t="s">
        <v>22</v>
      </c>
      <c r="E3336" t="s">
        <v>23</v>
      </c>
      <c r="F3336" t="s">
        <v>14</v>
      </c>
      <c r="G3336">
        <v>113</v>
      </c>
      <c r="H3336">
        <v>481.3</v>
      </c>
      <c r="I3336">
        <v>31</v>
      </c>
      <c r="J3336" t="s">
        <v>30</v>
      </c>
      <c r="K3336">
        <v>54386.9</v>
      </c>
      <c r="L3336" t="str">
        <f t="shared" si="208"/>
        <v>Sep</v>
      </c>
      <c r="M3336">
        <f t="shared" si="209"/>
        <v>2025</v>
      </c>
      <c r="N3336">
        <f t="shared" si="210"/>
        <v>54386.9</v>
      </c>
      <c r="O3336" t="str">
        <f t="shared" si="211"/>
        <v>Moderate Delay</v>
      </c>
    </row>
    <row r="3337" spans="1:15" x14ac:dyDescent="0.25">
      <c r="A3337">
        <v>3336</v>
      </c>
      <c r="B3337" s="2">
        <v>45765</v>
      </c>
      <c r="C3337" t="s">
        <v>26</v>
      </c>
      <c r="D3337" t="s">
        <v>23</v>
      </c>
      <c r="E3337" t="s">
        <v>17</v>
      </c>
      <c r="F3337" t="s">
        <v>21</v>
      </c>
      <c r="G3337">
        <v>74</v>
      </c>
      <c r="H3337">
        <v>681.24</v>
      </c>
      <c r="I3337">
        <v>0</v>
      </c>
      <c r="J3337" t="s">
        <v>15</v>
      </c>
      <c r="K3337">
        <v>50411.76</v>
      </c>
      <c r="L3337" t="str">
        <f t="shared" si="208"/>
        <v>Apr</v>
      </c>
      <c r="M3337">
        <f t="shared" si="209"/>
        <v>2025</v>
      </c>
      <c r="N3337">
        <f t="shared" si="210"/>
        <v>50411.76</v>
      </c>
      <c r="O3337" t="str">
        <f t="shared" si="211"/>
        <v>On Time</v>
      </c>
    </row>
    <row r="3338" spans="1:15" x14ac:dyDescent="0.25">
      <c r="A3338">
        <v>3337</v>
      </c>
      <c r="B3338" s="2">
        <v>45790</v>
      </c>
      <c r="C3338" t="s">
        <v>18</v>
      </c>
      <c r="D3338" t="s">
        <v>22</v>
      </c>
      <c r="E3338" t="s">
        <v>13</v>
      </c>
      <c r="F3338" t="s">
        <v>14</v>
      </c>
      <c r="G3338">
        <v>255</v>
      </c>
      <c r="H3338">
        <v>466.59</v>
      </c>
      <c r="I3338">
        <v>22</v>
      </c>
      <c r="J3338" t="s">
        <v>15</v>
      </c>
      <c r="K3338">
        <v>118980.45</v>
      </c>
      <c r="L3338" t="str">
        <f t="shared" si="208"/>
        <v>May</v>
      </c>
      <c r="M3338">
        <f t="shared" si="209"/>
        <v>2025</v>
      </c>
      <c r="N3338">
        <f t="shared" si="210"/>
        <v>118980.45</v>
      </c>
      <c r="O3338" t="str">
        <f t="shared" si="211"/>
        <v>Minor Delay</v>
      </c>
    </row>
    <row r="3339" spans="1:15" x14ac:dyDescent="0.25">
      <c r="A3339">
        <v>3338</v>
      </c>
      <c r="B3339" s="2">
        <v>45727</v>
      </c>
      <c r="C3339" t="s">
        <v>31</v>
      </c>
      <c r="D3339" t="s">
        <v>22</v>
      </c>
      <c r="E3339" t="s">
        <v>23</v>
      </c>
      <c r="F3339" t="s">
        <v>21</v>
      </c>
      <c r="G3339">
        <v>293</v>
      </c>
      <c r="H3339">
        <v>396.94</v>
      </c>
      <c r="I3339">
        <v>26</v>
      </c>
      <c r="J3339" t="s">
        <v>30</v>
      </c>
      <c r="K3339">
        <v>116303.42</v>
      </c>
      <c r="L3339" t="str">
        <f t="shared" si="208"/>
        <v>Mar</v>
      </c>
      <c r="M3339">
        <f t="shared" si="209"/>
        <v>2025</v>
      </c>
      <c r="N3339">
        <f t="shared" si="210"/>
        <v>116303.42</v>
      </c>
      <c r="O3339" t="str">
        <f t="shared" si="211"/>
        <v>Minor Delay</v>
      </c>
    </row>
    <row r="3340" spans="1:15" x14ac:dyDescent="0.25">
      <c r="A3340">
        <v>3339</v>
      </c>
      <c r="B3340" s="2">
        <v>45999</v>
      </c>
      <c r="C3340" t="s">
        <v>18</v>
      </c>
      <c r="D3340" t="s">
        <v>23</v>
      </c>
      <c r="E3340" t="s">
        <v>20</v>
      </c>
      <c r="F3340" t="s">
        <v>21</v>
      </c>
      <c r="G3340">
        <v>296</v>
      </c>
      <c r="H3340">
        <v>380.89</v>
      </c>
      <c r="I3340">
        <v>0</v>
      </c>
      <c r="J3340" t="s">
        <v>15</v>
      </c>
      <c r="K3340">
        <v>112743.44</v>
      </c>
      <c r="L3340" t="str">
        <f t="shared" si="208"/>
        <v>Dec</v>
      </c>
      <c r="M3340">
        <f t="shared" si="209"/>
        <v>2025</v>
      </c>
      <c r="N3340">
        <f t="shared" si="210"/>
        <v>112743.44</v>
      </c>
      <c r="O3340" t="str">
        <f t="shared" si="211"/>
        <v>On Time</v>
      </c>
    </row>
    <row r="3341" spans="1:15" x14ac:dyDescent="0.25">
      <c r="A3341">
        <v>3340</v>
      </c>
      <c r="B3341" s="2">
        <v>45867</v>
      </c>
      <c r="C3341" t="s">
        <v>25</v>
      </c>
      <c r="D3341" t="s">
        <v>20</v>
      </c>
      <c r="E3341" t="s">
        <v>13</v>
      </c>
      <c r="F3341" t="s">
        <v>14</v>
      </c>
      <c r="G3341">
        <v>167</v>
      </c>
      <c r="H3341">
        <v>578.21</v>
      </c>
      <c r="I3341">
        <v>29</v>
      </c>
      <c r="J3341" t="s">
        <v>30</v>
      </c>
      <c r="K3341">
        <v>96561.07</v>
      </c>
      <c r="L3341" t="str">
        <f t="shared" si="208"/>
        <v>Jul</v>
      </c>
      <c r="M3341">
        <f t="shared" si="209"/>
        <v>2025</v>
      </c>
      <c r="N3341">
        <f t="shared" si="210"/>
        <v>96561.07</v>
      </c>
      <c r="O3341" t="str">
        <f t="shared" si="211"/>
        <v>Minor Delay</v>
      </c>
    </row>
    <row r="3342" spans="1:15" x14ac:dyDescent="0.25">
      <c r="A3342">
        <v>3341</v>
      </c>
      <c r="B3342" s="2">
        <v>45957</v>
      </c>
      <c r="C3342" t="s">
        <v>16</v>
      </c>
      <c r="D3342" t="s">
        <v>13</v>
      </c>
      <c r="E3342" t="s">
        <v>20</v>
      </c>
      <c r="F3342" t="s">
        <v>14</v>
      </c>
      <c r="G3342">
        <v>266</v>
      </c>
      <c r="H3342">
        <v>253.04</v>
      </c>
      <c r="I3342">
        <v>10</v>
      </c>
      <c r="J3342" t="s">
        <v>15</v>
      </c>
      <c r="K3342">
        <v>67308.639999999999</v>
      </c>
      <c r="L3342" t="str">
        <f t="shared" si="208"/>
        <v>Oct</v>
      </c>
      <c r="M3342">
        <f t="shared" si="209"/>
        <v>2025</v>
      </c>
      <c r="N3342">
        <f t="shared" si="210"/>
        <v>67308.639999999999</v>
      </c>
      <c r="O3342" t="str">
        <f t="shared" si="211"/>
        <v>Minor Delay</v>
      </c>
    </row>
    <row r="3343" spans="1:15" x14ac:dyDescent="0.25">
      <c r="A3343">
        <v>3342</v>
      </c>
      <c r="B3343" s="2">
        <v>45887</v>
      </c>
      <c r="C3343" t="s">
        <v>16</v>
      </c>
      <c r="D3343" t="s">
        <v>19</v>
      </c>
      <c r="E3343" t="s">
        <v>22</v>
      </c>
      <c r="F3343" t="s">
        <v>24</v>
      </c>
      <c r="G3343">
        <v>150</v>
      </c>
      <c r="H3343">
        <v>415.52</v>
      </c>
      <c r="I3343">
        <v>23</v>
      </c>
      <c r="J3343" t="s">
        <v>15</v>
      </c>
      <c r="K3343">
        <v>62328</v>
      </c>
      <c r="L3343" t="str">
        <f t="shared" si="208"/>
        <v>Aug</v>
      </c>
      <c r="M3343">
        <f t="shared" si="209"/>
        <v>2025</v>
      </c>
      <c r="N3343">
        <f t="shared" si="210"/>
        <v>62328</v>
      </c>
      <c r="O3343" t="str">
        <f t="shared" si="211"/>
        <v>Minor Delay</v>
      </c>
    </row>
    <row r="3344" spans="1:15" x14ac:dyDescent="0.25">
      <c r="A3344">
        <v>3343</v>
      </c>
      <c r="B3344" s="2">
        <v>45658</v>
      </c>
      <c r="C3344" t="s">
        <v>25</v>
      </c>
      <c r="D3344" t="s">
        <v>17</v>
      </c>
      <c r="E3344" t="s">
        <v>22</v>
      </c>
      <c r="F3344" t="s">
        <v>24</v>
      </c>
      <c r="G3344">
        <v>69</v>
      </c>
      <c r="H3344">
        <v>461.69</v>
      </c>
      <c r="I3344">
        <v>0</v>
      </c>
      <c r="J3344" t="s">
        <v>15</v>
      </c>
      <c r="K3344">
        <v>31856.61</v>
      </c>
      <c r="L3344" t="str">
        <f t="shared" si="208"/>
        <v>Jan</v>
      </c>
      <c r="M3344">
        <f t="shared" si="209"/>
        <v>2025</v>
      </c>
      <c r="N3344">
        <f t="shared" si="210"/>
        <v>31856.61</v>
      </c>
      <c r="O3344" t="str">
        <f t="shared" si="211"/>
        <v>On Time</v>
      </c>
    </row>
    <row r="3345" spans="1:15" x14ac:dyDescent="0.25">
      <c r="A3345">
        <v>3344</v>
      </c>
      <c r="B3345" s="2">
        <v>45997</v>
      </c>
      <c r="C3345" t="s">
        <v>26</v>
      </c>
      <c r="D3345" t="s">
        <v>17</v>
      </c>
      <c r="E3345" t="s">
        <v>27</v>
      </c>
      <c r="F3345" t="s">
        <v>24</v>
      </c>
      <c r="G3345">
        <v>194</v>
      </c>
      <c r="H3345">
        <v>716.25</v>
      </c>
      <c r="I3345">
        <v>18</v>
      </c>
      <c r="J3345" t="s">
        <v>15</v>
      </c>
      <c r="K3345">
        <v>138952.5</v>
      </c>
      <c r="L3345" t="str">
        <f t="shared" si="208"/>
        <v>Dec</v>
      </c>
      <c r="M3345">
        <f t="shared" si="209"/>
        <v>2025</v>
      </c>
      <c r="N3345">
        <f t="shared" si="210"/>
        <v>138952.5</v>
      </c>
      <c r="O3345" t="str">
        <f t="shared" si="211"/>
        <v>Minor Delay</v>
      </c>
    </row>
    <row r="3346" spans="1:15" x14ac:dyDescent="0.25">
      <c r="A3346">
        <v>3345</v>
      </c>
      <c r="B3346" s="2">
        <v>46013</v>
      </c>
      <c r="C3346" t="s">
        <v>11</v>
      </c>
      <c r="D3346" t="s">
        <v>19</v>
      </c>
      <c r="E3346" t="s">
        <v>22</v>
      </c>
      <c r="F3346" t="s">
        <v>24</v>
      </c>
      <c r="G3346">
        <v>206</v>
      </c>
      <c r="H3346">
        <v>716.82</v>
      </c>
      <c r="I3346">
        <v>52</v>
      </c>
      <c r="J3346" t="s">
        <v>15</v>
      </c>
      <c r="K3346">
        <v>147664.92000000001</v>
      </c>
      <c r="L3346" t="str">
        <f t="shared" si="208"/>
        <v>Dec</v>
      </c>
      <c r="M3346">
        <f t="shared" si="209"/>
        <v>2025</v>
      </c>
      <c r="N3346">
        <f t="shared" si="210"/>
        <v>147664.92000000001</v>
      </c>
      <c r="O3346" t="str">
        <f t="shared" si="211"/>
        <v>Moderate Delay</v>
      </c>
    </row>
    <row r="3347" spans="1:15" x14ac:dyDescent="0.25">
      <c r="A3347">
        <v>3346</v>
      </c>
      <c r="B3347" s="2">
        <v>45666</v>
      </c>
      <c r="C3347" t="s">
        <v>25</v>
      </c>
      <c r="D3347" t="s">
        <v>23</v>
      </c>
      <c r="E3347" t="s">
        <v>17</v>
      </c>
      <c r="F3347" t="s">
        <v>24</v>
      </c>
      <c r="G3347">
        <v>250</v>
      </c>
      <c r="H3347">
        <v>362.63</v>
      </c>
      <c r="I3347">
        <v>16</v>
      </c>
      <c r="J3347" t="s">
        <v>30</v>
      </c>
      <c r="K3347">
        <v>90657.5</v>
      </c>
      <c r="L3347" t="str">
        <f t="shared" si="208"/>
        <v>Jan</v>
      </c>
      <c r="M3347">
        <f t="shared" si="209"/>
        <v>2025</v>
      </c>
      <c r="N3347">
        <f t="shared" si="210"/>
        <v>90657.5</v>
      </c>
      <c r="O3347" t="str">
        <f t="shared" si="211"/>
        <v>Minor Delay</v>
      </c>
    </row>
    <row r="3348" spans="1:15" x14ac:dyDescent="0.25">
      <c r="A3348">
        <v>3347</v>
      </c>
      <c r="B3348" s="2">
        <v>45833</v>
      </c>
      <c r="C3348" t="s">
        <v>26</v>
      </c>
      <c r="D3348" t="s">
        <v>19</v>
      </c>
      <c r="E3348" t="s">
        <v>27</v>
      </c>
      <c r="F3348" t="s">
        <v>14</v>
      </c>
      <c r="G3348">
        <v>84</v>
      </c>
      <c r="H3348">
        <v>670.37</v>
      </c>
      <c r="I3348">
        <v>19</v>
      </c>
      <c r="J3348" t="s">
        <v>15</v>
      </c>
      <c r="K3348">
        <v>56311.08</v>
      </c>
      <c r="L3348" t="str">
        <f t="shared" si="208"/>
        <v>Jun</v>
      </c>
      <c r="M3348">
        <f t="shared" si="209"/>
        <v>2025</v>
      </c>
      <c r="N3348">
        <f t="shared" si="210"/>
        <v>56311.08</v>
      </c>
      <c r="O3348" t="str">
        <f t="shared" si="211"/>
        <v>Minor Delay</v>
      </c>
    </row>
    <row r="3349" spans="1:15" x14ac:dyDescent="0.25">
      <c r="A3349">
        <v>3348</v>
      </c>
      <c r="B3349" s="2">
        <v>45694</v>
      </c>
      <c r="C3349" t="s">
        <v>18</v>
      </c>
      <c r="D3349" t="s">
        <v>27</v>
      </c>
      <c r="E3349" t="s">
        <v>17</v>
      </c>
      <c r="F3349" t="s">
        <v>21</v>
      </c>
      <c r="G3349">
        <v>187</v>
      </c>
      <c r="H3349">
        <v>494.99</v>
      </c>
      <c r="I3349">
        <v>0</v>
      </c>
      <c r="J3349" t="s">
        <v>30</v>
      </c>
      <c r="K3349">
        <v>92563.13</v>
      </c>
      <c r="L3349" t="str">
        <f t="shared" si="208"/>
        <v>Feb</v>
      </c>
      <c r="M3349">
        <f t="shared" si="209"/>
        <v>2025</v>
      </c>
      <c r="N3349">
        <f t="shared" si="210"/>
        <v>92563.13</v>
      </c>
      <c r="O3349" t="str">
        <f t="shared" si="211"/>
        <v>On Time</v>
      </c>
    </row>
    <row r="3350" spans="1:15" x14ac:dyDescent="0.25">
      <c r="A3350">
        <v>3349</v>
      </c>
      <c r="B3350" s="2">
        <v>45811</v>
      </c>
      <c r="C3350" t="s">
        <v>16</v>
      </c>
      <c r="D3350" t="s">
        <v>20</v>
      </c>
      <c r="E3350" t="s">
        <v>12</v>
      </c>
      <c r="F3350" t="s">
        <v>14</v>
      </c>
      <c r="G3350">
        <v>134</v>
      </c>
      <c r="H3350">
        <v>101.22</v>
      </c>
      <c r="I3350">
        <v>52</v>
      </c>
      <c r="J3350" t="s">
        <v>15</v>
      </c>
      <c r="K3350">
        <v>13563.48</v>
      </c>
      <c r="L3350" t="str">
        <f t="shared" si="208"/>
        <v>Jun</v>
      </c>
      <c r="M3350">
        <f t="shared" si="209"/>
        <v>2025</v>
      </c>
      <c r="N3350">
        <f t="shared" si="210"/>
        <v>13563.48</v>
      </c>
      <c r="O3350" t="str">
        <f t="shared" si="211"/>
        <v>Moderate Delay</v>
      </c>
    </row>
    <row r="3351" spans="1:15" x14ac:dyDescent="0.25">
      <c r="A3351">
        <v>3350</v>
      </c>
      <c r="B3351" s="2">
        <v>45746</v>
      </c>
      <c r="C3351" t="s">
        <v>18</v>
      </c>
      <c r="D3351" t="s">
        <v>20</v>
      </c>
      <c r="E3351" t="s">
        <v>17</v>
      </c>
      <c r="F3351" t="s">
        <v>24</v>
      </c>
      <c r="G3351">
        <v>181</v>
      </c>
      <c r="H3351">
        <v>794.61</v>
      </c>
      <c r="I3351">
        <v>0</v>
      </c>
      <c r="J3351" t="s">
        <v>15</v>
      </c>
      <c r="K3351">
        <v>143824.41</v>
      </c>
      <c r="L3351" t="str">
        <f t="shared" si="208"/>
        <v>Mar</v>
      </c>
      <c r="M3351">
        <f t="shared" si="209"/>
        <v>2025</v>
      </c>
      <c r="N3351">
        <f t="shared" si="210"/>
        <v>143824.41</v>
      </c>
      <c r="O3351" t="str">
        <f t="shared" si="211"/>
        <v>On Time</v>
      </c>
    </row>
    <row r="3352" spans="1:15" x14ac:dyDescent="0.25">
      <c r="A3352">
        <v>3351</v>
      </c>
      <c r="B3352" s="2">
        <v>45922</v>
      </c>
      <c r="C3352" t="s">
        <v>25</v>
      </c>
      <c r="D3352" t="s">
        <v>17</v>
      </c>
      <c r="E3352" t="s">
        <v>19</v>
      </c>
      <c r="F3352" t="s">
        <v>24</v>
      </c>
      <c r="G3352">
        <v>196</v>
      </c>
      <c r="H3352">
        <v>240.93</v>
      </c>
      <c r="I3352">
        <v>19</v>
      </c>
      <c r="J3352" t="s">
        <v>30</v>
      </c>
      <c r="K3352">
        <v>47222.28</v>
      </c>
      <c r="L3352" t="str">
        <f t="shared" si="208"/>
        <v>Sep</v>
      </c>
      <c r="M3352">
        <f t="shared" si="209"/>
        <v>2025</v>
      </c>
      <c r="N3352">
        <f t="shared" si="210"/>
        <v>47222.28</v>
      </c>
      <c r="O3352" t="str">
        <f t="shared" si="211"/>
        <v>Minor Delay</v>
      </c>
    </row>
    <row r="3353" spans="1:15" x14ac:dyDescent="0.25">
      <c r="A3353">
        <v>3352</v>
      </c>
      <c r="B3353" s="2">
        <v>45823</v>
      </c>
      <c r="C3353" t="s">
        <v>31</v>
      </c>
      <c r="D3353" t="s">
        <v>17</v>
      </c>
      <c r="E3353" t="s">
        <v>19</v>
      </c>
      <c r="F3353" t="s">
        <v>24</v>
      </c>
      <c r="G3353">
        <v>106</v>
      </c>
      <c r="H3353">
        <v>74.02</v>
      </c>
      <c r="I3353">
        <v>0</v>
      </c>
      <c r="J3353" t="s">
        <v>30</v>
      </c>
      <c r="K3353">
        <v>7846.12</v>
      </c>
      <c r="L3353" t="str">
        <f t="shared" si="208"/>
        <v>Jun</v>
      </c>
      <c r="M3353">
        <f t="shared" si="209"/>
        <v>2025</v>
      </c>
      <c r="N3353">
        <f t="shared" si="210"/>
        <v>7846.12</v>
      </c>
      <c r="O3353" t="str">
        <f t="shared" si="211"/>
        <v>On Time</v>
      </c>
    </row>
    <row r="3354" spans="1:15" x14ac:dyDescent="0.25">
      <c r="A3354">
        <v>3353</v>
      </c>
      <c r="B3354" s="2">
        <v>45730</v>
      </c>
      <c r="C3354" t="s">
        <v>18</v>
      </c>
      <c r="D3354" t="s">
        <v>13</v>
      </c>
      <c r="E3354" t="s">
        <v>29</v>
      </c>
      <c r="F3354" t="s">
        <v>21</v>
      </c>
      <c r="G3354">
        <v>197</v>
      </c>
      <c r="H3354">
        <v>339.26</v>
      </c>
      <c r="I3354">
        <v>0</v>
      </c>
      <c r="J3354" t="s">
        <v>15</v>
      </c>
      <c r="K3354">
        <v>66834.22</v>
      </c>
      <c r="L3354" t="str">
        <f t="shared" si="208"/>
        <v>Mar</v>
      </c>
      <c r="M3354">
        <f t="shared" si="209"/>
        <v>2025</v>
      </c>
      <c r="N3354">
        <f t="shared" si="210"/>
        <v>66834.22</v>
      </c>
      <c r="O3354" t="str">
        <f t="shared" si="211"/>
        <v>On Time</v>
      </c>
    </row>
    <row r="3355" spans="1:15" x14ac:dyDescent="0.25">
      <c r="A3355">
        <v>3354</v>
      </c>
      <c r="B3355" s="2">
        <v>45808</v>
      </c>
      <c r="C3355" t="s">
        <v>25</v>
      </c>
      <c r="D3355" t="s">
        <v>19</v>
      </c>
      <c r="E3355" t="s">
        <v>13</v>
      </c>
      <c r="F3355" t="s">
        <v>21</v>
      </c>
      <c r="G3355">
        <v>270</v>
      </c>
      <c r="H3355">
        <v>332.97</v>
      </c>
      <c r="I3355">
        <v>76</v>
      </c>
      <c r="J3355" t="s">
        <v>30</v>
      </c>
      <c r="K3355">
        <v>89901.9</v>
      </c>
      <c r="L3355" t="str">
        <f t="shared" si="208"/>
        <v>May</v>
      </c>
      <c r="M3355">
        <f t="shared" si="209"/>
        <v>2025</v>
      </c>
      <c r="N3355">
        <f t="shared" si="210"/>
        <v>89901.900000000009</v>
      </c>
      <c r="O3355" t="str">
        <f t="shared" si="211"/>
        <v>Major Delay</v>
      </c>
    </row>
    <row r="3356" spans="1:15" x14ac:dyDescent="0.25">
      <c r="A3356">
        <v>3355</v>
      </c>
      <c r="B3356" s="2">
        <v>45837</v>
      </c>
      <c r="C3356" t="s">
        <v>31</v>
      </c>
      <c r="D3356" t="s">
        <v>20</v>
      </c>
      <c r="E3356" t="s">
        <v>27</v>
      </c>
      <c r="F3356" t="s">
        <v>24</v>
      </c>
      <c r="G3356">
        <v>244</v>
      </c>
      <c r="H3356">
        <v>411.39</v>
      </c>
      <c r="I3356">
        <v>39</v>
      </c>
      <c r="J3356" t="s">
        <v>15</v>
      </c>
      <c r="K3356">
        <v>100379.16</v>
      </c>
      <c r="L3356" t="str">
        <f t="shared" si="208"/>
        <v>Jun</v>
      </c>
      <c r="M3356">
        <f t="shared" si="209"/>
        <v>2025</v>
      </c>
      <c r="N3356">
        <f t="shared" si="210"/>
        <v>100379.16</v>
      </c>
      <c r="O3356" t="str">
        <f t="shared" si="211"/>
        <v>Moderate Delay</v>
      </c>
    </row>
    <row r="3357" spans="1:15" x14ac:dyDescent="0.25">
      <c r="A3357">
        <v>3356</v>
      </c>
      <c r="B3357" s="2">
        <v>45874</v>
      </c>
      <c r="C3357" t="s">
        <v>11</v>
      </c>
      <c r="D3357" t="s">
        <v>13</v>
      </c>
      <c r="E3357" t="s">
        <v>23</v>
      </c>
      <c r="F3357" t="s">
        <v>24</v>
      </c>
      <c r="G3357">
        <v>127</v>
      </c>
      <c r="H3357">
        <v>563.20000000000005</v>
      </c>
      <c r="I3357">
        <v>4</v>
      </c>
      <c r="J3357" t="s">
        <v>15</v>
      </c>
      <c r="K3357">
        <v>71526.399999999994</v>
      </c>
      <c r="L3357" t="str">
        <f t="shared" si="208"/>
        <v>Aug</v>
      </c>
      <c r="M3357">
        <f t="shared" si="209"/>
        <v>2025</v>
      </c>
      <c r="N3357">
        <f t="shared" si="210"/>
        <v>71526.400000000009</v>
      </c>
      <c r="O3357" t="str">
        <f t="shared" si="211"/>
        <v>Minor Delay</v>
      </c>
    </row>
    <row r="3358" spans="1:15" x14ac:dyDescent="0.25">
      <c r="A3358">
        <v>3357</v>
      </c>
      <c r="B3358" s="2">
        <v>45918</v>
      </c>
      <c r="C3358" t="s">
        <v>31</v>
      </c>
      <c r="D3358" t="s">
        <v>23</v>
      </c>
      <c r="E3358" t="s">
        <v>20</v>
      </c>
      <c r="F3358" t="s">
        <v>24</v>
      </c>
      <c r="G3358">
        <v>241</v>
      </c>
      <c r="H3358">
        <v>606.66999999999996</v>
      </c>
      <c r="I3358">
        <v>20</v>
      </c>
      <c r="J3358" t="s">
        <v>15</v>
      </c>
      <c r="K3358">
        <v>146207.47</v>
      </c>
      <c r="L3358" t="str">
        <f t="shared" si="208"/>
        <v>Sep</v>
      </c>
      <c r="M3358">
        <f t="shared" si="209"/>
        <v>2025</v>
      </c>
      <c r="N3358">
        <f t="shared" si="210"/>
        <v>146207.47</v>
      </c>
      <c r="O3358" t="str">
        <f t="shared" si="211"/>
        <v>Minor Delay</v>
      </c>
    </row>
    <row r="3359" spans="1:15" x14ac:dyDescent="0.25">
      <c r="A3359">
        <v>3358</v>
      </c>
      <c r="B3359" s="2">
        <v>45771</v>
      </c>
      <c r="C3359" t="s">
        <v>26</v>
      </c>
      <c r="D3359" t="s">
        <v>29</v>
      </c>
      <c r="E3359" t="s">
        <v>23</v>
      </c>
      <c r="F3359" t="s">
        <v>24</v>
      </c>
      <c r="G3359">
        <v>223</v>
      </c>
      <c r="H3359">
        <v>372.04</v>
      </c>
      <c r="I3359">
        <v>31</v>
      </c>
      <c r="J3359" t="s">
        <v>15</v>
      </c>
      <c r="K3359">
        <v>82964.92</v>
      </c>
      <c r="L3359" t="str">
        <f t="shared" si="208"/>
        <v>Apr</v>
      </c>
      <c r="M3359">
        <f t="shared" si="209"/>
        <v>2025</v>
      </c>
      <c r="N3359">
        <f t="shared" si="210"/>
        <v>82964.92</v>
      </c>
      <c r="O3359" t="str">
        <f t="shared" si="211"/>
        <v>Moderate Delay</v>
      </c>
    </row>
    <row r="3360" spans="1:15" x14ac:dyDescent="0.25">
      <c r="A3360">
        <v>3359</v>
      </c>
      <c r="B3360" s="2">
        <v>45770</v>
      </c>
      <c r="C3360" t="s">
        <v>16</v>
      </c>
      <c r="D3360" t="s">
        <v>13</v>
      </c>
      <c r="E3360" t="s">
        <v>27</v>
      </c>
      <c r="F3360" t="s">
        <v>24</v>
      </c>
      <c r="G3360">
        <v>127</v>
      </c>
      <c r="H3360">
        <v>267.16000000000003</v>
      </c>
      <c r="I3360">
        <v>2</v>
      </c>
      <c r="J3360" t="s">
        <v>15</v>
      </c>
      <c r="K3360">
        <v>33929.32</v>
      </c>
      <c r="L3360" t="str">
        <f t="shared" si="208"/>
        <v>Apr</v>
      </c>
      <c r="M3360">
        <f t="shared" si="209"/>
        <v>2025</v>
      </c>
      <c r="N3360">
        <f t="shared" si="210"/>
        <v>33929.32</v>
      </c>
      <c r="O3360" t="str">
        <f t="shared" si="211"/>
        <v>Minor Delay</v>
      </c>
    </row>
    <row r="3361" spans="1:15" x14ac:dyDescent="0.25">
      <c r="A3361">
        <v>3360</v>
      </c>
      <c r="B3361" s="2">
        <v>45856</v>
      </c>
      <c r="C3361" t="s">
        <v>11</v>
      </c>
      <c r="D3361" t="s">
        <v>17</v>
      </c>
      <c r="E3361" t="s">
        <v>29</v>
      </c>
      <c r="F3361" t="s">
        <v>24</v>
      </c>
      <c r="G3361">
        <v>163</v>
      </c>
      <c r="H3361">
        <v>458.26</v>
      </c>
      <c r="I3361">
        <v>41</v>
      </c>
      <c r="J3361" t="s">
        <v>15</v>
      </c>
      <c r="K3361">
        <v>74696.38</v>
      </c>
      <c r="L3361" t="str">
        <f t="shared" si="208"/>
        <v>Jul</v>
      </c>
      <c r="M3361">
        <f t="shared" si="209"/>
        <v>2025</v>
      </c>
      <c r="N3361">
        <f t="shared" si="210"/>
        <v>74696.38</v>
      </c>
      <c r="O3361" t="str">
        <f t="shared" si="211"/>
        <v>Moderate Delay</v>
      </c>
    </row>
    <row r="3362" spans="1:15" x14ac:dyDescent="0.25">
      <c r="A3362">
        <v>3361</v>
      </c>
      <c r="B3362" s="2">
        <v>45911</v>
      </c>
      <c r="C3362" t="s">
        <v>26</v>
      </c>
      <c r="D3362" t="s">
        <v>27</v>
      </c>
      <c r="E3362" t="s">
        <v>20</v>
      </c>
      <c r="F3362" t="s">
        <v>24</v>
      </c>
      <c r="G3362">
        <v>297</v>
      </c>
      <c r="H3362">
        <v>632.29999999999995</v>
      </c>
      <c r="I3362">
        <v>5</v>
      </c>
      <c r="J3362" t="s">
        <v>15</v>
      </c>
      <c r="K3362">
        <v>187793.1</v>
      </c>
      <c r="L3362" t="str">
        <f t="shared" si="208"/>
        <v>Sep</v>
      </c>
      <c r="M3362">
        <f t="shared" si="209"/>
        <v>2025</v>
      </c>
      <c r="N3362">
        <f t="shared" si="210"/>
        <v>187793.09999999998</v>
      </c>
      <c r="O3362" t="str">
        <f t="shared" si="211"/>
        <v>Minor Delay</v>
      </c>
    </row>
    <row r="3363" spans="1:15" x14ac:dyDescent="0.25">
      <c r="A3363">
        <v>3362</v>
      </c>
      <c r="B3363" s="2">
        <v>45915</v>
      </c>
      <c r="C3363" t="s">
        <v>25</v>
      </c>
      <c r="D3363" t="s">
        <v>19</v>
      </c>
      <c r="E3363" t="s">
        <v>22</v>
      </c>
      <c r="F3363" t="s">
        <v>24</v>
      </c>
      <c r="G3363">
        <v>85</v>
      </c>
      <c r="H3363">
        <v>494.7</v>
      </c>
      <c r="I3363">
        <v>34</v>
      </c>
      <c r="J3363" t="s">
        <v>30</v>
      </c>
      <c r="K3363">
        <v>42049.5</v>
      </c>
      <c r="L3363" t="str">
        <f t="shared" si="208"/>
        <v>Sep</v>
      </c>
      <c r="M3363">
        <f t="shared" si="209"/>
        <v>2025</v>
      </c>
      <c r="N3363">
        <f t="shared" si="210"/>
        <v>42049.5</v>
      </c>
      <c r="O3363" t="str">
        <f t="shared" si="211"/>
        <v>Moderate Delay</v>
      </c>
    </row>
    <row r="3364" spans="1:15" x14ac:dyDescent="0.25">
      <c r="A3364">
        <v>3363</v>
      </c>
      <c r="B3364" s="2">
        <v>45787</v>
      </c>
      <c r="C3364" t="s">
        <v>16</v>
      </c>
      <c r="D3364" t="s">
        <v>20</v>
      </c>
      <c r="E3364" t="s">
        <v>27</v>
      </c>
      <c r="F3364" t="s">
        <v>14</v>
      </c>
      <c r="G3364">
        <v>171</v>
      </c>
      <c r="H3364">
        <v>348.08</v>
      </c>
      <c r="I3364">
        <v>0</v>
      </c>
      <c r="J3364" t="s">
        <v>15</v>
      </c>
      <c r="K3364">
        <v>59521.68</v>
      </c>
      <c r="L3364" t="str">
        <f t="shared" si="208"/>
        <v>May</v>
      </c>
      <c r="M3364">
        <f t="shared" si="209"/>
        <v>2025</v>
      </c>
      <c r="N3364">
        <f t="shared" si="210"/>
        <v>59521.68</v>
      </c>
      <c r="O3364" t="str">
        <f t="shared" si="211"/>
        <v>On Time</v>
      </c>
    </row>
    <row r="3365" spans="1:15" x14ac:dyDescent="0.25">
      <c r="A3365">
        <v>3364</v>
      </c>
      <c r="B3365" s="2">
        <v>45903</v>
      </c>
      <c r="C3365" t="s">
        <v>18</v>
      </c>
      <c r="D3365" t="s">
        <v>29</v>
      </c>
      <c r="E3365" t="s">
        <v>13</v>
      </c>
      <c r="F3365" t="s">
        <v>24</v>
      </c>
      <c r="G3365">
        <v>140</v>
      </c>
      <c r="H3365">
        <v>119.58</v>
      </c>
      <c r="I3365">
        <v>33</v>
      </c>
      <c r="J3365" t="s">
        <v>15</v>
      </c>
      <c r="K3365">
        <v>16741.2</v>
      </c>
      <c r="L3365" t="str">
        <f t="shared" si="208"/>
        <v>Sep</v>
      </c>
      <c r="M3365">
        <f t="shared" si="209"/>
        <v>2025</v>
      </c>
      <c r="N3365">
        <f t="shared" si="210"/>
        <v>16741.2</v>
      </c>
      <c r="O3365" t="str">
        <f t="shared" si="211"/>
        <v>Moderate Delay</v>
      </c>
    </row>
    <row r="3366" spans="1:15" x14ac:dyDescent="0.25">
      <c r="A3366">
        <v>3365</v>
      </c>
      <c r="B3366" s="2">
        <v>45810</v>
      </c>
      <c r="C3366" t="s">
        <v>16</v>
      </c>
      <c r="D3366" t="s">
        <v>22</v>
      </c>
      <c r="E3366" t="s">
        <v>19</v>
      </c>
      <c r="F3366" t="s">
        <v>14</v>
      </c>
      <c r="G3366">
        <v>131</v>
      </c>
      <c r="H3366">
        <v>618.24</v>
      </c>
      <c r="I3366">
        <v>23</v>
      </c>
      <c r="J3366" t="s">
        <v>15</v>
      </c>
      <c r="K3366">
        <v>80989.440000000002</v>
      </c>
      <c r="L3366" t="str">
        <f t="shared" si="208"/>
        <v>Jun</v>
      </c>
      <c r="M3366">
        <f t="shared" si="209"/>
        <v>2025</v>
      </c>
      <c r="N3366">
        <f t="shared" si="210"/>
        <v>80989.440000000002</v>
      </c>
      <c r="O3366" t="str">
        <f t="shared" si="211"/>
        <v>Minor Delay</v>
      </c>
    </row>
    <row r="3367" spans="1:15" x14ac:dyDescent="0.25">
      <c r="A3367">
        <v>3366</v>
      </c>
      <c r="B3367" s="2">
        <v>45987</v>
      </c>
      <c r="C3367" t="s">
        <v>25</v>
      </c>
      <c r="D3367" t="s">
        <v>13</v>
      </c>
      <c r="E3367" t="s">
        <v>12</v>
      </c>
      <c r="F3367" t="s">
        <v>14</v>
      </c>
      <c r="G3367">
        <v>196</v>
      </c>
      <c r="H3367">
        <v>689.82</v>
      </c>
      <c r="I3367">
        <v>0</v>
      </c>
      <c r="J3367" t="s">
        <v>15</v>
      </c>
      <c r="K3367">
        <v>135204.72</v>
      </c>
      <c r="L3367" t="str">
        <f t="shared" si="208"/>
        <v>Nov</v>
      </c>
      <c r="M3367">
        <f t="shared" si="209"/>
        <v>2025</v>
      </c>
      <c r="N3367">
        <f t="shared" si="210"/>
        <v>135204.72</v>
      </c>
      <c r="O3367" t="str">
        <f t="shared" si="211"/>
        <v>On Time</v>
      </c>
    </row>
    <row r="3368" spans="1:15" x14ac:dyDescent="0.25">
      <c r="A3368">
        <v>3367</v>
      </c>
      <c r="B3368" s="2">
        <v>45861</v>
      </c>
      <c r="C3368" t="s">
        <v>26</v>
      </c>
      <c r="D3368" t="s">
        <v>17</v>
      </c>
      <c r="E3368" t="s">
        <v>22</v>
      </c>
      <c r="F3368" t="s">
        <v>21</v>
      </c>
      <c r="G3368">
        <v>179</v>
      </c>
      <c r="H3368">
        <v>171.01</v>
      </c>
      <c r="I3368">
        <v>18</v>
      </c>
      <c r="J3368" t="s">
        <v>15</v>
      </c>
      <c r="K3368">
        <v>30610.79</v>
      </c>
      <c r="L3368" t="str">
        <f t="shared" si="208"/>
        <v>Jul</v>
      </c>
      <c r="M3368">
        <f t="shared" si="209"/>
        <v>2025</v>
      </c>
      <c r="N3368">
        <f t="shared" si="210"/>
        <v>30610.789999999997</v>
      </c>
      <c r="O3368" t="str">
        <f t="shared" si="211"/>
        <v>Minor Delay</v>
      </c>
    </row>
    <row r="3369" spans="1:15" x14ac:dyDescent="0.25">
      <c r="A3369">
        <v>3368</v>
      </c>
      <c r="B3369" s="2">
        <v>45993</v>
      </c>
      <c r="C3369" t="s">
        <v>25</v>
      </c>
      <c r="D3369" t="s">
        <v>27</v>
      </c>
      <c r="E3369" t="s">
        <v>22</v>
      </c>
      <c r="F3369" t="s">
        <v>24</v>
      </c>
      <c r="G3369">
        <v>143</v>
      </c>
      <c r="H3369">
        <v>242.04</v>
      </c>
      <c r="I3369">
        <v>0</v>
      </c>
      <c r="J3369" t="s">
        <v>30</v>
      </c>
      <c r="K3369">
        <v>34611.72</v>
      </c>
      <c r="L3369" t="str">
        <f t="shared" si="208"/>
        <v>Dec</v>
      </c>
      <c r="M3369">
        <f t="shared" si="209"/>
        <v>2025</v>
      </c>
      <c r="N3369">
        <f t="shared" si="210"/>
        <v>34611.72</v>
      </c>
      <c r="O3369" t="str">
        <f t="shared" si="211"/>
        <v>On Time</v>
      </c>
    </row>
    <row r="3370" spans="1:15" x14ac:dyDescent="0.25">
      <c r="A3370">
        <v>3369</v>
      </c>
      <c r="B3370" s="2">
        <v>45868</v>
      </c>
      <c r="C3370" t="s">
        <v>18</v>
      </c>
      <c r="D3370" t="s">
        <v>19</v>
      </c>
      <c r="E3370" t="s">
        <v>29</v>
      </c>
      <c r="F3370" t="s">
        <v>14</v>
      </c>
      <c r="G3370">
        <v>211</v>
      </c>
      <c r="H3370">
        <v>565.82000000000005</v>
      </c>
      <c r="I3370">
        <v>56</v>
      </c>
      <c r="J3370" t="s">
        <v>30</v>
      </c>
      <c r="K3370">
        <v>119388.02</v>
      </c>
      <c r="L3370" t="str">
        <f t="shared" si="208"/>
        <v>Jul</v>
      </c>
      <c r="M3370">
        <f t="shared" si="209"/>
        <v>2025</v>
      </c>
      <c r="N3370">
        <f t="shared" si="210"/>
        <v>119388.02</v>
      </c>
      <c r="O3370" t="str">
        <f t="shared" si="211"/>
        <v>Moderate Delay</v>
      </c>
    </row>
    <row r="3371" spans="1:15" x14ac:dyDescent="0.25">
      <c r="A3371">
        <v>3370</v>
      </c>
      <c r="B3371" s="2">
        <v>45896</v>
      </c>
      <c r="C3371" t="s">
        <v>16</v>
      </c>
      <c r="D3371" t="s">
        <v>13</v>
      </c>
      <c r="E3371" t="s">
        <v>22</v>
      </c>
      <c r="F3371" t="s">
        <v>21</v>
      </c>
      <c r="G3371">
        <v>238</v>
      </c>
      <c r="H3371">
        <v>118.22</v>
      </c>
      <c r="I3371">
        <v>0</v>
      </c>
      <c r="J3371" t="s">
        <v>15</v>
      </c>
      <c r="K3371">
        <v>28136.36</v>
      </c>
      <c r="L3371" t="str">
        <f t="shared" si="208"/>
        <v>Aug</v>
      </c>
      <c r="M3371">
        <f t="shared" si="209"/>
        <v>2025</v>
      </c>
      <c r="N3371">
        <f t="shared" si="210"/>
        <v>28136.36</v>
      </c>
      <c r="O3371" t="str">
        <f t="shared" si="211"/>
        <v>On Time</v>
      </c>
    </row>
    <row r="3372" spans="1:15" x14ac:dyDescent="0.25">
      <c r="A3372">
        <v>3371</v>
      </c>
      <c r="B3372" s="2">
        <v>45957</v>
      </c>
      <c r="C3372" t="s">
        <v>25</v>
      </c>
      <c r="D3372" t="s">
        <v>19</v>
      </c>
      <c r="E3372" t="s">
        <v>22</v>
      </c>
      <c r="F3372" t="s">
        <v>24</v>
      </c>
      <c r="G3372">
        <v>261</v>
      </c>
      <c r="H3372">
        <v>371.85</v>
      </c>
      <c r="I3372">
        <v>53</v>
      </c>
      <c r="J3372" t="s">
        <v>15</v>
      </c>
      <c r="K3372">
        <v>97052.85</v>
      </c>
      <c r="L3372" t="str">
        <f t="shared" si="208"/>
        <v>Oct</v>
      </c>
      <c r="M3372">
        <f t="shared" si="209"/>
        <v>2025</v>
      </c>
      <c r="N3372">
        <f t="shared" si="210"/>
        <v>97052.85</v>
      </c>
      <c r="O3372" t="str">
        <f t="shared" si="211"/>
        <v>Moderate Delay</v>
      </c>
    </row>
    <row r="3373" spans="1:15" x14ac:dyDescent="0.25">
      <c r="A3373">
        <v>3372</v>
      </c>
      <c r="B3373" s="2">
        <v>45699</v>
      </c>
      <c r="C3373" t="s">
        <v>16</v>
      </c>
      <c r="D3373" t="s">
        <v>17</v>
      </c>
      <c r="E3373" t="s">
        <v>22</v>
      </c>
      <c r="F3373" t="s">
        <v>21</v>
      </c>
      <c r="G3373">
        <v>76</v>
      </c>
      <c r="H3373">
        <v>565.30999999999995</v>
      </c>
      <c r="I3373">
        <v>38</v>
      </c>
      <c r="J3373" t="s">
        <v>15</v>
      </c>
      <c r="K3373">
        <v>42963.56</v>
      </c>
      <c r="L3373" t="str">
        <f t="shared" si="208"/>
        <v>Feb</v>
      </c>
      <c r="M3373">
        <f t="shared" si="209"/>
        <v>2025</v>
      </c>
      <c r="N3373">
        <f t="shared" si="210"/>
        <v>42963.56</v>
      </c>
      <c r="O3373" t="str">
        <f t="shared" si="211"/>
        <v>Moderate Delay</v>
      </c>
    </row>
    <row r="3374" spans="1:15" x14ac:dyDescent="0.25">
      <c r="A3374">
        <v>3373</v>
      </c>
      <c r="B3374" s="2">
        <v>45799</v>
      </c>
      <c r="C3374" t="s">
        <v>18</v>
      </c>
      <c r="D3374" t="s">
        <v>19</v>
      </c>
      <c r="E3374" t="s">
        <v>27</v>
      </c>
      <c r="F3374" t="s">
        <v>24</v>
      </c>
      <c r="G3374">
        <v>69</v>
      </c>
      <c r="H3374">
        <v>290.85000000000002</v>
      </c>
      <c r="I3374">
        <v>10</v>
      </c>
      <c r="J3374" t="s">
        <v>30</v>
      </c>
      <c r="K3374">
        <v>20068.650000000001</v>
      </c>
      <c r="L3374" t="str">
        <f t="shared" si="208"/>
        <v>May</v>
      </c>
      <c r="M3374">
        <f t="shared" si="209"/>
        <v>2025</v>
      </c>
      <c r="N3374">
        <f t="shared" si="210"/>
        <v>20068.650000000001</v>
      </c>
      <c r="O3374" t="str">
        <f t="shared" si="211"/>
        <v>Minor Delay</v>
      </c>
    </row>
    <row r="3375" spans="1:15" x14ac:dyDescent="0.25">
      <c r="A3375">
        <v>3374</v>
      </c>
      <c r="B3375" s="2">
        <v>45919</v>
      </c>
      <c r="C3375" t="s">
        <v>18</v>
      </c>
      <c r="D3375" t="s">
        <v>27</v>
      </c>
      <c r="E3375" t="s">
        <v>17</v>
      </c>
      <c r="F3375" t="s">
        <v>21</v>
      </c>
      <c r="G3375">
        <v>50</v>
      </c>
      <c r="H3375">
        <v>267.69</v>
      </c>
      <c r="I3375">
        <v>45</v>
      </c>
      <c r="J3375" t="s">
        <v>15</v>
      </c>
      <c r="K3375">
        <v>13384.5</v>
      </c>
      <c r="L3375" t="str">
        <f t="shared" si="208"/>
        <v>Sep</v>
      </c>
      <c r="M3375">
        <f t="shared" si="209"/>
        <v>2025</v>
      </c>
      <c r="N3375">
        <f t="shared" si="210"/>
        <v>13384.5</v>
      </c>
      <c r="O3375" t="str">
        <f t="shared" si="211"/>
        <v>Moderate Delay</v>
      </c>
    </row>
    <row r="3376" spans="1:15" x14ac:dyDescent="0.25">
      <c r="A3376">
        <v>3375</v>
      </c>
      <c r="B3376" s="2">
        <v>46001</v>
      </c>
      <c r="C3376" t="s">
        <v>25</v>
      </c>
      <c r="D3376" t="s">
        <v>17</v>
      </c>
      <c r="E3376" t="s">
        <v>20</v>
      </c>
      <c r="F3376" t="s">
        <v>24</v>
      </c>
      <c r="G3376">
        <v>190</v>
      </c>
      <c r="H3376">
        <v>715.22</v>
      </c>
      <c r="I3376">
        <v>18</v>
      </c>
      <c r="J3376" t="s">
        <v>15</v>
      </c>
      <c r="K3376">
        <v>135891.79999999999</v>
      </c>
      <c r="L3376" t="str">
        <f t="shared" si="208"/>
        <v>Dec</v>
      </c>
      <c r="M3376">
        <f t="shared" si="209"/>
        <v>2025</v>
      </c>
      <c r="N3376">
        <f t="shared" si="210"/>
        <v>135891.80000000002</v>
      </c>
      <c r="O3376" t="str">
        <f t="shared" si="211"/>
        <v>Minor Delay</v>
      </c>
    </row>
    <row r="3377" spans="1:15" x14ac:dyDescent="0.25">
      <c r="A3377">
        <v>3376</v>
      </c>
      <c r="B3377" s="2">
        <v>45864</v>
      </c>
      <c r="C3377" t="s">
        <v>26</v>
      </c>
      <c r="D3377" t="s">
        <v>29</v>
      </c>
      <c r="E3377" t="s">
        <v>17</v>
      </c>
      <c r="F3377" t="s">
        <v>21</v>
      </c>
      <c r="G3377">
        <v>200</v>
      </c>
      <c r="H3377">
        <v>337.45</v>
      </c>
      <c r="I3377">
        <v>15</v>
      </c>
      <c r="J3377" t="s">
        <v>15</v>
      </c>
      <c r="K3377">
        <v>67490</v>
      </c>
      <c r="L3377" t="str">
        <f t="shared" si="208"/>
        <v>Jul</v>
      </c>
      <c r="M3377">
        <f t="shared" si="209"/>
        <v>2025</v>
      </c>
      <c r="N3377">
        <f t="shared" si="210"/>
        <v>67490</v>
      </c>
      <c r="O3377" t="str">
        <f t="shared" si="211"/>
        <v>Minor Delay</v>
      </c>
    </row>
    <row r="3378" spans="1:15" x14ac:dyDescent="0.25">
      <c r="A3378">
        <v>3377</v>
      </c>
      <c r="B3378" s="2">
        <v>45742</v>
      </c>
      <c r="C3378" t="s">
        <v>25</v>
      </c>
      <c r="D3378" t="s">
        <v>12</v>
      </c>
      <c r="E3378" t="s">
        <v>22</v>
      </c>
      <c r="F3378" t="s">
        <v>14</v>
      </c>
      <c r="G3378">
        <v>227</v>
      </c>
      <c r="H3378">
        <v>231.35</v>
      </c>
      <c r="I3378">
        <v>15</v>
      </c>
      <c r="J3378" t="s">
        <v>15</v>
      </c>
      <c r="K3378">
        <v>52516.45</v>
      </c>
      <c r="L3378" t="str">
        <f t="shared" si="208"/>
        <v>Mar</v>
      </c>
      <c r="M3378">
        <f t="shared" si="209"/>
        <v>2025</v>
      </c>
      <c r="N3378">
        <f t="shared" si="210"/>
        <v>52516.45</v>
      </c>
      <c r="O3378" t="str">
        <f t="shared" si="211"/>
        <v>Minor Delay</v>
      </c>
    </row>
    <row r="3379" spans="1:15" x14ac:dyDescent="0.25">
      <c r="A3379">
        <v>3378</v>
      </c>
      <c r="B3379" s="2">
        <v>45666</v>
      </c>
      <c r="C3379" t="s">
        <v>26</v>
      </c>
      <c r="D3379" t="s">
        <v>17</v>
      </c>
      <c r="E3379" t="s">
        <v>23</v>
      </c>
      <c r="F3379" t="s">
        <v>24</v>
      </c>
      <c r="G3379">
        <v>264</v>
      </c>
      <c r="H3379">
        <v>416.07</v>
      </c>
      <c r="I3379">
        <v>0</v>
      </c>
      <c r="J3379" t="s">
        <v>15</v>
      </c>
      <c r="K3379">
        <v>109842.48</v>
      </c>
      <c r="L3379" t="str">
        <f t="shared" si="208"/>
        <v>Jan</v>
      </c>
      <c r="M3379">
        <f t="shared" si="209"/>
        <v>2025</v>
      </c>
      <c r="N3379">
        <f t="shared" si="210"/>
        <v>109842.48</v>
      </c>
      <c r="O3379" t="str">
        <f t="shared" si="211"/>
        <v>On Time</v>
      </c>
    </row>
    <row r="3380" spans="1:15" x14ac:dyDescent="0.25">
      <c r="A3380">
        <v>3379</v>
      </c>
      <c r="B3380" s="2">
        <v>45747</v>
      </c>
      <c r="C3380" t="s">
        <v>11</v>
      </c>
      <c r="D3380" t="s">
        <v>27</v>
      </c>
      <c r="E3380" t="s">
        <v>17</v>
      </c>
      <c r="F3380" t="s">
        <v>14</v>
      </c>
      <c r="G3380">
        <v>114</v>
      </c>
      <c r="H3380">
        <v>100.55</v>
      </c>
      <c r="I3380">
        <v>66</v>
      </c>
      <c r="J3380" t="s">
        <v>15</v>
      </c>
      <c r="K3380">
        <v>11462.7</v>
      </c>
      <c r="L3380" t="str">
        <f t="shared" si="208"/>
        <v>Mar</v>
      </c>
      <c r="M3380">
        <f t="shared" si="209"/>
        <v>2025</v>
      </c>
      <c r="N3380">
        <f t="shared" si="210"/>
        <v>11462.699999999999</v>
      </c>
      <c r="O3380" t="str">
        <f t="shared" si="211"/>
        <v>Major Delay</v>
      </c>
    </row>
    <row r="3381" spans="1:15" x14ac:dyDescent="0.25">
      <c r="A3381">
        <v>3380</v>
      </c>
      <c r="B3381" s="2">
        <v>45815</v>
      </c>
      <c r="C3381" t="s">
        <v>18</v>
      </c>
      <c r="D3381" t="s">
        <v>17</v>
      </c>
      <c r="E3381" t="s">
        <v>13</v>
      </c>
      <c r="F3381" t="s">
        <v>24</v>
      </c>
      <c r="G3381">
        <v>165</v>
      </c>
      <c r="H3381">
        <v>702.03</v>
      </c>
      <c r="I3381">
        <v>40</v>
      </c>
      <c r="J3381" t="s">
        <v>15</v>
      </c>
      <c r="K3381">
        <v>115834.95</v>
      </c>
      <c r="L3381" t="str">
        <f t="shared" si="208"/>
        <v>Jun</v>
      </c>
      <c r="M3381">
        <f t="shared" si="209"/>
        <v>2025</v>
      </c>
      <c r="N3381">
        <f t="shared" si="210"/>
        <v>115834.95</v>
      </c>
      <c r="O3381" t="str">
        <f t="shared" si="211"/>
        <v>Moderate Delay</v>
      </c>
    </row>
    <row r="3382" spans="1:15" x14ac:dyDescent="0.25">
      <c r="A3382">
        <v>3381</v>
      </c>
      <c r="B3382" s="2">
        <v>45890</v>
      </c>
      <c r="C3382" t="s">
        <v>25</v>
      </c>
      <c r="D3382" t="s">
        <v>12</v>
      </c>
      <c r="E3382" t="s">
        <v>22</v>
      </c>
      <c r="F3382" t="s">
        <v>21</v>
      </c>
      <c r="G3382">
        <v>178</v>
      </c>
      <c r="H3382">
        <v>311.29000000000002</v>
      </c>
      <c r="I3382">
        <v>18</v>
      </c>
      <c r="J3382" t="s">
        <v>15</v>
      </c>
      <c r="K3382">
        <v>55409.62</v>
      </c>
      <c r="L3382" t="str">
        <f t="shared" si="208"/>
        <v>Aug</v>
      </c>
      <c r="M3382">
        <f t="shared" si="209"/>
        <v>2025</v>
      </c>
      <c r="N3382">
        <f t="shared" si="210"/>
        <v>55409.62</v>
      </c>
      <c r="O3382" t="str">
        <f t="shared" si="211"/>
        <v>Minor Delay</v>
      </c>
    </row>
    <row r="3383" spans="1:15" x14ac:dyDescent="0.25">
      <c r="A3383">
        <v>3382</v>
      </c>
      <c r="B3383" s="2">
        <v>45754</v>
      </c>
      <c r="C3383" t="s">
        <v>26</v>
      </c>
      <c r="D3383" t="s">
        <v>29</v>
      </c>
      <c r="E3383" t="s">
        <v>13</v>
      </c>
      <c r="F3383" t="s">
        <v>21</v>
      </c>
      <c r="G3383">
        <v>117</v>
      </c>
      <c r="H3383">
        <v>268.7</v>
      </c>
      <c r="I3383">
        <v>41</v>
      </c>
      <c r="J3383" t="s">
        <v>15</v>
      </c>
      <c r="K3383">
        <v>31437.9</v>
      </c>
      <c r="L3383" t="str">
        <f t="shared" si="208"/>
        <v>Apr</v>
      </c>
      <c r="M3383">
        <f t="shared" si="209"/>
        <v>2025</v>
      </c>
      <c r="N3383">
        <f t="shared" si="210"/>
        <v>31437.899999999998</v>
      </c>
      <c r="O3383" t="str">
        <f t="shared" si="211"/>
        <v>Moderate Delay</v>
      </c>
    </row>
    <row r="3384" spans="1:15" x14ac:dyDescent="0.25">
      <c r="A3384">
        <v>3383</v>
      </c>
      <c r="B3384" s="2">
        <v>45916</v>
      </c>
      <c r="C3384" t="s">
        <v>18</v>
      </c>
      <c r="D3384" t="s">
        <v>29</v>
      </c>
      <c r="E3384" t="s">
        <v>23</v>
      </c>
      <c r="F3384" t="s">
        <v>21</v>
      </c>
      <c r="G3384">
        <v>107</v>
      </c>
      <c r="H3384">
        <v>680.34</v>
      </c>
      <c r="I3384">
        <v>50</v>
      </c>
      <c r="J3384" t="s">
        <v>15</v>
      </c>
      <c r="K3384">
        <v>72796.38</v>
      </c>
      <c r="L3384" t="str">
        <f t="shared" si="208"/>
        <v>Sep</v>
      </c>
      <c r="M3384">
        <f t="shared" si="209"/>
        <v>2025</v>
      </c>
      <c r="N3384">
        <f t="shared" si="210"/>
        <v>72796.38</v>
      </c>
      <c r="O3384" t="str">
        <f t="shared" si="211"/>
        <v>Moderate Delay</v>
      </c>
    </row>
    <row r="3385" spans="1:15" x14ac:dyDescent="0.25">
      <c r="A3385">
        <v>3384</v>
      </c>
      <c r="B3385" s="2">
        <v>45816</v>
      </c>
      <c r="C3385" t="s">
        <v>18</v>
      </c>
      <c r="D3385" t="s">
        <v>17</v>
      </c>
      <c r="E3385" t="s">
        <v>20</v>
      </c>
      <c r="F3385" t="s">
        <v>24</v>
      </c>
      <c r="G3385">
        <v>127</v>
      </c>
      <c r="H3385">
        <v>130.68</v>
      </c>
      <c r="I3385">
        <v>18</v>
      </c>
      <c r="J3385" t="s">
        <v>15</v>
      </c>
      <c r="K3385">
        <v>16596.36</v>
      </c>
      <c r="L3385" t="str">
        <f t="shared" si="208"/>
        <v>Jun</v>
      </c>
      <c r="M3385">
        <f t="shared" si="209"/>
        <v>2025</v>
      </c>
      <c r="N3385">
        <f t="shared" si="210"/>
        <v>16596.36</v>
      </c>
      <c r="O3385" t="str">
        <f t="shared" si="211"/>
        <v>Minor Delay</v>
      </c>
    </row>
    <row r="3386" spans="1:15" x14ac:dyDescent="0.25">
      <c r="A3386">
        <v>3385</v>
      </c>
      <c r="B3386" s="2">
        <v>45697</v>
      </c>
      <c r="C3386" t="s">
        <v>31</v>
      </c>
      <c r="D3386" t="s">
        <v>19</v>
      </c>
      <c r="E3386" t="s">
        <v>17</v>
      </c>
      <c r="F3386" t="s">
        <v>21</v>
      </c>
      <c r="G3386">
        <v>98</v>
      </c>
      <c r="H3386">
        <v>66.41</v>
      </c>
      <c r="I3386">
        <v>5</v>
      </c>
      <c r="J3386" t="s">
        <v>15</v>
      </c>
      <c r="K3386">
        <v>6508.18</v>
      </c>
      <c r="L3386" t="str">
        <f t="shared" si="208"/>
        <v>Feb</v>
      </c>
      <c r="M3386">
        <f t="shared" si="209"/>
        <v>2025</v>
      </c>
      <c r="N3386">
        <f t="shared" si="210"/>
        <v>6508.1799999999994</v>
      </c>
      <c r="O3386" t="str">
        <f t="shared" si="211"/>
        <v>Minor Delay</v>
      </c>
    </row>
    <row r="3387" spans="1:15" x14ac:dyDescent="0.25">
      <c r="A3387">
        <v>3386</v>
      </c>
      <c r="B3387" s="2">
        <v>45931</v>
      </c>
      <c r="C3387" t="s">
        <v>16</v>
      </c>
      <c r="D3387" t="s">
        <v>17</v>
      </c>
      <c r="E3387" t="s">
        <v>22</v>
      </c>
      <c r="F3387" t="s">
        <v>24</v>
      </c>
      <c r="G3387">
        <v>103</v>
      </c>
      <c r="H3387">
        <v>763.64</v>
      </c>
      <c r="I3387">
        <v>39</v>
      </c>
      <c r="J3387" t="s">
        <v>30</v>
      </c>
      <c r="K3387">
        <v>78654.92</v>
      </c>
      <c r="L3387" t="str">
        <f t="shared" si="208"/>
        <v>Oct</v>
      </c>
      <c r="M3387">
        <f t="shared" si="209"/>
        <v>2025</v>
      </c>
      <c r="N3387">
        <f t="shared" si="210"/>
        <v>78654.92</v>
      </c>
      <c r="O3387" t="str">
        <f t="shared" si="211"/>
        <v>Moderate Delay</v>
      </c>
    </row>
    <row r="3388" spans="1:15" x14ac:dyDescent="0.25">
      <c r="A3388">
        <v>3387</v>
      </c>
      <c r="B3388" s="2">
        <v>45984</v>
      </c>
      <c r="C3388" t="s">
        <v>11</v>
      </c>
      <c r="D3388" t="s">
        <v>27</v>
      </c>
      <c r="E3388" t="s">
        <v>22</v>
      </c>
      <c r="F3388" t="s">
        <v>21</v>
      </c>
      <c r="G3388">
        <v>80</v>
      </c>
      <c r="H3388">
        <v>421.83</v>
      </c>
      <c r="I3388">
        <v>1</v>
      </c>
      <c r="J3388" t="s">
        <v>15</v>
      </c>
      <c r="K3388">
        <v>33746.400000000001</v>
      </c>
      <c r="L3388" t="str">
        <f t="shared" si="208"/>
        <v>Nov</v>
      </c>
      <c r="M3388">
        <f t="shared" si="209"/>
        <v>2025</v>
      </c>
      <c r="N3388">
        <f t="shared" si="210"/>
        <v>33746.400000000001</v>
      </c>
      <c r="O3388" t="str">
        <f t="shared" si="211"/>
        <v>Minor Delay</v>
      </c>
    </row>
    <row r="3389" spans="1:15" x14ac:dyDescent="0.25">
      <c r="A3389">
        <v>3388</v>
      </c>
      <c r="B3389" s="2">
        <v>46019</v>
      </c>
      <c r="C3389" t="s">
        <v>25</v>
      </c>
      <c r="D3389" t="s">
        <v>13</v>
      </c>
      <c r="E3389" t="s">
        <v>22</v>
      </c>
      <c r="F3389" t="s">
        <v>14</v>
      </c>
      <c r="G3389">
        <v>284</v>
      </c>
      <c r="H3389">
        <v>186.4</v>
      </c>
      <c r="I3389">
        <v>6</v>
      </c>
      <c r="J3389" t="s">
        <v>28</v>
      </c>
      <c r="K3389">
        <v>52937.599999999999</v>
      </c>
      <c r="L3389" t="str">
        <f t="shared" si="208"/>
        <v>Dec</v>
      </c>
      <c r="M3389">
        <f t="shared" si="209"/>
        <v>2025</v>
      </c>
      <c r="N3389">
        <f t="shared" si="210"/>
        <v>52937.599999999999</v>
      </c>
      <c r="O3389" t="str">
        <f t="shared" si="211"/>
        <v>Minor Delay</v>
      </c>
    </row>
    <row r="3390" spans="1:15" x14ac:dyDescent="0.25">
      <c r="A3390">
        <v>3389</v>
      </c>
      <c r="B3390" s="2">
        <v>45842</v>
      </c>
      <c r="C3390" t="s">
        <v>31</v>
      </c>
      <c r="D3390" t="s">
        <v>17</v>
      </c>
      <c r="E3390" t="s">
        <v>22</v>
      </c>
      <c r="F3390" t="s">
        <v>14</v>
      </c>
      <c r="G3390">
        <v>146</v>
      </c>
      <c r="H3390">
        <v>400.93</v>
      </c>
      <c r="I3390">
        <v>20</v>
      </c>
      <c r="J3390" t="s">
        <v>15</v>
      </c>
      <c r="K3390">
        <v>58535.78</v>
      </c>
      <c r="L3390" t="str">
        <f t="shared" si="208"/>
        <v>Jul</v>
      </c>
      <c r="M3390">
        <f t="shared" si="209"/>
        <v>2025</v>
      </c>
      <c r="N3390">
        <f t="shared" si="210"/>
        <v>58535.78</v>
      </c>
      <c r="O3390" t="str">
        <f t="shared" si="211"/>
        <v>Minor Delay</v>
      </c>
    </row>
    <row r="3391" spans="1:15" x14ac:dyDescent="0.25">
      <c r="A3391">
        <v>3390</v>
      </c>
      <c r="B3391" s="2">
        <v>45817</v>
      </c>
      <c r="C3391" t="s">
        <v>31</v>
      </c>
      <c r="D3391" t="s">
        <v>12</v>
      </c>
      <c r="E3391" t="s">
        <v>23</v>
      </c>
      <c r="F3391" t="s">
        <v>21</v>
      </c>
      <c r="G3391">
        <v>73</v>
      </c>
      <c r="H3391">
        <v>465.32</v>
      </c>
      <c r="I3391">
        <v>4</v>
      </c>
      <c r="J3391" t="s">
        <v>15</v>
      </c>
      <c r="K3391">
        <v>33968.36</v>
      </c>
      <c r="L3391" t="str">
        <f t="shared" si="208"/>
        <v>Jun</v>
      </c>
      <c r="M3391">
        <f t="shared" si="209"/>
        <v>2025</v>
      </c>
      <c r="N3391">
        <f t="shared" si="210"/>
        <v>33968.36</v>
      </c>
      <c r="O3391" t="str">
        <f t="shared" si="211"/>
        <v>Minor Delay</v>
      </c>
    </row>
    <row r="3392" spans="1:15" x14ac:dyDescent="0.25">
      <c r="A3392">
        <v>3391</v>
      </c>
      <c r="B3392" s="2">
        <v>45758</v>
      </c>
      <c r="C3392" t="s">
        <v>31</v>
      </c>
      <c r="D3392" t="s">
        <v>13</v>
      </c>
      <c r="E3392" t="s">
        <v>12</v>
      </c>
      <c r="F3392" t="s">
        <v>14</v>
      </c>
      <c r="G3392">
        <v>259</v>
      </c>
      <c r="H3392">
        <v>251.07</v>
      </c>
      <c r="I3392">
        <v>5</v>
      </c>
      <c r="J3392" t="s">
        <v>15</v>
      </c>
      <c r="K3392">
        <v>65027.13</v>
      </c>
      <c r="L3392" t="str">
        <f t="shared" si="208"/>
        <v>Apr</v>
      </c>
      <c r="M3392">
        <f t="shared" si="209"/>
        <v>2025</v>
      </c>
      <c r="N3392">
        <f t="shared" si="210"/>
        <v>65027.13</v>
      </c>
      <c r="O3392" t="str">
        <f t="shared" si="211"/>
        <v>Minor Delay</v>
      </c>
    </row>
    <row r="3393" spans="1:15" x14ac:dyDescent="0.25">
      <c r="A3393">
        <v>3392</v>
      </c>
      <c r="B3393" s="2">
        <v>45738</v>
      </c>
      <c r="C3393" t="s">
        <v>16</v>
      </c>
      <c r="D3393" t="s">
        <v>29</v>
      </c>
      <c r="E3393" t="s">
        <v>22</v>
      </c>
      <c r="F3393" t="s">
        <v>21</v>
      </c>
      <c r="G3393">
        <v>205</v>
      </c>
      <c r="H3393">
        <v>708.46</v>
      </c>
      <c r="I3393">
        <v>32</v>
      </c>
      <c r="J3393" t="s">
        <v>15</v>
      </c>
      <c r="K3393">
        <v>145234.29999999999</v>
      </c>
      <c r="L3393" t="str">
        <f t="shared" si="208"/>
        <v>Mar</v>
      </c>
      <c r="M3393">
        <f t="shared" si="209"/>
        <v>2025</v>
      </c>
      <c r="N3393">
        <f t="shared" si="210"/>
        <v>145234.30000000002</v>
      </c>
      <c r="O3393" t="str">
        <f t="shared" si="211"/>
        <v>Moderate Delay</v>
      </c>
    </row>
    <row r="3394" spans="1:15" x14ac:dyDescent="0.25">
      <c r="A3394">
        <v>3393</v>
      </c>
      <c r="B3394" s="2">
        <v>45958</v>
      </c>
      <c r="C3394" t="s">
        <v>25</v>
      </c>
      <c r="D3394" t="s">
        <v>19</v>
      </c>
      <c r="E3394" t="s">
        <v>13</v>
      </c>
      <c r="F3394" t="s">
        <v>14</v>
      </c>
      <c r="G3394">
        <v>94</v>
      </c>
      <c r="H3394">
        <v>106.85</v>
      </c>
      <c r="I3394">
        <v>8</v>
      </c>
      <c r="J3394" t="s">
        <v>15</v>
      </c>
      <c r="K3394">
        <v>10043.9</v>
      </c>
      <c r="L3394" t="str">
        <f t="shared" si="208"/>
        <v>Oct</v>
      </c>
      <c r="M3394">
        <f t="shared" si="209"/>
        <v>2025</v>
      </c>
      <c r="N3394">
        <f t="shared" si="210"/>
        <v>10043.9</v>
      </c>
      <c r="O3394" t="str">
        <f t="shared" si="211"/>
        <v>Minor Delay</v>
      </c>
    </row>
    <row r="3395" spans="1:15" x14ac:dyDescent="0.25">
      <c r="A3395">
        <v>3394</v>
      </c>
      <c r="B3395" s="2">
        <v>45809</v>
      </c>
      <c r="C3395" t="s">
        <v>25</v>
      </c>
      <c r="D3395" t="s">
        <v>12</v>
      </c>
      <c r="E3395" t="s">
        <v>29</v>
      </c>
      <c r="F3395" t="s">
        <v>24</v>
      </c>
      <c r="G3395">
        <v>72</v>
      </c>
      <c r="H3395">
        <v>205.51</v>
      </c>
      <c r="I3395">
        <v>45</v>
      </c>
      <c r="J3395" t="s">
        <v>15</v>
      </c>
      <c r="K3395">
        <v>14796.72</v>
      </c>
      <c r="L3395" t="str">
        <f t="shared" ref="L3395:L3458" si="212">TEXT(B3395,"MMM")</f>
        <v>Jun</v>
      </c>
      <c r="M3395">
        <f t="shared" ref="M3395:M3458" si="213">YEAR(B3395)</f>
        <v>2025</v>
      </c>
      <c r="N3395">
        <f t="shared" ref="N3395:N3458" si="214">G3395*H3395</f>
        <v>14796.72</v>
      </c>
      <c r="O3395" t="str">
        <f t="shared" ref="O3395:O3458" si="215">IF(I3395=0,"On Time",IF(I3395&lt;=30,"Minor Delay",IF(I3395&lt;=60,"Moderate Delay","Major Delay")))</f>
        <v>Moderate Delay</v>
      </c>
    </row>
    <row r="3396" spans="1:15" x14ac:dyDescent="0.25">
      <c r="A3396">
        <v>3395</v>
      </c>
      <c r="B3396" s="2">
        <v>45758</v>
      </c>
      <c r="C3396" t="s">
        <v>16</v>
      </c>
      <c r="D3396" t="s">
        <v>22</v>
      </c>
      <c r="E3396" t="s">
        <v>17</v>
      </c>
      <c r="F3396" t="s">
        <v>14</v>
      </c>
      <c r="G3396">
        <v>132</v>
      </c>
      <c r="H3396">
        <v>225.36</v>
      </c>
      <c r="I3396">
        <v>36</v>
      </c>
      <c r="J3396" t="s">
        <v>15</v>
      </c>
      <c r="K3396">
        <v>29747.52</v>
      </c>
      <c r="L3396" t="str">
        <f t="shared" si="212"/>
        <v>Apr</v>
      </c>
      <c r="M3396">
        <f t="shared" si="213"/>
        <v>2025</v>
      </c>
      <c r="N3396">
        <f t="shared" si="214"/>
        <v>29747.52</v>
      </c>
      <c r="O3396" t="str">
        <f t="shared" si="215"/>
        <v>Moderate Delay</v>
      </c>
    </row>
    <row r="3397" spans="1:15" x14ac:dyDescent="0.25">
      <c r="A3397">
        <v>3396</v>
      </c>
      <c r="B3397" s="2">
        <v>45930</v>
      </c>
      <c r="C3397" t="s">
        <v>16</v>
      </c>
      <c r="D3397" t="s">
        <v>20</v>
      </c>
      <c r="E3397" t="s">
        <v>27</v>
      </c>
      <c r="F3397" t="s">
        <v>21</v>
      </c>
      <c r="G3397">
        <v>232</v>
      </c>
      <c r="H3397">
        <v>133.86000000000001</v>
      </c>
      <c r="I3397">
        <v>62</v>
      </c>
      <c r="J3397" t="s">
        <v>15</v>
      </c>
      <c r="K3397">
        <v>31055.52</v>
      </c>
      <c r="L3397" t="str">
        <f t="shared" si="212"/>
        <v>Sep</v>
      </c>
      <c r="M3397">
        <f t="shared" si="213"/>
        <v>2025</v>
      </c>
      <c r="N3397">
        <f t="shared" si="214"/>
        <v>31055.520000000004</v>
      </c>
      <c r="O3397" t="str">
        <f t="shared" si="215"/>
        <v>Major Delay</v>
      </c>
    </row>
    <row r="3398" spans="1:15" x14ac:dyDescent="0.25">
      <c r="A3398">
        <v>3397</v>
      </c>
      <c r="B3398" s="2">
        <v>45972</v>
      </c>
      <c r="C3398" t="s">
        <v>31</v>
      </c>
      <c r="D3398" t="s">
        <v>17</v>
      </c>
      <c r="E3398" t="s">
        <v>22</v>
      </c>
      <c r="F3398" t="s">
        <v>24</v>
      </c>
      <c r="G3398">
        <v>219</v>
      </c>
      <c r="H3398">
        <v>628.36</v>
      </c>
      <c r="I3398">
        <v>9</v>
      </c>
      <c r="J3398" t="s">
        <v>30</v>
      </c>
      <c r="K3398">
        <v>137610.84</v>
      </c>
      <c r="L3398" t="str">
        <f t="shared" si="212"/>
        <v>Nov</v>
      </c>
      <c r="M3398">
        <f t="shared" si="213"/>
        <v>2025</v>
      </c>
      <c r="N3398">
        <f t="shared" si="214"/>
        <v>137610.84</v>
      </c>
      <c r="O3398" t="str">
        <f t="shared" si="215"/>
        <v>Minor Delay</v>
      </c>
    </row>
    <row r="3399" spans="1:15" x14ac:dyDescent="0.25">
      <c r="A3399">
        <v>3398</v>
      </c>
      <c r="B3399" s="2">
        <v>45814</v>
      </c>
      <c r="C3399" t="s">
        <v>26</v>
      </c>
      <c r="D3399" t="s">
        <v>17</v>
      </c>
      <c r="E3399" t="s">
        <v>19</v>
      </c>
      <c r="F3399" t="s">
        <v>24</v>
      </c>
      <c r="G3399">
        <v>80</v>
      </c>
      <c r="H3399">
        <v>639.48</v>
      </c>
      <c r="I3399">
        <v>43</v>
      </c>
      <c r="J3399" t="s">
        <v>15</v>
      </c>
      <c r="K3399">
        <v>51158.400000000001</v>
      </c>
      <c r="L3399" t="str">
        <f t="shared" si="212"/>
        <v>Jun</v>
      </c>
      <c r="M3399">
        <f t="shared" si="213"/>
        <v>2025</v>
      </c>
      <c r="N3399">
        <f t="shared" si="214"/>
        <v>51158.400000000001</v>
      </c>
      <c r="O3399" t="str">
        <f t="shared" si="215"/>
        <v>Moderate Delay</v>
      </c>
    </row>
    <row r="3400" spans="1:15" x14ac:dyDescent="0.25">
      <c r="A3400">
        <v>3399</v>
      </c>
      <c r="B3400" s="2">
        <v>45730</v>
      </c>
      <c r="C3400" t="s">
        <v>18</v>
      </c>
      <c r="D3400" t="s">
        <v>29</v>
      </c>
      <c r="E3400" t="s">
        <v>12</v>
      </c>
      <c r="F3400" t="s">
        <v>21</v>
      </c>
      <c r="G3400">
        <v>269</v>
      </c>
      <c r="H3400">
        <v>729.58</v>
      </c>
      <c r="I3400">
        <v>18</v>
      </c>
      <c r="J3400" t="s">
        <v>15</v>
      </c>
      <c r="K3400">
        <v>196257.02</v>
      </c>
      <c r="L3400" t="str">
        <f t="shared" si="212"/>
        <v>Mar</v>
      </c>
      <c r="M3400">
        <f t="shared" si="213"/>
        <v>2025</v>
      </c>
      <c r="N3400">
        <f t="shared" si="214"/>
        <v>196257.02000000002</v>
      </c>
      <c r="O3400" t="str">
        <f t="shared" si="215"/>
        <v>Minor Delay</v>
      </c>
    </row>
    <row r="3401" spans="1:15" x14ac:dyDescent="0.25">
      <c r="A3401">
        <v>3400</v>
      </c>
      <c r="B3401" s="2">
        <v>45669</v>
      </c>
      <c r="C3401" t="s">
        <v>18</v>
      </c>
      <c r="D3401" t="s">
        <v>12</v>
      </c>
      <c r="E3401" t="s">
        <v>29</v>
      </c>
      <c r="F3401" t="s">
        <v>14</v>
      </c>
      <c r="G3401">
        <v>284</v>
      </c>
      <c r="H3401">
        <v>574.13</v>
      </c>
      <c r="I3401">
        <v>34</v>
      </c>
      <c r="J3401" t="s">
        <v>15</v>
      </c>
      <c r="K3401">
        <v>163052.92000000001</v>
      </c>
      <c r="L3401" t="str">
        <f t="shared" si="212"/>
        <v>Jan</v>
      </c>
      <c r="M3401">
        <f t="shared" si="213"/>
        <v>2025</v>
      </c>
      <c r="N3401">
        <f t="shared" si="214"/>
        <v>163052.92000000001</v>
      </c>
      <c r="O3401" t="str">
        <f t="shared" si="215"/>
        <v>Moderate Delay</v>
      </c>
    </row>
    <row r="3402" spans="1:15" x14ac:dyDescent="0.25">
      <c r="A3402">
        <v>3401</v>
      </c>
      <c r="B3402" s="2">
        <v>45666</v>
      </c>
      <c r="C3402" t="s">
        <v>16</v>
      </c>
      <c r="D3402" t="s">
        <v>17</v>
      </c>
      <c r="E3402" t="s">
        <v>12</v>
      </c>
      <c r="F3402" t="s">
        <v>21</v>
      </c>
      <c r="G3402">
        <v>236</v>
      </c>
      <c r="H3402">
        <v>449.56</v>
      </c>
      <c r="I3402">
        <v>44</v>
      </c>
      <c r="J3402" t="s">
        <v>15</v>
      </c>
      <c r="K3402">
        <v>106096.16</v>
      </c>
      <c r="L3402" t="str">
        <f t="shared" si="212"/>
        <v>Jan</v>
      </c>
      <c r="M3402">
        <f t="shared" si="213"/>
        <v>2025</v>
      </c>
      <c r="N3402">
        <f t="shared" si="214"/>
        <v>106096.16</v>
      </c>
      <c r="O3402" t="str">
        <f t="shared" si="215"/>
        <v>Moderate Delay</v>
      </c>
    </row>
    <row r="3403" spans="1:15" x14ac:dyDescent="0.25">
      <c r="A3403">
        <v>3402</v>
      </c>
      <c r="B3403" s="2">
        <v>45932</v>
      </c>
      <c r="C3403" t="s">
        <v>11</v>
      </c>
      <c r="D3403" t="s">
        <v>12</v>
      </c>
      <c r="E3403" t="s">
        <v>20</v>
      </c>
      <c r="F3403" t="s">
        <v>24</v>
      </c>
      <c r="G3403">
        <v>261</v>
      </c>
      <c r="H3403">
        <v>432.56</v>
      </c>
      <c r="I3403">
        <v>47</v>
      </c>
      <c r="J3403" t="s">
        <v>15</v>
      </c>
      <c r="K3403">
        <v>112898.16</v>
      </c>
      <c r="L3403" t="str">
        <f t="shared" si="212"/>
        <v>Oct</v>
      </c>
      <c r="M3403">
        <f t="shared" si="213"/>
        <v>2025</v>
      </c>
      <c r="N3403">
        <f t="shared" si="214"/>
        <v>112898.16</v>
      </c>
      <c r="O3403" t="str">
        <f t="shared" si="215"/>
        <v>Moderate Delay</v>
      </c>
    </row>
    <row r="3404" spans="1:15" x14ac:dyDescent="0.25">
      <c r="A3404">
        <v>3403</v>
      </c>
      <c r="B3404" s="2">
        <v>45840</v>
      </c>
      <c r="C3404" t="s">
        <v>25</v>
      </c>
      <c r="D3404" t="s">
        <v>12</v>
      </c>
      <c r="E3404" t="s">
        <v>27</v>
      </c>
      <c r="F3404" t="s">
        <v>24</v>
      </c>
      <c r="G3404">
        <v>93</v>
      </c>
      <c r="H3404">
        <v>541.28</v>
      </c>
      <c r="I3404">
        <v>0</v>
      </c>
      <c r="J3404" t="s">
        <v>15</v>
      </c>
      <c r="K3404">
        <v>50339.040000000001</v>
      </c>
      <c r="L3404" t="str">
        <f t="shared" si="212"/>
        <v>Jul</v>
      </c>
      <c r="M3404">
        <f t="shared" si="213"/>
        <v>2025</v>
      </c>
      <c r="N3404">
        <f t="shared" si="214"/>
        <v>50339.040000000001</v>
      </c>
      <c r="O3404" t="str">
        <f t="shared" si="215"/>
        <v>On Time</v>
      </c>
    </row>
    <row r="3405" spans="1:15" x14ac:dyDescent="0.25">
      <c r="A3405">
        <v>3404</v>
      </c>
      <c r="B3405" s="2">
        <v>45928</v>
      </c>
      <c r="C3405" t="s">
        <v>11</v>
      </c>
      <c r="D3405" t="s">
        <v>29</v>
      </c>
      <c r="E3405" t="s">
        <v>13</v>
      </c>
      <c r="F3405" t="s">
        <v>21</v>
      </c>
      <c r="G3405">
        <v>119</v>
      </c>
      <c r="H3405">
        <v>427.46</v>
      </c>
      <c r="I3405">
        <v>43</v>
      </c>
      <c r="J3405" t="s">
        <v>15</v>
      </c>
      <c r="K3405">
        <v>50867.74</v>
      </c>
      <c r="L3405" t="str">
        <f t="shared" si="212"/>
        <v>Sep</v>
      </c>
      <c r="M3405">
        <f t="shared" si="213"/>
        <v>2025</v>
      </c>
      <c r="N3405">
        <f t="shared" si="214"/>
        <v>50867.74</v>
      </c>
      <c r="O3405" t="str">
        <f t="shared" si="215"/>
        <v>Moderate Delay</v>
      </c>
    </row>
    <row r="3406" spans="1:15" x14ac:dyDescent="0.25">
      <c r="A3406">
        <v>3405</v>
      </c>
      <c r="B3406" s="2">
        <v>45663</v>
      </c>
      <c r="C3406" t="s">
        <v>26</v>
      </c>
      <c r="D3406" t="s">
        <v>12</v>
      </c>
      <c r="E3406" t="s">
        <v>13</v>
      </c>
      <c r="F3406" t="s">
        <v>21</v>
      </c>
      <c r="G3406">
        <v>108</v>
      </c>
      <c r="H3406">
        <v>162.97</v>
      </c>
      <c r="I3406">
        <v>30</v>
      </c>
      <c r="J3406" t="s">
        <v>30</v>
      </c>
      <c r="K3406">
        <v>17600.759999999998</v>
      </c>
      <c r="L3406" t="str">
        <f t="shared" si="212"/>
        <v>Jan</v>
      </c>
      <c r="M3406">
        <f t="shared" si="213"/>
        <v>2025</v>
      </c>
      <c r="N3406">
        <f t="shared" si="214"/>
        <v>17600.759999999998</v>
      </c>
      <c r="O3406" t="str">
        <f t="shared" si="215"/>
        <v>Minor Delay</v>
      </c>
    </row>
    <row r="3407" spans="1:15" x14ac:dyDescent="0.25">
      <c r="A3407">
        <v>3406</v>
      </c>
      <c r="B3407" s="2">
        <v>45724</v>
      </c>
      <c r="C3407" t="s">
        <v>11</v>
      </c>
      <c r="D3407" t="s">
        <v>22</v>
      </c>
      <c r="E3407" t="s">
        <v>27</v>
      </c>
      <c r="F3407" t="s">
        <v>21</v>
      </c>
      <c r="G3407">
        <v>210</v>
      </c>
      <c r="H3407">
        <v>397.34</v>
      </c>
      <c r="I3407">
        <v>0</v>
      </c>
      <c r="J3407" t="s">
        <v>15</v>
      </c>
      <c r="K3407">
        <v>83441.399999999994</v>
      </c>
      <c r="L3407" t="str">
        <f t="shared" si="212"/>
        <v>Mar</v>
      </c>
      <c r="M3407">
        <f t="shared" si="213"/>
        <v>2025</v>
      </c>
      <c r="N3407">
        <f t="shared" si="214"/>
        <v>83441.399999999994</v>
      </c>
      <c r="O3407" t="str">
        <f t="shared" si="215"/>
        <v>On Time</v>
      </c>
    </row>
    <row r="3408" spans="1:15" x14ac:dyDescent="0.25">
      <c r="A3408">
        <v>3407</v>
      </c>
      <c r="B3408" s="2">
        <v>45673</v>
      </c>
      <c r="C3408" t="s">
        <v>16</v>
      </c>
      <c r="D3408" t="s">
        <v>29</v>
      </c>
      <c r="E3408" t="s">
        <v>19</v>
      </c>
      <c r="F3408" t="s">
        <v>21</v>
      </c>
      <c r="G3408">
        <v>219</v>
      </c>
      <c r="H3408">
        <v>402.84</v>
      </c>
      <c r="I3408">
        <v>38</v>
      </c>
      <c r="J3408" t="s">
        <v>15</v>
      </c>
      <c r="K3408">
        <v>88221.96</v>
      </c>
      <c r="L3408" t="str">
        <f t="shared" si="212"/>
        <v>Jan</v>
      </c>
      <c r="M3408">
        <f t="shared" si="213"/>
        <v>2025</v>
      </c>
      <c r="N3408">
        <f t="shared" si="214"/>
        <v>88221.959999999992</v>
      </c>
      <c r="O3408" t="str">
        <f t="shared" si="215"/>
        <v>Moderate Delay</v>
      </c>
    </row>
    <row r="3409" spans="1:15" x14ac:dyDescent="0.25">
      <c r="A3409">
        <v>3408</v>
      </c>
      <c r="B3409" s="2">
        <v>45755</v>
      </c>
      <c r="C3409" t="s">
        <v>31</v>
      </c>
      <c r="D3409" t="s">
        <v>29</v>
      </c>
      <c r="E3409" t="s">
        <v>22</v>
      </c>
      <c r="F3409" t="s">
        <v>24</v>
      </c>
      <c r="G3409">
        <v>290</v>
      </c>
      <c r="H3409">
        <v>150.35</v>
      </c>
      <c r="I3409">
        <v>0</v>
      </c>
      <c r="J3409" t="s">
        <v>15</v>
      </c>
      <c r="K3409">
        <v>43601.5</v>
      </c>
      <c r="L3409" t="str">
        <f t="shared" si="212"/>
        <v>Apr</v>
      </c>
      <c r="M3409">
        <f t="shared" si="213"/>
        <v>2025</v>
      </c>
      <c r="N3409">
        <f t="shared" si="214"/>
        <v>43601.5</v>
      </c>
      <c r="O3409" t="str">
        <f t="shared" si="215"/>
        <v>On Time</v>
      </c>
    </row>
    <row r="3410" spans="1:15" x14ac:dyDescent="0.25">
      <c r="A3410">
        <v>3409</v>
      </c>
      <c r="B3410" s="2">
        <v>45829</v>
      </c>
      <c r="C3410" t="s">
        <v>11</v>
      </c>
      <c r="D3410" t="s">
        <v>12</v>
      </c>
      <c r="E3410" t="s">
        <v>22</v>
      </c>
      <c r="F3410" t="s">
        <v>21</v>
      </c>
      <c r="G3410">
        <v>257</v>
      </c>
      <c r="H3410">
        <v>93.07</v>
      </c>
      <c r="I3410">
        <v>6</v>
      </c>
      <c r="J3410" t="s">
        <v>30</v>
      </c>
      <c r="K3410">
        <v>23918.99</v>
      </c>
      <c r="L3410" t="str">
        <f t="shared" si="212"/>
        <v>Jun</v>
      </c>
      <c r="M3410">
        <f t="shared" si="213"/>
        <v>2025</v>
      </c>
      <c r="N3410">
        <f t="shared" si="214"/>
        <v>23918.989999999998</v>
      </c>
      <c r="O3410" t="str">
        <f t="shared" si="215"/>
        <v>Minor Delay</v>
      </c>
    </row>
    <row r="3411" spans="1:15" x14ac:dyDescent="0.25">
      <c r="A3411">
        <v>3410</v>
      </c>
      <c r="B3411" s="2">
        <v>45981</v>
      </c>
      <c r="C3411" t="s">
        <v>31</v>
      </c>
      <c r="D3411" t="s">
        <v>13</v>
      </c>
      <c r="E3411" t="s">
        <v>19</v>
      </c>
      <c r="F3411" t="s">
        <v>24</v>
      </c>
      <c r="G3411">
        <v>54</v>
      </c>
      <c r="H3411">
        <v>656.45</v>
      </c>
      <c r="I3411">
        <v>0</v>
      </c>
      <c r="J3411" t="s">
        <v>15</v>
      </c>
      <c r="K3411">
        <v>35448.300000000003</v>
      </c>
      <c r="L3411" t="str">
        <f t="shared" si="212"/>
        <v>Nov</v>
      </c>
      <c r="M3411">
        <f t="shared" si="213"/>
        <v>2025</v>
      </c>
      <c r="N3411">
        <f t="shared" si="214"/>
        <v>35448.300000000003</v>
      </c>
      <c r="O3411" t="str">
        <f t="shared" si="215"/>
        <v>On Time</v>
      </c>
    </row>
    <row r="3412" spans="1:15" x14ac:dyDescent="0.25">
      <c r="A3412">
        <v>3411</v>
      </c>
      <c r="B3412" s="2">
        <v>45746</v>
      </c>
      <c r="C3412" t="s">
        <v>11</v>
      </c>
      <c r="D3412" t="s">
        <v>27</v>
      </c>
      <c r="E3412" t="s">
        <v>13</v>
      </c>
      <c r="F3412" t="s">
        <v>24</v>
      </c>
      <c r="G3412">
        <v>53</v>
      </c>
      <c r="H3412">
        <v>369.7</v>
      </c>
      <c r="I3412">
        <v>6</v>
      </c>
      <c r="J3412" t="s">
        <v>15</v>
      </c>
      <c r="K3412">
        <v>19594.099999999999</v>
      </c>
      <c r="L3412" t="str">
        <f t="shared" si="212"/>
        <v>Mar</v>
      </c>
      <c r="M3412">
        <f t="shared" si="213"/>
        <v>2025</v>
      </c>
      <c r="N3412">
        <f t="shared" si="214"/>
        <v>19594.099999999999</v>
      </c>
      <c r="O3412" t="str">
        <f t="shared" si="215"/>
        <v>Minor Delay</v>
      </c>
    </row>
    <row r="3413" spans="1:15" x14ac:dyDescent="0.25">
      <c r="A3413">
        <v>3412</v>
      </c>
      <c r="B3413" s="2">
        <v>46012</v>
      </c>
      <c r="C3413" t="s">
        <v>31</v>
      </c>
      <c r="D3413" t="s">
        <v>20</v>
      </c>
      <c r="E3413" t="s">
        <v>17</v>
      </c>
      <c r="F3413" t="s">
        <v>24</v>
      </c>
      <c r="G3413">
        <v>60</v>
      </c>
      <c r="H3413">
        <v>591.33000000000004</v>
      </c>
      <c r="I3413">
        <v>36</v>
      </c>
      <c r="J3413" t="s">
        <v>15</v>
      </c>
      <c r="K3413">
        <v>35479.800000000003</v>
      </c>
      <c r="L3413" t="str">
        <f t="shared" si="212"/>
        <v>Dec</v>
      </c>
      <c r="M3413">
        <f t="shared" si="213"/>
        <v>2025</v>
      </c>
      <c r="N3413">
        <f t="shared" si="214"/>
        <v>35479.800000000003</v>
      </c>
      <c r="O3413" t="str">
        <f t="shared" si="215"/>
        <v>Moderate Delay</v>
      </c>
    </row>
    <row r="3414" spans="1:15" x14ac:dyDescent="0.25">
      <c r="A3414">
        <v>3413</v>
      </c>
      <c r="B3414" s="2">
        <v>45881</v>
      </c>
      <c r="C3414" t="s">
        <v>18</v>
      </c>
      <c r="D3414" t="s">
        <v>12</v>
      </c>
      <c r="E3414" t="s">
        <v>17</v>
      </c>
      <c r="F3414" t="s">
        <v>21</v>
      </c>
      <c r="G3414">
        <v>116</v>
      </c>
      <c r="H3414">
        <v>211.14</v>
      </c>
      <c r="I3414">
        <v>40</v>
      </c>
      <c r="J3414" t="s">
        <v>15</v>
      </c>
      <c r="K3414">
        <v>24492.240000000002</v>
      </c>
      <c r="L3414" t="str">
        <f t="shared" si="212"/>
        <v>Aug</v>
      </c>
      <c r="M3414">
        <f t="shared" si="213"/>
        <v>2025</v>
      </c>
      <c r="N3414">
        <f t="shared" si="214"/>
        <v>24492.239999999998</v>
      </c>
      <c r="O3414" t="str">
        <f t="shared" si="215"/>
        <v>Moderate Delay</v>
      </c>
    </row>
    <row r="3415" spans="1:15" x14ac:dyDescent="0.25">
      <c r="A3415">
        <v>3414</v>
      </c>
      <c r="B3415" s="2">
        <v>45726</v>
      </c>
      <c r="C3415" t="s">
        <v>11</v>
      </c>
      <c r="D3415" t="s">
        <v>22</v>
      </c>
      <c r="E3415" t="s">
        <v>20</v>
      </c>
      <c r="F3415" t="s">
        <v>21</v>
      </c>
      <c r="G3415">
        <v>193</v>
      </c>
      <c r="H3415">
        <v>424.18</v>
      </c>
      <c r="I3415">
        <v>33</v>
      </c>
      <c r="J3415" t="s">
        <v>15</v>
      </c>
      <c r="K3415">
        <v>81866.740000000005</v>
      </c>
      <c r="L3415" t="str">
        <f t="shared" si="212"/>
        <v>Mar</v>
      </c>
      <c r="M3415">
        <f t="shared" si="213"/>
        <v>2025</v>
      </c>
      <c r="N3415">
        <f t="shared" si="214"/>
        <v>81866.740000000005</v>
      </c>
      <c r="O3415" t="str">
        <f t="shared" si="215"/>
        <v>Moderate Delay</v>
      </c>
    </row>
    <row r="3416" spans="1:15" x14ac:dyDescent="0.25">
      <c r="A3416">
        <v>3415</v>
      </c>
      <c r="B3416" s="2">
        <v>45853</v>
      </c>
      <c r="C3416" t="s">
        <v>26</v>
      </c>
      <c r="D3416" t="s">
        <v>27</v>
      </c>
      <c r="E3416" t="s">
        <v>20</v>
      </c>
      <c r="F3416" t="s">
        <v>24</v>
      </c>
      <c r="G3416">
        <v>228</v>
      </c>
      <c r="H3416">
        <v>787.08</v>
      </c>
      <c r="I3416">
        <v>54</v>
      </c>
      <c r="J3416" t="s">
        <v>15</v>
      </c>
      <c r="K3416">
        <v>179454.24</v>
      </c>
      <c r="L3416" t="str">
        <f t="shared" si="212"/>
        <v>Jul</v>
      </c>
      <c r="M3416">
        <f t="shared" si="213"/>
        <v>2025</v>
      </c>
      <c r="N3416">
        <f t="shared" si="214"/>
        <v>179454.24000000002</v>
      </c>
      <c r="O3416" t="str">
        <f t="shared" si="215"/>
        <v>Moderate Delay</v>
      </c>
    </row>
    <row r="3417" spans="1:15" x14ac:dyDescent="0.25">
      <c r="A3417">
        <v>3416</v>
      </c>
      <c r="B3417" s="2">
        <v>45995</v>
      </c>
      <c r="C3417" t="s">
        <v>16</v>
      </c>
      <c r="D3417" t="s">
        <v>19</v>
      </c>
      <c r="E3417" t="s">
        <v>20</v>
      </c>
      <c r="F3417" t="s">
        <v>24</v>
      </c>
      <c r="G3417">
        <v>215</v>
      </c>
      <c r="H3417">
        <v>154.69999999999999</v>
      </c>
      <c r="I3417">
        <v>14</v>
      </c>
      <c r="J3417" t="s">
        <v>30</v>
      </c>
      <c r="K3417">
        <v>33260.5</v>
      </c>
      <c r="L3417" t="str">
        <f t="shared" si="212"/>
        <v>Dec</v>
      </c>
      <c r="M3417">
        <f t="shared" si="213"/>
        <v>2025</v>
      </c>
      <c r="N3417">
        <f t="shared" si="214"/>
        <v>33260.5</v>
      </c>
      <c r="O3417" t="str">
        <f t="shared" si="215"/>
        <v>Minor Delay</v>
      </c>
    </row>
    <row r="3418" spans="1:15" x14ac:dyDescent="0.25">
      <c r="A3418">
        <v>3417</v>
      </c>
      <c r="B3418" s="2">
        <v>45708</v>
      </c>
      <c r="C3418" t="s">
        <v>25</v>
      </c>
      <c r="D3418" t="s">
        <v>13</v>
      </c>
      <c r="E3418" t="s">
        <v>29</v>
      </c>
      <c r="F3418" t="s">
        <v>14</v>
      </c>
      <c r="G3418">
        <v>192</v>
      </c>
      <c r="H3418">
        <v>342.82</v>
      </c>
      <c r="I3418">
        <v>45</v>
      </c>
      <c r="J3418" t="s">
        <v>15</v>
      </c>
      <c r="K3418">
        <v>65821.440000000002</v>
      </c>
      <c r="L3418" t="str">
        <f t="shared" si="212"/>
        <v>Feb</v>
      </c>
      <c r="M3418">
        <f t="shared" si="213"/>
        <v>2025</v>
      </c>
      <c r="N3418">
        <f t="shared" si="214"/>
        <v>65821.440000000002</v>
      </c>
      <c r="O3418" t="str">
        <f t="shared" si="215"/>
        <v>Moderate Delay</v>
      </c>
    </row>
    <row r="3419" spans="1:15" x14ac:dyDescent="0.25">
      <c r="A3419">
        <v>3418</v>
      </c>
      <c r="B3419" s="2">
        <v>45953</v>
      </c>
      <c r="C3419" t="s">
        <v>31</v>
      </c>
      <c r="D3419" t="s">
        <v>20</v>
      </c>
      <c r="E3419" t="s">
        <v>12</v>
      </c>
      <c r="F3419" t="s">
        <v>14</v>
      </c>
      <c r="G3419">
        <v>104</v>
      </c>
      <c r="H3419">
        <v>436.62</v>
      </c>
      <c r="I3419">
        <v>6</v>
      </c>
      <c r="J3419" t="s">
        <v>15</v>
      </c>
      <c r="K3419">
        <v>45408.480000000003</v>
      </c>
      <c r="L3419" t="str">
        <f t="shared" si="212"/>
        <v>Oct</v>
      </c>
      <c r="M3419">
        <f t="shared" si="213"/>
        <v>2025</v>
      </c>
      <c r="N3419">
        <f t="shared" si="214"/>
        <v>45408.480000000003</v>
      </c>
      <c r="O3419" t="str">
        <f t="shared" si="215"/>
        <v>Minor Delay</v>
      </c>
    </row>
    <row r="3420" spans="1:15" x14ac:dyDescent="0.25">
      <c r="A3420">
        <v>3419</v>
      </c>
      <c r="B3420" s="2">
        <v>45924</v>
      </c>
      <c r="C3420" t="s">
        <v>31</v>
      </c>
      <c r="D3420" t="s">
        <v>12</v>
      </c>
      <c r="E3420" t="s">
        <v>22</v>
      </c>
      <c r="F3420" t="s">
        <v>24</v>
      </c>
      <c r="G3420">
        <v>236</v>
      </c>
      <c r="H3420">
        <v>241.96</v>
      </c>
      <c r="I3420">
        <v>39</v>
      </c>
      <c r="J3420" t="s">
        <v>15</v>
      </c>
      <c r="K3420">
        <v>57102.559999999998</v>
      </c>
      <c r="L3420" t="str">
        <f t="shared" si="212"/>
        <v>Sep</v>
      </c>
      <c r="M3420">
        <f t="shared" si="213"/>
        <v>2025</v>
      </c>
      <c r="N3420">
        <f t="shared" si="214"/>
        <v>57102.560000000005</v>
      </c>
      <c r="O3420" t="str">
        <f t="shared" si="215"/>
        <v>Moderate Delay</v>
      </c>
    </row>
    <row r="3421" spans="1:15" x14ac:dyDescent="0.25">
      <c r="A3421">
        <v>3420</v>
      </c>
      <c r="B3421" s="2">
        <v>45790</v>
      </c>
      <c r="C3421" t="s">
        <v>18</v>
      </c>
      <c r="D3421" t="s">
        <v>12</v>
      </c>
      <c r="E3421" t="s">
        <v>29</v>
      </c>
      <c r="F3421" t="s">
        <v>21</v>
      </c>
      <c r="G3421">
        <v>237</v>
      </c>
      <c r="H3421">
        <v>95.36</v>
      </c>
      <c r="I3421">
        <v>54</v>
      </c>
      <c r="J3421" t="s">
        <v>15</v>
      </c>
      <c r="K3421">
        <v>22600.32</v>
      </c>
      <c r="L3421" t="str">
        <f t="shared" si="212"/>
        <v>May</v>
      </c>
      <c r="M3421">
        <f t="shared" si="213"/>
        <v>2025</v>
      </c>
      <c r="N3421">
        <f t="shared" si="214"/>
        <v>22600.32</v>
      </c>
      <c r="O3421" t="str">
        <f t="shared" si="215"/>
        <v>Moderate Delay</v>
      </c>
    </row>
    <row r="3422" spans="1:15" x14ac:dyDescent="0.25">
      <c r="A3422">
        <v>3421</v>
      </c>
      <c r="B3422" s="2">
        <v>45723</v>
      </c>
      <c r="C3422" t="s">
        <v>31</v>
      </c>
      <c r="D3422" t="s">
        <v>23</v>
      </c>
      <c r="E3422" t="s">
        <v>27</v>
      </c>
      <c r="F3422" t="s">
        <v>14</v>
      </c>
      <c r="G3422">
        <v>200</v>
      </c>
      <c r="H3422">
        <v>325.22000000000003</v>
      </c>
      <c r="I3422">
        <v>54</v>
      </c>
      <c r="J3422" t="s">
        <v>15</v>
      </c>
      <c r="K3422">
        <v>65044</v>
      </c>
      <c r="L3422" t="str">
        <f t="shared" si="212"/>
        <v>Mar</v>
      </c>
      <c r="M3422">
        <f t="shared" si="213"/>
        <v>2025</v>
      </c>
      <c r="N3422">
        <f t="shared" si="214"/>
        <v>65044.000000000007</v>
      </c>
      <c r="O3422" t="str">
        <f t="shared" si="215"/>
        <v>Moderate Delay</v>
      </c>
    </row>
    <row r="3423" spans="1:15" x14ac:dyDescent="0.25">
      <c r="A3423">
        <v>3422</v>
      </c>
      <c r="B3423" s="2">
        <v>45771</v>
      </c>
      <c r="C3423" t="s">
        <v>11</v>
      </c>
      <c r="D3423" t="s">
        <v>13</v>
      </c>
      <c r="E3423" t="s">
        <v>17</v>
      </c>
      <c r="F3423" t="s">
        <v>21</v>
      </c>
      <c r="G3423">
        <v>236</v>
      </c>
      <c r="H3423">
        <v>351.44</v>
      </c>
      <c r="I3423">
        <v>42</v>
      </c>
      <c r="J3423" t="s">
        <v>15</v>
      </c>
      <c r="K3423">
        <v>82939.839999999997</v>
      </c>
      <c r="L3423" t="str">
        <f t="shared" si="212"/>
        <v>Apr</v>
      </c>
      <c r="M3423">
        <f t="shared" si="213"/>
        <v>2025</v>
      </c>
      <c r="N3423">
        <f t="shared" si="214"/>
        <v>82939.839999999997</v>
      </c>
      <c r="O3423" t="str">
        <f t="shared" si="215"/>
        <v>Moderate Delay</v>
      </c>
    </row>
    <row r="3424" spans="1:15" x14ac:dyDescent="0.25">
      <c r="A3424">
        <v>3423</v>
      </c>
      <c r="B3424" s="2">
        <v>45919</v>
      </c>
      <c r="C3424" t="s">
        <v>31</v>
      </c>
      <c r="D3424" t="s">
        <v>27</v>
      </c>
      <c r="E3424" t="s">
        <v>23</v>
      </c>
      <c r="F3424" t="s">
        <v>24</v>
      </c>
      <c r="G3424">
        <v>258</v>
      </c>
      <c r="H3424">
        <v>523.82000000000005</v>
      </c>
      <c r="I3424">
        <v>19</v>
      </c>
      <c r="J3424" t="s">
        <v>15</v>
      </c>
      <c r="K3424">
        <v>135145.56</v>
      </c>
      <c r="L3424" t="str">
        <f t="shared" si="212"/>
        <v>Sep</v>
      </c>
      <c r="M3424">
        <f t="shared" si="213"/>
        <v>2025</v>
      </c>
      <c r="N3424">
        <f t="shared" si="214"/>
        <v>135145.56000000003</v>
      </c>
      <c r="O3424" t="str">
        <f t="shared" si="215"/>
        <v>Minor Delay</v>
      </c>
    </row>
    <row r="3425" spans="1:15" x14ac:dyDescent="0.25">
      <c r="A3425">
        <v>3424</v>
      </c>
      <c r="B3425" s="2">
        <v>45961</v>
      </c>
      <c r="C3425" t="s">
        <v>11</v>
      </c>
      <c r="D3425" t="s">
        <v>17</v>
      </c>
      <c r="E3425" t="s">
        <v>29</v>
      </c>
      <c r="F3425" t="s">
        <v>24</v>
      </c>
      <c r="G3425">
        <v>248</v>
      </c>
      <c r="H3425">
        <v>551.01</v>
      </c>
      <c r="I3425">
        <v>0</v>
      </c>
      <c r="J3425" t="s">
        <v>15</v>
      </c>
      <c r="K3425">
        <v>136650.48000000001</v>
      </c>
      <c r="L3425" t="str">
        <f t="shared" si="212"/>
        <v>Oct</v>
      </c>
      <c r="M3425">
        <f t="shared" si="213"/>
        <v>2025</v>
      </c>
      <c r="N3425">
        <f t="shared" si="214"/>
        <v>136650.48000000001</v>
      </c>
      <c r="O3425" t="str">
        <f t="shared" si="215"/>
        <v>On Time</v>
      </c>
    </row>
    <row r="3426" spans="1:15" x14ac:dyDescent="0.25">
      <c r="A3426">
        <v>3425</v>
      </c>
      <c r="B3426" s="2">
        <v>45927</v>
      </c>
      <c r="C3426" t="s">
        <v>11</v>
      </c>
      <c r="D3426" t="s">
        <v>29</v>
      </c>
      <c r="E3426" t="s">
        <v>19</v>
      </c>
      <c r="F3426" t="s">
        <v>21</v>
      </c>
      <c r="G3426">
        <v>187</v>
      </c>
      <c r="H3426">
        <v>726.79</v>
      </c>
      <c r="I3426">
        <v>20</v>
      </c>
      <c r="J3426" t="s">
        <v>15</v>
      </c>
      <c r="K3426">
        <v>135909.73000000001</v>
      </c>
      <c r="L3426" t="str">
        <f t="shared" si="212"/>
        <v>Sep</v>
      </c>
      <c r="M3426">
        <f t="shared" si="213"/>
        <v>2025</v>
      </c>
      <c r="N3426">
        <f t="shared" si="214"/>
        <v>135909.72999999998</v>
      </c>
      <c r="O3426" t="str">
        <f t="shared" si="215"/>
        <v>Minor Delay</v>
      </c>
    </row>
    <row r="3427" spans="1:15" x14ac:dyDescent="0.25">
      <c r="A3427">
        <v>3426</v>
      </c>
      <c r="B3427" s="2">
        <v>45765</v>
      </c>
      <c r="C3427" t="s">
        <v>16</v>
      </c>
      <c r="D3427" t="s">
        <v>19</v>
      </c>
      <c r="E3427" t="s">
        <v>17</v>
      </c>
      <c r="F3427" t="s">
        <v>24</v>
      </c>
      <c r="G3427">
        <v>279</v>
      </c>
      <c r="H3427">
        <v>437.37</v>
      </c>
      <c r="I3427">
        <v>7</v>
      </c>
      <c r="J3427" t="s">
        <v>15</v>
      </c>
      <c r="K3427">
        <v>122026.23</v>
      </c>
      <c r="L3427" t="str">
        <f t="shared" si="212"/>
        <v>Apr</v>
      </c>
      <c r="M3427">
        <f t="shared" si="213"/>
        <v>2025</v>
      </c>
      <c r="N3427">
        <f t="shared" si="214"/>
        <v>122026.23</v>
      </c>
      <c r="O3427" t="str">
        <f t="shared" si="215"/>
        <v>Minor Delay</v>
      </c>
    </row>
    <row r="3428" spans="1:15" x14ac:dyDescent="0.25">
      <c r="A3428">
        <v>3427</v>
      </c>
      <c r="B3428" s="2">
        <v>46006</v>
      </c>
      <c r="C3428" t="s">
        <v>18</v>
      </c>
      <c r="D3428" t="s">
        <v>27</v>
      </c>
      <c r="E3428" t="s">
        <v>23</v>
      </c>
      <c r="F3428" t="s">
        <v>24</v>
      </c>
      <c r="G3428">
        <v>282</v>
      </c>
      <c r="H3428">
        <v>363.03</v>
      </c>
      <c r="I3428">
        <v>15</v>
      </c>
      <c r="J3428" t="s">
        <v>30</v>
      </c>
      <c r="K3428">
        <v>102374.46</v>
      </c>
      <c r="L3428" t="str">
        <f t="shared" si="212"/>
        <v>Dec</v>
      </c>
      <c r="M3428">
        <f t="shared" si="213"/>
        <v>2025</v>
      </c>
      <c r="N3428">
        <f t="shared" si="214"/>
        <v>102374.45999999999</v>
      </c>
      <c r="O3428" t="str">
        <f t="shared" si="215"/>
        <v>Minor Delay</v>
      </c>
    </row>
    <row r="3429" spans="1:15" x14ac:dyDescent="0.25">
      <c r="A3429">
        <v>3428</v>
      </c>
      <c r="B3429" s="2">
        <v>45940</v>
      </c>
      <c r="C3429" t="s">
        <v>11</v>
      </c>
      <c r="D3429" t="s">
        <v>23</v>
      </c>
      <c r="E3429" t="s">
        <v>17</v>
      </c>
      <c r="F3429" t="s">
        <v>24</v>
      </c>
      <c r="G3429">
        <v>299</v>
      </c>
      <c r="H3429">
        <v>258.91000000000003</v>
      </c>
      <c r="I3429">
        <v>20</v>
      </c>
      <c r="J3429" t="s">
        <v>15</v>
      </c>
      <c r="K3429">
        <v>77414.09</v>
      </c>
      <c r="L3429" t="str">
        <f t="shared" si="212"/>
        <v>Oct</v>
      </c>
      <c r="M3429">
        <f t="shared" si="213"/>
        <v>2025</v>
      </c>
      <c r="N3429">
        <f t="shared" si="214"/>
        <v>77414.090000000011</v>
      </c>
      <c r="O3429" t="str">
        <f t="shared" si="215"/>
        <v>Minor Delay</v>
      </c>
    </row>
    <row r="3430" spans="1:15" x14ac:dyDescent="0.25">
      <c r="A3430">
        <v>3429</v>
      </c>
      <c r="B3430" s="2">
        <v>45829</v>
      </c>
      <c r="C3430" t="s">
        <v>11</v>
      </c>
      <c r="D3430" t="s">
        <v>22</v>
      </c>
      <c r="E3430" t="s">
        <v>27</v>
      </c>
      <c r="F3430" t="s">
        <v>14</v>
      </c>
      <c r="G3430">
        <v>109</v>
      </c>
      <c r="H3430">
        <v>324.49</v>
      </c>
      <c r="I3430">
        <v>37</v>
      </c>
      <c r="J3430" t="s">
        <v>15</v>
      </c>
      <c r="K3430">
        <v>35369.410000000003</v>
      </c>
      <c r="L3430" t="str">
        <f t="shared" si="212"/>
        <v>Jun</v>
      </c>
      <c r="M3430">
        <f t="shared" si="213"/>
        <v>2025</v>
      </c>
      <c r="N3430">
        <f t="shared" si="214"/>
        <v>35369.410000000003</v>
      </c>
      <c r="O3430" t="str">
        <f t="shared" si="215"/>
        <v>Moderate Delay</v>
      </c>
    </row>
    <row r="3431" spans="1:15" x14ac:dyDescent="0.25">
      <c r="A3431">
        <v>3430</v>
      </c>
      <c r="B3431" s="2">
        <v>45965</v>
      </c>
      <c r="C3431" t="s">
        <v>25</v>
      </c>
      <c r="D3431" t="s">
        <v>22</v>
      </c>
      <c r="E3431" t="s">
        <v>17</v>
      </c>
      <c r="F3431" t="s">
        <v>14</v>
      </c>
      <c r="G3431">
        <v>286</v>
      </c>
      <c r="H3431">
        <v>432.18</v>
      </c>
      <c r="I3431">
        <v>76</v>
      </c>
      <c r="J3431" t="s">
        <v>15</v>
      </c>
      <c r="K3431">
        <v>123603.48</v>
      </c>
      <c r="L3431" t="str">
        <f t="shared" si="212"/>
        <v>Nov</v>
      </c>
      <c r="M3431">
        <f t="shared" si="213"/>
        <v>2025</v>
      </c>
      <c r="N3431">
        <f t="shared" si="214"/>
        <v>123603.48</v>
      </c>
      <c r="O3431" t="str">
        <f t="shared" si="215"/>
        <v>Major Delay</v>
      </c>
    </row>
    <row r="3432" spans="1:15" x14ac:dyDescent="0.25">
      <c r="A3432">
        <v>3431</v>
      </c>
      <c r="B3432" s="2">
        <v>45799</v>
      </c>
      <c r="C3432" t="s">
        <v>16</v>
      </c>
      <c r="D3432" t="s">
        <v>23</v>
      </c>
      <c r="E3432" t="s">
        <v>27</v>
      </c>
      <c r="F3432" t="s">
        <v>21</v>
      </c>
      <c r="G3432">
        <v>66</v>
      </c>
      <c r="H3432">
        <v>582.26</v>
      </c>
      <c r="I3432">
        <v>12</v>
      </c>
      <c r="J3432" t="s">
        <v>15</v>
      </c>
      <c r="K3432">
        <v>38429.160000000003</v>
      </c>
      <c r="L3432" t="str">
        <f t="shared" si="212"/>
        <v>May</v>
      </c>
      <c r="M3432">
        <f t="shared" si="213"/>
        <v>2025</v>
      </c>
      <c r="N3432">
        <f t="shared" si="214"/>
        <v>38429.159999999996</v>
      </c>
      <c r="O3432" t="str">
        <f t="shared" si="215"/>
        <v>Minor Delay</v>
      </c>
    </row>
    <row r="3433" spans="1:15" x14ac:dyDescent="0.25">
      <c r="A3433">
        <v>3432</v>
      </c>
      <c r="B3433" s="2">
        <v>45885</v>
      </c>
      <c r="C3433" t="s">
        <v>26</v>
      </c>
      <c r="D3433" t="s">
        <v>29</v>
      </c>
      <c r="E3433" t="s">
        <v>20</v>
      </c>
      <c r="F3433" t="s">
        <v>14</v>
      </c>
      <c r="G3433">
        <v>264</v>
      </c>
      <c r="H3433">
        <v>613.66</v>
      </c>
      <c r="I3433">
        <v>49</v>
      </c>
      <c r="J3433" t="s">
        <v>15</v>
      </c>
      <c r="K3433">
        <v>162006.24</v>
      </c>
      <c r="L3433" t="str">
        <f t="shared" si="212"/>
        <v>Aug</v>
      </c>
      <c r="M3433">
        <f t="shared" si="213"/>
        <v>2025</v>
      </c>
      <c r="N3433">
        <f t="shared" si="214"/>
        <v>162006.24</v>
      </c>
      <c r="O3433" t="str">
        <f t="shared" si="215"/>
        <v>Moderate Delay</v>
      </c>
    </row>
    <row r="3434" spans="1:15" x14ac:dyDescent="0.25">
      <c r="A3434">
        <v>3433</v>
      </c>
      <c r="B3434" s="2">
        <v>45789</v>
      </c>
      <c r="C3434" t="s">
        <v>26</v>
      </c>
      <c r="D3434" t="s">
        <v>20</v>
      </c>
      <c r="E3434" t="s">
        <v>17</v>
      </c>
      <c r="F3434" t="s">
        <v>14</v>
      </c>
      <c r="G3434">
        <v>118</v>
      </c>
      <c r="H3434">
        <v>513.72</v>
      </c>
      <c r="I3434">
        <v>6</v>
      </c>
      <c r="J3434" t="s">
        <v>15</v>
      </c>
      <c r="K3434">
        <v>60618.96</v>
      </c>
      <c r="L3434" t="str">
        <f t="shared" si="212"/>
        <v>May</v>
      </c>
      <c r="M3434">
        <f t="shared" si="213"/>
        <v>2025</v>
      </c>
      <c r="N3434">
        <f t="shared" si="214"/>
        <v>60618.960000000006</v>
      </c>
      <c r="O3434" t="str">
        <f t="shared" si="215"/>
        <v>Minor Delay</v>
      </c>
    </row>
    <row r="3435" spans="1:15" x14ac:dyDescent="0.25">
      <c r="A3435">
        <v>3434</v>
      </c>
      <c r="B3435" s="2">
        <v>45715</v>
      </c>
      <c r="C3435" t="s">
        <v>31</v>
      </c>
      <c r="D3435" t="s">
        <v>17</v>
      </c>
      <c r="E3435" t="s">
        <v>23</v>
      </c>
      <c r="F3435" t="s">
        <v>24</v>
      </c>
      <c r="G3435">
        <v>162</v>
      </c>
      <c r="H3435">
        <v>451.75</v>
      </c>
      <c r="I3435">
        <v>37</v>
      </c>
      <c r="J3435" t="s">
        <v>15</v>
      </c>
      <c r="K3435">
        <v>73183.5</v>
      </c>
      <c r="L3435" t="str">
        <f t="shared" si="212"/>
        <v>Feb</v>
      </c>
      <c r="M3435">
        <f t="shared" si="213"/>
        <v>2025</v>
      </c>
      <c r="N3435">
        <f t="shared" si="214"/>
        <v>73183.5</v>
      </c>
      <c r="O3435" t="str">
        <f t="shared" si="215"/>
        <v>Moderate Delay</v>
      </c>
    </row>
    <row r="3436" spans="1:15" x14ac:dyDescent="0.25">
      <c r="A3436">
        <v>3435</v>
      </c>
      <c r="B3436" s="2">
        <v>45947</v>
      </c>
      <c r="C3436" t="s">
        <v>11</v>
      </c>
      <c r="D3436" t="s">
        <v>13</v>
      </c>
      <c r="E3436" t="s">
        <v>12</v>
      </c>
      <c r="F3436" t="s">
        <v>24</v>
      </c>
      <c r="G3436">
        <v>238</v>
      </c>
      <c r="H3436">
        <v>433.19</v>
      </c>
      <c r="I3436">
        <v>39</v>
      </c>
      <c r="J3436" t="s">
        <v>15</v>
      </c>
      <c r="K3436">
        <v>103099.22</v>
      </c>
      <c r="L3436" t="str">
        <f t="shared" si="212"/>
        <v>Oct</v>
      </c>
      <c r="M3436">
        <f t="shared" si="213"/>
        <v>2025</v>
      </c>
      <c r="N3436">
        <f t="shared" si="214"/>
        <v>103099.22</v>
      </c>
      <c r="O3436" t="str">
        <f t="shared" si="215"/>
        <v>Moderate Delay</v>
      </c>
    </row>
    <row r="3437" spans="1:15" x14ac:dyDescent="0.25">
      <c r="A3437">
        <v>3436</v>
      </c>
      <c r="B3437" s="2">
        <v>45701</v>
      </c>
      <c r="C3437" t="s">
        <v>25</v>
      </c>
      <c r="D3437" t="s">
        <v>19</v>
      </c>
      <c r="E3437" t="s">
        <v>13</v>
      </c>
      <c r="F3437" t="s">
        <v>24</v>
      </c>
      <c r="G3437">
        <v>197</v>
      </c>
      <c r="H3437">
        <v>411.8</v>
      </c>
      <c r="I3437">
        <v>63</v>
      </c>
      <c r="J3437" t="s">
        <v>15</v>
      </c>
      <c r="K3437">
        <v>81124.600000000006</v>
      </c>
      <c r="L3437" t="str">
        <f t="shared" si="212"/>
        <v>Feb</v>
      </c>
      <c r="M3437">
        <f t="shared" si="213"/>
        <v>2025</v>
      </c>
      <c r="N3437">
        <f t="shared" si="214"/>
        <v>81124.600000000006</v>
      </c>
      <c r="O3437" t="str">
        <f t="shared" si="215"/>
        <v>Major Delay</v>
      </c>
    </row>
    <row r="3438" spans="1:15" x14ac:dyDescent="0.25">
      <c r="A3438">
        <v>3437</v>
      </c>
      <c r="B3438" s="2">
        <v>45732</v>
      </c>
      <c r="C3438" t="s">
        <v>11</v>
      </c>
      <c r="D3438" t="s">
        <v>29</v>
      </c>
      <c r="E3438" t="s">
        <v>22</v>
      </c>
      <c r="F3438" t="s">
        <v>21</v>
      </c>
      <c r="G3438">
        <v>121</v>
      </c>
      <c r="H3438">
        <v>621.9</v>
      </c>
      <c r="I3438">
        <v>24</v>
      </c>
      <c r="J3438" t="s">
        <v>15</v>
      </c>
      <c r="K3438">
        <v>75249.899999999994</v>
      </c>
      <c r="L3438" t="str">
        <f t="shared" si="212"/>
        <v>Mar</v>
      </c>
      <c r="M3438">
        <f t="shared" si="213"/>
        <v>2025</v>
      </c>
      <c r="N3438">
        <f t="shared" si="214"/>
        <v>75249.899999999994</v>
      </c>
      <c r="O3438" t="str">
        <f t="shared" si="215"/>
        <v>Minor Delay</v>
      </c>
    </row>
    <row r="3439" spans="1:15" x14ac:dyDescent="0.25">
      <c r="A3439">
        <v>3438</v>
      </c>
      <c r="B3439" s="2">
        <v>45853</v>
      </c>
      <c r="C3439" t="s">
        <v>18</v>
      </c>
      <c r="D3439" t="s">
        <v>29</v>
      </c>
      <c r="E3439" t="s">
        <v>27</v>
      </c>
      <c r="F3439" t="s">
        <v>21</v>
      </c>
      <c r="G3439">
        <v>62</v>
      </c>
      <c r="H3439">
        <v>480.12</v>
      </c>
      <c r="I3439">
        <v>3</v>
      </c>
      <c r="J3439" t="s">
        <v>15</v>
      </c>
      <c r="K3439">
        <v>29767.439999999999</v>
      </c>
      <c r="L3439" t="str">
        <f t="shared" si="212"/>
        <v>Jul</v>
      </c>
      <c r="M3439">
        <f t="shared" si="213"/>
        <v>2025</v>
      </c>
      <c r="N3439">
        <f t="shared" si="214"/>
        <v>29767.439999999999</v>
      </c>
      <c r="O3439" t="str">
        <f t="shared" si="215"/>
        <v>Minor Delay</v>
      </c>
    </row>
    <row r="3440" spans="1:15" x14ac:dyDescent="0.25">
      <c r="A3440">
        <v>3439</v>
      </c>
      <c r="B3440" s="2">
        <v>45993</v>
      </c>
      <c r="C3440" t="s">
        <v>25</v>
      </c>
      <c r="D3440" t="s">
        <v>23</v>
      </c>
      <c r="E3440" t="s">
        <v>20</v>
      </c>
      <c r="F3440" t="s">
        <v>14</v>
      </c>
      <c r="G3440">
        <v>294</v>
      </c>
      <c r="H3440">
        <v>121.28</v>
      </c>
      <c r="I3440">
        <v>0</v>
      </c>
      <c r="J3440" t="s">
        <v>15</v>
      </c>
      <c r="K3440">
        <v>35656.32</v>
      </c>
      <c r="L3440" t="str">
        <f t="shared" si="212"/>
        <v>Dec</v>
      </c>
      <c r="M3440">
        <f t="shared" si="213"/>
        <v>2025</v>
      </c>
      <c r="N3440">
        <f t="shared" si="214"/>
        <v>35656.32</v>
      </c>
      <c r="O3440" t="str">
        <f t="shared" si="215"/>
        <v>On Time</v>
      </c>
    </row>
    <row r="3441" spans="1:15" x14ac:dyDescent="0.25">
      <c r="A3441">
        <v>3440</v>
      </c>
      <c r="B3441" s="2">
        <v>45758</v>
      </c>
      <c r="C3441" t="s">
        <v>26</v>
      </c>
      <c r="D3441" t="s">
        <v>13</v>
      </c>
      <c r="E3441" t="s">
        <v>23</v>
      </c>
      <c r="F3441" t="s">
        <v>21</v>
      </c>
      <c r="G3441">
        <v>51</v>
      </c>
      <c r="H3441">
        <v>113.27</v>
      </c>
      <c r="I3441">
        <v>0</v>
      </c>
      <c r="J3441" t="s">
        <v>30</v>
      </c>
      <c r="K3441">
        <v>5776.77</v>
      </c>
      <c r="L3441" t="str">
        <f t="shared" si="212"/>
        <v>Apr</v>
      </c>
      <c r="M3441">
        <f t="shared" si="213"/>
        <v>2025</v>
      </c>
      <c r="N3441">
        <f t="shared" si="214"/>
        <v>5776.7699999999995</v>
      </c>
      <c r="O3441" t="str">
        <f t="shared" si="215"/>
        <v>On Time</v>
      </c>
    </row>
    <row r="3442" spans="1:15" x14ac:dyDescent="0.25">
      <c r="A3442">
        <v>3441</v>
      </c>
      <c r="B3442" s="2">
        <v>45781</v>
      </c>
      <c r="C3442" t="s">
        <v>26</v>
      </c>
      <c r="D3442" t="s">
        <v>19</v>
      </c>
      <c r="E3442" t="s">
        <v>27</v>
      </c>
      <c r="F3442" t="s">
        <v>21</v>
      </c>
      <c r="G3442">
        <v>152</v>
      </c>
      <c r="H3442">
        <v>356.18</v>
      </c>
      <c r="I3442">
        <v>19</v>
      </c>
      <c r="J3442" t="s">
        <v>15</v>
      </c>
      <c r="K3442">
        <v>54139.360000000001</v>
      </c>
      <c r="L3442" t="str">
        <f t="shared" si="212"/>
        <v>May</v>
      </c>
      <c r="M3442">
        <f t="shared" si="213"/>
        <v>2025</v>
      </c>
      <c r="N3442">
        <f t="shared" si="214"/>
        <v>54139.360000000001</v>
      </c>
      <c r="O3442" t="str">
        <f t="shared" si="215"/>
        <v>Minor Delay</v>
      </c>
    </row>
    <row r="3443" spans="1:15" x14ac:dyDescent="0.25">
      <c r="A3443">
        <v>3442</v>
      </c>
      <c r="B3443" s="2">
        <v>45871</v>
      </c>
      <c r="C3443" t="s">
        <v>16</v>
      </c>
      <c r="D3443" t="s">
        <v>23</v>
      </c>
      <c r="E3443" t="s">
        <v>22</v>
      </c>
      <c r="F3443" t="s">
        <v>24</v>
      </c>
      <c r="G3443">
        <v>112</v>
      </c>
      <c r="H3443">
        <v>493.47</v>
      </c>
      <c r="I3443">
        <v>8</v>
      </c>
      <c r="J3443" t="s">
        <v>30</v>
      </c>
      <c r="K3443">
        <v>55268.639999999999</v>
      </c>
      <c r="L3443" t="str">
        <f t="shared" si="212"/>
        <v>Aug</v>
      </c>
      <c r="M3443">
        <f t="shared" si="213"/>
        <v>2025</v>
      </c>
      <c r="N3443">
        <f t="shared" si="214"/>
        <v>55268.639999999999</v>
      </c>
      <c r="O3443" t="str">
        <f t="shared" si="215"/>
        <v>Minor Delay</v>
      </c>
    </row>
    <row r="3444" spans="1:15" x14ac:dyDescent="0.25">
      <c r="A3444">
        <v>3443</v>
      </c>
      <c r="B3444" s="2">
        <v>45906</v>
      </c>
      <c r="C3444" t="s">
        <v>26</v>
      </c>
      <c r="D3444" t="s">
        <v>13</v>
      </c>
      <c r="E3444" t="s">
        <v>20</v>
      </c>
      <c r="F3444" t="s">
        <v>21</v>
      </c>
      <c r="G3444">
        <v>261</v>
      </c>
      <c r="H3444">
        <v>793.02</v>
      </c>
      <c r="I3444">
        <v>10</v>
      </c>
      <c r="J3444" t="s">
        <v>15</v>
      </c>
      <c r="K3444">
        <v>206978.22</v>
      </c>
      <c r="L3444" t="str">
        <f t="shared" si="212"/>
        <v>Sep</v>
      </c>
      <c r="M3444">
        <f t="shared" si="213"/>
        <v>2025</v>
      </c>
      <c r="N3444">
        <f t="shared" si="214"/>
        <v>206978.22</v>
      </c>
      <c r="O3444" t="str">
        <f t="shared" si="215"/>
        <v>Minor Delay</v>
      </c>
    </row>
    <row r="3445" spans="1:15" x14ac:dyDescent="0.25">
      <c r="A3445">
        <v>3444</v>
      </c>
      <c r="B3445" s="2">
        <v>45860</v>
      </c>
      <c r="C3445" t="s">
        <v>25</v>
      </c>
      <c r="D3445" t="s">
        <v>22</v>
      </c>
      <c r="E3445" t="s">
        <v>19</v>
      </c>
      <c r="F3445" t="s">
        <v>24</v>
      </c>
      <c r="G3445">
        <v>209</v>
      </c>
      <c r="H3445">
        <v>484.31</v>
      </c>
      <c r="I3445">
        <v>9</v>
      </c>
      <c r="J3445" t="s">
        <v>15</v>
      </c>
      <c r="K3445">
        <v>101220.79</v>
      </c>
      <c r="L3445" t="str">
        <f t="shared" si="212"/>
        <v>Jul</v>
      </c>
      <c r="M3445">
        <f t="shared" si="213"/>
        <v>2025</v>
      </c>
      <c r="N3445">
        <f t="shared" si="214"/>
        <v>101220.79</v>
      </c>
      <c r="O3445" t="str">
        <f t="shared" si="215"/>
        <v>Minor Delay</v>
      </c>
    </row>
    <row r="3446" spans="1:15" x14ac:dyDescent="0.25">
      <c r="A3446">
        <v>3445</v>
      </c>
      <c r="B3446" s="2">
        <v>45867</v>
      </c>
      <c r="C3446" t="s">
        <v>18</v>
      </c>
      <c r="D3446" t="s">
        <v>29</v>
      </c>
      <c r="E3446" t="s">
        <v>17</v>
      </c>
      <c r="F3446" t="s">
        <v>21</v>
      </c>
      <c r="G3446">
        <v>210</v>
      </c>
      <c r="H3446">
        <v>744.86</v>
      </c>
      <c r="I3446">
        <v>36</v>
      </c>
      <c r="J3446" t="s">
        <v>15</v>
      </c>
      <c r="K3446">
        <v>156420.6</v>
      </c>
      <c r="L3446" t="str">
        <f t="shared" si="212"/>
        <v>Jul</v>
      </c>
      <c r="M3446">
        <f t="shared" si="213"/>
        <v>2025</v>
      </c>
      <c r="N3446">
        <f t="shared" si="214"/>
        <v>156420.6</v>
      </c>
      <c r="O3446" t="str">
        <f t="shared" si="215"/>
        <v>Moderate Delay</v>
      </c>
    </row>
    <row r="3447" spans="1:15" x14ac:dyDescent="0.25">
      <c r="A3447">
        <v>3446</v>
      </c>
      <c r="B3447" s="2">
        <v>45840</v>
      </c>
      <c r="C3447" t="s">
        <v>26</v>
      </c>
      <c r="D3447" t="s">
        <v>29</v>
      </c>
      <c r="E3447" t="s">
        <v>12</v>
      </c>
      <c r="F3447" t="s">
        <v>21</v>
      </c>
      <c r="G3447">
        <v>276</v>
      </c>
      <c r="H3447">
        <v>688.85</v>
      </c>
      <c r="I3447">
        <v>44</v>
      </c>
      <c r="J3447" t="s">
        <v>15</v>
      </c>
      <c r="K3447">
        <v>190122.6</v>
      </c>
      <c r="L3447" t="str">
        <f t="shared" si="212"/>
        <v>Jul</v>
      </c>
      <c r="M3447">
        <f t="shared" si="213"/>
        <v>2025</v>
      </c>
      <c r="N3447">
        <f t="shared" si="214"/>
        <v>190122.6</v>
      </c>
      <c r="O3447" t="str">
        <f t="shared" si="215"/>
        <v>Moderate Delay</v>
      </c>
    </row>
    <row r="3448" spans="1:15" x14ac:dyDescent="0.25">
      <c r="A3448">
        <v>3447</v>
      </c>
      <c r="B3448" s="2">
        <v>45668</v>
      </c>
      <c r="C3448" t="s">
        <v>25</v>
      </c>
      <c r="D3448" t="s">
        <v>19</v>
      </c>
      <c r="E3448" t="s">
        <v>23</v>
      </c>
      <c r="F3448" t="s">
        <v>24</v>
      </c>
      <c r="G3448">
        <v>166</v>
      </c>
      <c r="H3448">
        <v>311.74</v>
      </c>
      <c r="I3448">
        <v>14</v>
      </c>
      <c r="J3448" t="s">
        <v>30</v>
      </c>
      <c r="K3448">
        <v>51748.84</v>
      </c>
      <c r="L3448" t="str">
        <f t="shared" si="212"/>
        <v>Jan</v>
      </c>
      <c r="M3448">
        <f t="shared" si="213"/>
        <v>2025</v>
      </c>
      <c r="N3448">
        <f t="shared" si="214"/>
        <v>51748.840000000004</v>
      </c>
      <c r="O3448" t="str">
        <f t="shared" si="215"/>
        <v>Minor Delay</v>
      </c>
    </row>
    <row r="3449" spans="1:15" x14ac:dyDescent="0.25">
      <c r="A3449">
        <v>3448</v>
      </c>
      <c r="B3449" s="2">
        <v>45871</v>
      </c>
      <c r="C3449" t="s">
        <v>26</v>
      </c>
      <c r="D3449" t="s">
        <v>17</v>
      </c>
      <c r="E3449" t="s">
        <v>29</v>
      </c>
      <c r="F3449" t="s">
        <v>14</v>
      </c>
      <c r="G3449">
        <v>291</v>
      </c>
      <c r="H3449">
        <v>509.43</v>
      </c>
      <c r="I3449">
        <v>32</v>
      </c>
      <c r="J3449" t="s">
        <v>15</v>
      </c>
      <c r="K3449">
        <v>148244.13</v>
      </c>
      <c r="L3449" t="str">
        <f t="shared" si="212"/>
        <v>Aug</v>
      </c>
      <c r="M3449">
        <f t="shared" si="213"/>
        <v>2025</v>
      </c>
      <c r="N3449">
        <f t="shared" si="214"/>
        <v>148244.13</v>
      </c>
      <c r="O3449" t="str">
        <f t="shared" si="215"/>
        <v>Moderate Delay</v>
      </c>
    </row>
    <row r="3450" spans="1:15" x14ac:dyDescent="0.25">
      <c r="A3450">
        <v>3449</v>
      </c>
      <c r="B3450" s="2">
        <v>45805</v>
      </c>
      <c r="C3450" t="s">
        <v>25</v>
      </c>
      <c r="D3450" t="s">
        <v>27</v>
      </c>
      <c r="E3450" t="s">
        <v>23</v>
      </c>
      <c r="F3450" t="s">
        <v>24</v>
      </c>
      <c r="G3450">
        <v>50</v>
      </c>
      <c r="H3450">
        <v>389.9</v>
      </c>
      <c r="I3450">
        <v>0</v>
      </c>
      <c r="J3450" t="s">
        <v>30</v>
      </c>
      <c r="K3450">
        <v>19495</v>
      </c>
      <c r="L3450" t="str">
        <f t="shared" si="212"/>
        <v>May</v>
      </c>
      <c r="M3450">
        <f t="shared" si="213"/>
        <v>2025</v>
      </c>
      <c r="N3450">
        <f t="shared" si="214"/>
        <v>19495</v>
      </c>
      <c r="O3450" t="str">
        <f t="shared" si="215"/>
        <v>On Time</v>
      </c>
    </row>
    <row r="3451" spans="1:15" x14ac:dyDescent="0.25">
      <c r="A3451">
        <v>3450</v>
      </c>
      <c r="B3451" s="2">
        <v>45999</v>
      </c>
      <c r="C3451" t="s">
        <v>31</v>
      </c>
      <c r="D3451" t="s">
        <v>22</v>
      </c>
      <c r="E3451" t="s">
        <v>12</v>
      </c>
      <c r="F3451" t="s">
        <v>21</v>
      </c>
      <c r="G3451">
        <v>195</v>
      </c>
      <c r="H3451">
        <v>754.24</v>
      </c>
      <c r="I3451">
        <v>0</v>
      </c>
      <c r="J3451" t="s">
        <v>15</v>
      </c>
      <c r="K3451">
        <v>147076.79999999999</v>
      </c>
      <c r="L3451" t="str">
        <f t="shared" si="212"/>
        <v>Dec</v>
      </c>
      <c r="M3451">
        <f t="shared" si="213"/>
        <v>2025</v>
      </c>
      <c r="N3451">
        <f t="shared" si="214"/>
        <v>147076.79999999999</v>
      </c>
      <c r="O3451" t="str">
        <f t="shared" si="215"/>
        <v>On Time</v>
      </c>
    </row>
    <row r="3452" spans="1:15" x14ac:dyDescent="0.25">
      <c r="A3452">
        <v>3451</v>
      </c>
      <c r="B3452" s="2">
        <v>45905</v>
      </c>
      <c r="C3452" t="s">
        <v>26</v>
      </c>
      <c r="D3452" t="s">
        <v>12</v>
      </c>
      <c r="E3452" t="s">
        <v>27</v>
      </c>
      <c r="F3452" t="s">
        <v>24</v>
      </c>
      <c r="G3452">
        <v>67</v>
      </c>
      <c r="H3452">
        <v>173.35</v>
      </c>
      <c r="I3452">
        <v>11</v>
      </c>
      <c r="J3452" t="s">
        <v>15</v>
      </c>
      <c r="K3452">
        <v>11614.45</v>
      </c>
      <c r="L3452" t="str">
        <f t="shared" si="212"/>
        <v>Sep</v>
      </c>
      <c r="M3452">
        <f t="shared" si="213"/>
        <v>2025</v>
      </c>
      <c r="N3452">
        <f t="shared" si="214"/>
        <v>11614.449999999999</v>
      </c>
      <c r="O3452" t="str">
        <f t="shared" si="215"/>
        <v>Minor Delay</v>
      </c>
    </row>
    <row r="3453" spans="1:15" x14ac:dyDescent="0.25">
      <c r="A3453">
        <v>3452</v>
      </c>
      <c r="B3453" s="2">
        <v>45831</v>
      </c>
      <c r="C3453" t="s">
        <v>11</v>
      </c>
      <c r="D3453" t="s">
        <v>23</v>
      </c>
      <c r="E3453" t="s">
        <v>29</v>
      </c>
      <c r="F3453" t="s">
        <v>21</v>
      </c>
      <c r="G3453">
        <v>75</v>
      </c>
      <c r="H3453">
        <v>377.79</v>
      </c>
      <c r="I3453">
        <v>1</v>
      </c>
      <c r="J3453" t="s">
        <v>15</v>
      </c>
      <c r="K3453">
        <v>28334.25</v>
      </c>
      <c r="L3453" t="str">
        <f t="shared" si="212"/>
        <v>Jun</v>
      </c>
      <c r="M3453">
        <f t="shared" si="213"/>
        <v>2025</v>
      </c>
      <c r="N3453">
        <f t="shared" si="214"/>
        <v>28334.25</v>
      </c>
      <c r="O3453" t="str">
        <f t="shared" si="215"/>
        <v>Minor Delay</v>
      </c>
    </row>
    <row r="3454" spans="1:15" x14ac:dyDescent="0.25">
      <c r="A3454">
        <v>3453</v>
      </c>
      <c r="B3454" s="2">
        <v>45924</v>
      </c>
      <c r="C3454" t="s">
        <v>25</v>
      </c>
      <c r="D3454" t="s">
        <v>27</v>
      </c>
      <c r="E3454" t="s">
        <v>29</v>
      </c>
      <c r="F3454" t="s">
        <v>14</v>
      </c>
      <c r="G3454">
        <v>182</v>
      </c>
      <c r="H3454">
        <v>637.66</v>
      </c>
      <c r="I3454">
        <v>3</v>
      </c>
      <c r="J3454" t="s">
        <v>15</v>
      </c>
      <c r="K3454">
        <v>116054.12</v>
      </c>
      <c r="L3454" t="str">
        <f t="shared" si="212"/>
        <v>Sep</v>
      </c>
      <c r="M3454">
        <f t="shared" si="213"/>
        <v>2025</v>
      </c>
      <c r="N3454">
        <f t="shared" si="214"/>
        <v>116054.12</v>
      </c>
      <c r="O3454" t="str">
        <f t="shared" si="215"/>
        <v>Minor Delay</v>
      </c>
    </row>
    <row r="3455" spans="1:15" x14ac:dyDescent="0.25">
      <c r="A3455">
        <v>3454</v>
      </c>
      <c r="B3455" s="2">
        <v>45837</v>
      </c>
      <c r="C3455" t="s">
        <v>18</v>
      </c>
      <c r="D3455" t="s">
        <v>20</v>
      </c>
      <c r="E3455" t="s">
        <v>17</v>
      </c>
      <c r="F3455" t="s">
        <v>24</v>
      </c>
      <c r="G3455">
        <v>199</v>
      </c>
      <c r="H3455">
        <v>724.44</v>
      </c>
      <c r="I3455">
        <v>47</v>
      </c>
      <c r="J3455" t="s">
        <v>15</v>
      </c>
      <c r="K3455">
        <v>144163.56</v>
      </c>
      <c r="L3455" t="str">
        <f t="shared" si="212"/>
        <v>Jun</v>
      </c>
      <c r="M3455">
        <f t="shared" si="213"/>
        <v>2025</v>
      </c>
      <c r="N3455">
        <f t="shared" si="214"/>
        <v>144163.56</v>
      </c>
      <c r="O3455" t="str">
        <f t="shared" si="215"/>
        <v>Moderate Delay</v>
      </c>
    </row>
    <row r="3456" spans="1:15" x14ac:dyDescent="0.25">
      <c r="A3456">
        <v>3455</v>
      </c>
      <c r="B3456" s="2">
        <v>45813</v>
      </c>
      <c r="C3456" t="s">
        <v>25</v>
      </c>
      <c r="D3456" t="s">
        <v>22</v>
      </c>
      <c r="E3456" t="s">
        <v>17</v>
      </c>
      <c r="F3456" t="s">
        <v>21</v>
      </c>
      <c r="G3456">
        <v>117</v>
      </c>
      <c r="H3456">
        <v>540</v>
      </c>
      <c r="I3456">
        <v>10</v>
      </c>
      <c r="J3456" t="s">
        <v>15</v>
      </c>
      <c r="K3456">
        <v>63180</v>
      </c>
      <c r="L3456" t="str">
        <f t="shared" si="212"/>
        <v>Jun</v>
      </c>
      <c r="M3456">
        <f t="shared" si="213"/>
        <v>2025</v>
      </c>
      <c r="N3456">
        <f t="shared" si="214"/>
        <v>63180</v>
      </c>
      <c r="O3456" t="str">
        <f t="shared" si="215"/>
        <v>Minor Delay</v>
      </c>
    </row>
    <row r="3457" spans="1:15" x14ac:dyDescent="0.25">
      <c r="A3457">
        <v>3456</v>
      </c>
      <c r="B3457" s="2">
        <v>45994</v>
      </c>
      <c r="C3457" t="s">
        <v>18</v>
      </c>
      <c r="D3457" t="s">
        <v>17</v>
      </c>
      <c r="E3457" t="s">
        <v>27</v>
      </c>
      <c r="F3457" t="s">
        <v>14</v>
      </c>
      <c r="G3457">
        <v>136</v>
      </c>
      <c r="H3457">
        <v>696.27</v>
      </c>
      <c r="I3457">
        <v>0</v>
      </c>
      <c r="J3457" t="s">
        <v>30</v>
      </c>
      <c r="K3457">
        <v>94692.72</v>
      </c>
      <c r="L3457" t="str">
        <f t="shared" si="212"/>
        <v>Dec</v>
      </c>
      <c r="M3457">
        <f t="shared" si="213"/>
        <v>2025</v>
      </c>
      <c r="N3457">
        <f t="shared" si="214"/>
        <v>94692.72</v>
      </c>
      <c r="O3457" t="str">
        <f t="shared" si="215"/>
        <v>On Time</v>
      </c>
    </row>
    <row r="3458" spans="1:15" x14ac:dyDescent="0.25">
      <c r="A3458">
        <v>3457</v>
      </c>
      <c r="B3458" s="2">
        <v>45659</v>
      </c>
      <c r="C3458" t="s">
        <v>31</v>
      </c>
      <c r="D3458" t="s">
        <v>29</v>
      </c>
      <c r="E3458" t="s">
        <v>19</v>
      </c>
      <c r="F3458" t="s">
        <v>24</v>
      </c>
      <c r="G3458">
        <v>246</v>
      </c>
      <c r="H3458">
        <v>513.24</v>
      </c>
      <c r="I3458">
        <v>43</v>
      </c>
      <c r="J3458" t="s">
        <v>30</v>
      </c>
      <c r="K3458">
        <v>126257.04</v>
      </c>
      <c r="L3458" t="str">
        <f t="shared" si="212"/>
        <v>Jan</v>
      </c>
      <c r="M3458">
        <f t="shared" si="213"/>
        <v>2025</v>
      </c>
      <c r="N3458">
        <f t="shared" si="214"/>
        <v>126257.04000000001</v>
      </c>
      <c r="O3458" t="str">
        <f t="shared" si="215"/>
        <v>Moderate Delay</v>
      </c>
    </row>
    <row r="3459" spans="1:15" x14ac:dyDescent="0.25">
      <c r="A3459">
        <v>3458</v>
      </c>
      <c r="B3459" s="2">
        <v>45715</v>
      </c>
      <c r="C3459" t="s">
        <v>26</v>
      </c>
      <c r="D3459" t="s">
        <v>19</v>
      </c>
      <c r="E3459" t="s">
        <v>22</v>
      </c>
      <c r="F3459" t="s">
        <v>14</v>
      </c>
      <c r="G3459">
        <v>142</v>
      </c>
      <c r="H3459">
        <v>499.37</v>
      </c>
      <c r="I3459">
        <v>2</v>
      </c>
      <c r="J3459" t="s">
        <v>15</v>
      </c>
      <c r="K3459">
        <v>70910.539999999994</v>
      </c>
      <c r="L3459" t="str">
        <f t="shared" ref="L3459:L3522" si="216">TEXT(B3459,"MMM")</f>
        <v>Feb</v>
      </c>
      <c r="M3459">
        <f t="shared" ref="M3459:M3522" si="217">YEAR(B3459)</f>
        <v>2025</v>
      </c>
      <c r="N3459">
        <f t="shared" ref="N3459:N3522" si="218">G3459*H3459</f>
        <v>70910.539999999994</v>
      </c>
      <c r="O3459" t="str">
        <f t="shared" ref="O3459:O3522" si="219">IF(I3459=0,"On Time",IF(I3459&lt;=30,"Minor Delay",IF(I3459&lt;=60,"Moderate Delay","Major Delay")))</f>
        <v>Minor Delay</v>
      </c>
    </row>
    <row r="3460" spans="1:15" x14ac:dyDescent="0.25">
      <c r="A3460">
        <v>3459</v>
      </c>
      <c r="B3460" s="2">
        <v>45714</v>
      </c>
      <c r="C3460" t="s">
        <v>16</v>
      </c>
      <c r="D3460" t="s">
        <v>13</v>
      </c>
      <c r="E3460" t="s">
        <v>12</v>
      </c>
      <c r="F3460" t="s">
        <v>24</v>
      </c>
      <c r="G3460">
        <v>214</v>
      </c>
      <c r="H3460">
        <v>246.67</v>
      </c>
      <c r="I3460">
        <v>2</v>
      </c>
      <c r="J3460" t="s">
        <v>15</v>
      </c>
      <c r="K3460">
        <v>52787.38</v>
      </c>
      <c r="L3460" t="str">
        <f t="shared" si="216"/>
        <v>Feb</v>
      </c>
      <c r="M3460">
        <f t="shared" si="217"/>
        <v>2025</v>
      </c>
      <c r="N3460">
        <f t="shared" si="218"/>
        <v>52787.38</v>
      </c>
      <c r="O3460" t="str">
        <f t="shared" si="219"/>
        <v>Minor Delay</v>
      </c>
    </row>
    <row r="3461" spans="1:15" x14ac:dyDescent="0.25">
      <c r="A3461">
        <v>3460</v>
      </c>
      <c r="B3461" s="2">
        <v>45997</v>
      </c>
      <c r="C3461" t="s">
        <v>16</v>
      </c>
      <c r="D3461" t="s">
        <v>23</v>
      </c>
      <c r="E3461" t="s">
        <v>19</v>
      </c>
      <c r="F3461" t="s">
        <v>21</v>
      </c>
      <c r="G3461">
        <v>117</v>
      </c>
      <c r="H3461">
        <v>573.73</v>
      </c>
      <c r="I3461">
        <v>25</v>
      </c>
      <c r="J3461" t="s">
        <v>15</v>
      </c>
      <c r="K3461">
        <v>67126.41</v>
      </c>
      <c r="L3461" t="str">
        <f t="shared" si="216"/>
        <v>Dec</v>
      </c>
      <c r="M3461">
        <f t="shared" si="217"/>
        <v>2025</v>
      </c>
      <c r="N3461">
        <f t="shared" si="218"/>
        <v>67126.41</v>
      </c>
      <c r="O3461" t="str">
        <f t="shared" si="219"/>
        <v>Minor Delay</v>
      </c>
    </row>
    <row r="3462" spans="1:15" x14ac:dyDescent="0.25">
      <c r="A3462">
        <v>3461</v>
      </c>
      <c r="B3462" s="2">
        <v>45845</v>
      </c>
      <c r="C3462" t="s">
        <v>18</v>
      </c>
      <c r="D3462" t="s">
        <v>29</v>
      </c>
      <c r="E3462" t="s">
        <v>17</v>
      </c>
      <c r="F3462" t="s">
        <v>21</v>
      </c>
      <c r="G3462">
        <v>136</v>
      </c>
      <c r="H3462">
        <v>356.96</v>
      </c>
      <c r="I3462">
        <v>38</v>
      </c>
      <c r="J3462" t="s">
        <v>15</v>
      </c>
      <c r="K3462">
        <v>48546.559999999998</v>
      </c>
      <c r="L3462" t="str">
        <f t="shared" si="216"/>
        <v>Jul</v>
      </c>
      <c r="M3462">
        <f t="shared" si="217"/>
        <v>2025</v>
      </c>
      <c r="N3462">
        <f t="shared" si="218"/>
        <v>48546.559999999998</v>
      </c>
      <c r="O3462" t="str">
        <f t="shared" si="219"/>
        <v>Moderate Delay</v>
      </c>
    </row>
    <row r="3463" spans="1:15" x14ac:dyDescent="0.25">
      <c r="A3463">
        <v>3462</v>
      </c>
      <c r="B3463" s="2">
        <v>45706</v>
      </c>
      <c r="C3463" t="s">
        <v>18</v>
      </c>
      <c r="D3463" t="s">
        <v>20</v>
      </c>
      <c r="E3463" t="s">
        <v>23</v>
      </c>
      <c r="F3463" t="s">
        <v>21</v>
      </c>
      <c r="G3463">
        <v>134</v>
      </c>
      <c r="H3463">
        <v>707.9</v>
      </c>
      <c r="I3463">
        <v>33</v>
      </c>
      <c r="J3463" t="s">
        <v>15</v>
      </c>
      <c r="K3463">
        <v>94858.6</v>
      </c>
      <c r="L3463" t="str">
        <f t="shared" si="216"/>
        <v>Feb</v>
      </c>
      <c r="M3463">
        <f t="shared" si="217"/>
        <v>2025</v>
      </c>
      <c r="N3463">
        <f t="shared" si="218"/>
        <v>94858.599999999991</v>
      </c>
      <c r="O3463" t="str">
        <f t="shared" si="219"/>
        <v>Moderate Delay</v>
      </c>
    </row>
    <row r="3464" spans="1:15" x14ac:dyDescent="0.25">
      <c r="A3464">
        <v>3463</v>
      </c>
      <c r="B3464" s="2">
        <v>45735</v>
      </c>
      <c r="C3464" t="s">
        <v>11</v>
      </c>
      <c r="D3464" t="s">
        <v>19</v>
      </c>
      <c r="E3464" t="s">
        <v>17</v>
      </c>
      <c r="F3464" t="s">
        <v>14</v>
      </c>
      <c r="G3464">
        <v>187</v>
      </c>
      <c r="H3464">
        <v>331.37</v>
      </c>
      <c r="I3464">
        <v>0</v>
      </c>
      <c r="J3464" t="s">
        <v>30</v>
      </c>
      <c r="K3464">
        <v>61966.19</v>
      </c>
      <c r="L3464" t="str">
        <f t="shared" si="216"/>
        <v>Mar</v>
      </c>
      <c r="M3464">
        <f t="shared" si="217"/>
        <v>2025</v>
      </c>
      <c r="N3464">
        <f t="shared" si="218"/>
        <v>61966.19</v>
      </c>
      <c r="O3464" t="str">
        <f t="shared" si="219"/>
        <v>On Time</v>
      </c>
    </row>
    <row r="3465" spans="1:15" x14ac:dyDescent="0.25">
      <c r="A3465">
        <v>3464</v>
      </c>
      <c r="B3465" s="2">
        <v>45964</v>
      </c>
      <c r="C3465" t="s">
        <v>26</v>
      </c>
      <c r="D3465" t="s">
        <v>22</v>
      </c>
      <c r="E3465" t="s">
        <v>27</v>
      </c>
      <c r="F3465" t="s">
        <v>24</v>
      </c>
      <c r="G3465">
        <v>142</v>
      </c>
      <c r="H3465">
        <v>746.69</v>
      </c>
      <c r="I3465">
        <v>42</v>
      </c>
      <c r="J3465" t="s">
        <v>15</v>
      </c>
      <c r="K3465">
        <v>106029.98</v>
      </c>
      <c r="L3465" t="str">
        <f t="shared" si="216"/>
        <v>Nov</v>
      </c>
      <c r="M3465">
        <f t="shared" si="217"/>
        <v>2025</v>
      </c>
      <c r="N3465">
        <f t="shared" si="218"/>
        <v>106029.98000000001</v>
      </c>
      <c r="O3465" t="str">
        <f t="shared" si="219"/>
        <v>Moderate Delay</v>
      </c>
    </row>
    <row r="3466" spans="1:15" x14ac:dyDescent="0.25">
      <c r="A3466">
        <v>3465</v>
      </c>
      <c r="B3466" s="2">
        <v>45680</v>
      </c>
      <c r="C3466" t="s">
        <v>11</v>
      </c>
      <c r="D3466" t="s">
        <v>17</v>
      </c>
      <c r="E3466" t="s">
        <v>20</v>
      </c>
      <c r="F3466" t="s">
        <v>21</v>
      </c>
      <c r="G3466">
        <v>247</v>
      </c>
      <c r="H3466">
        <v>732.72</v>
      </c>
      <c r="I3466">
        <v>11</v>
      </c>
      <c r="J3466" t="s">
        <v>15</v>
      </c>
      <c r="K3466">
        <v>180981.84</v>
      </c>
      <c r="L3466" t="str">
        <f t="shared" si="216"/>
        <v>Jan</v>
      </c>
      <c r="M3466">
        <f t="shared" si="217"/>
        <v>2025</v>
      </c>
      <c r="N3466">
        <f t="shared" si="218"/>
        <v>180981.84</v>
      </c>
      <c r="O3466" t="str">
        <f t="shared" si="219"/>
        <v>Minor Delay</v>
      </c>
    </row>
    <row r="3467" spans="1:15" x14ac:dyDescent="0.25">
      <c r="A3467">
        <v>3466</v>
      </c>
      <c r="B3467" s="2">
        <v>45767</v>
      </c>
      <c r="C3467" t="s">
        <v>25</v>
      </c>
      <c r="D3467" t="s">
        <v>29</v>
      </c>
      <c r="E3467" t="s">
        <v>23</v>
      </c>
      <c r="F3467" t="s">
        <v>21</v>
      </c>
      <c r="G3467">
        <v>217</v>
      </c>
      <c r="H3467">
        <v>642.45000000000005</v>
      </c>
      <c r="I3467">
        <v>10</v>
      </c>
      <c r="J3467" t="s">
        <v>15</v>
      </c>
      <c r="K3467">
        <v>139411.65</v>
      </c>
      <c r="L3467" t="str">
        <f t="shared" si="216"/>
        <v>Apr</v>
      </c>
      <c r="M3467">
        <f t="shared" si="217"/>
        <v>2025</v>
      </c>
      <c r="N3467">
        <f t="shared" si="218"/>
        <v>139411.65000000002</v>
      </c>
      <c r="O3467" t="str">
        <f t="shared" si="219"/>
        <v>Minor Delay</v>
      </c>
    </row>
    <row r="3468" spans="1:15" x14ac:dyDescent="0.25">
      <c r="A3468">
        <v>3467</v>
      </c>
      <c r="B3468" s="2">
        <v>45811</v>
      </c>
      <c r="C3468" t="s">
        <v>16</v>
      </c>
      <c r="D3468" t="s">
        <v>20</v>
      </c>
      <c r="E3468" t="s">
        <v>13</v>
      </c>
      <c r="F3468" t="s">
        <v>24</v>
      </c>
      <c r="G3468">
        <v>76</v>
      </c>
      <c r="H3468">
        <v>246.2</v>
      </c>
      <c r="I3468">
        <v>49</v>
      </c>
      <c r="J3468" t="s">
        <v>15</v>
      </c>
      <c r="K3468">
        <v>18711.2</v>
      </c>
      <c r="L3468" t="str">
        <f t="shared" si="216"/>
        <v>Jun</v>
      </c>
      <c r="M3468">
        <f t="shared" si="217"/>
        <v>2025</v>
      </c>
      <c r="N3468">
        <f t="shared" si="218"/>
        <v>18711.2</v>
      </c>
      <c r="O3468" t="str">
        <f t="shared" si="219"/>
        <v>Moderate Delay</v>
      </c>
    </row>
    <row r="3469" spans="1:15" x14ac:dyDescent="0.25">
      <c r="A3469">
        <v>3468</v>
      </c>
      <c r="B3469" s="2">
        <v>45910</v>
      </c>
      <c r="C3469" t="s">
        <v>25</v>
      </c>
      <c r="D3469" t="s">
        <v>12</v>
      </c>
      <c r="E3469" t="s">
        <v>22</v>
      </c>
      <c r="F3469" t="s">
        <v>21</v>
      </c>
      <c r="G3469">
        <v>175</v>
      </c>
      <c r="H3469">
        <v>593.07000000000005</v>
      </c>
      <c r="I3469">
        <v>0</v>
      </c>
      <c r="J3469" t="s">
        <v>30</v>
      </c>
      <c r="K3469">
        <v>103787.25</v>
      </c>
      <c r="L3469" t="str">
        <f t="shared" si="216"/>
        <v>Sep</v>
      </c>
      <c r="M3469">
        <f t="shared" si="217"/>
        <v>2025</v>
      </c>
      <c r="N3469">
        <f t="shared" si="218"/>
        <v>103787.25000000001</v>
      </c>
      <c r="O3469" t="str">
        <f t="shared" si="219"/>
        <v>On Time</v>
      </c>
    </row>
    <row r="3470" spans="1:15" x14ac:dyDescent="0.25">
      <c r="A3470">
        <v>3469</v>
      </c>
      <c r="B3470" s="2">
        <v>45721</v>
      </c>
      <c r="C3470" t="s">
        <v>31</v>
      </c>
      <c r="D3470" t="s">
        <v>19</v>
      </c>
      <c r="E3470" t="s">
        <v>22</v>
      </c>
      <c r="F3470" t="s">
        <v>24</v>
      </c>
      <c r="G3470">
        <v>232</v>
      </c>
      <c r="H3470">
        <v>296.31</v>
      </c>
      <c r="I3470">
        <v>16</v>
      </c>
      <c r="J3470" t="s">
        <v>15</v>
      </c>
      <c r="K3470">
        <v>68743.92</v>
      </c>
      <c r="L3470" t="str">
        <f t="shared" si="216"/>
        <v>Mar</v>
      </c>
      <c r="M3470">
        <f t="shared" si="217"/>
        <v>2025</v>
      </c>
      <c r="N3470">
        <f t="shared" si="218"/>
        <v>68743.92</v>
      </c>
      <c r="O3470" t="str">
        <f t="shared" si="219"/>
        <v>Minor Delay</v>
      </c>
    </row>
    <row r="3471" spans="1:15" x14ac:dyDescent="0.25">
      <c r="A3471">
        <v>3470</v>
      </c>
      <c r="B3471" s="2">
        <v>45848</v>
      </c>
      <c r="C3471" t="s">
        <v>25</v>
      </c>
      <c r="D3471" t="s">
        <v>20</v>
      </c>
      <c r="E3471" t="s">
        <v>23</v>
      </c>
      <c r="F3471" t="s">
        <v>24</v>
      </c>
      <c r="G3471">
        <v>59</v>
      </c>
      <c r="H3471">
        <v>150.77000000000001</v>
      </c>
      <c r="I3471">
        <v>26</v>
      </c>
      <c r="J3471" t="s">
        <v>15</v>
      </c>
      <c r="K3471">
        <v>8895.43</v>
      </c>
      <c r="L3471" t="str">
        <f t="shared" si="216"/>
        <v>Jul</v>
      </c>
      <c r="M3471">
        <f t="shared" si="217"/>
        <v>2025</v>
      </c>
      <c r="N3471">
        <f t="shared" si="218"/>
        <v>8895.43</v>
      </c>
      <c r="O3471" t="str">
        <f t="shared" si="219"/>
        <v>Minor Delay</v>
      </c>
    </row>
    <row r="3472" spans="1:15" x14ac:dyDescent="0.25">
      <c r="A3472">
        <v>3471</v>
      </c>
      <c r="B3472" s="2">
        <v>45667</v>
      </c>
      <c r="C3472" t="s">
        <v>16</v>
      </c>
      <c r="D3472" t="s">
        <v>17</v>
      </c>
      <c r="E3472" t="s">
        <v>12</v>
      </c>
      <c r="F3472" t="s">
        <v>24</v>
      </c>
      <c r="G3472">
        <v>139</v>
      </c>
      <c r="H3472">
        <v>515.66999999999996</v>
      </c>
      <c r="I3472">
        <v>67</v>
      </c>
      <c r="J3472" t="s">
        <v>15</v>
      </c>
      <c r="K3472">
        <v>71678.13</v>
      </c>
      <c r="L3472" t="str">
        <f t="shared" si="216"/>
        <v>Jan</v>
      </c>
      <c r="M3472">
        <f t="shared" si="217"/>
        <v>2025</v>
      </c>
      <c r="N3472">
        <f t="shared" si="218"/>
        <v>71678.12999999999</v>
      </c>
      <c r="O3472" t="str">
        <f t="shared" si="219"/>
        <v>Major Delay</v>
      </c>
    </row>
    <row r="3473" spans="1:15" x14ac:dyDescent="0.25">
      <c r="A3473">
        <v>3472</v>
      </c>
      <c r="B3473" s="2">
        <v>45854</v>
      </c>
      <c r="C3473" t="s">
        <v>18</v>
      </c>
      <c r="D3473" t="s">
        <v>20</v>
      </c>
      <c r="E3473" t="s">
        <v>13</v>
      </c>
      <c r="F3473" t="s">
        <v>21</v>
      </c>
      <c r="G3473">
        <v>252</v>
      </c>
      <c r="H3473">
        <v>538.19000000000005</v>
      </c>
      <c r="I3473">
        <v>29</v>
      </c>
      <c r="J3473" t="s">
        <v>15</v>
      </c>
      <c r="K3473">
        <v>135623.88</v>
      </c>
      <c r="L3473" t="str">
        <f t="shared" si="216"/>
        <v>Jul</v>
      </c>
      <c r="M3473">
        <f t="shared" si="217"/>
        <v>2025</v>
      </c>
      <c r="N3473">
        <f t="shared" si="218"/>
        <v>135623.88</v>
      </c>
      <c r="O3473" t="str">
        <f t="shared" si="219"/>
        <v>Minor Delay</v>
      </c>
    </row>
    <row r="3474" spans="1:15" x14ac:dyDescent="0.25">
      <c r="A3474">
        <v>3473</v>
      </c>
      <c r="B3474" s="2">
        <v>46016</v>
      </c>
      <c r="C3474" t="s">
        <v>31</v>
      </c>
      <c r="D3474" t="s">
        <v>20</v>
      </c>
      <c r="E3474" t="s">
        <v>17</v>
      </c>
      <c r="F3474" t="s">
        <v>14</v>
      </c>
      <c r="G3474">
        <v>291</v>
      </c>
      <c r="H3474">
        <v>451.46</v>
      </c>
      <c r="I3474">
        <v>15</v>
      </c>
      <c r="J3474" t="s">
        <v>30</v>
      </c>
      <c r="K3474">
        <v>131374.85999999999</v>
      </c>
      <c r="L3474" t="str">
        <f t="shared" si="216"/>
        <v>Dec</v>
      </c>
      <c r="M3474">
        <f t="shared" si="217"/>
        <v>2025</v>
      </c>
      <c r="N3474">
        <f t="shared" si="218"/>
        <v>131374.85999999999</v>
      </c>
      <c r="O3474" t="str">
        <f t="shared" si="219"/>
        <v>Minor Delay</v>
      </c>
    </row>
    <row r="3475" spans="1:15" x14ac:dyDescent="0.25">
      <c r="A3475">
        <v>3474</v>
      </c>
      <c r="B3475" s="2">
        <v>45844</v>
      </c>
      <c r="C3475" t="s">
        <v>31</v>
      </c>
      <c r="D3475" t="s">
        <v>29</v>
      </c>
      <c r="E3475" t="s">
        <v>12</v>
      </c>
      <c r="F3475" t="s">
        <v>14</v>
      </c>
      <c r="G3475">
        <v>220</v>
      </c>
      <c r="H3475">
        <v>466.76</v>
      </c>
      <c r="I3475">
        <v>30</v>
      </c>
      <c r="J3475" t="s">
        <v>15</v>
      </c>
      <c r="K3475">
        <v>102687.2</v>
      </c>
      <c r="L3475" t="str">
        <f t="shared" si="216"/>
        <v>Jul</v>
      </c>
      <c r="M3475">
        <f t="shared" si="217"/>
        <v>2025</v>
      </c>
      <c r="N3475">
        <f t="shared" si="218"/>
        <v>102687.2</v>
      </c>
      <c r="O3475" t="str">
        <f t="shared" si="219"/>
        <v>Minor Delay</v>
      </c>
    </row>
    <row r="3476" spans="1:15" x14ac:dyDescent="0.25">
      <c r="A3476">
        <v>3475</v>
      </c>
      <c r="B3476" s="2">
        <v>45863</v>
      </c>
      <c r="C3476" t="s">
        <v>25</v>
      </c>
      <c r="D3476" t="s">
        <v>17</v>
      </c>
      <c r="E3476" t="s">
        <v>27</v>
      </c>
      <c r="F3476" t="s">
        <v>14</v>
      </c>
      <c r="G3476">
        <v>140</v>
      </c>
      <c r="H3476">
        <v>798.68</v>
      </c>
      <c r="I3476">
        <v>27</v>
      </c>
      <c r="J3476" t="s">
        <v>15</v>
      </c>
      <c r="K3476">
        <v>111815.2</v>
      </c>
      <c r="L3476" t="str">
        <f t="shared" si="216"/>
        <v>Jul</v>
      </c>
      <c r="M3476">
        <f t="shared" si="217"/>
        <v>2025</v>
      </c>
      <c r="N3476">
        <f t="shared" si="218"/>
        <v>111815.2</v>
      </c>
      <c r="O3476" t="str">
        <f t="shared" si="219"/>
        <v>Minor Delay</v>
      </c>
    </row>
    <row r="3477" spans="1:15" x14ac:dyDescent="0.25">
      <c r="A3477">
        <v>3476</v>
      </c>
      <c r="B3477" s="2">
        <v>45681</v>
      </c>
      <c r="C3477" t="s">
        <v>18</v>
      </c>
      <c r="D3477" t="s">
        <v>22</v>
      </c>
      <c r="E3477" t="s">
        <v>20</v>
      </c>
      <c r="F3477" t="s">
        <v>14</v>
      </c>
      <c r="G3477">
        <v>166</v>
      </c>
      <c r="H3477">
        <v>154.78</v>
      </c>
      <c r="I3477">
        <v>0</v>
      </c>
      <c r="J3477" t="s">
        <v>15</v>
      </c>
      <c r="K3477">
        <v>25693.48</v>
      </c>
      <c r="L3477" t="str">
        <f t="shared" si="216"/>
        <v>Jan</v>
      </c>
      <c r="M3477">
        <f t="shared" si="217"/>
        <v>2025</v>
      </c>
      <c r="N3477">
        <f t="shared" si="218"/>
        <v>25693.48</v>
      </c>
      <c r="O3477" t="str">
        <f t="shared" si="219"/>
        <v>On Time</v>
      </c>
    </row>
    <row r="3478" spans="1:15" x14ac:dyDescent="0.25">
      <c r="A3478">
        <v>3477</v>
      </c>
      <c r="B3478" s="2">
        <v>45701</v>
      </c>
      <c r="C3478" t="s">
        <v>11</v>
      </c>
      <c r="D3478" t="s">
        <v>19</v>
      </c>
      <c r="E3478" t="s">
        <v>22</v>
      </c>
      <c r="F3478" t="s">
        <v>14</v>
      </c>
      <c r="G3478">
        <v>255</v>
      </c>
      <c r="H3478">
        <v>315.60000000000002</v>
      </c>
      <c r="I3478">
        <v>32</v>
      </c>
      <c r="J3478" t="s">
        <v>15</v>
      </c>
      <c r="K3478">
        <v>80478</v>
      </c>
      <c r="L3478" t="str">
        <f t="shared" si="216"/>
        <v>Feb</v>
      </c>
      <c r="M3478">
        <f t="shared" si="217"/>
        <v>2025</v>
      </c>
      <c r="N3478">
        <f t="shared" si="218"/>
        <v>80478</v>
      </c>
      <c r="O3478" t="str">
        <f t="shared" si="219"/>
        <v>Moderate Delay</v>
      </c>
    </row>
    <row r="3479" spans="1:15" x14ac:dyDescent="0.25">
      <c r="A3479">
        <v>3478</v>
      </c>
      <c r="B3479" s="2">
        <v>45682</v>
      </c>
      <c r="C3479" t="s">
        <v>31</v>
      </c>
      <c r="D3479" t="s">
        <v>23</v>
      </c>
      <c r="E3479" t="s">
        <v>19</v>
      </c>
      <c r="F3479" t="s">
        <v>24</v>
      </c>
      <c r="G3479">
        <v>283</v>
      </c>
      <c r="H3479">
        <v>694.38</v>
      </c>
      <c r="I3479">
        <v>30</v>
      </c>
      <c r="J3479" t="s">
        <v>15</v>
      </c>
      <c r="K3479">
        <v>196509.54</v>
      </c>
      <c r="L3479" t="str">
        <f t="shared" si="216"/>
        <v>Jan</v>
      </c>
      <c r="M3479">
        <f t="shared" si="217"/>
        <v>2025</v>
      </c>
      <c r="N3479">
        <f t="shared" si="218"/>
        <v>196509.54</v>
      </c>
      <c r="O3479" t="str">
        <f t="shared" si="219"/>
        <v>Minor Delay</v>
      </c>
    </row>
    <row r="3480" spans="1:15" x14ac:dyDescent="0.25">
      <c r="A3480">
        <v>3479</v>
      </c>
      <c r="B3480" s="2">
        <v>45879</v>
      </c>
      <c r="C3480" t="s">
        <v>18</v>
      </c>
      <c r="D3480" t="s">
        <v>23</v>
      </c>
      <c r="E3480" t="s">
        <v>19</v>
      </c>
      <c r="F3480" t="s">
        <v>21</v>
      </c>
      <c r="G3480">
        <v>286</v>
      </c>
      <c r="H3480">
        <v>226.51</v>
      </c>
      <c r="I3480">
        <v>0</v>
      </c>
      <c r="J3480" t="s">
        <v>15</v>
      </c>
      <c r="K3480">
        <v>64781.86</v>
      </c>
      <c r="L3480" t="str">
        <f t="shared" si="216"/>
        <v>Aug</v>
      </c>
      <c r="M3480">
        <f t="shared" si="217"/>
        <v>2025</v>
      </c>
      <c r="N3480">
        <f t="shared" si="218"/>
        <v>64781.86</v>
      </c>
      <c r="O3480" t="str">
        <f t="shared" si="219"/>
        <v>On Time</v>
      </c>
    </row>
    <row r="3481" spans="1:15" x14ac:dyDescent="0.25">
      <c r="A3481">
        <v>3480</v>
      </c>
      <c r="B3481" s="2">
        <v>46013</v>
      </c>
      <c r="C3481" t="s">
        <v>26</v>
      </c>
      <c r="D3481" t="s">
        <v>20</v>
      </c>
      <c r="E3481" t="s">
        <v>12</v>
      </c>
      <c r="F3481" t="s">
        <v>21</v>
      </c>
      <c r="G3481">
        <v>296</v>
      </c>
      <c r="H3481">
        <v>76.540000000000006</v>
      </c>
      <c r="I3481">
        <v>25</v>
      </c>
      <c r="J3481" t="s">
        <v>15</v>
      </c>
      <c r="K3481">
        <v>22655.84</v>
      </c>
      <c r="L3481" t="str">
        <f t="shared" si="216"/>
        <v>Dec</v>
      </c>
      <c r="M3481">
        <f t="shared" si="217"/>
        <v>2025</v>
      </c>
      <c r="N3481">
        <f t="shared" si="218"/>
        <v>22655.84</v>
      </c>
      <c r="O3481" t="str">
        <f t="shared" si="219"/>
        <v>Minor Delay</v>
      </c>
    </row>
    <row r="3482" spans="1:15" x14ac:dyDescent="0.25">
      <c r="A3482">
        <v>3481</v>
      </c>
      <c r="B3482" s="2">
        <v>45891</v>
      </c>
      <c r="C3482" t="s">
        <v>25</v>
      </c>
      <c r="D3482" t="s">
        <v>13</v>
      </c>
      <c r="E3482" t="s">
        <v>12</v>
      </c>
      <c r="F3482" t="s">
        <v>21</v>
      </c>
      <c r="G3482">
        <v>108</v>
      </c>
      <c r="H3482">
        <v>655.4</v>
      </c>
      <c r="I3482">
        <v>24</v>
      </c>
      <c r="J3482" t="s">
        <v>15</v>
      </c>
      <c r="K3482">
        <v>70783.199999999997</v>
      </c>
      <c r="L3482" t="str">
        <f t="shared" si="216"/>
        <v>Aug</v>
      </c>
      <c r="M3482">
        <f t="shared" si="217"/>
        <v>2025</v>
      </c>
      <c r="N3482">
        <f t="shared" si="218"/>
        <v>70783.199999999997</v>
      </c>
      <c r="O3482" t="str">
        <f t="shared" si="219"/>
        <v>Minor Delay</v>
      </c>
    </row>
    <row r="3483" spans="1:15" x14ac:dyDescent="0.25">
      <c r="A3483">
        <v>3482</v>
      </c>
      <c r="B3483" s="2">
        <v>45670</v>
      </c>
      <c r="C3483" t="s">
        <v>31</v>
      </c>
      <c r="D3483" t="s">
        <v>29</v>
      </c>
      <c r="E3483" t="s">
        <v>20</v>
      </c>
      <c r="F3483" t="s">
        <v>14</v>
      </c>
      <c r="G3483">
        <v>299</v>
      </c>
      <c r="H3483">
        <v>688.85</v>
      </c>
      <c r="I3483">
        <v>0</v>
      </c>
      <c r="J3483" t="s">
        <v>15</v>
      </c>
      <c r="K3483">
        <v>205966.15</v>
      </c>
      <c r="L3483" t="str">
        <f t="shared" si="216"/>
        <v>Jan</v>
      </c>
      <c r="M3483">
        <f t="shared" si="217"/>
        <v>2025</v>
      </c>
      <c r="N3483">
        <f t="shared" si="218"/>
        <v>205966.15</v>
      </c>
      <c r="O3483" t="str">
        <f t="shared" si="219"/>
        <v>On Time</v>
      </c>
    </row>
    <row r="3484" spans="1:15" x14ac:dyDescent="0.25">
      <c r="A3484">
        <v>3483</v>
      </c>
      <c r="B3484" s="2">
        <v>45899</v>
      </c>
      <c r="C3484" t="s">
        <v>31</v>
      </c>
      <c r="D3484" t="s">
        <v>17</v>
      </c>
      <c r="E3484" t="s">
        <v>19</v>
      </c>
      <c r="F3484" t="s">
        <v>24</v>
      </c>
      <c r="G3484">
        <v>231</v>
      </c>
      <c r="H3484">
        <v>636.02</v>
      </c>
      <c r="I3484">
        <v>67</v>
      </c>
      <c r="J3484" t="s">
        <v>30</v>
      </c>
      <c r="K3484">
        <v>146920.62</v>
      </c>
      <c r="L3484" t="str">
        <f t="shared" si="216"/>
        <v>Aug</v>
      </c>
      <c r="M3484">
        <f t="shared" si="217"/>
        <v>2025</v>
      </c>
      <c r="N3484">
        <f t="shared" si="218"/>
        <v>146920.62</v>
      </c>
      <c r="O3484" t="str">
        <f t="shared" si="219"/>
        <v>Major Delay</v>
      </c>
    </row>
    <row r="3485" spans="1:15" x14ac:dyDescent="0.25">
      <c r="A3485">
        <v>3484</v>
      </c>
      <c r="B3485" s="2">
        <v>45877</v>
      </c>
      <c r="C3485" t="s">
        <v>31</v>
      </c>
      <c r="D3485" t="s">
        <v>27</v>
      </c>
      <c r="E3485" t="s">
        <v>17</v>
      </c>
      <c r="F3485" t="s">
        <v>14</v>
      </c>
      <c r="G3485">
        <v>72</v>
      </c>
      <c r="H3485">
        <v>659.58</v>
      </c>
      <c r="I3485">
        <v>41</v>
      </c>
      <c r="J3485" t="s">
        <v>15</v>
      </c>
      <c r="K3485">
        <v>47489.760000000002</v>
      </c>
      <c r="L3485" t="str">
        <f t="shared" si="216"/>
        <v>Aug</v>
      </c>
      <c r="M3485">
        <f t="shared" si="217"/>
        <v>2025</v>
      </c>
      <c r="N3485">
        <f t="shared" si="218"/>
        <v>47489.760000000002</v>
      </c>
      <c r="O3485" t="str">
        <f t="shared" si="219"/>
        <v>Moderate Delay</v>
      </c>
    </row>
    <row r="3486" spans="1:15" x14ac:dyDescent="0.25">
      <c r="A3486">
        <v>3485</v>
      </c>
      <c r="B3486" s="2">
        <v>45696</v>
      </c>
      <c r="C3486" t="s">
        <v>26</v>
      </c>
      <c r="D3486" t="s">
        <v>19</v>
      </c>
      <c r="E3486" t="s">
        <v>29</v>
      </c>
      <c r="F3486" t="s">
        <v>21</v>
      </c>
      <c r="G3486">
        <v>218</v>
      </c>
      <c r="H3486">
        <v>183.13</v>
      </c>
      <c r="I3486">
        <v>50</v>
      </c>
      <c r="J3486" t="s">
        <v>15</v>
      </c>
      <c r="K3486">
        <v>39922.339999999997</v>
      </c>
      <c r="L3486" t="str">
        <f t="shared" si="216"/>
        <v>Feb</v>
      </c>
      <c r="M3486">
        <f t="shared" si="217"/>
        <v>2025</v>
      </c>
      <c r="N3486">
        <f t="shared" si="218"/>
        <v>39922.339999999997</v>
      </c>
      <c r="O3486" t="str">
        <f t="shared" si="219"/>
        <v>Moderate Delay</v>
      </c>
    </row>
    <row r="3487" spans="1:15" x14ac:dyDescent="0.25">
      <c r="A3487">
        <v>3486</v>
      </c>
      <c r="B3487" s="2">
        <v>45986</v>
      </c>
      <c r="C3487" t="s">
        <v>31</v>
      </c>
      <c r="D3487" t="s">
        <v>12</v>
      </c>
      <c r="E3487" t="s">
        <v>27</v>
      </c>
      <c r="F3487" t="s">
        <v>21</v>
      </c>
      <c r="G3487">
        <v>256</v>
      </c>
      <c r="H3487">
        <v>784.05</v>
      </c>
      <c r="I3487">
        <v>0</v>
      </c>
      <c r="J3487" t="s">
        <v>30</v>
      </c>
      <c r="K3487">
        <v>200716.79999999999</v>
      </c>
      <c r="L3487" t="str">
        <f t="shared" si="216"/>
        <v>Nov</v>
      </c>
      <c r="M3487">
        <f t="shared" si="217"/>
        <v>2025</v>
      </c>
      <c r="N3487">
        <f t="shared" si="218"/>
        <v>200716.79999999999</v>
      </c>
      <c r="O3487" t="str">
        <f t="shared" si="219"/>
        <v>On Time</v>
      </c>
    </row>
    <row r="3488" spans="1:15" x14ac:dyDescent="0.25">
      <c r="A3488">
        <v>3487</v>
      </c>
      <c r="B3488" s="2">
        <v>45821</v>
      </c>
      <c r="C3488" t="s">
        <v>18</v>
      </c>
      <c r="D3488" t="s">
        <v>23</v>
      </c>
      <c r="E3488" t="s">
        <v>20</v>
      </c>
      <c r="F3488" t="s">
        <v>24</v>
      </c>
      <c r="G3488">
        <v>211</v>
      </c>
      <c r="H3488">
        <v>525.54999999999995</v>
      </c>
      <c r="I3488">
        <v>2</v>
      </c>
      <c r="J3488" t="s">
        <v>15</v>
      </c>
      <c r="K3488">
        <v>110891.05</v>
      </c>
      <c r="L3488" t="str">
        <f t="shared" si="216"/>
        <v>Jun</v>
      </c>
      <c r="M3488">
        <f t="shared" si="217"/>
        <v>2025</v>
      </c>
      <c r="N3488">
        <f t="shared" si="218"/>
        <v>110891.04999999999</v>
      </c>
      <c r="O3488" t="str">
        <f t="shared" si="219"/>
        <v>Minor Delay</v>
      </c>
    </row>
    <row r="3489" spans="1:15" x14ac:dyDescent="0.25">
      <c r="A3489">
        <v>3488</v>
      </c>
      <c r="B3489" s="2">
        <v>45801</v>
      </c>
      <c r="C3489" t="s">
        <v>26</v>
      </c>
      <c r="D3489" t="s">
        <v>22</v>
      </c>
      <c r="E3489" t="s">
        <v>17</v>
      </c>
      <c r="F3489" t="s">
        <v>14</v>
      </c>
      <c r="G3489">
        <v>78</v>
      </c>
      <c r="H3489">
        <v>445.37</v>
      </c>
      <c r="I3489">
        <v>36</v>
      </c>
      <c r="J3489" t="s">
        <v>15</v>
      </c>
      <c r="K3489">
        <v>34738.86</v>
      </c>
      <c r="L3489" t="str">
        <f t="shared" si="216"/>
        <v>May</v>
      </c>
      <c r="M3489">
        <f t="shared" si="217"/>
        <v>2025</v>
      </c>
      <c r="N3489">
        <f t="shared" si="218"/>
        <v>34738.86</v>
      </c>
      <c r="O3489" t="str">
        <f t="shared" si="219"/>
        <v>Moderate Delay</v>
      </c>
    </row>
    <row r="3490" spans="1:15" x14ac:dyDescent="0.25">
      <c r="A3490">
        <v>3489</v>
      </c>
      <c r="B3490" s="2">
        <v>45701</v>
      </c>
      <c r="C3490" t="s">
        <v>11</v>
      </c>
      <c r="D3490" t="s">
        <v>27</v>
      </c>
      <c r="E3490" t="s">
        <v>22</v>
      </c>
      <c r="F3490" t="s">
        <v>24</v>
      </c>
      <c r="G3490">
        <v>285</v>
      </c>
      <c r="H3490">
        <v>393.11</v>
      </c>
      <c r="I3490">
        <v>15</v>
      </c>
      <c r="J3490" t="s">
        <v>15</v>
      </c>
      <c r="K3490">
        <v>112036.35</v>
      </c>
      <c r="L3490" t="str">
        <f t="shared" si="216"/>
        <v>Feb</v>
      </c>
      <c r="M3490">
        <f t="shared" si="217"/>
        <v>2025</v>
      </c>
      <c r="N3490">
        <f t="shared" si="218"/>
        <v>112036.35</v>
      </c>
      <c r="O3490" t="str">
        <f t="shared" si="219"/>
        <v>Minor Delay</v>
      </c>
    </row>
    <row r="3491" spans="1:15" x14ac:dyDescent="0.25">
      <c r="A3491">
        <v>3490</v>
      </c>
      <c r="B3491" s="2">
        <v>45940</v>
      </c>
      <c r="C3491" t="s">
        <v>25</v>
      </c>
      <c r="D3491" t="s">
        <v>13</v>
      </c>
      <c r="E3491" t="s">
        <v>23</v>
      </c>
      <c r="F3491" t="s">
        <v>21</v>
      </c>
      <c r="G3491">
        <v>188</v>
      </c>
      <c r="H3491">
        <v>134.19999999999999</v>
      </c>
      <c r="I3491">
        <v>19</v>
      </c>
      <c r="J3491" t="s">
        <v>15</v>
      </c>
      <c r="K3491">
        <v>25229.599999999999</v>
      </c>
      <c r="L3491" t="str">
        <f t="shared" si="216"/>
        <v>Oct</v>
      </c>
      <c r="M3491">
        <f t="shared" si="217"/>
        <v>2025</v>
      </c>
      <c r="N3491">
        <f t="shared" si="218"/>
        <v>25229.599999999999</v>
      </c>
      <c r="O3491" t="str">
        <f t="shared" si="219"/>
        <v>Minor Delay</v>
      </c>
    </row>
    <row r="3492" spans="1:15" x14ac:dyDescent="0.25">
      <c r="A3492">
        <v>3491</v>
      </c>
      <c r="B3492" s="2">
        <v>45920</v>
      </c>
      <c r="C3492" t="s">
        <v>26</v>
      </c>
      <c r="D3492" t="s">
        <v>20</v>
      </c>
      <c r="E3492" t="s">
        <v>17</v>
      </c>
      <c r="F3492" t="s">
        <v>14</v>
      </c>
      <c r="G3492">
        <v>187</v>
      </c>
      <c r="H3492">
        <v>636.16</v>
      </c>
      <c r="I3492">
        <v>14</v>
      </c>
      <c r="J3492" t="s">
        <v>15</v>
      </c>
      <c r="K3492">
        <v>118961.92</v>
      </c>
      <c r="L3492" t="str">
        <f t="shared" si="216"/>
        <v>Sep</v>
      </c>
      <c r="M3492">
        <f t="shared" si="217"/>
        <v>2025</v>
      </c>
      <c r="N3492">
        <f t="shared" si="218"/>
        <v>118961.92</v>
      </c>
      <c r="O3492" t="str">
        <f t="shared" si="219"/>
        <v>Minor Delay</v>
      </c>
    </row>
    <row r="3493" spans="1:15" x14ac:dyDescent="0.25">
      <c r="A3493">
        <v>3492</v>
      </c>
      <c r="B3493" s="2">
        <v>45742</v>
      </c>
      <c r="C3493" t="s">
        <v>16</v>
      </c>
      <c r="D3493" t="s">
        <v>17</v>
      </c>
      <c r="E3493" t="s">
        <v>29</v>
      </c>
      <c r="F3493" t="s">
        <v>14</v>
      </c>
      <c r="G3493">
        <v>116</v>
      </c>
      <c r="H3493">
        <v>549.79</v>
      </c>
      <c r="I3493">
        <v>48</v>
      </c>
      <c r="J3493" t="s">
        <v>15</v>
      </c>
      <c r="K3493">
        <v>63775.64</v>
      </c>
      <c r="L3493" t="str">
        <f t="shared" si="216"/>
        <v>Mar</v>
      </c>
      <c r="M3493">
        <f t="shared" si="217"/>
        <v>2025</v>
      </c>
      <c r="N3493">
        <f t="shared" si="218"/>
        <v>63775.64</v>
      </c>
      <c r="O3493" t="str">
        <f t="shared" si="219"/>
        <v>Moderate Delay</v>
      </c>
    </row>
    <row r="3494" spans="1:15" x14ac:dyDescent="0.25">
      <c r="A3494">
        <v>3493</v>
      </c>
      <c r="B3494" s="2">
        <v>45794</v>
      </c>
      <c r="C3494" t="s">
        <v>16</v>
      </c>
      <c r="D3494" t="s">
        <v>19</v>
      </c>
      <c r="E3494" t="s">
        <v>17</v>
      </c>
      <c r="F3494" t="s">
        <v>14</v>
      </c>
      <c r="G3494">
        <v>78</v>
      </c>
      <c r="H3494">
        <v>196.59</v>
      </c>
      <c r="I3494">
        <v>28</v>
      </c>
      <c r="J3494" t="s">
        <v>15</v>
      </c>
      <c r="K3494">
        <v>15334.02</v>
      </c>
      <c r="L3494" t="str">
        <f t="shared" si="216"/>
        <v>May</v>
      </c>
      <c r="M3494">
        <f t="shared" si="217"/>
        <v>2025</v>
      </c>
      <c r="N3494">
        <f t="shared" si="218"/>
        <v>15334.02</v>
      </c>
      <c r="O3494" t="str">
        <f t="shared" si="219"/>
        <v>Minor Delay</v>
      </c>
    </row>
    <row r="3495" spans="1:15" x14ac:dyDescent="0.25">
      <c r="A3495">
        <v>3494</v>
      </c>
      <c r="B3495" s="2">
        <v>45918</v>
      </c>
      <c r="C3495" t="s">
        <v>18</v>
      </c>
      <c r="D3495" t="s">
        <v>19</v>
      </c>
      <c r="E3495" t="s">
        <v>13</v>
      </c>
      <c r="F3495" t="s">
        <v>24</v>
      </c>
      <c r="G3495">
        <v>285</v>
      </c>
      <c r="H3495">
        <v>275.39999999999998</v>
      </c>
      <c r="I3495">
        <v>34</v>
      </c>
      <c r="J3495" t="s">
        <v>30</v>
      </c>
      <c r="K3495">
        <v>78489</v>
      </c>
      <c r="L3495" t="str">
        <f t="shared" si="216"/>
        <v>Sep</v>
      </c>
      <c r="M3495">
        <f t="shared" si="217"/>
        <v>2025</v>
      </c>
      <c r="N3495">
        <f t="shared" si="218"/>
        <v>78489</v>
      </c>
      <c r="O3495" t="str">
        <f t="shared" si="219"/>
        <v>Moderate Delay</v>
      </c>
    </row>
    <row r="3496" spans="1:15" x14ac:dyDescent="0.25">
      <c r="A3496">
        <v>3495</v>
      </c>
      <c r="B3496" s="2">
        <v>45873</v>
      </c>
      <c r="C3496" t="s">
        <v>25</v>
      </c>
      <c r="D3496" t="s">
        <v>13</v>
      </c>
      <c r="E3496" t="s">
        <v>12</v>
      </c>
      <c r="F3496" t="s">
        <v>21</v>
      </c>
      <c r="G3496">
        <v>173</v>
      </c>
      <c r="H3496">
        <v>382.26</v>
      </c>
      <c r="I3496">
        <v>38</v>
      </c>
      <c r="J3496" t="s">
        <v>15</v>
      </c>
      <c r="K3496">
        <v>66130.98</v>
      </c>
      <c r="L3496" t="str">
        <f t="shared" si="216"/>
        <v>Aug</v>
      </c>
      <c r="M3496">
        <f t="shared" si="217"/>
        <v>2025</v>
      </c>
      <c r="N3496">
        <f t="shared" si="218"/>
        <v>66130.98</v>
      </c>
      <c r="O3496" t="str">
        <f t="shared" si="219"/>
        <v>Moderate Delay</v>
      </c>
    </row>
    <row r="3497" spans="1:15" x14ac:dyDescent="0.25">
      <c r="A3497">
        <v>3496</v>
      </c>
      <c r="B3497" s="2">
        <v>45659</v>
      </c>
      <c r="C3497" t="s">
        <v>18</v>
      </c>
      <c r="D3497" t="s">
        <v>29</v>
      </c>
      <c r="E3497" t="s">
        <v>17</v>
      </c>
      <c r="F3497" t="s">
        <v>24</v>
      </c>
      <c r="G3497">
        <v>217</v>
      </c>
      <c r="H3497">
        <v>417.26</v>
      </c>
      <c r="I3497">
        <v>16</v>
      </c>
      <c r="J3497" t="s">
        <v>30</v>
      </c>
      <c r="K3497">
        <v>90545.42</v>
      </c>
      <c r="L3497" t="str">
        <f t="shared" si="216"/>
        <v>Jan</v>
      </c>
      <c r="M3497">
        <f t="shared" si="217"/>
        <v>2025</v>
      </c>
      <c r="N3497">
        <f t="shared" si="218"/>
        <v>90545.42</v>
      </c>
      <c r="O3497" t="str">
        <f t="shared" si="219"/>
        <v>Minor Delay</v>
      </c>
    </row>
    <row r="3498" spans="1:15" x14ac:dyDescent="0.25">
      <c r="A3498">
        <v>3497</v>
      </c>
      <c r="B3498" s="2">
        <v>45706</v>
      </c>
      <c r="C3498" t="s">
        <v>18</v>
      </c>
      <c r="D3498" t="s">
        <v>17</v>
      </c>
      <c r="E3498" t="s">
        <v>29</v>
      </c>
      <c r="F3498" t="s">
        <v>14</v>
      </c>
      <c r="G3498">
        <v>60</v>
      </c>
      <c r="H3498">
        <v>268.63</v>
      </c>
      <c r="I3498">
        <v>0</v>
      </c>
      <c r="J3498" t="s">
        <v>15</v>
      </c>
      <c r="K3498">
        <v>16117.8</v>
      </c>
      <c r="L3498" t="str">
        <f t="shared" si="216"/>
        <v>Feb</v>
      </c>
      <c r="M3498">
        <f t="shared" si="217"/>
        <v>2025</v>
      </c>
      <c r="N3498">
        <f t="shared" si="218"/>
        <v>16117.8</v>
      </c>
      <c r="O3498" t="str">
        <f t="shared" si="219"/>
        <v>On Time</v>
      </c>
    </row>
    <row r="3499" spans="1:15" x14ac:dyDescent="0.25">
      <c r="A3499">
        <v>3498</v>
      </c>
      <c r="B3499" s="2">
        <v>45914</v>
      </c>
      <c r="C3499" t="s">
        <v>18</v>
      </c>
      <c r="D3499" t="s">
        <v>23</v>
      </c>
      <c r="E3499" t="s">
        <v>12</v>
      </c>
      <c r="F3499" t="s">
        <v>21</v>
      </c>
      <c r="G3499">
        <v>106</v>
      </c>
      <c r="H3499">
        <v>93.09</v>
      </c>
      <c r="I3499">
        <v>15</v>
      </c>
      <c r="J3499" t="s">
        <v>30</v>
      </c>
      <c r="K3499">
        <v>9867.5400000000009</v>
      </c>
      <c r="L3499" t="str">
        <f t="shared" si="216"/>
        <v>Sep</v>
      </c>
      <c r="M3499">
        <f t="shared" si="217"/>
        <v>2025</v>
      </c>
      <c r="N3499">
        <f t="shared" si="218"/>
        <v>9867.5400000000009</v>
      </c>
      <c r="O3499" t="str">
        <f t="shared" si="219"/>
        <v>Minor Delay</v>
      </c>
    </row>
    <row r="3500" spans="1:15" x14ac:dyDescent="0.25">
      <c r="A3500">
        <v>3499</v>
      </c>
      <c r="B3500" s="2">
        <v>45810</v>
      </c>
      <c r="C3500" t="s">
        <v>25</v>
      </c>
      <c r="D3500" t="s">
        <v>29</v>
      </c>
      <c r="E3500" t="s">
        <v>20</v>
      </c>
      <c r="F3500" t="s">
        <v>24</v>
      </c>
      <c r="G3500">
        <v>253</v>
      </c>
      <c r="H3500">
        <v>356.45</v>
      </c>
      <c r="I3500">
        <v>0</v>
      </c>
      <c r="J3500" t="s">
        <v>15</v>
      </c>
      <c r="K3500">
        <v>90181.85</v>
      </c>
      <c r="L3500" t="str">
        <f t="shared" si="216"/>
        <v>Jun</v>
      </c>
      <c r="M3500">
        <f t="shared" si="217"/>
        <v>2025</v>
      </c>
      <c r="N3500">
        <f t="shared" si="218"/>
        <v>90181.849999999991</v>
      </c>
      <c r="O3500" t="str">
        <f t="shared" si="219"/>
        <v>On Time</v>
      </c>
    </row>
    <row r="3501" spans="1:15" x14ac:dyDescent="0.25">
      <c r="A3501">
        <v>3500</v>
      </c>
      <c r="B3501" s="2">
        <v>45676</v>
      </c>
      <c r="C3501" t="s">
        <v>26</v>
      </c>
      <c r="D3501" t="s">
        <v>12</v>
      </c>
      <c r="E3501" t="s">
        <v>20</v>
      </c>
      <c r="F3501" t="s">
        <v>21</v>
      </c>
      <c r="G3501">
        <v>281</v>
      </c>
      <c r="H3501">
        <v>566.66999999999996</v>
      </c>
      <c r="I3501">
        <v>1</v>
      </c>
      <c r="J3501" t="s">
        <v>15</v>
      </c>
      <c r="K3501">
        <v>159234.26999999999</v>
      </c>
      <c r="L3501" t="str">
        <f t="shared" si="216"/>
        <v>Jan</v>
      </c>
      <c r="M3501">
        <f t="shared" si="217"/>
        <v>2025</v>
      </c>
      <c r="N3501">
        <f t="shared" si="218"/>
        <v>159234.26999999999</v>
      </c>
      <c r="O3501" t="str">
        <f t="shared" si="219"/>
        <v>Minor Delay</v>
      </c>
    </row>
    <row r="3502" spans="1:15" x14ac:dyDescent="0.25">
      <c r="A3502">
        <v>3501</v>
      </c>
      <c r="B3502" s="2">
        <v>45786</v>
      </c>
      <c r="C3502" t="s">
        <v>31</v>
      </c>
      <c r="D3502" t="s">
        <v>13</v>
      </c>
      <c r="E3502" t="s">
        <v>20</v>
      </c>
      <c r="F3502" t="s">
        <v>14</v>
      </c>
      <c r="G3502">
        <v>297</v>
      </c>
      <c r="H3502">
        <v>477.77</v>
      </c>
      <c r="I3502">
        <v>12</v>
      </c>
      <c r="J3502" t="s">
        <v>15</v>
      </c>
      <c r="K3502">
        <v>141897.69</v>
      </c>
      <c r="L3502" t="str">
        <f t="shared" si="216"/>
        <v>May</v>
      </c>
      <c r="M3502">
        <f t="shared" si="217"/>
        <v>2025</v>
      </c>
      <c r="N3502">
        <f t="shared" si="218"/>
        <v>141897.69</v>
      </c>
      <c r="O3502" t="str">
        <f t="shared" si="219"/>
        <v>Minor Delay</v>
      </c>
    </row>
    <row r="3503" spans="1:15" x14ac:dyDescent="0.25">
      <c r="A3503">
        <v>3502</v>
      </c>
      <c r="B3503" s="2">
        <v>45830</v>
      </c>
      <c r="C3503" t="s">
        <v>25</v>
      </c>
      <c r="D3503" t="s">
        <v>23</v>
      </c>
      <c r="E3503" t="s">
        <v>29</v>
      </c>
      <c r="F3503" t="s">
        <v>14</v>
      </c>
      <c r="G3503">
        <v>230</v>
      </c>
      <c r="H3503">
        <v>771.38</v>
      </c>
      <c r="I3503">
        <v>0</v>
      </c>
      <c r="J3503" t="s">
        <v>15</v>
      </c>
      <c r="K3503">
        <v>177417.4</v>
      </c>
      <c r="L3503" t="str">
        <f t="shared" si="216"/>
        <v>Jun</v>
      </c>
      <c r="M3503">
        <f t="shared" si="217"/>
        <v>2025</v>
      </c>
      <c r="N3503">
        <f t="shared" si="218"/>
        <v>177417.4</v>
      </c>
      <c r="O3503" t="str">
        <f t="shared" si="219"/>
        <v>On Time</v>
      </c>
    </row>
    <row r="3504" spans="1:15" x14ac:dyDescent="0.25">
      <c r="A3504">
        <v>3503</v>
      </c>
      <c r="B3504" s="2">
        <v>45940</v>
      </c>
      <c r="C3504" t="s">
        <v>16</v>
      </c>
      <c r="D3504" t="s">
        <v>13</v>
      </c>
      <c r="E3504" t="s">
        <v>29</v>
      </c>
      <c r="F3504" t="s">
        <v>21</v>
      </c>
      <c r="G3504">
        <v>271</v>
      </c>
      <c r="H3504">
        <v>336.59</v>
      </c>
      <c r="I3504">
        <v>5</v>
      </c>
      <c r="J3504" t="s">
        <v>28</v>
      </c>
      <c r="K3504">
        <v>91215.89</v>
      </c>
      <c r="L3504" t="str">
        <f t="shared" si="216"/>
        <v>Oct</v>
      </c>
      <c r="M3504">
        <f t="shared" si="217"/>
        <v>2025</v>
      </c>
      <c r="N3504">
        <f t="shared" si="218"/>
        <v>91215.89</v>
      </c>
      <c r="O3504" t="str">
        <f t="shared" si="219"/>
        <v>Minor Delay</v>
      </c>
    </row>
    <row r="3505" spans="1:15" x14ac:dyDescent="0.25">
      <c r="A3505">
        <v>3504</v>
      </c>
      <c r="B3505" s="2">
        <v>45895</v>
      </c>
      <c r="C3505" t="s">
        <v>16</v>
      </c>
      <c r="D3505" t="s">
        <v>29</v>
      </c>
      <c r="E3505" t="s">
        <v>20</v>
      </c>
      <c r="F3505" t="s">
        <v>24</v>
      </c>
      <c r="G3505">
        <v>120</v>
      </c>
      <c r="H3505">
        <v>189.61</v>
      </c>
      <c r="I3505">
        <v>12</v>
      </c>
      <c r="J3505" t="s">
        <v>30</v>
      </c>
      <c r="K3505">
        <v>22753.200000000001</v>
      </c>
      <c r="L3505" t="str">
        <f t="shared" si="216"/>
        <v>Aug</v>
      </c>
      <c r="M3505">
        <f t="shared" si="217"/>
        <v>2025</v>
      </c>
      <c r="N3505">
        <f t="shared" si="218"/>
        <v>22753.200000000001</v>
      </c>
      <c r="O3505" t="str">
        <f t="shared" si="219"/>
        <v>Minor Delay</v>
      </c>
    </row>
    <row r="3506" spans="1:15" x14ac:dyDescent="0.25">
      <c r="A3506">
        <v>3505</v>
      </c>
      <c r="B3506" s="2">
        <v>45964</v>
      </c>
      <c r="C3506" t="s">
        <v>11</v>
      </c>
      <c r="D3506" t="s">
        <v>19</v>
      </c>
      <c r="E3506" t="s">
        <v>12</v>
      </c>
      <c r="F3506" t="s">
        <v>21</v>
      </c>
      <c r="G3506">
        <v>280</v>
      </c>
      <c r="H3506">
        <v>354.5</v>
      </c>
      <c r="I3506">
        <v>52</v>
      </c>
      <c r="J3506" t="s">
        <v>30</v>
      </c>
      <c r="K3506">
        <v>99260</v>
      </c>
      <c r="L3506" t="str">
        <f t="shared" si="216"/>
        <v>Nov</v>
      </c>
      <c r="M3506">
        <f t="shared" si="217"/>
        <v>2025</v>
      </c>
      <c r="N3506">
        <f t="shared" si="218"/>
        <v>99260</v>
      </c>
      <c r="O3506" t="str">
        <f t="shared" si="219"/>
        <v>Moderate Delay</v>
      </c>
    </row>
    <row r="3507" spans="1:15" x14ac:dyDescent="0.25">
      <c r="A3507">
        <v>3506</v>
      </c>
      <c r="B3507" s="2">
        <v>45729</v>
      </c>
      <c r="C3507" t="s">
        <v>11</v>
      </c>
      <c r="D3507" t="s">
        <v>17</v>
      </c>
      <c r="E3507" t="s">
        <v>13</v>
      </c>
      <c r="F3507" t="s">
        <v>14</v>
      </c>
      <c r="G3507">
        <v>158</v>
      </c>
      <c r="H3507">
        <v>482.83</v>
      </c>
      <c r="I3507">
        <v>58</v>
      </c>
      <c r="J3507" t="s">
        <v>30</v>
      </c>
      <c r="K3507">
        <v>76287.14</v>
      </c>
      <c r="L3507" t="str">
        <f t="shared" si="216"/>
        <v>Mar</v>
      </c>
      <c r="M3507">
        <f t="shared" si="217"/>
        <v>2025</v>
      </c>
      <c r="N3507">
        <f t="shared" si="218"/>
        <v>76287.14</v>
      </c>
      <c r="O3507" t="str">
        <f t="shared" si="219"/>
        <v>Moderate Delay</v>
      </c>
    </row>
    <row r="3508" spans="1:15" x14ac:dyDescent="0.25">
      <c r="A3508">
        <v>3507</v>
      </c>
      <c r="B3508" s="2">
        <v>45845</v>
      </c>
      <c r="C3508" t="s">
        <v>26</v>
      </c>
      <c r="D3508" t="s">
        <v>13</v>
      </c>
      <c r="E3508" t="s">
        <v>27</v>
      </c>
      <c r="F3508" t="s">
        <v>21</v>
      </c>
      <c r="G3508">
        <v>52</v>
      </c>
      <c r="H3508">
        <v>164.76</v>
      </c>
      <c r="I3508">
        <v>38</v>
      </c>
      <c r="J3508" t="s">
        <v>15</v>
      </c>
      <c r="K3508">
        <v>8567.52</v>
      </c>
      <c r="L3508" t="str">
        <f t="shared" si="216"/>
        <v>Jul</v>
      </c>
      <c r="M3508">
        <f t="shared" si="217"/>
        <v>2025</v>
      </c>
      <c r="N3508">
        <f t="shared" si="218"/>
        <v>8567.52</v>
      </c>
      <c r="O3508" t="str">
        <f t="shared" si="219"/>
        <v>Moderate Delay</v>
      </c>
    </row>
    <row r="3509" spans="1:15" x14ac:dyDescent="0.25">
      <c r="A3509">
        <v>3508</v>
      </c>
      <c r="B3509" s="2">
        <v>45915</v>
      </c>
      <c r="C3509" t="s">
        <v>26</v>
      </c>
      <c r="D3509" t="s">
        <v>22</v>
      </c>
      <c r="E3509" t="s">
        <v>19</v>
      </c>
      <c r="F3509" t="s">
        <v>14</v>
      </c>
      <c r="G3509">
        <v>224</v>
      </c>
      <c r="H3509">
        <v>681.01</v>
      </c>
      <c r="I3509">
        <v>0</v>
      </c>
      <c r="J3509" t="s">
        <v>15</v>
      </c>
      <c r="K3509">
        <v>152546.23999999999</v>
      </c>
      <c r="L3509" t="str">
        <f t="shared" si="216"/>
        <v>Sep</v>
      </c>
      <c r="M3509">
        <f t="shared" si="217"/>
        <v>2025</v>
      </c>
      <c r="N3509">
        <f t="shared" si="218"/>
        <v>152546.23999999999</v>
      </c>
      <c r="O3509" t="str">
        <f t="shared" si="219"/>
        <v>On Time</v>
      </c>
    </row>
    <row r="3510" spans="1:15" x14ac:dyDescent="0.25">
      <c r="A3510">
        <v>3509</v>
      </c>
      <c r="B3510" s="2">
        <v>45843</v>
      </c>
      <c r="C3510" t="s">
        <v>18</v>
      </c>
      <c r="D3510" t="s">
        <v>13</v>
      </c>
      <c r="E3510" t="s">
        <v>20</v>
      </c>
      <c r="F3510" t="s">
        <v>14</v>
      </c>
      <c r="G3510">
        <v>276</v>
      </c>
      <c r="H3510">
        <v>654.54</v>
      </c>
      <c r="I3510">
        <v>36</v>
      </c>
      <c r="J3510" t="s">
        <v>15</v>
      </c>
      <c r="K3510">
        <v>180653.04</v>
      </c>
      <c r="L3510" t="str">
        <f t="shared" si="216"/>
        <v>Jul</v>
      </c>
      <c r="M3510">
        <f t="shared" si="217"/>
        <v>2025</v>
      </c>
      <c r="N3510">
        <f t="shared" si="218"/>
        <v>180653.03999999998</v>
      </c>
      <c r="O3510" t="str">
        <f t="shared" si="219"/>
        <v>Moderate Delay</v>
      </c>
    </row>
    <row r="3511" spans="1:15" x14ac:dyDescent="0.25">
      <c r="A3511">
        <v>3510</v>
      </c>
      <c r="B3511" s="2">
        <v>45951</v>
      </c>
      <c r="C3511" t="s">
        <v>11</v>
      </c>
      <c r="D3511" t="s">
        <v>23</v>
      </c>
      <c r="E3511" t="s">
        <v>20</v>
      </c>
      <c r="F3511" t="s">
        <v>21</v>
      </c>
      <c r="G3511">
        <v>230</v>
      </c>
      <c r="H3511">
        <v>315.42</v>
      </c>
      <c r="I3511">
        <v>0</v>
      </c>
      <c r="J3511" t="s">
        <v>15</v>
      </c>
      <c r="K3511">
        <v>72546.600000000006</v>
      </c>
      <c r="L3511" t="str">
        <f t="shared" si="216"/>
        <v>Oct</v>
      </c>
      <c r="M3511">
        <f t="shared" si="217"/>
        <v>2025</v>
      </c>
      <c r="N3511">
        <f t="shared" si="218"/>
        <v>72546.600000000006</v>
      </c>
      <c r="O3511" t="str">
        <f t="shared" si="219"/>
        <v>On Time</v>
      </c>
    </row>
    <row r="3512" spans="1:15" x14ac:dyDescent="0.25">
      <c r="A3512">
        <v>3511</v>
      </c>
      <c r="B3512" s="2">
        <v>45813</v>
      </c>
      <c r="C3512" t="s">
        <v>16</v>
      </c>
      <c r="D3512" t="s">
        <v>29</v>
      </c>
      <c r="E3512" t="s">
        <v>12</v>
      </c>
      <c r="F3512" t="s">
        <v>14</v>
      </c>
      <c r="G3512">
        <v>88</v>
      </c>
      <c r="H3512">
        <v>734.05</v>
      </c>
      <c r="I3512">
        <v>20</v>
      </c>
      <c r="J3512" t="s">
        <v>15</v>
      </c>
      <c r="K3512">
        <v>64596.4</v>
      </c>
      <c r="L3512" t="str">
        <f t="shared" si="216"/>
        <v>Jun</v>
      </c>
      <c r="M3512">
        <f t="shared" si="217"/>
        <v>2025</v>
      </c>
      <c r="N3512">
        <f t="shared" si="218"/>
        <v>64596.399999999994</v>
      </c>
      <c r="O3512" t="str">
        <f t="shared" si="219"/>
        <v>Minor Delay</v>
      </c>
    </row>
    <row r="3513" spans="1:15" x14ac:dyDescent="0.25">
      <c r="A3513">
        <v>3512</v>
      </c>
      <c r="B3513" s="2">
        <v>45947</v>
      </c>
      <c r="C3513" t="s">
        <v>31</v>
      </c>
      <c r="D3513" t="s">
        <v>27</v>
      </c>
      <c r="E3513" t="s">
        <v>20</v>
      </c>
      <c r="F3513" t="s">
        <v>14</v>
      </c>
      <c r="G3513">
        <v>288</v>
      </c>
      <c r="H3513">
        <v>223.2</v>
      </c>
      <c r="I3513">
        <v>30</v>
      </c>
      <c r="J3513" t="s">
        <v>30</v>
      </c>
      <c r="K3513">
        <v>64281.599999999999</v>
      </c>
      <c r="L3513" t="str">
        <f t="shared" si="216"/>
        <v>Oct</v>
      </c>
      <c r="M3513">
        <f t="shared" si="217"/>
        <v>2025</v>
      </c>
      <c r="N3513">
        <f t="shared" si="218"/>
        <v>64281.599999999999</v>
      </c>
      <c r="O3513" t="str">
        <f t="shared" si="219"/>
        <v>Minor Delay</v>
      </c>
    </row>
    <row r="3514" spans="1:15" x14ac:dyDescent="0.25">
      <c r="A3514">
        <v>3513</v>
      </c>
      <c r="B3514" s="2">
        <v>45910</v>
      </c>
      <c r="C3514" t="s">
        <v>18</v>
      </c>
      <c r="D3514" t="s">
        <v>20</v>
      </c>
      <c r="E3514" t="s">
        <v>12</v>
      </c>
      <c r="F3514" t="s">
        <v>14</v>
      </c>
      <c r="G3514">
        <v>269</v>
      </c>
      <c r="H3514">
        <v>419.59</v>
      </c>
      <c r="I3514">
        <v>26</v>
      </c>
      <c r="J3514" t="s">
        <v>15</v>
      </c>
      <c r="K3514">
        <v>112869.71</v>
      </c>
      <c r="L3514" t="str">
        <f t="shared" si="216"/>
        <v>Sep</v>
      </c>
      <c r="M3514">
        <f t="shared" si="217"/>
        <v>2025</v>
      </c>
      <c r="N3514">
        <f t="shared" si="218"/>
        <v>112869.70999999999</v>
      </c>
      <c r="O3514" t="str">
        <f t="shared" si="219"/>
        <v>Minor Delay</v>
      </c>
    </row>
    <row r="3515" spans="1:15" x14ac:dyDescent="0.25">
      <c r="A3515">
        <v>3514</v>
      </c>
      <c r="B3515" s="2">
        <v>45951</v>
      </c>
      <c r="C3515" t="s">
        <v>26</v>
      </c>
      <c r="D3515" t="s">
        <v>20</v>
      </c>
      <c r="E3515" t="s">
        <v>13</v>
      </c>
      <c r="F3515" t="s">
        <v>14</v>
      </c>
      <c r="G3515">
        <v>83</v>
      </c>
      <c r="H3515">
        <v>247.7</v>
      </c>
      <c r="I3515">
        <v>21</v>
      </c>
      <c r="J3515" t="s">
        <v>30</v>
      </c>
      <c r="K3515">
        <v>20559.099999999999</v>
      </c>
      <c r="L3515" t="str">
        <f t="shared" si="216"/>
        <v>Oct</v>
      </c>
      <c r="M3515">
        <f t="shared" si="217"/>
        <v>2025</v>
      </c>
      <c r="N3515">
        <f t="shared" si="218"/>
        <v>20559.099999999999</v>
      </c>
      <c r="O3515" t="str">
        <f t="shared" si="219"/>
        <v>Minor Delay</v>
      </c>
    </row>
    <row r="3516" spans="1:15" x14ac:dyDescent="0.25">
      <c r="A3516">
        <v>3515</v>
      </c>
      <c r="B3516" s="2">
        <v>45826</v>
      </c>
      <c r="C3516" t="s">
        <v>16</v>
      </c>
      <c r="D3516" t="s">
        <v>17</v>
      </c>
      <c r="E3516" t="s">
        <v>13</v>
      </c>
      <c r="F3516" t="s">
        <v>24</v>
      </c>
      <c r="G3516">
        <v>114</v>
      </c>
      <c r="H3516">
        <v>460.24</v>
      </c>
      <c r="I3516">
        <v>24</v>
      </c>
      <c r="J3516" t="s">
        <v>15</v>
      </c>
      <c r="K3516">
        <v>52467.360000000001</v>
      </c>
      <c r="L3516" t="str">
        <f t="shared" si="216"/>
        <v>Jun</v>
      </c>
      <c r="M3516">
        <f t="shared" si="217"/>
        <v>2025</v>
      </c>
      <c r="N3516">
        <f t="shared" si="218"/>
        <v>52467.360000000001</v>
      </c>
      <c r="O3516" t="str">
        <f t="shared" si="219"/>
        <v>Minor Delay</v>
      </c>
    </row>
    <row r="3517" spans="1:15" x14ac:dyDescent="0.25">
      <c r="A3517">
        <v>3516</v>
      </c>
      <c r="B3517" s="2">
        <v>45780</v>
      </c>
      <c r="C3517" t="s">
        <v>18</v>
      </c>
      <c r="D3517" t="s">
        <v>22</v>
      </c>
      <c r="E3517" t="s">
        <v>19</v>
      </c>
      <c r="F3517" t="s">
        <v>24</v>
      </c>
      <c r="G3517">
        <v>193</v>
      </c>
      <c r="H3517">
        <v>251.56</v>
      </c>
      <c r="I3517">
        <v>55</v>
      </c>
      <c r="J3517" t="s">
        <v>15</v>
      </c>
      <c r="K3517">
        <v>48551.08</v>
      </c>
      <c r="L3517" t="str">
        <f t="shared" si="216"/>
        <v>May</v>
      </c>
      <c r="M3517">
        <f t="shared" si="217"/>
        <v>2025</v>
      </c>
      <c r="N3517">
        <f t="shared" si="218"/>
        <v>48551.08</v>
      </c>
      <c r="O3517" t="str">
        <f t="shared" si="219"/>
        <v>Moderate Delay</v>
      </c>
    </row>
    <row r="3518" spans="1:15" x14ac:dyDescent="0.25">
      <c r="A3518">
        <v>3517</v>
      </c>
      <c r="B3518" s="2">
        <v>45892</v>
      </c>
      <c r="C3518" t="s">
        <v>18</v>
      </c>
      <c r="D3518" t="s">
        <v>20</v>
      </c>
      <c r="E3518" t="s">
        <v>17</v>
      </c>
      <c r="F3518" t="s">
        <v>21</v>
      </c>
      <c r="G3518">
        <v>161</v>
      </c>
      <c r="H3518">
        <v>694.7</v>
      </c>
      <c r="I3518">
        <v>40</v>
      </c>
      <c r="J3518" t="s">
        <v>15</v>
      </c>
      <c r="K3518">
        <v>111846.7</v>
      </c>
      <c r="L3518" t="str">
        <f t="shared" si="216"/>
        <v>Aug</v>
      </c>
      <c r="M3518">
        <f t="shared" si="217"/>
        <v>2025</v>
      </c>
      <c r="N3518">
        <f t="shared" si="218"/>
        <v>111846.70000000001</v>
      </c>
      <c r="O3518" t="str">
        <f t="shared" si="219"/>
        <v>Moderate Delay</v>
      </c>
    </row>
    <row r="3519" spans="1:15" x14ac:dyDescent="0.25">
      <c r="A3519">
        <v>3518</v>
      </c>
      <c r="B3519" s="2">
        <v>45698</v>
      </c>
      <c r="C3519" t="s">
        <v>25</v>
      </c>
      <c r="D3519" t="s">
        <v>20</v>
      </c>
      <c r="E3519" t="s">
        <v>19</v>
      </c>
      <c r="F3519" t="s">
        <v>24</v>
      </c>
      <c r="G3519">
        <v>244</v>
      </c>
      <c r="H3519">
        <v>234.89</v>
      </c>
      <c r="I3519">
        <v>21</v>
      </c>
      <c r="J3519" t="s">
        <v>15</v>
      </c>
      <c r="K3519">
        <v>57313.16</v>
      </c>
      <c r="L3519" t="str">
        <f t="shared" si="216"/>
        <v>Feb</v>
      </c>
      <c r="M3519">
        <f t="shared" si="217"/>
        <v>2025</v>
      </c>
      <c r="N3519">
        <f t="shared" si="218"/>
        <v>57313.159999999996</v>
      </c>
      <c r="O3519" t="str">
        <f t="shared" si="219"/>
        <v>Minor Delay</v>
      </c>
    </row>
    <row r="3520" spans="1:15" x14ac:dyDescent="0.25">
      <c r="A3520">
        <v>3519</v>
      </c>
      <c r="B3520" s="2">
        <v>45955</v>
      </c>
      <c r="C3520" t="s">
        <v>18</v>
      </c>
      <c r="D3520" t="s">
        <v>29</v>
      </c>
      <c r="E3520" t="s">
        <v>22</v>
      </c>
      <c r="F3520" t="s">
        <v>21</v>
      </c>
      <c r="G3520">
        <v>262</v>
      </c>
      <c r="H3520">
        <v>594.70000000000005</v>
      </c>
      <c r="I3520">
        <v>0</v>
      </c>
      <c r="J3520" t="s">
        <v>28</v>
      </c>
      <c r="K3520">
        <v>155811.4</v>
      </c>
      <c r="L3520" t="str">
        <f t="shared" si="216"/>
        <v>Oct</v>
      </c>
      <c r="M3520">
        <f t="shared" si="217"/>
        <v>2025</v>
      </c>
      <c r="N3520">
        <f t="shared" si="218"/>
        <v>155811.40000000002</v>
      </c>
      <c r="O3520" t="str">
        <f t="shared" si="219"/>
        <v>On Time</v>
      </c>
    </row>
    <row r="3521" spans="1:15" x14ac:dyDescent="0.25">
      <c r="A3521">
        <v>3520</v>
      </c>
      <c r="B3521" s="2">
        <v>45717</v>
      </c>
      <c r="C3521" t="s">
        <v>16</v>
      </c>
      <c r="D3521" t="s">
        <v>23</v>
      </c>
      <c r="E3521" t="s">
        <v>17</v>
      </c>
      <c r="F3521" t="s">
        <v>24</v>
      </c>
      <c r="G3521">
        <v>188</v>
      </c>
      <c r="H3521">
        <v>267.87</v>
      </c>
      <c r="I3521">
        <v>36</v>
      </c>
      <c r="J3521" t="s">
        <v>15</v>
      </c>
      <c r="K3521">
        <v>50359.56</v>
      </c>
      <c r="L3521" t="str">
        <f t="shared" si="216"/>
        <v>Mar</v>
      </c>
      <c r="M3521">
        <f t="shared" si="217"/>
        <v>2025</v>
      </c>
      <c r="N3521">
        <f t="shared" si="218"/>
        <v>50359.56</v>
      </c>
      <c r="O3521" t="str">
        <f t="shared" si="219"/>
        <v>Moderate Delay</v>
      </c>
    </row>
    <row r="3522" spans="1:15" x14ac:dyDescent="0.25">
      <c r="A3522">
        <v>3521</v>
      </c>
      <c r="B3522" s="2">
        <v>46016</v>
      </c>
      <c r="C3522" t="s">
        <v>18</v>
      </c>
      <c r="D3522" t="s">
        <v>13</v>
      </c>
      <c r="E3522" t="s">
        <v>22</v>
      </c>
      <c r="F3522" t="s">
        <v>21</v>
      </c>
      <c r="G3522">
        <v>255</v>
      </c>
      <c r="H3522">
        <v>220.74</v>
      </c>
      <c r="I3522">
        <v>28</v>
      </c>
      <c r="J3522" t="s">
        <v>15</v>
      </c>
      <c r="K3522">
        <v>56288.7</v>
      </c>
      <c r="L3522" t="str">
        <f t="shared" si="216"/>
        <v>Dec</v>
      </c>
      <c r="M3522">
        <f t="shared" si="217"/>
        <v>2025</v>
      </c>
      <c r="N3522">
        <f t="shared" si="218"/>
        <v>56288.700000000004</v>
      </c>
      <c r="O3522" t="str">
        <f t="shared" si="219"/>
        <v>Minor Delay</v>
      </c>
    </row>
    <row r="3523" spans="1:15" x14ac:dyDescent="0.25">
      <c r="A3523">
        <v>3522</v>
      </c>
      <c r="B3523" s="2">
        <v>45806</v>
      </c>
      <c r="C3523" t="s">
        <v>11</v>
      </c>
      <c r="D3523" t="s">
        <v>13</v>
      </c>
      <c r="E3523" t="s">
        <v>17</v>
      </c>
      <c r="F3523" t="s">
        <v>24</v>
      </c>
      <c r="G3523">
        <v>63</v>
      </c>
      <c r="H3523">
        <v>396.71</v>
      </c>
      <c r="I3523">
        <v>27</v>
      </c>
      <c r="J3523" t="s">
        <v>15</v>
      </c>
      <c r="K3523">
        <v>24992.73</v>
      </c>
      <c r="L3523" t="str">
        <f t="shared" ref="L3523:L3586" si="220">TEXT(B3523,"MMM")</f>
        <v>May</v>
      </c>
      <c r="M3523">
        <f t="shared" ref="M3523:M3586" si="221">YEAR(B3523)</f>
        <v>2025</v>
      </c>
      <c r="N3523">
        <f t="shared" ref="N3523:N3586" si="222">G3523*H3523</f>
        <v>24992.73</v>
      </c>
      <c r="O3523" t="str">
        <f t="shared" ref="O3523:O3586" si="223">IF(I3523=0,"On Time",IF(I3523&lt;=30,"Minor Delay",IF(I3523&lt;=60,"Moderate Delay","Major Delay")))</f>
        <v>Minor Delay</v>
      </c>
    </row>
    <row r="3524" spans="1:15" x14ac:dyDescent="0.25">
      <c r="A3524">
        <v>3523</v>
      </c>
      <c r="B3524" s="2">
        <v>45902</v>
      </c>
      <c r="C3524" t="s">
        <v>18</v>
      </c>
      <c r="D3524" t="s">
        <v>22</v>
      </c>
      <c r="E3524" t="s">
        <v>23</v>
      </c>
      <c r="F3524" t="s">
        <v>14</v>
      </c>
      <c r="G3524">
        <v>76</v>
      </c>
      <c r="H3524">
        <v>139.55000000000001</v>
      </c>
      <c r="I3524">
        <v>0</v>
      </c>
      <c r="J3524" t="s">
        <v>15</v>
      </c>
      <c r="K3524">
        <v>10605.8</v>
      </c>
      <c r="L3524" t="str">
        <f t="shared" si="220"/>
        <v>Sep</v>
      </c>
      <c r="M3524">
        <f t="shared" si="221"/>
        <v>2025</v>
      </c>
      <c r="N3524">
        <f t="shared" si="222"/>
        <v>10605.800000000001</v>
      </c>
      <c r="O3524" t="str">
        <f t="shared" si="223"/>
        <v>On Time</v>
      </c>
    </row>
    <row r="3525" spans="1:15" x14ac:dyDescent="0.25">
      <c r="A3525">
        <v>3524</v>
      </c>
      <c r="B3525" s="2">
        <v>45843</v>
      </c>
      <c r="C3525" t="s">
        <v>26</v>
      </c>
      <c r="D3525" t="s">
        <v>23</v>
      </c>
      <c r="E3525" t="s">
        <v>27</v>
      </c>
      <c r="F3525" t="s">
        <v>21</v>
      </c>
      <c r="G3525">
        <v>240</v>
      </c>
      <c r="H3525">
        <v>319.81</v>
      </c>
      <c r="I3525">
        <v>27</v>
      </c>
      <c r="J3525" t="s">
        <v>15</v>
      </c>
      <c r="K3525">
        <v>76754.399999999994</v>
      </c>
      <c r="L3525" t="str">
        <f t="shared" si="220"/>
        <v>Jul</v>
      </c>
      <c r="M3525">
        <f t="shared" si="221"/>
        <v>2025</v>
      </c>
      <c r="N3525">
        <f t="shared" si="222"/>
        <v>76754.399999999994</v>
      </c>
      <c r="O3525" t="str">
        <f t="shared" si="223"/>
        <v>Minor Delay</v>
      </c>
    </row>
    <row r="3526" spans="1:15" x14ac:dyDescent="0.25">
      <c r="A3526">
        <v>3525</v>
      </c>
      <c r="B3526" s="2">
        <v>45735</v>
      </c>
      <c r="C3526" t="s">
        <v>11</v>
      </c>
      <c r="D3526" t="s">
        <v>29</v>
      </c>
      <c r="E3526" t="s">
        <v>27</v>
      </c>
      <c r="F3526" t="s">
        <v>24</v>
      </c>
      <c r="G3526">
        <v>224</v>
      </c>
      <c r="H3526">
        <v>486.7</v>
      </c>
      <c r="I3526">
        <v>13</v>
      </c>
      <c r="J3526" t="s">
        <v>30</v>
      </c>
      <c r="K3526">
        <v>109020.8</v>
      </c>
      <c r="L3526" t="str">
        <f t="shared" si="220"/>
        <v>Mar</v>
      </c>
      <c r="M3526">
        <f t="shared" si="221"/>
        <v>2025</v>
      </c>
      <c r="N3526">
        <f t="shared" si="222"/>
        <v>109020.8</v>
      </c>
      <c r="O3526" t="str">
        <f t="shared" si="223"/>
        <v>Minor Delay</v>
      </c>
    </row>
    <row r="3527" spans="1:15" x14ac:dyDescent="0.25">
      <c r="A3527">
        <v>3526</v>
      </c>
      <c r="B3527" s="2">
        <v>45954</v>
      </c>
      <c r="C3527" t="s">
        <v>16</v>
      </c>
      <c r="D3527" t="s">
        <v>13</v>
      </c>
      <c r="E3527" t="s">
        <v>23</v>
      </c>
      <c r="F3527" t="s">
        <v>21</v>
      </c>
      <c r="G3527">
        <v>179</v>
      </c>
      <c r="H3527">
        <v>250.79</v>
      </c>
      <c r="I3527">
        <v>41</v>
      </c>
      <c r="J3527" t="s">
        <v>15</v>
      </c>
      <c r="K3527">
        <v>44891.41</v>
      </c>
      <c r="L3527" t="str">
        <f t="shared" si="220"/>
        <v>Oct</v>
      </c>
      <c r="M3527">
        <f t="shared" si="221"/>
        <v>2025</v>
      </c>
      <c r="N3527">
        <f t="shared" si="222"/>
        <v>44891.409999999996</v>
      </c>
      <c r="O3527" t="str">
        <f t="shared" si="223"/>
        <v>Moderate Delay</v>
      </c>
    </row>
    <row r="3528" spans="1:15" x14ac:dyDescent="0.25">
      <c r="A3528">
        <v>3527</v>
      </c>
      <c r="B3528" s="2">
        <v>45871</v>
      </c>
      <c r="C3528" t="s">
        <v>16</v>
      </c>
      <c r="D3528" t="s">
        <v>27</v>
      </c>
      <c r="E3528" t="s">
        <v>22</v>
      </c>
      <c r="F3528" t="s">
        <v>24</v>
      </c>
      <c r="G3528">
        <v>147</v>
      </c>
      <c r="H3528">
        <v>595.44000000000005</v>
      </c>
      <c r="I3528">
        <v>17</v>
      </c>
      <c r="J3528" t="s">
        <v>30</v>
      </c>
      <c r="K3528">
        <v>87529.68</v>
      </c>
      <c r="L3528" t="str">
        <f t="shared" si="220"/>
        <v>Aug</v>
      </c>
      <c r="M3528">
        <f t="shared" si="221"/>
        <v>2025</v>
      </c>
      <c r="N3528">
        <f t="shared" si="222"/>
        <v>87529.680000000008</v>
      </c>
      <c r="O3528" t="str">
        <f t="shared" si="223"/>
        <v>Minor Delay</v>
      </c>
    </row>
    <row r="3529" spans="1:15" x14ac:dyDescent="0.25">
      <c r="A3529">
        <v>3528</v>
      </c>
      <c r="B3529" s="2">
        <v>45769</v>
      </c>
      <c r="C3529" t="s">
        <v>31</v>
      </c>
      <c r="D3529" t="s">
        <v>17</v>
      </c>
      <c r="E3529" t="s">
        <v>12</v>
      </c>
      <c r="F3529" t="s">
        <v>14</v>
      </c>
      <c r="G3529">
        <v>288</v>
      </c>
      <c r="H3529">
        <v>363.23</v>
      </c>
      <c r="I3529">
        <v>4</v>
      </c>
      <c r="J3529" t="s">
        <v>15</v>
      </c>
      <c r="K3529">
        <v>104610.24000000001</v>
      </c>
      <c r="L3529" t="str">
        <f t="shared" si="220"/>
        <v>Apr</v>
      </c>
      <c r="M3529">
        <f t="shared" si="221"/>
        <v>2025</v>
      </c>
      <c r="N3529">
        <f t="shared" si="222"/>
        <v>104610.24000000001</v>
      </c>
      <c r="O3529" t="str">
        <f t="shared" si="223"/>
        <v>Minor Delay</v>
      </c>
    </row>
    <row r="3530" spans="1:15" x14ac:dyDescent="0.25">
      <c r="A3530">
        <v>3529</v>
      </c>
      <c r="B3530" s="2">
        <v>45883</v>
      </c>
      <c r="C3530" t="s">
        <v>18</v>
      </c>
      <c r="D3530" t="s">
        <v>13</v>
      </c>
      <c r="E3530" t="s">
        <v>27</v>
      </c>
      <c r="F3530" t="s">
        <v>24</v>
      </c>
      <c r="G3530">
        <v>202</v>
      </c>
      <c r="H3530">
        <v>337.19</v>
      </c>
      <c r="I3530">
        <v>55</v>
      </c>
      <c r="J3530" t="s">
        <v>15</v>
      </c>
      <c r="K3530">
        <v>68112.38</v>
      </c>
      <c r="L3530" t="str">
        <f t="shared" si="220"/>
        <v>Aug</v>
      </c>
      <c r="M3530">
        <f t="shared" si="221"/>
        <v>2025</v>
      </c>
      <c r="N3530">
        <f t="shared" si="222"/>
        <v>68112.38</v>
      </c>
      <c r="O3530" t="str">
        <f t="shared" si="223"/>
        <v>Moderate Delay</v>
      </c>
    </row>
    <row r="3531" spans="1:15" x14ac:dyDescent="0.25">
      <c r="A3531">
        <v>3530</v>
      </c>
      <c r="B3531" s="2">
        <v>45850</v>
      </c>
      <c r="C3531" t="s">
        <v>11</v>
      </c>
      <c r="D3531" t="s">
        <v>17</v>
      </c>
      <c r="E3531" t="s">
        <v>29</v>
      </c>
      <c r="F3531" t="s">
        <v>24</v>
      </c>
      <c r="G3531">
        <v>169</v>
      </c>
      <c r="H3531">
        <v>496.05</v>
      </c>
      <c r="I3531">
        <v>29</v>
      </c>
      <c r="J3531" t="s">
        <v>30</v>
      </c>
      <c r="K3531">
        <v>83832.45</v>
      </c>
      <c r="L3531" t="str">
        <f t="shared" si="220"/>
        <v>Jul</v>
      </c>
      <c r="M3531">
        <f t="shared" si="221"/>
        <v>2025</v>
      </c>
      <c r="N3531">
        <f t="shared" si="222"/>
        <v>83832.45</v>
      </c>
      <c r="O3531" t="str">
        <f t="shared" si="223"/>
        <v>Minor Delay</v>
      </c>
    </row>
    <row r="3532" spans="1:15" x14ac:dyDescent="0.25">
      <c r="A3532">
        <v>3531</v>
      </c>
      <c r="B3532" s="2">
        <v>46001</v>
      </c>
      <c r="C3532" t="s">
        <v>16</v>
      </c>
      <c r="D3532" t="s">
        <v>20</v>
      </c>
      <c r="E3532" t="s">
        <v>12</v>
      </c>
      <c r="F3532" t="s">
        <v>14</v>
      </c>
      <c r="G3532">
        <v>292</v>
      </c>
      <c r="H3532">
        <v>383.98</v>
      </c>
      <c r="I3532">
        <v>21</v>
      </c>
      <c r="J3532" t="s">
        <v>15</v>
      </c>
      <c r="K3532">
        <v>112122.16</v>
      </c>
      <c r="L3532" t="str">
        <f t="shared" si="220"/>
        <v>Dec</v>
      </c>
      <c r="M3532">
        <f t="shared" si="221"/>
        <v>2025</v>
      </c>
      <c r="N3532">
        <f t="shared" si="222"/>
        <v>112122.16</v>
      </c>
      <c r="O3532" t="str">
        <f t="shared" si="223"/>
        <v>Minor Delay</v>
      </c>
    </row>
    <row r="3533" spans="1:15" x14ac:dyDescent="0.25">
      <c r="A3533">
        <v>3532</v>
      </c>
      <c r="B3533" s="2">
        <v>45753</v>
      </c>
      <c r="C3533" t="s">
        <v>25</v>
      </c>
      <c r="D3533" t="s">
        <v>17</v>
      </c>
      <c r="E3533" t="s">
        <v>29</v>
      </c>
      <c r="F3533" t="s">
        <v>14</v>
      </c>
      <c r="G3533">
        <v>154</v>
      </c>
      <c r="H3533">
        <v>459.33</v>
      </c>
      <c r="I3533">
        <v>43</v>
      </c>
      <c r="J3533" t="s">
        <v>30</v>
      </c>
      <c r="K3533">
        <v>70736.820000000007</v>
      </c>
      <c r="L3533" t="str">
        <f t="shared" si="220"/>
        <v>Apr</v>
      </c>
      <c r="M3533">
        <f t="shared" si="221"/>
        <v>2025</v>
      </c>
      <c r="N3533">
        <f t="shared" si="222"/>
        <v>70736.819999999992</v>
      </c>
      <c r="O3533" t="str">
        <f t="shared" si="223"/>
        <v>Moderate Delay</v>
      </c>
    </row>
    <row r="3534" spans="1:15" x14ac:dyDescent="0.25">
      <c r="A3534">
        <v>3533</v>
      </c>
      <c r="B3534" s="2">
        <v>45761</v>
      </c>
      <c r="C3534" t="s">
        <v>11</v>
      </c>
      <c r="D3534" t="s">
        <v>29</v>
      </c>
      <c r="E3534" t="s">
        <v>22</v>
      </c>
      <c r="F3534" t="s">
        <v>14</v>
      </c>
      <c r="G3534">
        <v>99</v>
      </c>
      <c r="H3534">
        <v>566.46</v>
      </c>
      <c r="I3534">
        <v>21</v>
      </c>
      <c r="J3534" t="s">
        <v>15</v>
      </c>
      <c r="K3534">
        <v>56079.54</v>
      </c>
      <c r="L3534" t="str">
        <f t="shared" si="220"/>
        <v>Apr</v>
      </c>
      <c r="M3534">
        <f t="shared" si="221"/>
        <v>2025</v>
      </c>
      <c r="N3534">
        <f t="shared" si="222"/>
        <v>56079.54</v>
      </c>
      <c r="O3534" t="str">
        <f t="shared" si="223"/>
        <v>Minor Delay</v>
      </c>
    </row>
    <row r="3535" spans="1:15" x14ac:dyDescent="0.25">
      <c r="A3535">
        <v>3534</v>
      </c>
      <c r="B3535" s="2">
        <v>45801</v>
      </c>
      <c r="C3535" t="s">
        <v>18</v>
      </c>
      <c r="D3535" t="s">
        <v>19</v>
      </c>
      <c r="E3535" t="s">
        <v>22</v>
      </c>
      <c r="F3535" t="s">
        <v>14</v>
      </c>
      <c r="G3535">
        <v>251</v>
      </c>
      <c r="H3535">
        <v>356.84</v>
      </c>
      <c r="I3535">
        <v>11</v>
      </c>
      <c r="J3535" t="s">
        <v>15</v>
      </c>
      <c r="K3535">
        <v>89566.84</v>
      </c>
      <c r="L3535" t="str">
        <f t="shared" si="220"/>
        <v>May</v>
      </c>
      <c r="M3535">
        <f t="shared" si="221"/>
        <v>2025</v>
      </c>
      <c r="N3535">
        <f t="shared" si="222"/>
        <v>89566.84</v>
      </c>
      <c r="O3535" t="str">
        <f t="shared" si="223"/>
        <v>Minor Delay</v>
      </c>
    </row>
    <row r="3536" spans="1:15" x14ac:dyDescent="0.25">
      <c r="A3536">
        <v>3535</v>
      </c>
      <c r="B3536" s="2">
        <v>45947</v>
      </c>
      <c r="C3536" t="s">
        <v>26</v>
      </c>
      <c r="D3536" t="s">
        <v>13</v>
      </c>
      <c r="E3536" t="s">
        <v>20</v>
      </c>
      <c r="F3536" t="s">
        <v>21</v>
      </c>
      <c r="G3536">
        <v>108</v>
      </c>
      <c r="H3536">
        <v>563.24</v>
      </c>
      <c r="I3536">
        <v>54</v>
      </c>
      <c r="J3536" t="s">
        <v>15</v>
      </c>
      <c r="K3536">
        <v>60829.919999999998</v>
      </c>
      <c r="L3536" t="str">
        <f t="shared" si="220"/>
        <v>Oct</v>
      </c>
      <c r="M3536">
        <f t="shared" si="221"/>
        <v>2025</v>
      </c>
      <c r="N3536">
        <f t="shared" si="222"/>
        <v>60829.919999999998</v>
      </c>
      <c r="O3536" t="str">
        <f t="shared" si="223"/>
        <v>Moderate Delay</v>
      </c>
    </row>
    <row r="3537" spans="1:15" x14ac:dyDescent="0.25">
      <c r="A3537">
        <v>3536</v>
      </c>
      <c r="B3537" s="2">
        <v>45882</v>
      </c>
      <c r="C3537" t="s">
        <v>31</v>
      </c>
      <c r="D3537" t="s">
        <v>19</v>
      </c>
      <c r="E3537" t="s">
        <v>17</v>
      </c>
      <c r="F3537" t="s">
        <v>24</v>
      </c>
      <c r="G3537">
        <v>132</v>
      </c>
      <c r="H3537">
        <v>636.11</v>
      </c>
      <c r="I3537">
        <v>20</v>
      </c>
      <c r="J3537" t="s">
        <v>15</v>
      </c>
      <c r="K3537">
        <v>83966.52</v>
      </c>
      <c r="L3537" t="str">
        <f t="shared" si="220"/>
        <v>Aug</v>
      </c>
      <c r="M3537">
        <f t="shared" si="221"/>
        <v>2025</v>
      </c>
      <c r="N3537">
        <f t="shared" si="222"/>
        <v>83966.52</v>
      </c>
      <c r="O3537" t="str">
        <f t="shared" si="223"/>
        <v>Minor Delay</v>
      </c>
    </row>
    <row r="3538" spans="1:15" x14ac:dyDescent="0.25">
      <c r="A3538">
        <v>3537</v>
      </c>
      <c r="B3538" s="2">
        <v>45916</v>
      </c>
      <c r="C3538" t="s">
        <v>26</v>
      </c>
      <c r="D3538" t="s">
        <v>12</v>
      </c>
      <c r="E3538" t="s">
        <v>19</v>
      </c>
      <c r="F3538" t="s">
        <v>14</v>
      </c>
      <c r="G3538">
        <v>173</v>
      </c>
      <c r="H3538">
        <v>589.4</v>
      </c>
      <c r="I3538">
        <v>61</v>
      </c>
      <c r="J3538" t="s">
        <v>30</v>
      </c>
      <c r="K3538">
        <v>101966.2</v>
      </c>
      <c r="L3538" t="str">
        <f t="shared" si="220"/>
        <v>Sep</v>
      </c>
      <c r="M3538">
        <f t="shared" si="221"/>
        <v>2025</v>
      </c>
      <c r="N3538">
        <f t="shared" si="222"/>
        <v>101966.2</v>
      </c>
      <c r="O3538" t="str">
        <f t="shared" si="223"/>
        <v>Major Delay</v>
      </c>
    </row>
    <row r="3539" spans="1:15" x14ac:dyDescent="0.25">
      <c r="A3539">
        <v>3538</v>
      </c>
      <c r="B3539" s="2">
        <v>45929</v>
      </c>
      <c r="C3539" t="s">
        <v>31</v>
      </c>
      <c r="D3539" t="s">
        <v>23</v>
      </c>
      <c r="E3539" t="s">
        <v>22</v>
      </c>
      <c r="F3539" t="s">
        <v>24</v>
      </c>
      <c r="G3539">
        <v>123</v>
      </c>
      <c r="H3539">
        <v>453.46</v>
      </c>
      <c r="I3539">
        <v>33</v>
      </c>
      <c r="J3539" t="s">
        <v>15</v>
      </c>
      <c r="K3539">
        <v>55775.58</v>
      </c>
      <c r="L3539" t="str">
        <f t="shared" si="220"/>
        <v>Sep</v>
      </c>
      <c r="M3539">
        <f t="shared" si="221"/>
        <v>2025</v>
      </c>
      <c r="N3539">
        <f t="shared" si="222"/>
        <v>55775.579999999994</v>
      </c>
      <c r="O3539" t="str">
        <f t="shared" si="223"/>
        <v>Moderate Delay</v>
      </c>
    </row>
    <row r="3540" spans="1:15" x14ac:dyDescent="0.25">
      <c r="A3540">
        <v>3539</v>
      </c>
      <c r="B3540" s="2">
        <v>45712</v>
      </c>
      <c r="C3540" t="s">
        <v>16</v>
      </c>
      <c r="D3540" t="s">
        <v>22</v>
      </c>
      <c r="E3540" t="s">
        <v>19</v>
      </c>
      <c r="F3540" t="s">
        <v>21</v>
      </c>
      <c r="G3540">
        <v>211</v>
      </c>
      <c r="H3540">
        <v>617.54999999999995</v>
      </c>
      <c r="I3540">
        <v>33</v>
      </c>
      <c r="J3540" t="s">
        <v>15</v>
      </c>
      <c r="K3540">
        <v>130303.05</v>
      </c>
      <c r="L3540" t="str">
        <f t="shared" si="220"/>
        <v>Feb</v>
      </c>
      <c r="M3540">
        <f t="shared" si="221"/>
        <v>2025</v>
      </c>
      <c r="N3540">
        <f t="shared" si="222"/>
        <v>130303.04999999999</v>
      </c>
      <c r="O3540" t="str">
        <f t="shared" si="223"/>
        <v>Moderate Delay</v>
      </c>
    </row>
    <row r="3541" spans="1:15" x14ac:dyDescent="0.25">
      <c r="A3541">
        <v>3540</v>
      </c>
      <c r="B3541" s="2">
        <v>45817</v>
      </c>
      <c r="C3541" t="s">
        <v>11</v>
      </c>
      <c r="D3541" t="s">
        <v>22</v>
      </c>
      <c r="E3541" t="s">
        <v>17</v>
      </c>
      <c r="F3541" t="s">
        <v>21</v>
      </c>
      <c r="G3541">
        <v>255</v>
      </c>
      <c r="H3541">
        <v>64.78</v>
      </c>
      <c r="I3541">
        <v>0</v>
      </c>
      <c r="J3541" t="s">
        <v>15</v>
      </c>
      <c r="K3541">
        <v>16518.900000000001</v>
      </c>
      <c r="L3541" t="str">
        <f t="shared" si="220"/>
        <v>Jun</v>
      </c>
      <c r="M3541">
        <f t="shared" si="221"/>
        <v>2025</v>
      </c>
      <c r="N3541">
        <f t="shared" si="222"/>
        <v>16518.900000000001</v>
      </c>
      <c r="O3541" t="str">
        <f t="shared" si="223"/>
        <v>On Time</v>
      </c>
    </row>
    <row r="3542" spans="1:15" x14ac:dyDescent="0.25">
      <c r="A3542">
        <v>3541</v>
      </c>
      <c r="B3542" s="2">
        <v>45812</v>
      </c>
      <c r="C3542" t="s">
        <v>11</v>
      </c>
      <c r="D3542" t="s">
        <v>20</v>
      </c>
      <c r="E3542" t="s">
        <v>17</v>
      </c>
      <c r="F3542" t="s">
        <v>24</v>
      </c>
      <c r="G3542">
        <v>135</v>
      </c>
      <c r="H3542">
        <v>652.53</v>
      </c>
      <c r="I3542">
        <v>0</v>
      </c>
      <c r="J3542" t="s">
        <v>30</v>
      </c>
      <c r="K3542">
        <v>88091.55</v>
      </c>
      <c r="L3542" t="str">
        <f t="shared" si="220"/>
        <v>Jun</v>
      </c>
      <c r="M3542">
        <f t="shared" si="221"/>
        <v>2025</v>
      </c>
      <c r="N3542">
        <f t="shared" si="222"/>
        <v>88091.55</v>
      </c>
      <c r="O3542" t="str">
        <f t="shared" si="223"/>
        <v>On Time</v>
      </c>
    </row>
    <row r="3543" spans="1:15" x14ac:dyDescent="0.25">
      <c r="A3543">
        <v>3542</v>
      </c>
      <c r="B3543" s="2">
        <v>45936</v>
      </c>
      <c r="C3543" t="s">
        <v>18</v>
      </c>
      <c r="D3543" t="s">
        <v>27</v>
      </c>
      <c r="E3543" t="s">
        <v>20</v>
      </c>
      <c r="F3543" t="s">
        <v>14</v>
      </c>
      <c r="G3543">
        <v>223</v>
      </c>
      <c r="H3543">
        <v>193.52</v>
      </c>
      <c r="I3543">
        <v>26</v>
      </c>
      <c r="J3543" t="s">
        <v>15</v>
      </c>
      <c r="K3543">
        <v>43154.96</v>
      </c>
      <c r="L3543" t="str">
        <f t="shared" si="220"/>
        <v>Oct</v>
      </c>
      <c r="M3543">
        <f t="shared" si="221"/>
        <v>2025</v>
      </c>
      <c r="N3543">
        <f t="shared" si="222"/>
        <v>43154.96</v>
      </c>
      <c r="O3543" t="str">
        <f t="shared" si="223"/>
        <v>Minor Delay</v>
      </c>
    </row>
    <row r="3544" spans="1:15" x14ac:dyDescent="0.25">
      <c r="A3544">
        <v>3543</v>
      </c>
      <c r="B3544" s="2">
        <v>45720</v>
      </c>
      <c r="C3544" t="s">
        <v>11</v>
      </c>
      <c r="D3544" t="s">
        <v>29</v>
      </c>
      <c r="E3544" t="s">
        <v>19</v>
      </c>
      <c r="F3544" t="s">
        <v>14</v>
      </c>
      <c r="G3544">
        <v>284</v>
      </c>
      <c r="H3544">
        <v>415.6</v>
      </c>
      <c r="I3544">
        <v>29</v>
      </c>
      <c r="J3544" t="s">
        <v>30</v>
      </c>
      <c r="K3544">
        <v>118030.39999999999</v>
      </c>
      <c r="L3544" t="str">
        <f t="shared" si="220"/>
        <v>Mar</v>
      </c>
      <c r="M3544">
        <f t="shared" si="221"/>
        <v>2025</v>
      </c>
      <c r="N3544">
        <f t="shared" si="222"/>
        <v>118030.40000000001</v>
      </c>
      <c r="O3544" t="str">
        <f t="shared" si="223"/>
        <v>Minor Delay</v>
      </c>
    </row>
    <row r="3545" spans="1:15" x14ac:dyDescent="0.25">
      <c r="A3545">
        <v>3544</v>
      </c>
      <c r="B3545" s="2">
        <v>45870</v>
      </c>
      <c r="C3545" t="s">
        <v>11</v>
      </c>
      <c r="D3545" t="s">
        <v>22</v>
      </c>
      <c r="E3545" t="s">
        <v>20</v>
      </c>
      <c r="F3545" t="s">
        <v>21</v>
      </c>
      <c r="G3545">
        <v>248</v>
      </c>
      <c r="H3545">
        <v>486.75</v>
      </c>
      <c r="I3545">
        <v>13</v>
      </c>
      <c r="J3545" t="s">
        <v>15</v>
      </c>
      <c r="K3545">
        <v>120714</v>
      </c>
      <c r="L3545" t="str">
        <f t="shared" si="220"/>
        <v>Aug</v>
      </c>
      <c r="M3545">
        <f t="shared" si="221"/>
        <v>2025</v>
      </c>
      <c r="N3545">
        <f t="shared" si="222"/>
        <v>120714</v>
      </c>
      <c r="O3545" t="str">
        <f t="shared" si="223"/>
        <v>Minor Delay</v>
      </c>
    </row>
    <row r="3546" spans="1:15" x14ac:dyDescent="0.25">
      <c r="A3546">
        <v>3545</v>
      </c>
      <c r="B3546" s="2">
        <v>45739</v>
      </c>
      <c r="C3546" t="s">
        <v>31</v>
      </c>
      <c r="D3546" t="s">
        <v>20</v>
      </c>
      <c r="E3546" t="s">
        <v>27</v>
      </c>
      <c r="F3546" t="s">
        <v>24</v>
      </c>
      <c r="G3546">
        <v>101</v>
      </c>
      <c r="H3546">
        <v>671.51</v>
      </c>
      <c r="I3546">
        <v>14</v>
      </c>
      <c r="J3546" t="s">
        <v>15</v>
      </c>
      <c r="K3546">
        <v>67822.509999999995</v>
      </c>
      <c r="L3546" t="str">
        <f t="shared" si="220"/>
        <v>Mar</v>
      </c>
      <c r="M3546">
        <f t="shared" si="221"/>
        <v>2025</v>
      </c>
      <c r="N3546">
        <f t="shared" si="222"/>
        <v>67822.509999999995</v>
      </c>
      <c r="O3546" t="str">
        <f t="shared" si="223"/>
        <v>Minor Delay</v>
      </c>
    </row>
    <row r="3547" spans="1:15" x14ac:dyDescent="0.25">
      <c r="A3547">
        <v>3546</v>
      </c>
      <c r="B3547" s="2">
        <v>45867</v>
      </c>
      <c r="C3547" t="s">
        <v>11</v>
      </c>
      <c r="D3547" t="s">
        <v>23</v>
      </c>
      <c r="E3547" t="s">
        <v>17</v>
      </c>
      <c r="F3547" t="s">
        <v>21</v>
      </c>
      <c r="G3547">
        <v>259</v>
      </c>
      <c r="H3547">
        <v>143.69</v>
      </c>
      <c r="I3547">
        <v>1</v>
      </c>
      <c r="J3547" t="s">
        <v>30</v>
      </c>
      <c r="K3547">
        <v>37215.71</v>
      </c>
      <c r="L3547" t="str">
        <f t="shared" si="220"/>
        <v>Jul</v>
      </c>
      <c r="M3547">
        <f t="shared" si="221"/>
        <v>2025</v>
      </c>
      <c r="N3547">
        <f t="shared" si="222"/>
        <v>37215.71</v>
      </c>
      <c r="O3547" t="str">
        <f t="shared" si="223"/>
        <v>Minor Delay</v>
      </c>
    </row>
    <row r="3548" spans="1:15" x14ac:dyDescent="0.25">
      <c r="A3548">
        <v>3547</v>
      </c>
      <c r="B3548" s="2">
        <v>45811</v>
      </c>
      <c r="C3548" t="s">
        <v>16</v>
      </c>
      <c r="D3548" t="s">
        <v>17</v>
      </c>
      <c r="E3548" t="s">
        <v>23</v>
      </c>
      <c r="F3548" t="s">
        <v>24</v>
      </c>
      <c r="G3548">
        <v>52</v>
      </c>
      <c r="H3548">
        <v>233.5</v>
      </c>
      <c r="I3548">
        <v>22</v>
      </c>
      <c r="J3548" t="s">
        <v>15</v>
      </c>
      <c r="K3548">
        <v>12142</v>
      </c>
      <c r="L3548" t="str">
        <f t="shared" si="220"/>
        <v>Jun</v>
      </c>
      <c r="M3548">
        <f t="shared" si="221"/>
        <v>2025</v>
      </c>
      <c r="N3548">
        <f t="shared" si="222"/>
        <v>12142</v>
      </c>
      <c r="O3548" t="str">
        <f t="shared" si="223"/>
        <v>Minor Delay</v>
      </c>
    </row>
    <row r="3549" spans="1:15" x14ac:dyDescent="0.25">
      <c r="A3549">
        <v>3548</v>
      </c>
      <c r="B3549" s="2">
        <v>45667</v>
      </c>
      <c r="C3549" t="s">
        <v>26</v>
      </c>
      <c r="D3549" t="s">
        <v>20</v>
      </c>
      <c r="E3549" t="s">
        <v>13</v>
      </c>
      <c r="F3549" t="s">
        <v>14</v>
      </c>
      <c r="G3549">
        <v>229</v>
      </c>
      <c r="H3549">
        <v>90.58</v>
      </c>
      <c r="I3549">
        <v>0</v>
      </c>
      <c r="J3549" t="s">
        <v>15</v>
      </c>
      <c r="K3549">
        <v>20742.82</v>
      </c>
      <c r="L3549" t="str">
        <f t="shared" si="220"/>
        <v>Jan</v>
      </c>
      <c r="M3549">
        <f t="shared" si="221"/>
        <v>2025</v>
      </c>
      <c r="N3549">
        <f t="shared" si="222"/>
        <v>20742.82</v>
      </c>
      <c r="O3549" t="str">
        <f t="shared" si="223"/>
        <v>On Time</v>
      </c>
    </row>
    <row r="3550" spans="1:15" x14ac:dyDescent="0.25">
      <c r="A3550">
        <v>3549</v>
      </c>
      <c r="B3550" s="2">
        <v>46008</v>
      </c>
      <c r="C3550" t="s">
        <v>16</v>
      </c>
      <c r="D3550" t="s">
        <v>23</v>
      </c>
      <c r="E3550" t="s">
        <v>17</v>
      </c>
      <c r="F3550" t="s">
        <v>14</v>
      </c>
      <c r="G3550">
        <v>290</v>
      </c>
      <c r="H3550">
        <v>75.69</v>
      </c>
      <c r="I3550">
        <v>3</v>
      </c>
      <c r="J3550" t="s">
        <v>15</v>
      </c>
      <c r="K3550">
        <v>21950.1</v>
      </c>
      <c r="L3550" t="str">
        <f t="shared" si="220"/>
        <v>Dec</v>
      </c>
      <c r="M3550">
        <f t="shared" si="221"/>
        <v>2025</v>
      </c>
      <c r="N3550">
        <f t="shared" si="222"/>
        <v>21950.1</v>
      </c>
      <c r="O3550" t="str">
        <f t="shared" si="223"/>
        <v>Minor Delay</v>
      </c>
    </row>
    <row r="3551" spans="1:15" x14ac:dyDescent="0.25">
      <c r="A3551">
        <v>3550</v>
      </c>
      <c r="B3551" s="2">
        <v>45908</v>
      </c>
      <c r="C3551" t="s">
        <v>26</v>
      </c>
      <c r="D3551" t="s">
        <v>13</v>
      </c>
      <c r="E3551" t="s">
        <v>29</v>
      </c>
      <c r="F3551" t="s">
        <v>24</v>
      </c>
      <c r="G3551">
        <v>143</v>
      </c>
      <c r="H3551">
        <v>760.87</v>
      </c>
      <c r="I3551">
        <v>0</v>
      </c>
      <c r="J3551" t="s">
        <v>15</v>
      </c>
      <c r="K3551">
        <v>108804.41</v>
      </c>
      <c r="L3551" t="str">
        <f t="shared" si="220"/>
        <v>Sep</v>
      </c>
      <c r="M3551">
        <f t="shared" si="221"/>
        <v>2025</v>
      </c>
      <c r="N3551">
        <f t="shared" si="222"/>
        <v>108804.41</v>
      </c>
      <c r="O3551" t="str">
        <f t="shared" si="223"/>
        <v>On Time</v>
      </c>
    </row>
    <row r="3552" spans="1:15" x14ac:dyDescent="0.25">
      <c r="A3552">
        <v>3551</v>
      </c>
      <c r="B3552" s="2">
        <v>45975</v>
      </c>
      <c r="C3552" t="s">
        <v>11</v>
      </c>
      <c r="D3552" t="s">
        <v>23</v>
      </c>
      <c r="E3552" t="s">
        <v>27</v>
      </c>
      <c r="F3552" t="s">
        <v>21</v>
      </c>
      <c r="G3552">
        <v>271</v>
      </c>
      <c r="H3552">
        <v>575.16999999999996</v>
      </c>
      <c r="I3552">
        <v>69</v>
      </c>
      <c r="J3552" t="s">
        <v>15</v>
      </c>
      <c r="K3552">
        <v>155871.07</v>
      </c>
      <c r="L3552" t="str">
        <f t="shared" si="220"/>
        <v>Nov</v>
      </c>
      <c r="M3552">
        <f t="shared" si="221"/>
        <v>2025</v>
      </c>
      <c r="N3552">
        <f t="shared" si="222"/>
        <v>155871.06999999998</v>
      </c>
      <c r="O3552" t="str">
        <f t="shared" si="223"/>
        <v>Major Delay</v>
      </c>
    </row>
    <row r="3553" spans="1:15" x14ac:dyDescent="0.25">
      <c r="A3553">
        <v>3552</v>
      </c>
      <c r="B3553" s="2">
        <v>45821</v>
      </c>
      <c r="C3553" t="s">
        <v>25</v>
      </c>
      <c r="D3553" t="s">
        <v>29</v>
      </c>
      <c r="E3553" t="s">
        <v>27</v>
      </c>
      <c r="F3553" t="s">
        <v>21</v>
      </c>
      <c r="G3553">
        <v>54</v>
      </c>
      <c r="H3553">
        <v>637.14</v>
      </c>
      <c r="I3553">
        <v>37</v>
      </c>
      <c r="J3553" t="s">
        <v>15</v>
      </c>
      <c r="K3553">
        <v>34405.56</v>
      </c>
      <c r="L3553" t="str">
        <f t="shared" si="220"/>
        <v>Jun</v>
      </c>
      <c r="M3553">
        <f t="shared" si="221"/>
        <v>2025</v>
      </c>
      <c r="N3553">
        <f t="shared" si="222"/>
        <v>34405.56</v>
      </c>
      <c r="O3553" t="str">
        <f t="shared" si="223"/>
        <v>Moderate Delay</v>
      </c>
    </row>
    <row r="3554" spans="1:15" x14ac:dyDescent="0.25">
      <c r="A3554">
        <v>3553</v>
      </c>
      <c r="B3554" s="2">
        <v>45787</v>
      </c>
      <c r="C3554" t="s">
        <v>26</v>
      </c>
      <c r="D3554" t="s">
        <v>17</v>
      </c>
      <c r="E3554" t="s">
        <v>27</v>
      </c>
      <c r="F3554" t="s">
        <v>14</v>
      </c>
      <c r="G3554">
        <v>261</v>
      </c>
      <c r="H3554">
        <v>97.59</v>
      </c>
      <c r="I3554">
        <v>36</v>
      </c>
      <c r="J3554" t="s">
        <v>15</v>
      </c>
      <c r="K3554">
        <v>25470.99</v>
      </c>
      <c r="L3554" t="str">
        <f t="shared" si="220"/>
        <v>May</v>
      </c>
      <c r="M3554">
        <f t="shared" si="221"/>
        <v>2025</v>
      </c>
      <c r="N3554">
        <f t="shared" si="222"/>
        <v>25470.99</v>
      </c>
      <c r="O3554" t="str">
        <f t="shared" si="223"/>
        <v>Moderate Delay</v>
      </c>
    </row>
    <row r="3555" spans="1:15" x14ac:dyDescent="0.25">
      <c r="A3555">
        <v>3554</v>
      </c>
      <c r="B3555" s="2">
        <v>45935</v>
      </c>
      <c r="C3555" t="s">
        <v>11</v>
      </c>
      <c r="D3555" t="s">
        <v>22</v>
      </c>
      <c r="E3555" t="s">
        <v>23</v>
      </c>
      <c r="F3555" t="s">
        <v>14</v>
      </c>
      <c r="G3555">
        <v>53</v>
      </c>
      <c r="H3555">
        <v>483.92</v>
      </c>
      <c r="I3555">
        <v>1</v>
      </c>
      <c r="J3555" t="s">
        <v>15</v>
      </c>
      <c r="K3555">
        <v>25647.759999999998</v>
      </c>
      <c r="L3555" t="str">
        <f t="shared" si="220"/>
        <v>Oct</v>
      </c>
      <c r="M3555">
        <f t="shared" si="221"/>
        <v>2025</v>
      </c>
      <c r="N3555">
        <f t="shared" si="222"/>
        <v>25647.760000000002</v>
      </c>
      <c r="O3555" t="str">
        <f t="shared" si="223"/>
        <v>Minor Delay</v>
      </c>
    </row>
    <row r="3556" spans="1:15" x14ac:dyDescent="0.25">
      <c r="A3556">
        <v>3555</v>
      </c>
      <c r="B3556" s="2">
        <v>45779</v>
      </c>
      <c r="C3556" t="s">
        <v>25</v>
      </c>
      <c r="D3556" t="s">
        <v>20</v>
      </c>
      <c r="E3556" t="s">
        <v>29</v>
      </c>
      <c r="F3556" t="s">
        <v>21</v>
      </c>
      <c r="G3556">
        <v>105</v>
      </c>
      <c r="H3556">
        <v>354.44</v>
      </c>
      <c r="I3556">
        <v>19</v>
      </c>
      <c r="J3556" t="s">
        <v>15</v>
      </c>
      <c r="K3556">
        <v>37216.199999999997</v>
      </c>
      <c r="L3556" t="str">
        <f t="shared" si="220"/>
        <v>May</v>
      </c>
      <c r="M3556">
        <f t="shared" si="221"/>
        <v>2025</v>
      </c>
      <c r="N3556">
        <f t="shared" si="222"/>
        <v>37216.199999999997</v>
      </c>
      <c r="O3556" t="str">
        <f t="shared" si="223"/>
        <v>Minor Delay</v>
      </c>
    </row>
    <row r="3557" spans="1:15" x14ac:dyDescent="0.25">
      <c r="A3557">
        <v>3556</v>
      </c>
      <c r="B3557" s="2">
        <v>45829</v>
      </c>
      <c r="C3557" t="s">
        <v>18</v>
      </c>
      <c r="D3557" t="s">
        <v>12</v>
      </c>
      <c r="E3557" t="s">
        <v>22</v>
      </c>
      <c r="F3557" t="s">
        <v>21</v>
      </c>
      <c r="G3557">
        <v>89</v>
      </c>
      <c r="H3557">
        <v>229.55</v>
      </c>
      <c r="I3557">
        <v>16</v>
      </c>
      <c r="J3557" t="s">
        <v>15</v>
      </c>
      <c r="K3557">
        <v>20429.95</v>
      </c>
      <c r="L3557" t="str">
        <f t="shared" si="220"/>
        <v>Jun</v>
      </c>
      <c r="M3557">
        <f t="shared" si="221"/>
        <v>2025</v>
      </c>
      <c r="N3557">
        <f t="shared" si="222"/>
        <v>20429.95</v>
      </c>
      <c r="O3557" t="str">
        <f t="shared" si="223"/>
        <v>Minor Delay</v>
      </c>
    </row>
    <row r="3558" spans="1:15" x14ac:dyDescent="0.25">
      <c r="A3558">
        <v>3557</v>
      </c>
      <c r="B3558" s="2">
        <v>45997</v>
      </c>
      <c r="C3558" t="s">
        <v>31</v>
      </c>
      <c r="D3558" t="s">
        <v>12</v>
      </c>
      <c r="E3558" t="s">
        <v>22</v>
      </c>
      <c r="F3558" t="s">
        <v>24</v>
      </c>
      <c r="G3558">
        <v>178</v>
      </c>
      <c r="H3558">
        <v>580.73</v>
      </c>
      <c r="I3558">
        <v>0</v>
      </c>
      <c r="J3558" t="s">
        <v>15</v>
      </c>
      <c r="K3558">
        <v>103369.94</v>
      </c>
      <c r="L3558" t="str">
        <f t="shared" si="220"/>
        <v>Dec</v>
      </c>
      <c r="M3558">
        <f t="shared" si="221"/>
        <v>2025</v>
      </c>
      <c r="N3558">
        <f t="shared" si="222"/>
        <v>103369.94</v>
      </c>
      <c r="O3558" t="str">
        <f t="shared" si="223"/>
        <v>On Time</v>
      </c>
    </row>
    <row r="3559" spans="1:15" x14ac:dyDescent="0.25">
      <c r="A3559">
        <v>3558</v>
      </c>
      <c r="B3559" s="2">
        <v>45947</v>
      </c>
      <c r="C3559" t="s">
        <v>18</v>
      </c>
      <c r="D3559" t="s">
        <v>13</v>
      </c>
      <c r="E3559" t="s">
        <v>29</v>
      </c>
      <c r="F3559" t="s">
        <v>24</v>
      </c>
      <c r="G3559">
        <v>205</v>
      </c>
      <c r="H3559">
        <v>786.1</v>
      </c>
      <c r="I3559">
        <v>0</v>
      </c>
      <c r="J3559" t="s">
        <v>30</v>
      </c>
      <c r="K3559">
        <v>161150.5</v>
      </c>
      <c r="L3559" t="str">
        <f t="shared" si="220"/>
        <v>Oct</v>
      </c>
      <c r="M3559">
        <f t="shared" si="221"/>
        <v>2025</v>
      </c>
      <c r="N3559">
        <f t="shared" si="222"/>
        <v>161150.5</v>
      </c>
      <c r="O3559" t="str">
        <f t="shared" si="223"/>
        <v>On Time</v>
      </c>
    </row>
    <row r="3560" spans="1:15" x14ac:dyDescent="0.25">
      <c r="A3560">
        <v>3559</v>
      </c>
      <c r="B3560" s="2">
        <v>45974</v>
      </c>
      <c r="C3560" t="s">
        <v>11</v>
      </c>
      <c r="D3560" t="s">
        <v>29</v>
      </c>
      <c r="E3560" t="s">
        <v>13</v>
      </c>
      <c r="F3560" t="s">
        <v>24</v>
      </c>
      <c r="G3560">
        <v>68</v>
      </c>
      <c r="H3560">
        <v>482.88</v>
      </c>
      <c r="I3560">
        <v>66</v>
      </c>
      <c r="J3560" t="s">
        <v>15</v>
      </c>
      <c r="K3560">
        <v>32835.839999999997</v>
      </c>
      <c r="L3560" t="str">
        <f t="shared" si="220"/>
        <v>Nov</v>
      </c>
      <c r="M3560">
        <f t="shared" si="221"/>
        <v>2025</v>
      </c>
      <c r="N3560">
        <f t="shared" si="222"/>
        <v>32835.839999999997</v>
      </c>
      <c r="O3560" t="str">
        <f t="shared" si="223"/>
        <v>Major Delay</v>
      </c>
    </row>
    <row r="3561" spans="1:15" x14ac:dyDescent="0.25">
      <c r="A3561">
        <v>3560</v>
      </c>
      <c r="B3561" s="2">
        <v>45779</v>
      </c>
      <c r="C3561" t="s">
        <v>11</v>
      </c>
      <c r="D3561" t="s">
        <v>22</v>
      </c>
      <c r="E3561" t="s">
        <v>29</v>
      </c>
      <c r="F3561" t="s">
        <v>21</v>
      </c>
      <c r="G3561">
        <v>88</v>
      </c>
      <c r="H3561">
        <v>777.45</v>
      </c>
      <c r="I3561">
        <v>33</v>
      </c>
      <c r="J3561" t="s">
        <v>15</v>
      </c>
      <c r="K3561">
        <v>68415.600000000006</v>
      </c>
      <c r="L3561" t="str">
        <f t="shared" si="220"/>
        <v>May</v>
      </c>
      <c r="M3561">
        <f t="shared" si="221"/>
        <v>2025</v>
      </c>
      <c r="N3561">
        <f t="shared" si="222"/>
        <v>68415.600000000006</v>
      </c>
      <c r="O3561" t="str">
        <f t="shared" si="223"/>
        <v>Moderate Delay</v>
      </c>
    </row>
    <row r="3562" spans="1:15" x14ac:dyDescent="0.25">
      <c r="A3562">
        <v>3561</v>
      </c>
      <c r="B3562" s="2">
        <v>45952</v>
      </c>
      <c r="C3562" t="s">
        <v>25</v>
      </c>
      <c r="D3562" t="s">
        <v>13</v>
      </c>
      <c r="E3562" t="s">
        <v>22</v>
      </c>
      <c r="F3562" t="s">
        <v>14</v>
      </c>
      <c r="G3562">
        <v>243</v>
      </c>
      <c r="H3562">
        <v>412.7</v>
      </c>
      <c r="I3562">
        <v>12</v>
      </c>
      <c r="J3562" t="s">
        <v>30</v>
      </c>
      <c r="K3562">
        <v>100286.1</v>
      </c>
      <c r="L3562" t="str">
        <f t="shared" si="220"/>
        <v>Oct</v>
      </c>
      <c r="M3562">
        <f t="shared" si="221"/>
        <v>2025</v>
      </c>
      <c r="N3562">
        <f t="shared" si="222"/>
        <v>100286.09999999999</v>
      </c>
      <c r="O3562" t="str">
        <f t="shared" si="223"/>
        <v>Minor Delay</v>
      </c>
    </row>
    <row r="3563" spans="1:15" x14ac:dyDescent="0.25">
      <c r="A3563">
        <v>3562</v>
      </c>
      <c r="B3563" s="2">
        <v>45823</v>
      </c>
      <c r="C3563" t="s">
        <v>16</v>
      </c>
      <c r="D3563" t="s">
        <v>22</v>
      </c>
      <c r="E3563" t="s">
        <v>17</v>
      </c>
      <c r="F3563" t="s">
        <v>14</v>
      </c>
      <c r="G3563">
        <v>159</v>
      </c>
      <c r="H3563">
        <v>683.32</v>
      </c>
      <c r="I3563">
        <v>32</v>
      </c>
      <c r="J3563" t="s">
        <v>30</v>
      </c>
      <c r="K3563">
        <v>108647.88</v>
      </c>
      <c r="L3563" t="str">
        <f t="shared" si="220"/>
        <v>Jun</v>
      </c>
      <c r="M3563">
        <f t="shared" si="221"/>
        <v>2025</v>
      </c>
      <c r="N3563">
        <f t="shared" si="222"/>
        <v>108647.88</v>
      </c>
      <c r="O3563" t="str">
        <f t="shared" si="223"/>
        <v>Moderate Delay</v>
      </c>
    </row>
    <row r="3564" spans="1:15" x14ac:dyDescent="0.25">
      <c r="A3564">
        <v>3563</v>
      </c>
      <c r="B3564" s="2">
        <v>45802</v>
      </c>
      <c r="C3564" t="s">
        <v>31</v>
      </c>
      <c r="D3564" t="s">
        <v>20</v>
      </c>
      <c r="E3564" t="s">
        <v>12</v>
      </c>
      <c r="F3564" t="s">
        <v>14</v>
      </c>
      <c r="G3564">
        <v>299</v>
      </c>
      <c r="H3564">
        <v>74.349999999999994</v>
      </c>
      <c r="I3564">
        <v>25</v>
      </c>
      <c r="J3564" t="s">
        <v>30</v>
      </c>
      <c r="K3564">
        <v>22230.65</v>
      </c>
      <c r="L3564" t="str">
        <f t="shared" si="220"/>
        <v>May</v>
      </c>
      <c r="M3564">
        <f t="shared" si="221"/>
        <v>2025</v>
      </c>
      <c r="N3564">
        <f t="shared" si="222"/>
        <v>22230.649999999998</v>
      </c>
      <c r="O3564" t="str">
        <f t="shared" si="223"/>
        <v>Minor Delay</v>
      </c>
    </row>
    <row r="3565" spans="1:15" x14ac:dyDescent="0.25">
      <c r="A3565">
        <v>3564</v>
      </c>
      <c r="B3565" s="2">
        <v>45816</v>
      </c>
      <c r="C3565" t="s">
        <v>11</v>
      </c>
      <c r="D3565" t="s">
        <v>23</v>
      </c>
      <c r="E3565" t="s">
        <v>12</v>
      </c>
      <c r="F3565" t="s">
        <v>24</v>
      </c>
      <c r="G3565">
        <v>193</v>
      </c>
      <c r="H3565">
        <v>659.92</v>
      </c>
      <c r="I3565">
        <v>0</v>
      </c>
      <c r="J3565" t="s">
        <v>30</v>
      </c>
      <c r="K3565">
        <v>127364.56</v>
      </c>
      <c r="L3565" t="str">
        <f t="shared" si="220"/>
        <v>Jun</v>
      </c>
      <c r="M3565">
        <f t="shared" si="221"/>
        <v>2025</v>
      </c>
      <c r="N3565">
        <f t="shared" si="222"/>
        <v>127364.56</v>
      </c>
      <c r="O3565" t="str">
        <f t="shared" si="223"/>
        <v>On Time</v>
      </c>
    </row>
    <row r="3566" spans="1:15" x14ac:dyDescent="0.25">
      <c r="A3566">
        <v>3565</v>
      </c>
      <c r="B3566" s="2">
        <v>45855</v>
      </c>
      <c r="C3566" t="s">
        <v>11</v>
      </c>
      <c r="D3566" t="s">
        <v>17</v>
      </c>
      <c r="E3566" t="s">
        <v>29</v>
      </c>
      <c r="F3566" t="s">
        <v>24</v>
      </c>
      <c r="G3566">
        <v>203</v>
      </c>
      <c r="H3566">
        <v>119</v>
      </c>
      <c r="I3566">
        <v>36</v>
      </c>
      <c r="J3566" t="s">
        <v>15</v>
      </c>
      <c r="K3566">
        <v>24157</v>
      </c>
      <c r="L3566" t="str">
        <f t="shared" si="220"/>
        <v>Jul</v>
      </c>
      <c r="M3566">
        <f t="shared" si="221"/>
        <v>2025</v>
      </c>
      <c r="N3566">
        <f t="shared" si="222"/>
        <v>24157</v>
      </c>
      <c r="O3566" t="str">
        <f t="shared" si="223"/>
        <v>Moderate Delay</v>
      </c>
    </row>
    <row r="3567" spans="1:15" x14ac:dyDescent="0.25">
      <c r="A3567">
        <v>3566</v>
      </c>
      <c r="B3567" s="2">
        <v>45888</v>
      </c>
      <c r="C3567" t="s">
        <v>11</v>
      </c>
      <c r="D3567" t="s">
        <v>23</v>
      </c>
      <c r="E3567" t="s">
        <v>27</v>
      </c>
      <c r="F3567" t="s">
        <v>21</v>
      </c>
      <c r="G3567">
        <v>161</v>
      </c>
      <c r="H3567">
        <v>584.13</v>
      </c>
      <c r="I3567">
        <v>11</v>
      </c>
      <c r="J3567" t="s">
        <v>15</v>
      </c>
      <c r="K3567">
        <v>94044.93</v>
      </c>
      <c r="L3567" t="str">
        <f t="shared" si="220"/>
        <v>Aug</v>
      </c>
      <c r="M3567">
        <f t="shared" si="221"/>
        <v>2025</v>
      </c>
      <c r="N3567">
        <f t="shared" si="222"/>
        <v>94044.93</v>
      </c>
      <c r="O3567" t="str">
        <f t="shared" si="223"/>
        <v>Minor Delay</v>
      </c>
    </row>
    <row r="3568" spans="1:15" x14ac:dyDescent="0.25">
      <c r="A3568">
        <v>3567</v>
      </c>
      <c r="B3568" s="2">
        <v>45810</v>
      </c>
      <c r="C3568" t="s">
        <v>11</v>
      </c>
      <c r="D3568" t="s">
        <v>29</v>
      </c>
      <c r="E3568" t="s">
        <v>22</v>
      </c>
      <c r="F3568" t="s">
        <v>21</v>
      </c>
      <c r="G3568">
        <v>128</v>
      </c>
      <c r="H3568">
        <v>206.19</v>
      </c>
      <c r="I3568">
        <v>56</v>
      </c>
      <c r="J3568" t="s">
        <v>15</v>
      </c>
      <c r="K3568">
        <v>26392.32</v>
      </c>
      <c r="L3568" t="str">
        <f t="shared" si="220"/>
        <v>Jun</v>
      </c>
      <c r="M3568">
        <f t="shared" si="221"/>
        <v>2025</v>
      </c>
      <c r="N3568">
        <f t="shared" si="222"/>
        <v>26392.32</v>
      </c>
      <c r="O3568" t="str">
        <f t="shared" si="223"/>
        <v>Moderate Delay</v>
      </c>
    </row>
    <row r="3569" spans="1:15" x14ac:dyDescent="0.25">
      <c r="A3569">
        <v>3568</v>
      </c>
      <c r="B3569" s="2">
        <v>45742</v>
      </c>
      <c r="C3569" t="s">
        <v>31</v>
      </c>
      <c r="D3569" t="s">
        <v>20</v>
      </c>
      <c r="E3569" t="s">
        <v>27</v>
      </c>
      <c r="F3569" t="s">
        <v>24</v>
      </c>
      <c r="G3569">
        <v>142</v>
      </c>
      <c r="H3569">
        <v>412.65</v>
      </c>
      <c r="I3569">
        <v>0</v>
      </c>
      <c r="J3569" t="s">
        <v>15</v>
      </c>
      <c r="K3569">
        <v>58596.3</v>
      </c>
      <c r="L3569" t="str">
        <f t="shared" si="220"/>
        <v>Mar</v>
      </c>
      <c r="M3569">
        <f t="shared" si="221"/>
        <v>2025</v>
      </c>
      <c r="N3569">
        <f t="shared" si="222"/>
        <v>58596.299999999996</v>
      </c>
      <c r="O3569" t="str">
        <f t="shared" si="223"/>
        <v>On Time</v>
      </c>
    </row>
    <row r="3570" spans="1:15" x14ac:dyDescent="0.25">
      <c r="A3570">
        <v>3569</v>
      </c>
      <c r="B3570" s="2">
        <v>45772</v>
      </c>
      <c r="C3570" t="s">
        <v>31</v>
      </c>
      <c r="D3570" t="s">
        <v>17</v>
      </c>
      <c r="E3570" t="s">
        <v>23</v>
      </c>
      <c r="F3570" t="s">
        <v>21</v>
      </c>
      <c r="G3570">
        <v>215</v>
      </c>
      <c r="H3570">
        <v>91.83</v>
      </c>
      <c r="I3570">
        <v>50</v>
      </c>
      <c r="J3570" t="s">
        <v>15</v>
      </c>
      <c r="K3570">
        <v>19743.45</v>
      </c>
      <c r="L3570" t="str">
        <f t="shared" si="220"/>
        <v>Apr</v>
      </c>
      <c r="M3570">
        <f t="shared" si="221"/>
        <v>2025</v>
      </c>
      <c r="N3570">
        <f t="shared" si="222"/>
        <v>19743.45</v>
      </c>
      <c r="O3570" t="str">
        <f t="shared" si="223"/>
        <v>Moderate Delay</v>
      </c>
    </row>
    <row r="3571" spans="1:15" x14ac:dyDescent="0.25">
      <c r="A3571">
        <v>3570</v>
      </c>
      <c r="B3571" s="2">
        <v>45931</v>
      </c>
      <c r="C3571" t="s">
        <v>25</v>
      </c>
      <c r="D3571" t="s">
        <v>19</v>
      </c>
      <c r="E3571" t="s">
        <v>22</v>
      </c>
      <c r="F3571" t="s">
        <v>14</v>
      </c>
      <c r="G3571">
        <v>214</v>
      </c>
      <c r="H3571">
        <v>279.64999999999998</v>
      </c>
      <c r="I3571">
        <v>66</v>
      </c>
      <c r="J3571" t="s">
        <v>15</v>
      </c>
      <c r="K3571">
        <v>59845.1</v>
      </c>
      <c r="L3571" t="str">
        <f t="shared" si="220"/>
        <v>Oct</v>
      </c>
      <c r="M3571">
        <f t="shared" si="221"/>
        <v>2025</v>
      </c>
      <c r="N3571">
        <f t="shared" si="222"/>
        <v>59845.1</v>
      </c>
      <c r="O3571" t="str">
        <f t="shared" si="223"/>
        <v>Major Delay</v>
      </c>
    </row>
    <row r="3572" spans="1:15" x14ac:dyDescent="0.25">
      <c r="A3572">
        <v>3571</v>
      </c>
      <c r="B3572" s="2">
        <v>45978</v>
      </c>
      <c r="C3572" t="s">
        <v>16</v>
      </c>
      <c r="D3572" t="s">
        <v>17</v>
      </c>
      <c r="E3572" t="s">
        <v>13</v>
      </c>
      <c r="F3572" t="s">
        <v>21</v>
      </c>
      <c r="G3572">
        <v>62</v>
      </c>
      <c r="H3572">
        <v>480.04</v>
      </c>
      <c r="I3572">
        <v>29</v>
      </c>
      <c r="J3572" t="s">
        <v>15</v>
      </c>
      <c r="K3572">
        <v>29762.48</v>
      </c>
      <c r="L3572" t="str">
        <f t="shared" si="220"/>
        <v>Nov</v>
      </c>
      <c r="M3572">
        <f t="shared" si="221"/>
        <v>2025</v>
      </c>
      <c r="N3572">
        <f t="shared" si="222"/>
        <v>29762.48</v>
      </c>
      <c r="O3572" t="str">
        <f t="shared" si="223"/>
        <v>Minor Delay</v>
      </c>
    </row>
    <row r="3573" spans="1:15" x14ac:dyDescent="0.25">
      <c r="A3573">
        <v>3572</v>
      </c>
      <c r="B3573" s="2">
        <v>45902</v>
      </c>
      <c r="C3573" t="s">
        <v>18</v>
      </c>
      <c r="D3573" t="s">
        <v>20</v>
      </c>
      <c r="E3573" t="s">
        <v>19</v>
      </c>
      <c r="F3573" t="s">
        <v>14</v>
      </c>
      <c r="G3573">
        <v>123</v>
      </c>
      <c r="H3573">
        <v>710.45</v>
      </c>
      <c r="I3573">
        <v>20</v>
      </c>
      <c r="J3573" t="s">
        <v>15</v>
      </c>
      <c r="K3573">
        <v>87385.35</v>
      </c>
      <c r="L3573" t="str">
        <f t="shared" si="220"/>
        <v>Sep</v>
      </c>
      <c r="M3573">
        <f t="shared" si="221"/>
        <v>2025</v>
      </c>
      <c r="N3573">
        <f t="shared" si="222"/>
        <v>87385.35</v>
      </c>
      <c r="O3573" t="str">
        <f t="shared" si="223"/>
        <v>Minor Delay</v>
      </c>
    </row>
    <row r="3574" spans="1:15" x14ac:dyDescent="0.25">
      <c r="A3574">
        <v>3573</v>
      </c>
      <c r="B3574" s="2">
        <v>45845</v>
      </c>
      <c r="C3574" t="s">
        <v>26</v>
      </c>
      <c r="D3574" t="s">
        <v>29</v>
      </c>
      <c r="E3574" t="s">
        <v>19</v>
      </c>
      <c r="F3574" t="s">
        <v>21</v>
      </c>
      <c r="G3574">
        <v>89</v>
      </c>
      <c r="H3574">
        <v>742.9</v>
      </c>
      <c r="I3574">
        <v>27</v>
      </c>
      <c r="J3574" t="s">
        <v>15</v>
      </c>
      <c r="K3574">
        <v>66118.100000000006</v>
      </c>
      <c r="L3574" t="str">
        <f t="shared" si="220"/>
        <v>Jul</v>
      </c>
      <c r="M3574">
        <f t="shared" si="221"/>
        <v>2025</v>
      </c>
      <c r="N3574">
        <f t="shared" si="222"/>
        <v>66118.099999999991</v>
      </c>
      <c r="O3574" t="str">
        <f t="shared" si="223"/>
        <v>Minor Delay</v>
      </c>
    </row>
    <row r="3575" spans="1:15" x14ac:dyDescent="0.25">
      <c r="A3575">
        <v>3574</v>
      </c>
      <c r="B3575" s="2">
        <v>45980</v>
      </c>
      <c r="C3575" t="s">
        <v>16</v>
      </c>
      <c r="D3575" t="s">
        <v>12</v>
      </c>
      <c r="E3575" t="s">
        <v>22</v>
      </c>
      <c r="F3575" t="s">
        <v>14</v>
      </c>
      <c r="G3575">
        <v>223</v>
      </c>
      <c r="H3575">
        <v>305.74</v>
      </c>
      <c r="I3575">
        <v>62</v>
      </c>
      <c r="J3575" t="s">
        <v>15</v>
      </c>
      <c r="K3575">
        <v>68180.02</v>
      </c>
      <c r="L3575" t="str">
        <f t="shared" si="220"/>
        <v>Nov</v>
      </c>
      <c r="M3575">
        <f t="shared" si="221"/>
        <v>2025</v>
      </c>
      <c r="N3575">
        <f t="shared" si="222"/>
        <v>68180.02</v>
      </c>
      <c r="O3575" t="str">
        <f t="shared" si="223"/>
        <v>Major Delay</v>
      </c>
    </row>
    <row r="3576" spans="1:15" x14ac:dyDescent="0.25">
      <c r="A3576">
        <v>3575</v>
      </c>
      <c r="B3576" s="2">
        <v>45893</v>
      </c>
      <c r="C3576" t="s">
        <v>11</v>
      </c>
      <c r="D3576" t="s">
        <v>12</v>
      </c>
      <c r="E3576" t="s">
        <v>29</v>
      </c>
      <c r="F3576" t="s">
        <v>14</v>
      </c>
      <c r="G3576">
        <v>151</v>
      </c>
      <c r="H3576">
        <v>289.95</v>
      </c>
      <c r="I3576">
        <v>46</v>
      </c>
      <c r="J3576" t="s">
        <v>30</v>
      </c>
      <c r="K3576">
        <v>43782.45</v>
      </c>
      <c r="L3576" t="str">
        <f t="shared" si="220"/>
        <v>Aug</v>
      </c>
      <c r="M3576">
        <f t="shared" si="221"/>
        <v>2025</v>
      </c>
      <c r="N3576">
        <f t="shared" si="222"/>
        <v>43782.45</v>
      </c>
      <c r="O3576" t="str">
        <f t="shared" si="223"/>
        <v>Moderate Delay</v>
      </c>
    </row>
    <row r="3577" spans="1:15" x14ac:dyDescent="0.25">
      <c r="A3577">
        <v>3576</v>
      </c>
      <c r="B3577" s="2">
        <v>45663</v>
      </c>
      <c r="C3577" t="s">
        <v>25</v>
      </c>
      <c r="D3577" t="s">
        <v>17</v>
      </c>
      <c r="E3577" t="s">
        <v>13</v>
      </c>
      <c r="F3577" t="s">
        <v>14</v>
      </c>
      <c r="G3577">
        <v>183</v>
      </c>
      <c r="H3577">
        <v>256.76</v>
      </c>
      <c r="I3577">
        <v>31</v>
      </c>
      <c r="J3577" t="s">
        <v>30</v>
      </c>
      <c r="K3577">
        <v>46987.08</v>
      </c>
      <c r="L3577" t="str">
        <f t="shared" si="220"/>
        <v>Jan</v>
      </c>
      <c r="M3577">
        <f t="shared" si="221"/>
        <v>2025</v>
      </c>
      <c r="N3577">
        <f t="shared" si="222"/>
        <v>46987.08</v>
      </c>
      <c r="O3577" t="str">
        <f t="shared" si="223"/>
        <v>Moderate Delay</v>
      </c>
    </row>
    <row r="3578" spans="1:15" x14ac:dyDescent="0.25">
      <c r="A3578">
        <v>3577</v>
      </c>
      <c r="B3578" s="2">
        <v>45826</v>
      </c>
      <c r="C3578" t="s">
        <v>31</v>
      </c>
      <c r="D3578" t="s">
        <v>19</v>
      </c>
      <c r="E3578" t="s">
        <v>23</v>
      </c>
      <c r="F3578" t="s">
        <v>21</v>
      </c>
      <c r="G3578">
        <v>238</v>
      </c>
      <c r="H3578">
        <v>261.94</v>
      </c>
      <c r="I3578">
        <v>24</v>
      </c>
      <c r="J3578" t="s">
        <v>15</v>
      </c>
      <c r="K3578">
        <v>62341.72</v>
      </c>
      <c r="L3578" t="str">
        <f t="shared" si="220"/>
        <v>Jun</v>
      </c>
      <c r="M3578">
        <f t="shared" si="221"/>
        <v>2025</v>
      </c>
      <c r="N3578">
        <f t="shared" si="222"/>
        <v>62341.72</v>
      </c>
      <c r="O3578" t="str">
        <f t="shared" si="223"/>
        <v>Minor Delay</v>
      </c>
    </row>
    <row r="3579" spans="1:15" x14ac:dyDescent="0.25">
      <c r="A3579">
        <v>3578</v>
      </c>
      <c r="B3579" s="2">
        <v>45973</v>
      </c>
      <c r="C3579" t="s">
        <v>18</v>
      </c>
      <c r="D3579" t="s">
        <v>19</v>
      </c>
      <c r="E3579" t="s">
        <v>17</v>
      </c>
      <c r="F3579" t="s">
        <v>21</v>
      </c>
      <c r="G3579">
        <v>156</v>
      </c>
      <c r="H3579">
        <v>734.58</v>
      </c>
      <c r="I3579">
        <v>5</v>
      </c>
      <c r="J3579" t="s">
        <v>15</v>
      </c>
      <c r="K3579">
        <v>114594.48</v>
      </c>
      <c r="L3579" t="str">
        <f t="shared" si="220"/>
        <v>Nov</v>
      </c>
      <c r="M3579">
        <f t="shared" si="221"/>
        <v>2025</v>
      </c>
      <c r="N3579">
        <f t="shared" si="222"/>
        <v>114594.48000000001</v>
      </c>
      <c r="O3579" t="str">
        <f t="shared" si="223"/>
        <v>Minor Delay</v>
      </c>
    </row>
    <row r="3580" spans="1:15" x14ac:dyDescent="0.25">
      <c r="A3580">
        <v>3579</v>
      </c>
      <c r="B3580" s="2">
        <v>45838</v>
      </c>
      <c r="C3580" t="s">
        <v>11</v>
      </c>
      <c r="D3580" t="s">
        <v>20</v>
      </c>
      <c r="E3580" t="s">
        <v>12</v>
      </c>
      <c r="F3580" t="s">
        <v>21</v>
      </c>
      <c r="G3580">
        <v>55</v>
      </c>
      <c r="H3580">
        <v>644.34</v>
      </c>
      <c r="I3580">
        <v>41</v>
      </c>
      <c r="J3580" t="s">
        <v>15</v>
      </c>
      <c r="K3580">
        <v>35438.699999999997</v>
      </c>
      <c r="L3580" t="str">
        <f t="shared" si="220"/>
        <v>Jun</v>
      </c>
      <c r="M3580">
        <f t="shared" si="221"/>
        <v>2025</v>
      </c>
      <c r="N3580">
        <f t="shared" si="222"/>
        <v>35438.700000000004</v>
      </c>
      <c r="O3580" t="str">
        <f t="shared" si="223"/>
        <v>Moderate Delay</v>
      </c>
    </row>
    <row r="3581" spans="1:15" x14ac:dyDescent="0.25">
      <c r="A3581">
        <v>3580</v>
      </c>
      <c r="B3581" s="2">
        <v>45778</v>
      </c>
      <c r="C3581" t="s">
        <v>18</v>
      </c>
      <c r="D3581" t="s">
        <v>23</v>
      </c>
      <c r="E3581" t="s">
        <v>27</v>
      </c>
      <c r="F3581" t="s">
        <v>24</v>
      </c>
      <c r="G3581">
        <v>52</v>
      </c>
      <c r="H3581">
        <v>91.6</v>
      </c>
      <c r="I3581">
        <v>57</v>
      </c>
      <c r="J3581" t="s">
        <v>15</v>
      </c>
      <c r="K3581">
        <v>4763.2</v>
      </c>
      <c r="L3581" t="str">
        <f t="shared" si="220"/>
        <v>May</v>
      </c>
      <c r="M3581">
        <f t="shared" si="221"/>
        <v>2025</v>
      </c>
      <c r="N3581">
        <f t="shared" si="222"/>
        <v>4763.2</v>
      </c>
      <c r="O3581" t="str">
        <f t="shared" si="223"/>
        <v>Moderate Delay</v>
      </c>
    </row>
    <row r="3582" spans="1:15" x14ac:dyDescent="0.25">
      <c r="A3582">
        <v>3581</v>
      </c>
      <c r="B3582" s="2">
        <v>46018</v>
      </c>
      <c r="C3582" t="s">
        <v>25</v>
      </c>
      <c r="D3582" t="s">
        <v>13</v>
      </c>
      <c r="E3582" t="s">
        <v>12</v>
      </c>
      <c r="F3582" t="s">
        <v>14</v>
      </c>
      <c r="G3582">
        <v>160</v>
      </c>
      <c r="H3582">
        <v>282.45</v>
      </c>
      <c r="I3582">
        <v>11</v>
      </c>
      <c r="J3582" t="s">
        <v>30</v>
      </c>
      <c r="K3582">
        <v>45192</v>
      </c>
      <c r="L3582" t="str">
        <f t="shared" si="220"/>
        <v>Dec</v>
      </c>
      <c r="M3582">
        <f t="shared" si="221"/>
        <v>2025</v>
      </c>
      <c r="N3582">
        <f t="shared" si="222"/>
        <v>45192</v>
      </c>
      <c r="O3582" t="str">
        <f t="shared" si="223"/>
        <v>Minor Delay</v>
      </c>
    </row>
    <row r="3583" spans="1:15" x14ac:dyDescent="0.25">
      <c r="A3583">
        <v>3582</v>
      </c>
      <c r="B3583" s="2">
        <v>45732</v>
      </c>
      <c r="C3583" t="s">
        <v>18</v>
      </c>
      <c r="D3583" t="s">
        <v>23</v>
      </c>
      <c r="E3583" t="s">
        <v>22</v>
      </c>
      <c r="F3583" t="s">
        <v>21</v>
      </c>
      <c r="G3583">
        <v>175</v>
      </c>
      <c r="H3583">
        <v>244.57</v>
      </c>
      <c r="I3583">
        <v>22</v>
      </c>
      <c r="J3583" t="s">
        <v>15</v>
      </c>
      <c r="K3583">
        <v>42799.75</v>
      </c>
      <c r="L3583" t="str">
        <f t="shared" si="220"/>
        <v>Mar</v>
      </c>
      <c r="M3583">
        <f t="shared" si="221"/>
        <v>2025</v>
      </c>
      <c r="N3583">
        <f t="shared" si="222"/>
        <v>42799.75</v>
      </c>
      <c r="O3583" t="str">
        <f t="shared" si="223"/>
        <v>Minor Delay</v>
      </c>
    </row>
    <row r="3584" spans="1:15" x14ac:dyDescent="0.25">
      <c r="A3584">
        <v>3583</v>
      </c>
      <c r="B3584" s="2">
        <v>45791</v>
      </c>
      <c r="C3584" t="s">
        <v>25</v>
      </c>
      <c r="D3584" t="s">
        <v>22</v>
      </c>
      <c r="E3584" t="s">
        <v>17</v>
      </c>
      <c r="F3584" t="s">
        <v>14</v>
      </c>
      <c r="G3584">
        <v>232</v>
      </c>
      <c r="H3584">
        <v>741.6</v>
      </c>
      <c r="I3584">
        <v>28</v>
      </c>
      <c r="J3584" t="s">
        <v>15</v>
      </c>
      <c r="K3584">
        <v>172051.20000000001</v>
      </c>
      <c r="L3584" t="str">
        <f t="shared" si="220"/>
        <v>May</v>
      </c>
      <c r="M3584">
        <f t="shared" si="221"/>
        <v>2025</v>
      </c>
      <c r="N3584">
        <f t="shared" si="222"/>
        <v>172051.20000000001</v>
      </c>
      <c r="O3584" t="str">
        <f t="shared" si="223"/>
        <v>Minor Delay</v>
      </c>
    </row>
    <row r="3585" spans="1:15" x14ac:dyDescent="0.25">
      <c r="A3585">
        <v>3584</v>
      </c>
      <c r="B3585" s="2">
        <v>46019</v>
      </c>
      <c r="C3585" t="s">
        <v>25</v>
      </c>
      <c r="D3585" t="s">
        <v>20</v>
      </c>
      <c r="E3585" t="s">
        <v>29</v>
      </c>
      <c r="F3585" t="s">
        <v>14</v>
      </c>
      <c r="G3585">
        <v>238</v>
      </c>
      <c r="H3585">
        <v>380.32</v>
      </c>
      <c r="I3585">
        <v>36</v>
      </c>
      <c r="J3585" t="s">
        <v>30</v>
      </c>
      <c r="K3585">
        <v>90516.160000000003</v>
      </c>
      <c r="L3585" t="str">
        <f t="shared" si="220"/>
        <v>Dec</v>
      </c>
      <c r="M3585">
        <f t="shared" si="221"/>
        <v>2025</v>
      </c>
      <c r="N3585">
        <f t="shared" si="222"/>
        <v>90516.160000000003</v>
      </c>
      <c r="O3585" t="str">
        <f t="shared" si="223"/>
        <v>Moderate Delay</v>
      </c>
    </row>
    <row r="3586" spans="1:15" x14ac:dyDescent="0.25">
      <c r="A3586">
        <v>3585</v>
      </c>
      <c r="B3586" s="2">
        <v>45976</v>
      </c>
      <c r="C3586" t="s">
        <v>11</v>
      </c>
      <c r="D3586" t="s">
        <v>23</v>
      </c>
      <c r="E3586" t="s">
        <v>19</v>
      </c>
      <c r="F3586" t="s">
        <v>24</v>
      </c>
      <c r="G3586">
        <v>294</v>
      </c>
      <c r="H3586">
        <v>231.09</v>
      </c>
      <c r="I3586">
        <v>0</v>
      </c>
      <c r="J3586" t="s">
        <v>15</v>
      </c>
      <c r="K3586">
        <v>67940.460000000006</v>
      </c>
      <c r="L3586" t="str">
        <f t="shared" si="220"/>
        <v>Nov</v>
      </c>
      <c r="M3586">
        <f t="shared" si="221"/>
        <v>2025</v>
      </c>
      <c r="N3586">
        <f t="shared" si="222"/>
        <v>67940.460000000006</v>
      </c>
      <c r="O3586" t="str">
        <f t="shared" si="223"/>
        <v>On Time</v>
      </c>
    </row>
    <row r="3587" spans="1:15" x14ac:dyDescent="0.25">
      <c r="A3587">
        <v>3586</v>
      </c>
      <c r="B3587" s="2">
        <v>46010</v>
      </c>
      <c r="C3587" t="s">
        <v>26</v>
      </c>
      <c r="D3587" t="s">
        <v>19</v>
      </c>
      <c r="E3587" t="s">
        <v>29</v>
      </c>
      <c r="F3587" t="s">
        <v>14</v>
      </c>
      <c r="G3587">
        <v>181</v>
      </c>
      <c r="H3587">
        <v>406.92</v>
      </c>
      <c r="I3587">
        <v>4</v>
      </c>
      <c r="J3587" t="s">
        <v>15</v>
      </c>
      <c r="K3587">
        <v>73652.52</v>
      </c>
      <c r="L3587" t="str">
        <f t="shared" ref="L3587:L3650" si="224">TEXT(B3587,"MMM")</f>
        <v>Dec</v>
      </c>
      <c r="M3587">
        <f t="shared" ref="M3587:M3650" si="225">YEAR(B3587)</f>
        <v>2025</v>
      </c>
      <c r="N3587">
        <f t="shared" ref="N3587:N3650" si="226">G3587*H3587</f>
        <v>73652.52</v>
      </c>
      <c r="O3587" t="str">
        <f t="shared" ref="O3587:O3650" si="227">IF(I3587=0,"On Time",IF(I3587&lt;=30,"Minor Delay",IF(I3587&lt;=60,"Moderate Delay","Major Delay")))</f>
        <v>Minor Delay</v>
      </c>
    </row>
    <row r="3588" spans="1:15" x14ac:dyDescent="0.25">
      <c r="A3588">
        <v>3587</v>
      </c>
      <c r="B3588" s="2">
        <v>45759</v>
      </c>
      <c r="C3588" t="s">
        <v>11</v>
      </c>
      <c r="D3588" t="s">
        <v>22</v>
      </c>
      <c r="E3588" t="s">
        <v>27</v>
      </c>
      <c r="F3588" t="s">
        <v>21</v>
      </c>
      <c r="G3588">
        <v>75</v>
      </c>
      <c r="H3588">
        <v>720.03</v>
      </c>
      <c r="I3588">
        <v>21</v>
      </c>
      <c r="J3588" t="s">
        <v>15</v>
      </c>
      <c r="K3588">
        <v>54002.25</v>
      </c>
      <c r="L3588" t="str">
        <f t="shared" si="224"/>
        <v>Apr</v>
      </c>
      <c r="M3588">
        <f t="shared" si="225"/>
        <v>2025</v>
      </c>
      <c r="N3588">
        <f t="shared" si="226"/>
        <v>54002.25</v>
      </c>
      <c r="O3588" t="str">
        <f t="shared" si="227"/>
        <v>Minor Delay</v>
      </c>
    </row>
    <row r="3589" spans="1:15" x14ac:dyDescent="0.25">
      <c r="A3589">
        <v>3588</v>
      </c>
      <c r="B3589" s="2">
        <v>45980</v>
      </c>
      <c r="C3589" t="s">
        <v>25</v>
      </c>
      <c r="D3589" t="s">
        <v>22</v>
      </c>
      <c r="E3589" t="s">
        <v>19</v>
      </c>
      <c r="F3589" t="s">
        <v>14</v>
      </c>
      <c r="G3589">
        <v>62</v>
      </c>
      <c r="H3589">
        <v>193.78</v>
      </c>
      <c r="I3589">
        <v>78</v>
      </c>
      <c r="J3589" t="s">
        <v>15</v>
      </c>
      <c r="K3589">
        <v>12014.36</v>
      </c>
      <c r="L3589" t="str">
        <f t="shared" si="224"/>
        <v>Nov</v>
      </c>
      <c r="M3589">
        <f t="shared" si="225"/>
        <v>2025</v>
      </c>
      <c r="N3589">
        <f t="shared" si="226"/>
        <v>12014.36</v>
      </c>
      <c r="O3589" t="str">
        <f t="shared" si="227"/>
        <v>Major Delay</v>
      </c>
    </row>
    <row r="3590" spans="1:15" x14ac:dyDescent="0.25">
      <c r="A3590">
        <v>3589</v>
      </c>
      <c r="B3590" s="2">
        <v>45749</v>
      </c>
      <c r="C3590" t="s">
        <v>11</v>
      </c>
      <c r="D3590" t="s">
        <v>23</v>
      </c>
      <c r="E3590" t="s">
        <v>12</v>
      </c>
      <c r="F3590" t="s">
        <v>24</v>
      </c>
      <c r="G3590">
        <v>244</v>
      </c>
      <c r="H3590">
        <v>411.98</v>
      </c>
      <c r="I3590">
        <v>19</v>
      </c>
      <c r="J3590" t="s">
        <v>15</v>
      </c>
      <c r="K3590">
        <v>100523.12</v>
      </c>
      <c r="L3590" t="str">
        <f t="shared" si="224"/>
        <v>Apr</v>
      </c>
      <c r="M3590">
        <f t="shared" si="225"/>
        <v>2025</v>
      </c>
      <c r="N3590">
        <f t="shared" si="226"/>
        <v>100523.12000000001</v>
      </c>
      <c r="O3590" t="str">
        <f t="shared" si="227"/>
        <v>Minor Delay</v>
      </c>
    </row>
    <row r="3591" spans="1:15" x14ac:dyDescent="0.25">
      <c r="A3591">
        <v>3590</v>
      </c>
      <c r="B3591" s="2">
        <v>45738</v>
      </c>
      <c r="C3591" t="s">
        <v>16</v>
      </c>
      <c r="D3591" t="s">
        <v>19</v>
      </c>
      <c r="E3591" t="s">
        <v>27</v>
      </c>
      <c r="F3591" t="s">
        <v>14</v>
      </c>
      <c r="G3591">
        <v>108</v>
      </c>
      <c r="H3591">
        <v>316.66000000000003</v>
      </c>
      <c r="I3591">
        <v>55</v>
      </c>
      <c r="J3591" t="s">
        <v>15</v>
      </c>
      <c r="K3591">
        <v>34199.279999999999</v>
      </c>
      <c r="L3591" t="str">
        <f t="shared" si="224"/>
        <v>Mar</v>
      </c>
      <c r="M3591">
        <f t="shared" si="225"/>
        <v>2025</v>
      </c>
      <c r="N3591">
        <f t="shared" si="226"/>
        <v>34199.280000000006</v>
      </c>
      <c r="O3591" t="str">
        <f t="shared" si="227"/>
        <v>Moderate Delay</v>
      </c>
    </row>
    <row r="3592" spans="1:15" x14ac:dyDescent="0.25">
      <c r="A3592">
        <v>3591</v>
      </c>
      <c r="B3592" s="2">
        <v>45682</v>
      </c>
      <c r="C3592" t="s">
        <v>11</v>
      </c>
      <c r="D3592" t="s">
        <v>12</v>
      </c>
      <c r="E3592" t="s">
        <v>20</v>
      </c>
      <c r="F3592" t="s">
        <v>14</v>
      </c>
      <c r="G3592">
        <v>260</v>
      </c>
      <c r="H3592">
        <v>157.72999999999999</v>
      </c>
      <c r="I3592">
        <v>24</v>
      </c>
      <c r="J3592" t="s">
        <v>15</v>
      </c>
      <c r="K3592">
        <v>41009.800000000003</v>
      </c>
      <c r="L3592" t="str">
        <f t="shared" si="224"/>
        <v>Jan</v>
      </c>
      <c r="M3592">
        <f t="shared" si="225"/>
        <v>2025</v>
      </c>
      <c r="N3592">
        <f t="shared" si="226"/>
        <v>41009.799999999996</v>
      </c>
      <c r="O3592" t="str">
        <f t="shared" si="227"/>
        <v>Minor Delay</v>
      </c>
    </row>
    <row r="3593" spans="1:15" x14ac:dyDescent="0.25">
      <c r="A3593">
        <v>3592</v>
      </c>
      <c r="B3593" s="2">
        <v>45824</v>
      </c>
      <c r="C3593" t="s">
        <v>31</v>
      </c>
      <c r="D3593" t="s">
        <v>22</v>
      </c>
      <c r="E3593" t="s">
        <v>17</v>
      </c>
      <c r="F3593" t="s">
        <v>24</v>
      </c>
      <c r="G3593">
        <v>63</v>
      </c>
      <c r="H3593">
        <v>654.94000000000005</v>
      </c>
      <c r="I3593">
        <v>23</v>
      </c>
      <c r="J3593" t="s">
        <v>30</v>
      </c>
      <c r="K3593">
        <v>41261.22</v>
      </c>
      <c r="L3593" t="str">
        <f t="shared" si="224"/>
        <v>Jun</v>
      </c>
      <c r="M3593">
        <f t="shared" si="225"/>
        <v>2025</v>
      </c>
      <c r="N3593">
        <f t="shared" si="226"/>
        <v>41261.22</v>
      </c>
      <c r="O3593" t="str">
        <f t="shared" si="227"/>
        <v>Minor Delay</v>
      </c>
    </row>
    <row r="3594" spans="1:15" x14ac:dyDescent="0.25">
      <c r="A3594">
        <v>3593</v>
      </c>
      <c r="B3594" s="2">
        <v>45797</v>
      </c>
      <c r="C3594" t="s">
        <v>11</v>
      </c>
      <c r="D3594" t="s">
        <v>23</v>
      </c>
      <c r="E3594" t="s">
        <v>13</v>
      </c>
      <c r="F3594" t="s">
        <v>14</v>
      </c>
      <c r="G3594">
        <v>279</v>
      </c>
      <c r="H3594">
        <v>539.25</v>
      </c>
      <c r="I3594">
        <v>11</v>
      </c>
      <c r="J3594" t="s">
        <v>15</v>
      </c>
      <c r="K3594">
        <v>150450.75</v>
      </c>
      <c r="L3594" t="str">
        <f t="shared" si="224"/>
        <v>May</v>
      </c>
      <c r="M3594">
        <f t="shared" si="225"/>
        <v>2025</v>
      </c>
      <c r="N3594">
        <f t="shared" si="226"/>
        <v>150450.75</v>
      </c>
      <c r="O3594" t="str">
        <f t="shared" si="227"/>
        <v>Minor Delay</v>
      </c>
    </row>
    <row r="3595" spans="1:15" x14ac:dyDescent="0.25">
      <c r="A3595">
        <v>3594</v>
      </c>
      <c r="B3595" s="2">
        <v>45698</v>
      </c>
      <c r="C3595" t="s">
        <v>31</v>
      </c>
      <c r="D3595" t="s">
        <v>23</v>
      </c>
      <c r="E3595" t="s">
        <v>12</v>
      </c>
      <c r="F3595" t="s">
        <v>21</v>
      </c>
      <c r="G3595">
        <v>90</v>
      </c>
      <c r="H3595">
        <v>334.79</v>
      </c>
      <c r="I3595">
        <v>0</v>
      </c>
      <c r="J3595" t="s">
        <v>15</v>
      </c>
      <c r="K3595">
        <v>30131.1</v>
      </c>
      <c r="L3595" t="str">
        <f t="shared" si="224"/>
        <v>Feb</v>
      </c>
      <c r="M3595">
        <f t="shared" si="225"/>
        <v>2025</v>
      </c>
      <c r="N3595">
        <f t="shared" si="226"/>
        <v>30131.100000000002</v>
      </c>
      <c r="O3595" t="str">
        <f t="shared" si="227"/>
        <v>On Time</v>
      </c>
    </row>
    <row r="3596" spans="1:15" x14ac:dyDescent="0.25">
      <c r="A3596">
        <v>3595</v>
      </c>
      <c r="B3596" s="2">
        <v>45822</v>
      </c>
      <c r="C3596" t="s">
        <v>11</v>
      </c>
      <c r="D3596" t="s">
        <v>12</v>
      </c>
      <c r="E3596" t="s">
        <v>19</v>
      </c>
      <c r="F3596" t="s">
        <v>21</v>
      </c>
      <c r="G3596">
        <v>255</v>
      </c>
      <c r="H3596">
        <v>661.37</v>
      </c>
      <c r="I3596">
        <v>60</v>
      </c>
      <c r="J3596" t="s">
        <v>15</v>
      </c>
      <c r="K3596">
        <v>168649.35</v>
      </c>
      <c r="L3596" t="str">
        <f t="shared" si="224"/>
        <v>Jun</v>
      </c>
      <c r="M3596">
        <f t="shared" si="225"/>
        <v>2025</v>
      </c>
      <c r="N3596">
        <f t="shared" si="226"/>
        <v>168649.35</v>
      </c>
      <c r="O3596" t="str">
        <f t="shared" si="227"/>
        <v>Moderate Delay</v>
      </c>
    </row>
    <row r="3597" spans="1:15" x14ac:dyDescent="0.25">
      <c r="A3597">
        <v>3596</v>
      </c>
      <c r="B3597" s="2">
        <v>45834</v>
      </c>
      <c r="C3597" t="s">
        <v>16</v>
      </c>
      <c r="D3597" t="s">
        <v>12</v>
      </c>
      <c r="E3597" t="s">
        <v>23</v>
      </c>
      <c r="F3597" t="s">
        <v>24</v>
      </c>
      <c r="G3597">
        <v>233</v>
      </c>
      <c r="H3597">
        <v>609.76</v>
      </c>
      <c r="I3597">
        <v>4</v>
      </c>
      <c r="J3597" t="s">
        <v>15</v>
      </c>
      <c r="K3597">
        <v>142074.07999999999</v>
      </c>
      <c r="L3597" t="str">
        <f t="shared" si="224"/>
        <v>Jun</v>
      </c>
      <c r="M3597">
        <f t="shared" si="225"/>
        <v>2025</v>
      </c>
      <c r="N3597">
        <f t="shared" si="226"/>
        <v>142074.07999999999</v>
      </c>
      <c r="O3597" t="str">
        <f t="shared" si="227"/>
        <v>Minor Delay</v>
      </c>
    </row>
    <row r="3598" spans="1:15" x14ac:dyDescent="0.25">
      <c r="A3598">
        <v>3597</v>
      </c>
      <c r="B3598" s="2">
        <v>45693</v>
      </c>
      <c r="C3598" t="s">
        <v>31</v>
      </c>
      <c r="D3598" t="s">
        <v>23</v>
      </c>
      <c r="E3598" t="s">
        <v>22</v>
      </c>
      <c r="F3598" t="s">
        <v>21</v>
      </c>
      <c r="G3598">
        <v>273</v>
      </c>
      <c r="H3598">
        <v>408.13</v>
      </c>
      <c r="I3598">
        <v>5</v>
      </c>
      <c r="J3598" t="s">
        <v>15</v>
      </c>
      <c r="K3598">
        <v>111419.49</v>
      </c>
      <c r="L3598" t="str">
        <f t="shared" si="224"/>
        <v>Feb</v>
      </c>
      <c r="M3598">
        <f t="shared" si="225"/>
        <v>2025</v>
      </c>
      <c r="N3598">
        <f t="shared" si="226"/>
        <v>111419.49</v>
      </c>
      <c r="O3598" t="str">
        <f t="shared" si="227"/>
        <v>Minor Delay</v>
      </c>
    </row>
    <row r="3599" spans="1:15" x14ac:dyDescent="0.25">
      <c r="A3599">
        <v>3598</v>
      </c>
      <c r="B3599" s="2">
        <v>45720</v>
      </c>
      <c r="C3599" t="s">
        <v>18</v>
      </c>
      <c r="D3599" t="s">
        <v>22</v>
      </c>
      <c r="E3599" t="s">
        <v>27</v>
      </c>
      <c r="F3599" t="s">
        <v>24</v>
      </c>
      <c r="G3599">
        <v>254</v>
      </c>
      <c r="H3599">
        <v>230.65</v>
      </c>
      <c r="I3599">
        <v>45</v>
      </c>
      <c r="J3599" t="s">
        <v>30</v>
      </c>
      <c r="K3599">
        <v>58585.1</v>
      </c>
      <c r="L3599" t="str">
        <f t="shared" si="224"/>
        <v>Mar</v>
      </c>
      <c r="M3599">
        <f t="shared" si="225"/>
        <v>2025</v>
      </c>
      <c r="N3599">
        <f t="shared" si="226"/>
        <v>58585.1</v>
      </c>
      <c r="O3599" t="str">
        <f t="shared" si="227"/>
        <v>Moderate Delay</v>
      </c>
    </row>
    <row r="3600" spans="1:15" x14ac:dyDescent="0.25">
      <c r="A3600">
        <v>3599</v>
      </c>
      <c r="B3600" s="2">
        <v>45867</v>
      </c>
      <c r="C3600" t="s">
        <v>11</v>
      </c>
      <c r="D3600" t="s">
        <v>29</v>
      </c>
      <c r="E3600" t="s">
        <v>22</v>
      </c>
      <c r="F3600" t="s">
        <v>14</v>
      </c>
      <c r="G3600">
        <v>265</v>
      </c>
      <c r="H3600">
        <v>640.04</v>
      </c>
      <c r="I3600">
        <v>38</v>
      </c>
      <c r="J3600" t="s">
        <v>30</v>
      </c>
      <c r="K3600">
        <v>169610.6</v>
      </c>
      <c r="L3600" t="str">
        <f t="shared" si="224"/>
        <v>Jul</v>
      </c>
      <c r="M3600">
        <f t="shared" si="225"/>
        <v>2025</v>
      </c>
      <c r="N3600">
        <f t="shared" si="226"/>
        <v>169610.59999999998</v>
      </c>
      <c r="O3600" t="str">
        <f t="shared" si="227"/>
        <v>Moderate Delay</v>
      </c>
    </row>
    <row r="3601" spans="1:15" x14ac:dyDescent="0.25">
      <c r="A3601">
        <v>3600</v>
      </c>
      <c r="B3601" s="2">
        <v>45879</v>
      </c>
      <c r="C3601" t="s">
        <v>11</v>
      </c>
      <c r="D3601" t="s">
        <v>12</v>
      </c>
      <c r="E3601" t="s">
        <v>17</v>
      </c>
      <c r="F3601" t="s">
        <v>24</v>
      </c>
      <c r="G3601">
        <v>83</v>
      </c>
      <c r="H3601">
        <v>66.849999999999994</v>
      </c>
      <c r="I3601">
        <v>37</v>
      </c>
      <c r="J3601" t="s">
        <v>15</v>
      </c>
      <c r="K3601">
        <v>5548.55</v>
      </c>
      <c r="L3601" t="str">
        <f t="shared" si="224"/>
        <v>Aug</v>
      </c>
      <c r="M3601">
        <f t="shared" si="225"/>
        <v>2025</v>
      </c>
      <c r="N3601">
        <f t="shared" si="226"/>
        <v>5548.5499999999993</v>
      </c>
      <c r="O3601" t="str">
        <f t="shared" si="227"/>
        <v>Moderate Delay</v>
      </c>
    </row>
    <row r="3602" spans="1:15" x14ac:dyDescent="0.25">
      <c r="A3602">
        <v>3601</v>
      </c>
      <c r="B3602" s="2">
        <v>45695</v>
      </c>
      <c r="C3602" t="s">
        <v>26</v>
      </c>
      <c r="D3602" t="s">
        <v>20</v>
      </c>
      <c r="E3602" t="s">
        <v>17</v>
      </c>
      <c r="F3602" t="s">
        <v>14</v>
      </c>
      <c r="G3602">
        <v>124</v>
      </c>
      <c r="H3602">
        <v>173.84</v>
      </c>
      <c r="I3602">
        <v>7</v>
      </c>
      <c r="J3602" t="s">
        <v>15</v>
      </c>
      <c r="K3602">
        <v>21556.16</v>
      </c>
      <c r="L3602" t="str">
        <f t="shared" si="224"/>
        <v>Feb</v>
      </c>
      <c r="M3602">
        <f t="shared" si="225"/>
        <v>2025</v>
      </c>
      <c r="N3602">
        <f t="shared" si="226"/>
        <v>21556.16</v>
      </c>
      <c r="O3602" t="str">
        <f t="shared" si="227"/>
        <v>Minor Delay</v>
      </c>
    </row>
    <row r="3603" spans="1:15" x14ac:dyDescent="0.25">
      <c r="A3603">
        <v>3602</v>
      </c>
      <c r="B3603" s="2">
        <v>45962</v>
      </c>
      <c r="C3603" t="s">
        <v>18</v>
      </c>
      <c r="D3603" t="s">
        <v>22</v>
      </c>
      <c r="E3603" t="s">
        <v>20</v>
      </c>
      <c r="F3603" t="s">
        <v>24</v>
      </c>
      <c r="G3603">
        <v>274</v>
      </c>
      <c r="H3603">
        <v>117.24</v>
      </c>
      <c r="I3603">
        <v>49</v>
      </c>
      <c r="J3603" t="s">
        <v>15</v>
      </c>
      <c r="K3603">
        <v>32123.759999999998</v>
      </c>
      <c r="L3603" t="str">
        <f t="shared" si="224"/>
        <v>Nov</v>
      </c>
      <c r="M3603">
        <f t="shared" si="225"/>
        <v>2025</v>
      </c>
      <c r="N3603">
        <f t="shared" si="226"/>
        <v>32123.759999999998</v>
      </c>
      <c r="O3603" t="str">
        <f t="shared" si="227"/>
        <v>Moderate Delay</v>
      </c>
    </row>
    <row r="3604" spans="1:15" x14ac:dyDescent="0.25">
      <c r="A3604">
        <v>3603</v>
      </c>
      <c r="B3604" s="2">
        <v>45670</v>
      </c>
      <c r="C3604" t="s">
        <v>31</v>
      </c>
      <c r="D3604" t="s">
        <v>19</v>
      </c>
      <c r="E3604" t="s">
        <v>20</v>
      </c>
      <c r="F3604" t="s">
        <v>14</v>
      </c>
      <c r="G3604">
        <v>240</v>
      </c>
      <c r="H3604">
        <v>626.44000000000005</v>
      </c>
      <c r="I3604">
        <v>27</v>
      </c>
      <c r="J3604" t="s">
        <v>30</v>
      </c>
      <c r="K3604">
        <v>150345.60000000001</v>
      </c>
      <c r="L3604" t="str">
        <f t="shared" si="224"/>
        <v>Jan</v>
      </c>
      <c r="M3604">
        <f t="shared" si="225"/>
        <v>2025</v>
      </c>
      <c r="N3604">
        <f t="shared" si="226"/>
        <v>150345.60000000001</v>
      </c>
      <c r="O3604" t="str">
        <f t="shared" si="227"/>
        <v>Minor Delay</v>
      </c>
    </row>
    <row r="3605" spans="1:15" x14ac:dyDescent="0.25">
      <c r="A3605">
        <v>3604</v>
      </c>
      <c r="B3605" s="2">
        <v>45683</v>
      </c>
      <c r="C3605" t="s">
        <v>25</v>
      </c>
      <c r="D3605" t="s">
        <v>17</v>
      </c>
      <c r="E3605" t="s">
        <v>12</v>
      </c>
      <c r="F3605" t="s">
        <v>14</v>
      </c>
      <c r="G3605">
        <v>203</v>
      </c>
      <c r="H3605">
        <v>170.11</v>
      </c>
      <c r="I3605">
        <v>21</v>
      </c>
      <c r="J3605" t="s">
        <v>30</v>
      </c>
      <c r="K3605">
        <v>34532.33</v>
      </c>
      <c r="L3605" t="str">
        <f t="shared" si="224"/>
        <v>Jan</v>
      </c>
      <c r="M3605">
        <f t="shared" si="225"/>
        <v>2025</v>
      </c>
      <c r="N3605">
        <f t="shared" si="226"/>
        <v>34532.33</v>
      </c>
      <c r="O3605" t="str">
        <f t="shared" si="227"/>
        <v>Minor Delay</v>
      </c>
    </row>
    <row r="3606" spans="1:15" x14ac:dyDescent="0.25">
      <c r="A3606">
        <v>3605</v>
      </c>
      <c r="B3606" s="2">
        <v>45933</v>
      </c>
      <c r="C3606" t="s">
        <v>31</v>
      </c>
      <c r="D3606" t="s">
        <v>27</v>
      </c>
      <c r="E3606" t="s">
        <v>12</v>
      </c>
      <c r="F3606" t="s">
        <v>14</v>
      </c>
      <c r="G3606">
        <v>59</v>
      </c>
      <c r="H3606">
        <v>267.98</v>
      </c>
      <c r="I3606">
        <v>44</v>
      </c>
      <c r="J3606" t="s">
        <v>15</v>
      </c>
      <c r="K3606">
        <v>15810.82</v>
      </c>
      <c r="L3606" t="str">
        <f t="shared" si="224"/>
        <v>Oct</v>
      </c>
      <c r="M3606">
        <f t="shared" si="225"/>
        <v>2025</v>
      </c>
      <c r="N3606">
        <f t="shared" si="226"/>
        <v>15810.820000000002</v>
      </c>
      <c r="O3606" t="str">
        <f t="shared" si="227"/>
        <v>Moderate Delay</v>
      </c>
    </row>
    <row r="3607" spans="1:15" x14ac:dyDescent="0.25">
      <c r="A3607">
        <v>3606</v>
      </c>
      <c r="B3607" s="2">
        <v>45866</v>
      </c>
      <c r="C3607" t="s">
        <v>31</v>
      </c>
      <c r="D3607" t="s">
        <v>19</v>
      </c>
      <c r="E3607" t="s">
        <v>12</v>
      </c>
      <c r="F3607" t="s">
        <v>24</v>
      </c>
      <c r="G3607">
        <v>231</v>
      </c>
      <c r="H3607">
        <v>456.39</v>
      </c>
      <c r="I3607">
        <v>15</v>
      </c>
      <c r="J3607" t="s">
        <v>15</v>
      </c>
      <c r="K3607">
        <v>105426.09</v>
      </c>
      <c r="L3607" t="str">
        <f t="shared" si="224"/>
        <v>Jul</v>
      </c>
      <c r="M3607">
        <f t="shared" si="225"/>
        <v>2025</v>
      </c>
      <c r="N3607">
        <f t="shared" si="226"/>
        <v>105426.09</v>
      </c>
      <c r="O3607" t="str">
        <f t="shared" si="227"/>
        <v>Minor Delay</v>
      </c>
    </row>
    <row r="3608" spans="1:15" x14ac:dyDescent="0.25">
      <c r="A3608">
        <v>3607</v>
      </c>
      <c r="B3608" s="2">
        <v>45873</v>
      </c>
      <c r="C3608" t="s">
        <v>31</v>
      </c>
      <c r="D3608" t="s">
        <v>27</v>
      </c>
      <c r="E3608" t="s">
        <v>22</v>
      </c>
      <c r="F3608" t="s">
        <v>14</v>
      </c>
      <c r="G3608">
        <v>139</v>
      </c>
      <c r="H3608">
        <v>524.51</v>
      </c>
      <c r="I3608">
        <v>6</v>
      </c>
      <c r="J3608" t="s">
        <v>28</v>
      </c>
      <c r="K3608">
        <v>72906.89</v>
      </c>
      <c r="L3608" t="str">
        <f t="shared" si="224"/>
        <v>Aug</v>
      </c>
      <c r="M3608">
        <f t="shared" si="225"/>
        <v>2025</v>
      </c>
      <c r="N3608">
        <f t="shared" si="226"/>
        <v>72906.89</v>
      </c>
      <c r="O3608" t="str">
        <f t="shared" si="227"/>
        <v>Minor Delay</v>
      </c>
    </row>
    <row r="3609" spans="1:15" x14ac:dyDescent="0.25">
      <c r="A3609">
        <v>3608</v>
      </c>
      <c r="B3609" s="2">
        <v>45852</v>
      </c>
      <c r="C3609" t="s">
        <v>18</v>
      </c>
      <c r="D3609" t="s">
        <v>27</v>
      </c>
      <c r="E3609" t="s">
        <v>29</v>
      </c>
      <c r="F3609" t="s">
        <v>14</v>
      </c>
      <c r="G3609">
        <v>184</v>
      </c>
      <c r="H3609">
        <v>85.36</v>
      </c>
      <c r="I3609">
        <v>0</v>
      </c>
      <c r="J3609" t="s">
        <v>15</v>
      </c>
      <c r="K3609">
        <v>15706.24</v>
      </c>
      <c r="L3609" t="str">
        <f t="shared" si="224"/>
        <v>Jul</v>
      </c>
      <c r="M3609">
        <f t="shared" si="225"/>
        <v>2025</v>
      </c>
      <c r="N3609">
        <f t="shared" si="226"/>
        <v>15706.24</v>
      </c>
      <c r="O3609" t="str">
        <f t="shared" si="227"/>
        <v>On Time</v>
      </c>
    </row>
    <row r="3610" spans="1:15" x14ac:dyDescent="0.25">
      <c r="A3610">
        <v>3609</v>
      </c>
      <c r="B3610" s="2">
        <v>45738</v>
      </c>
      <c r="C3610" t="s">
        <v>16</v>
      </c>
      <c r="D3610" t="s">
        <v>29</v>
      </c>
      <c r="E3610" t="s">
        <v>27</v>
      </c>
      <c r="F3610" t="s">
        <v>21</v>
      </c>
      <c r="G3610">
        <v>213</v>
      </c>
      <c r="H3610">
        <v>787.8</v>
      </c>
      <c r="I3610">
        <v>48</v>
      </c>
      <c r="J3610" t="s">
        <v>30</v>
      </c>
      <c r="K3610">
        <v>167801.4</v>
      </c>
      <c r="L3610" t="str">
        <f t="shared" si="224"/>
        <v>Mar</v>
      </c>
      <c r="M3610">
        <f t="shared" si="225"/>
        <v>2025</v>
      </c>
      <c r="N3610">
        <f t="shared" si="226"/>
        <v>167801.4</v>
      </c>
      <c r="O3610" t="str">
        <f t="shared" si="227"/>
        <v>Moderate Delay</v>
      </c>
    </row>
    <row r="3611" spans="1:15" x14ac:dyDescent="0.25">
      <c r="A3611">
        <v>3610</v>
      </c>
      <c r="B3611" s="2">
        <v>45981</v>
      </c>
      <c r="C3611" t="s">
        <v>11</v>
      </c>
      <c r="D3611" t="s">
        <v>20</v>
      </c>
      <c r="E3611" t="s">
        <v>29</v>
      </c>
      <c r="F3611" t="s">
        <v>24</v>
      </c>
      <c r="G3611">
        <v>103</v>
      </c>
      <c r="H3611">
        <v>320.26</v>
      </c>
      <c r="I3611">
        <v>44</v>
      </c>
      <c r="J3611" t="s">
        <v>15</v>
      </c>
      <c r="K3611">
        <v>32986.78</v>
      </c>
      <c r="L3611" t="str">
        <f t="shared" si="224"/>
        <v>Nov</v>
      </c>
      <c r="M3611">
        <f t="shared" si="225"/>
        <v>2025</v>
      </c>
      <c r="N3611">
        <f t="shared" si="226"/>
        <v>32986.78</v>
      </c>
      <c r="O3611" t="str">
        <f t="shared" si="227"/>
        <v>Moderate Delay</v>
      </c>
    </row>
    <row r="3612" spans="1:15" x14ac:dyDescent="0.25">
      <c r="A3612">
        <v>3611</v>
      </c>
      <c r="B3612" s="2">
        <v>46022</v>
      </c>
      <c r="C3612" t="s">
        <v>16</v>
      </c>
      <c r="D3612" t="s">
        <v>20</v>
      </c>
      <c r="E3612" t="s">
        <v>19</v>
      </c>
      <c r="F3612" t="s">
        <v>21</v>
      </c>
      <c r="G3612">
        <v>106</v>
      </c>
      <c r="H3612">
        <v>96.79</v>
      </c>
      <c r="I3612">
        <v>0</v>
      </c>
      <c r="J3612" t="s">
        <v>30</v>
      </c>
      <c r="K3612">
        <v>10259.74</v>
      </c>
      <c r="L3612" t="str">
        <f t="shared" si="224"/>
        <v>Dec</v>
      </c>
      <c r="M3612">
        <f t="shared" si="225"/>
        <v>2025</v>
      </c>
      <c r="N3612">
        <f t="shared" si="226"/>
        <v>10259.74</v>
      </c>
      <c r="O3612" t="str">
        <f t="shared" si="227"/>
        <v>On Time</v>
      </c>
    </row>
    <row r="3613" spans="1:15" x14ac:dyDescent="0.25">
      <c r="A3613">
        <v>3612</v>
      </c>
      <c r="B3613" s="2">
        <v>45986</v>
      </c>
      <c r="C3613" t="s">
        <v>26</v>
      </c>
      <c r="D3613" t="s">
        <v>22</v>
      </c>
      <c r="E3613" t="s">
        <v>12</v>
      </c>
      <c r="F3613" t="s">
        <v>24</v>
      </c>
      <c r="G3613">
        <v>300</v>
      </c>
      <c r="H3613">
        <v>270.2</v>
      </c>
      <c r="I3613">
        <v>35</v>
      </c>
      <c r="J3613" t="s">
        <v>15</v>
      </c>
      <c r="K3613">
        <v>81060</v>
      </c>
      <c r="L3613" t="str">
        <f t="shared" si="224"/>
        <v>Nov</v>
      </c>
      <c r="M3613">
        <f t="shared" si="225"/>
        <v>2025</v>
      </c>
      <c r="N3613">
        <f t="shared" si="226"/>
        <v>81060</v>
      </c>
      <c r="O3613" t="str">
        <f t="shared" si="227"/>
        <v>Moderate Delay</v>
      </c>
    </row>
    <row r="3614" spans="1:15" x14ac:dyDescent="0.25">
      <c r="A3614">
        <v>3613</v>
      </c>
      <c r="B3614" s="2">
        <v>45698</v>
      </c>
      <c r="C3614" t="s">
        <v>26</v>
      </c>
      <c r="D3614" t="s">
        <v>17</v>
      </c>
      <c r="E3614" t="s">
        <v>27</v>
      </c>
      <c r="F3614" t="s">
        <v>24</v>
      </c>
      <c r="G3614">
        <v>173</v>
      </c>
      <c r="H3614">
        <v>254.94</v>
      </c>
      <c r="I3614">
        <v>46</v>
      </c>
      <c r="J3614" t="s">
        <v>15</v>
      </c>
      <c r="K3614">
        <v>44104.62</v>
      </c>
      <c r="L3614" t="str">
        <f t="shared" si="224"/>
        <v>Feb</v>
      </c>
      <c r="M3614">
        <f t="shared" si="225"/>
        <v>2025</v>
      </c>
      <c r="N3614">
        <f t="shared" si="226"/>
        <v>44104.62</v>
      </c>
      <c r="O3614" t="str">
        <f t="shared" si="227"/>
        <v>Moderate Delay</v>
      </c>
    </row>
    <row r="3615" spans="1:15" x14ac:dyDescent="0.25">
      <c r="A3615">
        <v>3614</v>
      </c>
      <c r="B3615" s="2">
        <v>45848</v>
      </c>
      <c r="C3615" t="s">
        <v>16</v>
      </c>
      <c r="D3615" t="s">
        <v>17</v>
      </c>
      <c r="E3615" t="s">
        <v>27</v>
      </c>
      <c r="F3615" t="s">
        <v>21</v>
      </c>
      <c r="G3615">
        <v>136</v>
      </c>
      <c r="H3615">
        <v>624.52</v>
      </c>
      <c r="I3615">
        <v>25</v>
      </c>
      <c r="J3615" t="s">
        <v>30</v>
      </c>
      <c r="K3615">
        <v>84934.720000000001</v>
      </c>
      <c r="L3615" t="str">
        <f t="shared" si="224"/>
        <v>Jul</v>
      </c>
      <c r="M3615">
        <f t="shared" si="225"/>
        <v>2025</v>
      </c>
      <c r="N3615">
        <f t="shared" si="226"/>
        <v>84934.720000000001</v>
      </c>
      <c r="O3615" t="str">
        <f t="shared" si="227"/>
        <v>Minor Delay</v>
      </c>
    </row>
    <row r="3616" spans="1:15" x14ac:dyDescent="0.25">
      <c r="A3616">
        <v>3615</v>
      </c>
      <c r="B3616" s="2">
        <v>45813</v>
      </c>
      <c r="C3616" t="s">
        <v>26</v>
      </c>
      <c r="D3616" t="s">
        <v>12</v>
      </c>
      <c r="E3616" t="s">
        <v>20</v>
      </c>
      <c r="F3616" t="s">
        <v>24</v>
      </c>
      <c r="G3616">
        <v>61</v>
      </c>
      <c r="H3616">
        <v>319.81</v>
      </c>
      <c r="I3616">
        <v>1</v>
      </c>
      <c r="J3616" t="s">
        <v>15</v>
      </c>
      <c r="K3616">
        <v>19508.41</v>
      </c>
      <c r="L3616" t="str">
        <f t="shared" si="224"/>
        <v>Jun</v>
      </c>
      <c r="M3616">
        <f t="shared" si="225"/>
        <v>2025</v>
      </c>
      <c r="N3616">
        <f t="shared" si="226"/>
        <v>19508.41</v>
      </c>
      <c r="O3616" t="str">
        <f t="shared" si="227"/>
        <v>Minor Delay</v>
      </c>
    </row>
    <row r="3617" spans="1:15" x14ac:dyDescent="0.25">
      <c r="A3617">
        <v>3616</v>
      </c>
      <c r="B3617" s="2">
        <v>45703</v>
      </c>
      <c r="C3617" t="s">
        <v>31</v>
      </c>
      <c r="D3617" t="s">
        <v>23</v>
      </c>
      <c r="E3617" t="s">
        <v>19</v>
      </c>
      <c r="F3617" t="s">
        <v>14</v>
      </c>
      <c r="G3617">
        <v>284</v>
      </c>
      <c r="H3617">
        <v>523.1</v>
      </c>
      <c r="I3617">
        <v>5</v>
      </c>
      <c r="J3617" t="s">
        <v>15</v>
      </c>
      <c r="K3617">
        <v>148560.4</v>
      </c>
      <c r="L3617" t="str">
        <f t="shared" si="224"/>
        <v>Feb</v>
      </c>
      <c r="M3617">
        <f t="shared" si="225"/>
        <v>2025</v>
      </c>
      <c r="N3617">
        <f t="shared" si="226"/>
        <v>148560.4</v>
      </c>
      <c r="O3617" t="str">
        <f t="shared" si="227"/>
        <v>Minor Delay</v>
      </c>
    </row>
    <row r="3618" spans="1:15" x14ac:dyDescent="0.25">
      <c r="A3618">
        <v>3617</v>
      </c>
      <c r="B3618" s="2">
        <v>45674</v>
      </c>
      <c r="C3618" t="s">
        <v>11</v>
      </c>
      <c r="D3618" t="s">
        <v>29</v>
      </c>
      <c r="E3618" t="s">
        <v>13</v>
      </c>
      <c r="F3618" t="s">
        <v>24</v>
      </c>
      <c r="G3618">
        <v>185</v>
      </c>
      <c r="H3618">
        <v>677.82</v>
      </c>
      <c r="I3618">
        <v>7</v>
      </c>
      <c r="J3618" t="s">
        <v>15</v>
      </c>
      <c r="K3618">
        <v>125396.7</v>
      </c>
      <c r="L3618" t="str">
        <f t="shared" si="224"/>
        <v>Jan</v>
      </c>
      <c r="M3618">
        <f t="shared" si="225"/>
        <v>2025</v>
      </c>
      <c r="N3618">
        <f t="shared" si="226"/>
        <v>125396.70000000001</v>
      </c>
      <c r="O3618" t="str">
        <f t="shared" si="227"/>
        <v>Minor Delay</v>
      </c>
    </row>
    <row r="3619" spans="1:15" x14ac:dyDescent="0.25">
      <c r="A3619">
        <v>3618</v>
      </c>
      <c r="B3619" s="2">
        <v>46018</v>
      </c>
      <c r="C3619" t="s">
        <v>18</v>
      </c>
      <c r="D3619" t="s">
        <v>19</v>
      </c>
      <c r="E3619" t="s">
        <v>27</v>
      </c>
      <c r="F3619" t="s">
        <v>24</v>
      </c>
      <c r="G3619">
        <v>253</v>
      </c>
      <c r="H3619">
        <v>239.05</v>
      </c>
      <c r="I3619">
        <v>38</v>
      </c>
      <c r="J3619" t="s">
        <v>15</v>
      </c>
      <c r="K3619">
        <v>60479.65</v>
      </c>
      <c r="L3619" t="str">
        <f t="shared" si="224"/>
        <v>Dec</v>
      </c>
      <c r="M3619">
        <f t="shared" si="225"/>
        <v>2025</v>
      </c>
      <c r="N3619">
        <f t="shared" si="226"/>
        <v>60479.65</v>
      </c>
      <c r="O3619" t="str">
        <f t="shared" si="227"/>
        <v>Moderate Delay</v>
      </c>
    </row>
    <row r="3620" spans="1:15" x14ac:dyDescent="0.25">
      <c r="A3620">
        <v>3619</v>
      </c>
      <c r="B3620" s="2">
        <v>45911</v>
      </c>
      <c r="C3620" t="s">
        <v>25</v>
      </c>
      <c r="D3620" t="s">
        <v>12</v>
      </c>
      <c r="E3620" t="s">
        <v>20</v>
      </c>
      <c r="F3620" t="s">
        <v>21</v>
      </c>
      <c r="G3620">
        <v>173</v>
      </c>
      <c r="H3620">
        <v>140.12</v>
      </c>
      <c r="I3620">
        <v>29</v>
      </c>
      <c r="J3620" t="s">
        <v>15</v>
      </c>
      <c r="K3620">
        <v>24240.76</v>
      </c>
      <c r="L3620" t="str">
        <f t="shared" si="224"/>
        <v>Sep</v>
      </c>
      <c r="M3620">
        <f t="shared" si="225"/>
        <v>2025</v>
      </c>
      <c r="N3620">
        <f t="shared" si="226"/>
        <v>24240.760000000002</v>
      </c>
      <c r="O3620" t="str">
        <f t="shared" si="227"/>
        <v>Minor Delay</v>
      </c>
    </row>
    <row r="3621" spans="1:15" x14ac:dyDescent="0.25">
      <c r="A3621">
        <v>3620</v>
      </c>
      <c r="B3621" s="2">
        <v>46002</v>
      </c>
      <c r="C3621" t="s">
        <v>11</v>
      </c>
      <c r="D3621" t="s">
        <v>23</v>
      </c>
      <c r="E3621" t="s">
        <v>27</v>
      </c>
      <c r="F3621" t="s">
        <v>14</v>
      </c>
      <c r="G3621">
        <v>268</v>
      </c>
      <c r="H3621">
        <v>136.59</v>
      </c>
      <c r="I3621">
        <v>0</v>
      </c>
      <c r="J3621" t="s">
        <v>15</v>
      </c>
      <c r="K3621">
        <v>36606.120000000003</v>
      </c>
      <c r="L3621" t="str">
        <f t="shared" si="224"/>
        <v>Dec</v>
      </c>
      <c r="M3621">
        <f t="shared" si="225"/>
        <v>2025</v>
      </c>
      <c r="N3621">
        <f t="shared" si="226"/>
        <v>36606.120000000003</v>
      </c>
      <c r="O3621" t="str">
        <f t="shared" si="227"/>
        <v>On Time</v>
      </c>
    </row>
    <row r="3622" spans="1:15" x14ac:dyDescent="0.25">
      <c r="A3622">
        <v>3621</v>
      </c>
      <c r="B3622" s="2">
        <v>45849</v>
      </c>
      <c r="C3622" t="s">
        <v>26</v>
      </c>
      <c r="D3622" t="s">
        <v>13</v>
      </c>
      <c r="E3622" t="s">
        <v>19</v>
      </c>
      <c r="F3622" t="s">
        <v>24</v>
      </c>
      <c r="G3622">
        <v>132</v>
      </c>
      <c r="H3622">
        <v>77.59</v>
      </c>
      <c r="I3622">
        <v>41</v>
      </c>
      <c r="J3622" t="s">
        <v>15</v>
      </c>
      <c r="K3622">
        <v>10241.879999999999</v>
      </c>
      <c r="L3622" t="str">
        <f t="shared" si="224"/>
        <v>Jul</v>
      </c>
      <c r="M3622">
        <f t="shared" si="225"/>
        <v>2025</v>
      </c>
      <c r="N3622">
        <f t="shared" si="226"/>
        <v>10241.880000000001</v>
      </c>
      <c r="O3622" t="str">
        <f t="shared" si="227"/>
        <v>Moderate Delay</v>
      </c>
    </row>
    <row r="3623" spans="1:15" x14ac:dyDescent="0.25">
      <c r="A3623">
        <v>3622</v>
      </c>
      <c r="B3623" s="2">
        <v>45998</v>
      </c>
      <c r="C3623" t="s">
        <v>31</v>
      </c>
      <c r="D3623" t="s">
        <v>13</v>
      </c>
      <c r="E3623" t="s">
        <v>12</v>
      </c>
      <c r="F3623" t="s">
        <v>21</v>
      </c>
      <c r="G3623">
        <v>285</v>
      </c>
      <c r="H3623">
        <v>467.42</v>
      </c>
      <c r="I3623">
        <v>28</v>
      </c>
      <c r="J3623" t="s">
        <v>15</v>
      </c>
      <c r="K3623">
        <v>133214.70000000001</v>
      </c>
      <c r="L3623" t="str">
        <f t="shared" si="224"/>
        <v>Dec</v>
      </c>
      <c r="M3623">
        <f t="shared" si="225"/>
        <v>2025</v>
      </c>
      <c r="N3623">
        <f t="shared" si="226"/>
        <v>133214.70000000001</v>
      </c>
      <c r="O3623" t="str">
        <f t="shared" si="227"/>
        <v>Minor Delay</v>
      </c>
    </row>
    <row r="3624" spans="1:15" x14ac:dyDescent="0.25">
      <c r="A3624">
        <v>3623</v>
      </c>
      <c r="B3624" s="2">
        <v>45981</v>
      </c>
      <c r="C3624" t="s">
        <v>18</v>
      </c>
      <c r="D3624" t="s">
        <v>20</v>
      </c>
      <c r="E3624" t="s">
        <v>17</v>
      </c>
      <c r="F3624" t="s">
        <v>14</v>
      </c>
      <c r="G3624">
        <v>183</v>
      </c>
      <c r="H3624">
        <v>437.4</v>
      </c>
      <c r="I3624">
        <v>36</v>
      </c>
      <c r="J3624" t="s">
        <v>15</v>
      </c>
      <c r="K3624">
        <v>80044.2</v>
      </c>
      <c r="L3624" t="str">
        <f t="shared" si="224"/>
        <v>Nov</v>
      </c>
      <c r="M3624">
        <f t="shared" si="225"/>
        <v>2025</v>
      </c>
      <c r="N3624">
        <f t="shared" si="226"/>
        <v>80044.2</v>
      </c>
      <c r="O3624" t="str">
        <f t="shared" si="227"/>
        <v>Moderate Delay</v>
      </c>
    </row>
    <row r="3625" spans="1:15" x14ac:dyDescent="0.25">
      <c r="A3625">
        <v>3624</v>
      </c>
      <c r="B3625" s="2">
        <v>45802</v>
      </c>
      <c r="C3625" t="s">
        <v>11</v>
      </c>
      <c r="D3625" t="s">
        <v>13</v>
      </c>
      <c r="E3625" t="s">
        <v>23</v>
      </c>
      <c r="F3625" t="s">
        <v>21</v>
      </c>
      <c r="G3625">
        <v>106</v>
      </c>
      <c r="H3625">
        <v>631.61</v>
      </c>
      <c r="I3625">
        <v>38</v>
      </c>
      <c r="J3625" t="s">
        <v>15</v>
      </c>
      <c r="K3625">
        <v>66950.66</v>
      </c>
      <c r="L3625" t="str">
        <f t="shared" si="224"/>
        <v>May</v>
      </c>
      <c r="M3625">
        <f t="shared" si="225"/>
        <v>2025</v>
      </c>
      <c r="N3625">
        <f t="shared" si="226"/>
        <v>66950.66</v>
      </c>
      <c r="O3625" t="str">
        <f t="shared" si="227"/>
        <v>Moderate Delay</v>
      </c>
    </row>
    <row r="3626" spans="1:15" x14ac:dyDescent="0.25">
      <c r="A3626">
        <v>3625</v>
      </c>
      <c r="B3626" s="2">
        <v>45807</v>
      </c>
      <c r="C3626" t="s">
        <v>11</v>
      </c>
      <c r="D3626" t="s">
        <v>13</v>
      </c>
      <c r="E3626" t="s">
        <v>29</v>
      </c>
      <c r="F3626" t="s">
        <v>24</v>
      </c>
      <c r="G3626">
        <v>90</v>
      </c>
      <c r="H3626">
        <v>515.16999999999996</v>
      </c>
      <c r="I3626">
        <v>6</v>
      </c>
      <c r="J3626" t="s">
        <v>15</v>
      </c>
      <c r="K3626">
        <v>46365.3</v>
      </c>
      <c r="L3626" t="str">
        <f t="shared" si="224"/>
        <v>May</v>
      </c>
      <c r="M3626">
        <f t="shared" si="225"/>
        <v>2025</v>
      </c>
      <c r="N3626">
        <f t="shared" si="226"/>
        <v>46365.299999999996</v>
      </c>
      <c r="O3626" t="str">
        <f t="shared" si="227"/>
        <v>Minor Delay</v>
      </c>
    </row>
    <row r="3627" spans="1:15" x14ac:dyDescent="0.25">
      <c r="A3627">
        <v>3626</v>
      </c>
      <c r="B3627" s="2">
        <v>45882</v>
      </c>
      <c r="C3627" t="s">
        <v>31</v>
      </c>
      <c r="D3627" t="s">
        <v>23</v>
      </c>
      <c r="E3627" t="s">
        <v>12</v>
      </c>
      <c r="F3627" t="s">
        <v>21</v>
      </c>
      <c r="G3627">
        <v>296</v>
      </c>
      <c r="H3627">
        <v>536.42999999999995</v>
      </c>
      <c r="I3627">
        <v>7</v>
      </c>
      <c r="J3627" t="s">
        <v>15</v>
      </c>
      <c r="K3627">
        <v>158783.28</v>
      </c>
      <c r="L3627" t="str">
        <f t="shared" si="224"/>
        <v>Aug</v>
      </c>
      <c r="M3627">
        <f t="shared" si="225"/>
        <v>2025</v>
      </c>
      <c r="N3627">
        <f t="shared" si="226"/>
        <v>158783.28</v>
      </c>
      <c r="O3627" t="str">
        <f t="shared" si="227"/>
        <v>Minor Delay</v>
      </c>
    </row>
    <row r="3628" spans="1:15" x14ac:dyDescent="0.25">
      <c r="A3628">
        <v>3627</v>
      </c>
      <c r="B3628" s="2">
        <v>45856</v>
      </c>
      <c r="C3628" t="s">
        <v>11</v>
      </c>
      <c r="D3628" t="s">
        <v>23</v>
      </c>
      <c r="E3628" t="s">
        <v>20</v>
      </c>
      <c r="F3628" t="s">
        <v>21</v>
      </c>
      <c r="G3628">
        <v>208</v>
      </c>
      <c r="H3628">
        <v>427.43</v>
      </c>
      <c r="I3628">
        <v>23</v>
      </c>
      <c r="J3628" t="s">
        <v>15</v>
      </c>
      <c r="K3628">
        <v>88905.44</v>
      </c>
      <c r="L3628" t="str">
        <f t="shared" si="224"/>
        <v>Jul</v>
      </c>
      <c r="M3628">
        <f t="shared" si="225"/>
        <v>2025</v>
      </c>
      <c r="N3628">
        <f t="shared" si="226"/>
        <v>88905.44</v>
      </c>
      <c r="O3628" t="str">
        <f t="shared" si="227"/>
        <v>Minor Delay</v>
      </c>
    </row>
    <row r="3629" spans="1:15" x14ac:dyDescent="0.25">
      <c r="A3629">
        <v>3628</v>
      </c>
      <c r="B3629" s="2">
        <v>45732</v>
      </c>
      <c r="C3629" t="s">
        <v>26</v>
      </c>
      <c r="D3629" t="s">
        <v>17</v>
      </c>
      <c r="E3629" t="s">
        <v>29</v>
      </c>
      <c r="F3629" t="s">
        <v>14</v>
      </c>
      <c r="G3629">
        <v>165</v>
      </c>
      <c r="H3629">
        <v>635.71</v>
      </c>
      <c r="I3629">
        <v>30</v>
      </c>
      <c r="J3629" t="s">
        <v>15</v>
      </c>
      <c r="K3629">
        <v>104892.15</v>
      </c>
      <c r="L3629" t="str">
        <f t="shared" si="224"/>
        <v>Mar</v>
      </c>
      <c r="M3629">
        <f t="shared" si="225"/>
        <v>2025</v>
      </c>
      <c r="N3629">
        <f t="shared" si="226"/>
        <v>104892.15000000001</v>
      </c>
      <c r="O3629" t="str">
        <f t="shared" si="227"/>
        <v>Minor Delay</v>
      </c>
    </row>
    <row r="3630" spans="1:15" x14ac:dyDescent="0.25">
      <c r="A3630">
        <v>3629</v>
      </c>
      <c r="B3630" s="2">
        <v>45742</v>
      </c>
      <c r="C3630" t="s">
        <v>11</v>
      </c>
      <c r="D3630" t="s">
        <v>13</v>
      </c>
      <c r="E3630" t="s">
        <v>12</v>
      </c>
      <c r="F3630" t="s">
        <v>14</v>
      </c>
      <c r="G3630">
        <v>59</v>
      </c>
      <c r="H3630">
        <v>155.93</v>
      </c>
      <c r="I3630">
        <v>36</v>
      </c>
      <c r="J3630" t="s">
        <v>15</v>
      </c>
      <c r="K3630">
        <v>9199.8700000000008</v>
      </c>
      <c r="L3630" t="str">
        <f t="shared" si="224"/>
        <v>Mar</v>
      </c>
      <c r="M3630">
        <f t="shared" si="225"/>
        <v>2025</v>
      </c>
      <c r="N3630">
        <f t="shared" si="226"/>
        <v>9199.8700000000008</v>
      </c>
      <c r="O3630" t="str">
        <f t="shared" si="227"/>
        <v>Moderate Delay</v>
      </c>
    </row>
    <row r="3631" spans="1:15" x14ac:dyDescent="0.25">
      <c r="A3631">
        <v>3630</v>
      </c>
      <c r="B3631" s="2">
        <v>45710</v>
      </c>
      <c r="C3631" t="s">
        <v>11</v>
      </c>
      <c r="D3631" t="s">
        <v>20</v>
      </c>
      <c r="E3631" t="s">
        <v>27</v>
      </c>
      <c r="F3631" t="s">
        <v>24</v>
      </c>
      <c r="G3631">
        <v>70</v>
      </c>
      <c r="H3631">
        <v>547.88</v>
      </c>
      <c r="I3631">
        <v>7</v>
      </c>
      <c r="J3631" t="s">
        <v>15</v>
      </c>
      <c r="K3631">
        <v>38351.599999999999</v>
      </c>
      <c r="L3631" t="str">
        <f t="shared" si="224"/>
        <v>Feb</v>
      </c>
      <c r="M3631">
        <f t="shared" si="225"/>
        <v>2025</v>
      </c>
      <c r="N3631">
        <f t="shared" si="226"/>
        <v>38351.599999999999</v>
      </c>
      <c r="O3631" t="str">
        <f t="shared" si="227"/>
        <v>Minor Delay</v>
      </c>
    </row>
    <row r="3632" spans="1:15" x14ac:dyDescent="0.25">
      <c r="A3632">
        <v>3631</v>
      </c>
      <c r="B3632" s="2">
        <v>45710</v>
      </c>
      <c r="C3632" t="s">
        <v>31</v>
      </c>
      <c r="D3632" t="s">
        <v>13</v>
      </c>
      <c r="E3632" t="s">
        <v>22</v>
      </c>
      <c r="F3632" t="s">
        <v>21</v>
      </c>
      <c r="G3632">
        <v>92</v>
      </c>
      <c r="H3632">
        <v>631.42999999999995</v>
      </c>
      <c r="I3632">
        <v>0</v>
      </c>
      <c r="J3632" t="s">
        <v>15</v>
      </c>
      <c r="K3632">
        <v>58091.56</v>
      </c>
      <c r="L3632" t="str">
        <f t="shared" si="224"/>
        <v>Feb</v>
      </c>
      <c r="M3632">
        <f t="shared" si="225"/>
        <v>2025</v>
      </c>
      <c r="N3632">
        <f t="shared" si="226"/>
        <v>58091.56</v>
      </c>
      <c r="O3632" t="str">
        <f t="shared" si="227"/>
        <v>On Time</v>
      </c>
    </row>
    <row r="3633" spans="1:15" x14ac:dyDescent="0.25">
      <c r="A3633">
        <v>3632</v>
      </c>
      <c r="B3633" s="2">
        <v>45878</v>
      </c>
      <c r="C3633" t="s">
        <v>16</v>
      </c>
      <c r="D3633" t="s">
        <v>17</v>
      </c>
      <c r="E3633" t="s">
        <v>20</v>
      </c>
      <c r="F3633" t="s">
        <v>21</v>
      </c>
      <c r="G3633">
        <v>188</v>
      </c>
      <c r="H3633">
        <v>652.77</v>
      </c>
      <c r="I3633">
        <v>17</v>
      </c>
      <c r="J3633" t="s">
        <v>30</v>
      </c>
      <c r="K3633">
        <v>122720.76</v>
      </c>
      <c r="L3633" t="str">
        <f t="shared" si="224"/>
        <v>Aug</v>
      </c>
      <c r="M3633">
        <f t="shared" si="225"/>
        <v>2025</v>
      </c>
      <c r="N3633">
        <f t="shared" si="226"/>
        <v>122720.76</v>
      </c>
      <c r="O3633" t="str">
        <f t="shared" si="227"/>
        <v>Minor Delay</v>
      </c>
    </row>
    <row r="3634" spans="1:15" x14ac:dyDescent="0.25">
      <c r="A3634">
        <v>3633</v>
      </c>
      <c r="B3634" s="2">
        <v>45907</v>
      </c>
      <c r="C3634" t="s">
        <v>31</v>
      </c>
      <c r="D3634" t="s">
        <v>19</v>
      </c>
      <c r="E3634" t="s">
        <v>29</v>
      </c>
      <c r="F3634" t="s">
        <v>21</v>
      </c>
      <c r="G3634">
        <v>125</v>
      </c>
      <c r="H3634">
        <v>630.78</v>
      </c>
      <c r="I3634">
        <v>0</v>
      </c>
      <c r="J3634" t="s">
        <v>15</v>
      </c>
      <c r="K3634">
        <v>78847.5</v>
      </c>
      <c r="L3634" t="str">
        <f t="shared" si="224"/>
        <v>Sep</v>
      </c>
      <c r="M3634">
        <f t="shared" si="225"/>
        <v>2025</v>
      </c>
      <c r="N3634">
        <f t="shared" si="226"/>
        <v>78847.5</v>
      </c>
      <c r="O3634" t="str">
        <f t="shared" si="227"/>
        <v>On Time</v>
      </c>
    </row>
    <row r="3635" spans="1:15" x14ac:dyDescent="0.25">
      <c r="A3635">
        <v>3634</v>
      </c>
      <c r="B3635" s="2">
        <v>45871</v>
      </c>
      <c r="C3635" t="s">
        <v>16</v>
      </c>
      <c r="D3635" t="s">
        <v>17</v>
      </c>
      <c r="E3635" t="s">
        <v>19</v>
      </c>
      <c r="F3635" t="s">
        <v>24</v>
      </c>
      <c r="G3635">
        <v>85</v>
      </c>
      <c r="H3635">
        <v>410.49</v>
      </c>
      <c r="I3635">
        <v>23</v>
      </c>
      <c r="J3635" t="s">
        <v>15</v>
      </c>
      <c r="K3635">
        <v>34891.65</v>
      </c>
      <c r="L3635" t="str">
        <f t="shared" si="224"/>
        <v>Aug</v>
      </c>
      <c r="M3635">
        <f t="shared" si="225"/>
        <v>2025</v>
      </c>
      <c r="N3635">
        <f t="shared" si="226"/>
        <v>34891.65</v>
      </c>
      <c r="O3635" t="str">
        <f t="shared" si="227"/>
        <v>Minor Delay</v>
      </c>
    </row>
    <row r="3636" spans="1:15" x14ac:dyDescent="0.25">
      <c r="A3636">
        <v>3635</v>
      </c>
      <c r="B3636" s="2">
        <v>45813</v>
      </c>
      <c r="C3636" t="s">
        <v>26</v>
      </c>
      <c r="D3636" t="s">
        <v>27</v>
      </c>
      <c r="E3636" t="s">
        <v>23</v>
      </c>
      <c r="F3636" t="s">
        <v>14</v>
      </c>
      <c r="G3636">
        <v>53</v>
      </c>
      <c r="H3636">
        <v>167.11</v>
      </c>
      <c r="I3636">
        <v>25</v>
      </c>
      <c r="J3636" t="s">
        <v>15</v>
      </c>
      <c r="K3636">
        <v>8856.83</v>
      </c>
      <c r="L3636" t="str">
        <f t="shared" si="224"/>
        <v>Jun</v>
      </c>
      <c r="M3636">
        <f t="shared" si="225"/>
        <v>2025</v>
      </c>
      <c r="N3636">
        <f t="shared" si="226"/>
        <v>8856.83</v>
      </c>
      <c r="O3636" t="str">
        <f t="shared" si="227"/>
        <v>Minor Delay</v>
      </c>
    </row>
    <row r="3637" spans="1:15" x14ac:dyDescent="0.25">
      <c r="A3637">
        <v>3636</v>
      </c>
      <c r="B3637" s="2">
        <v>45755</v>
      </c>
      <c r="C3637" t="s">
        <v>25</v>
      </c>
      <c r="D3637" t="s">
        <v>23</v>
      </c>
      <c r="E3637" t="s">
        <v>20</v>
      </c>
      <c r="F3637" t="s">
        <v>14</v>
      </c>
      <c r="G3637">
        <v>112</v>
      </c>
      <c r="H3637">
        <v>702.55</v>
      </c>
      <c r="I3637">
        <v>1</v>
      </c>
      <c r="J3637" t="s">
        <v>15</v>
      </c>
      <c r="K3637">
        <v>78685.600000000006</v>
      </c>
      <c r="L3637" t="str">
        <f t="shared" si="224"/>
        <v>Apr</v>
      </c>
      <c r="M3637">
        <f t="shared" si="225"/>
        <v>2025</v>
      </c>
      <c r="N3637">
        <f t="shared" si="226"/>
        <v>78685.599999999991</v>
      </c>
      <c r="O3637" t="str">
        <f t="shared" si="227"/>
        <v>Minor Delay</v>
      </c>
    </row>
    <row r="3638" spans="1:15" x14ac:dyDescent="0.25">
      <c r="A3638">
        <v>3637</v>
      </c>
      <c r="B3638" s="2">
        <v>45845</v>
      </c>
      <c r="C3638" t="s">
        <v>16</v>
      </c>
      <c r="D3638" t="s">
        <v>12</v>
      </c>
      <c r="E3638" t="s">
        <v>22</v>
      </c>
      <c r="F3638" t="s">
        <v>14</v>
      </c>
      <c r="G3638">
        <v>291</v>
      </c>
      <c r="H3638">
        <v>114.52</v>
      </c>
      <c r="I3638">
        <v>26</v>
      </c>
      <c r="J3638" t="s">
        <v>15</v>
      </c>
      <c r="K3638">
        <v>33325.32</v>
      </c>
      <c r="L3638" t="str">
        <f t="shared" si="224"/>
        <v>Jul</v>
      </c>
      <c r="M3638">
        <f t="shared" si="225"/>
        <v>2025</v>
      </c>
      <c r="N3638">
        <f t="shared" si="226"/>
        <v>33325.32</v>
      </c>
      <c r="O3638" t="str">
        <f t="shared" si="227"/>
        <v>Minor Delay</v>
      </c>
    </row>
    <row r="3639" spans="1:15" x14ac:dyDescent="0.25">
      <c r="A3639">
        <v>3638</v>
      </c>
      <c r="B3639" s="2">
        <v>46005</v>
      </c>
      <c r="C3639" t="s">
        <v>18</v>
      </c>
      <c r="D3639" t="s">
        <v>29</v>
      </c>
      <c r="E3639" t="s">
        <v>20</v>
      </c>
      <c r="F3639" t="s">
        <v>21</v>
      </c>
      <c r="G3639">
        <v>200</v>
      </c>
      <c r="H3639">
        <v>661.01</v>
      </c>
      <c r="I3639">
        <v>9</v>
      </c>
      <c r="J3639" t="s">
        <v>30</v>
      </c>
      <c r="K3639">
        <v>132202</v>
      </c>
      <c r="L3639" t="str">
        <f t="shared" si="224"/>
        <v>Dec</v>
      </c>
      <c r="M3639">
        <f t="shared" si="225"/>
        <v>2025</v>
      </c>
      <c r="N3639">
        <f t="shared" si="226"/>
        <v>132202</v>
      </c>
      <c r="O3639" t="str">
        <f t="shared" si="227"/>
        <v>Minor Delay</v>
      </c>
    </row>
    <row r="3640" spans="1:15" x14ac:dyDescent="0.25">
      <c r="A3640">
        <v>3639</v>
      </c>
      <c r="B3640" s="2">
        <v>46000</v>
      </c>
      <c r="C3640" t="s">
        <v>31</v>
      </c>
      <c r="D3640" t="s">
        <v>12</v>
      </c>
      <c r="E3640" t="s">
        <v>23</v>
      </c>
      <c r="F3640" t="s">
        <v>24</v>
      </c>
      <c r="G3640">
        <v>51</v>
      </c>
      <c r="H3640">
        <v>343.59</v>
      </c>
      <c r="I3640">
        <v>47</v>
      </c>
      <c r="J3640" t="s">
        <v>15</v>
      </c>
      <c r="K3640">
        <v>17523.09</v>
      </c>
      <c r="L3640" t="str">
        <f t="shared" si="224"/>
        <v>Dec</v>
      </c>
      <c r="M3640">
        <f t="shared" si="225"/>
        <v>2025</v>
      </c>
      <c r="N3640">
        <f t="shared" si="226"/>
        <v>17523.09</v>
      </c>
      <c r="O3640" t="str">
        <f t="shared" si="227"/>
        <v>Moderate Delay</v>
      </c>
    </row>
    <row r="3641" spans="1:15" x14ac:dyDescent="0.25">
      <c r="A3641">
        <v>3640</v>
      </c>
      <c r="B3641" s="2">
        <v>45710</v>
      </c>
      <c r="C3641" t="s">
        <v>31</v>
      </c>
      <c r="D3641" t="s">
        <v>12</v>
      </c>
      <c r="E3641" t="s">
        <v>29</v>
      </c>
      <c r="F3641" t="s">
        <v>21</v>
      </c>
      <c r="G3641">
        <v>82</v>
      </c>
      <c r="H3641">
        <v>602.89</v>
      </c>
      <c r="I3641">
        <v>24</v>
      </c>
      <c r="J3641" t="s">
        <v>30</v>
      </c>
      <c r="K3641">
        <v>49436.98</v>
      </c>
      <c r="L3641" t="str">
        <f t="shared" si="224"/>
        <v>Feb</v>
      </c>
      <c r="M3641">
        <f t="shared" si="225"/>
        <v>2025</v>
      </c>
      <c r="N3641">
        <f t="shared" si="226"/>
        <v>49436.979999999996</v>
      </c>
      <c r="O3641" t="str">
        <f t="shared" si="227"/>
        <v>Minor Delay</v>
      </c>
    </row>
    <row r="3642" spans="1:15" x14ac:dyDescent="0.25">
      <c r="A3642">
        <v>3641</v>
      </c>
      <c r="B3642" s="2">
        <v>45813</v>
      </c>
      <c r="C3642" t="s">
        <v>25</v>
      </c>
      <c r="D3642" t="s">
        <v>17</v>
      </c>
      <c r="E3642" t="s">
        <v>29</v>
      </c>
      <c r="F3642" t="s">
        <v>24</v>
      </c>
      <c r="G3642">
        <v>154</v>
      </c>
      <c r="H3642">
        <v>474.55</v>
      </c>
      <c r="I3642">
        <v>11</v>
      </c>
      <c r="J3642" t="s">
        <v>15</v>
      </c>
      <c r="K3642">
        <v>73080.7</v>
      </c>
      <c r="L3642" t="str">
        <f t="shared" si="224"/>
        <v>Jun</v>
      </c>
      <c r="M3642">
        <f t="shared" si="225"/>
        <v>2025</v>
      </c>
      <c r="N3642">
        <f t="shared" si="226"/>
        <v>73080.7</v>
      </c>
      <c r="O3642" t="str">
        <f t="shared" si="227"/>
        <v>Minor Delay</v>
      </c>
    </row>
    <row r="3643" spans="1:15" x14ac:dyDescent="0.25">
      <c r="A3643">
        <v>3642</v>
      </c>
      <c r="B3643" s="2">
        <v>45792</v>
      </c>
      <c r="C3643" t="s">
        <v>16</v>
      </c>
      <c r="D3643" t="s">
        <v>13</v>
      </c>
      <c r="E3643" t="s">
        <v>23</v>
      </c>
      <c r="F3643" t="s">
        <v>24</v>
      </c>
      <c r="G3643">
        <v>73</v>
      </c>
      <c r="H3643">
        <v>206.52</v>
      </c>
      <c r="I3643">
        <v>4</v>
      </c>
      <c r="J3643" t="s">
        <v>15</v>
      </c>
      <c r="K3643">
        <v>15075.96</v>
      </c>
      <c r="L3643" t="str">
        <f t="shared" si="224"/>
        <v>May</v>
      </c>
      <c r="M3643">
        <f t="shared" si="225"/>
        <v>2025</v>
      </c>
      <c r="N3643">
        <f t="shared" si="226"/>
        <v>15075.960000000001</v>
      </c>
      <c r="O3643" t="str">
        <f t="shared" si="227"/>
        <v>Minor Delay</v>
      </c>
    </row>
    <row r="3644" spans="1:15" x14ac:dyDescent="0.25">
      <c r="A3644">
        <v>3643</v>
      </c>
      <c r="B3644" s="2">
        <v>45945</v>
      </c>
      <c r="C3644" t="s">
        <v>25</v>
      </c>
      <c r="D3644" t="s">
        <v>12</v>
      </c>
      <c r="E3644" t="s">
        <v>29</v>
      </c>
      <c r="F3644" t="s">
        <v>14</v>
      </c>
      <c r="G3644">
        <v>129</v>
      </c>
      <c r="H3644">
        <v>67.180000000000007</v>
      </c>
      <c r="I3644">
        <v>76</v>
      </c>
      <c r="J3644" t="s">
        <v>15</v>
      </c>
      <c r="K3644">
        <v>8666.2199999999993</v>
      </c>
      <c r="L3644" t="str">
        <f t="shared" si="224"/>
        <v>Oct</v>
      </c>
      <c r="M3644">
        <f t="shared" si="225"/>
        <v>2025</v>
      </c>
      <c r="N3644">
        <f t="shared" si="226"/>
        <v>8666.2200000000012</v>
      </c>
      <c r="O3644" t="str">
        <f t="shared" si="227"/>
        <v>Major Delay</v>
      </c>
    </row>
    <row r="3645" spans="1:15" x14ac:dyDescent="0.25">
      <c r="A3645">
        <v>3644</v>
      </c>
      <c r="B3645" s="2">
        <v>45819</v>
      </c>
      <c r="C3645" t="s">
        <v>25</v>
      </c>
      <c r="D3645" t="s">
        <v>19</v>
      </c>
      <c r="E3645" t="s">
        <v>29</v>
      </c>
      <c r="F3645" t="s">
        <v>14</v>
      </c>
      <c r="G3645">
        <v>163</v>
      </c>
      <c r="H3645">
        <v>706.67</v>
      </c>
      <c r="I3645">
        <v>14</v>
      </c>
      <c r="J3645" t="s">
        <v>15</v>
      </c>
      <c r="K3645">
        <v>115187.21</v>
      </c>
      <c r="L3645" t="str">
        <f t="shared" si="224"/>
        <v>Jun</v>
      </c>
      <c r="M3645">
        <f t="shared" si="225"/>
        <v>2025</v>
      </c>
      <c r="N3645">
        <f t="shared" si="226"/>
        <v>115187.20999999999</v>
      </c>
      <c r="O3645" t="str">
        <f t="shared" si="227"/>
        <v>Minor Delay</v>
      </c>
    </row>
    <row r="3646" spans="1:15" x14ac:dyDescent="0.25">
      <c r="A3646">
        <v>3645</v>
      </c>
      <c r="B3646" s="2">
        <v>45888</v>
      </c>
      <c r="C3646" t="s">
        <v>16</v>
      </c>
      <c r="D3646" t="s">
        <v>23</v>
      </c>
      <c r="E3646" t="s">
        <v>22</v>
      </c>
      <c r="F3646" t="s">
        <v>21</v>
      </c>
      <c r="G3646">
        <v>142</v>
      </c>
      <c r="H3646">
        <v>366.41</v>
      </c>
      <c r="I3646">
        <v>2</v>
      </c>
      <c r="J3646" t="s">
        <v>15</v>
      </c>
      <c r="K3646">
        <v>52030.22</v>
      </c>
      <c r="L3646" t="str">
        <f t="shared" si="224"/>
        <v>Aug</v>
      </c>
      <c r="M3646">
        <f t="shared" si="225"/>
        <v>2025</v>
      </c>
      <c r="N3646">
        <f t="shared" si="226"/>
        <v>52030.22</v>
      </c>
      <c r="O3646" t="str">
        <f t="shared" si="227"/>
        <v>Minor Delay</v>
      </c>
    </row>
    <row r="3647" spans="1:15" x14ac:dyDescent="0.25">
      <c r="A3647">
        <v>3646</v>
      </c>
      <c r="B3647" s="2">
        <v>45709</v>
      </c>
      <c r="C3647" t="s">
        <v>26</v>
      </c>
      <c r="D3647" t="s">
        <v>17</v>
      </c>
      <c r="E3647" t="s">
        <v>27</v>
      </c>
      <c r="F3647" t="s">
        <v>21</v>
      </c>
      <c r="G3647">
        <v>259</v>
      </c>
      <c r="H3647">
        <v>432.46</v>
      </c>
      <c r="I3647">
        <v>11</v>
      </c>
      <c r="J3647" t="s">
        <v>15</v>
      </c>
      <c r="K3647">
        <v>112007.14</v>
      </c>
      <c r="L3647" t="str">
        <f t="shared" si="224"/>
        <v>Feb</v>
      </c>
      <c r="M3647">
        <f t="shared" si="225"/>
        <v>2025</v>
      </c>
      <c r="N3647">
        <f t="shared" si="226"/>
        <v>112007.14</v>
      </c>
      <c r="O3647" t="str">
        <f t="shared" si="227"/>
        <v>Minor Delay</v>
      </c>
    </row>
    <row r="3648" spans="1:15" x14ac:dyDescent="0.25">
      <c r="A3648">
        <v>3647</v>
      </c>
      <c r="B3648" s="2">
        <v>45759</v>
      </c>
      <c r="C3648" t="s">
        <v>16</v>
      </c>
      <c r="D3648" t="s">
        <v>12</v>
      </c>
      <c r="E3648" t="s">
        <v>13</v>
      </c>
      <c r="F3648" t="s">
        <v>24</v>
      </c>
      <c r="G3648">
        <v>257</v>
      </c>
      <c r="H3648">
        <v>657.36</v>
      </c>
      <c r="I3648">
        <v>22</v>
      </c>
      <c r="J3648" t="s">
        <v>15</v>
      </c>
      <c r="K3648">
        <v>168941.52</v>
      </c>
      <c r="L3648" t="str">
        <f t="shared" si="224"/>
        <v>Apr</v>
      </c>
      <c r="M3648">
        <f t="shared" si="225"/>
        <v>2025</v>
      </c>
      <c r="N3648">
        <f t="shared" si="226"/>
        <v>168941.52</v>
      </c>
      <c r="O3648" t="str">
        <f t="shared" si="227"/>
        <v>Minor Delay</v>
      </c>
    </row>
    <row r="3649" spans="1:15" x14ac:dyDescent="0.25">
      <c r="A3649">
        <v>3648</v>
      </c>
      <c r="B3649" s="2">
        <v>45892</v>
      </c>
      <c r="C3649" t="s">
        <v>26</v>
      </c>
      <c r="D3649" t="s">
        <v>29</v>
      </c>
      <c r="E3649" t="s">
        <v>19</v>
      </c>
      <c r="F3649" t="s">
        <v>21</v>
      </c>
      <c r="G3649">
        <v>300</v>
      </c>
      <c r="H3649">
        <v>409.57</v>
      </c>
      <c r="I3649">
        <v>0</v>
      </c>
      <c r="J3649" t="s">
        <v>15</v>
      </c>
      <c r="K3649">
        <v>122871</v>
      </c>
      <c r="L3649" t="str">
        <f t="shared" si="224"/>
        <v>Aug</v>
      </c>
      <c r="M3649">
        <f t="shared" si="225"/>
        <v>2025</v>
      </c>
      <c r="N3649">
        <f t="shared" si="226"/>
        <v>122871</v>
      </c>
      <c r="O3649" t="str">
        <f t="shared" si="227"/>
        <v>On Time</v>
      </c>
    </row>
    <row r="3650" spans="1:15" x14ac:dyDescent="0.25">
      <c r="A3650">
        <v>3649</v>
      </c>
      <c r="B3650" s="2">
        <v>45795</v>
      </c>
      <c r="C3650" t="s">
        <v>16</v>
      </c>
      <c r="D3650" t="s">
        <v>13</v>
      </c>
      <c r="E3650" t="s">
        <v>27</v>
      </c>
      <c r="F3650" t="s">
        <v>14</v>
      </c>
      <c r="G3650">
        <v>104</v>
      </c>
      <c r="H3650">
        <v>694.81</v>
      </c>
      <c r="I3650">
        <v>38</v>
      </c>
      <c r="J3650" t="s">
        <v>15</v>
      </c>
      <c r="K3650">
        <v>72260.240000000005</v>
      </c>
      <c r="L3650" t="str">
        <f t="shared" si="224"/>
        <v>May</v>
      </c>
      <c r="M3650">
        <f t="shared" si="225"/>
        <v>2025</v>
      </c>
      <c r="N3650">
        <f t="shared" si="226"/>
        <v>72260.239999999991</v>
      </c>
      <c r="O3650" t="str">
        <f t="shared" si="227"/>
        <v>Moderate Delay</v>
      </c>
    </row>
    <row r="3651" spans="1:15" x14ac:dyDescent="0.25">
      <c r="A3651">
        <v>3650</v>
      </c>
      <c r="B3651" s="2">
        <v>45659</v>
      </c>
      <c r="C3651" t="s">
        <v>31</v>
      </c>
      <c r="D3651" t="s">
        <v>27</v>
      </c>
      <c r="E3651" t="s">
        <v>20</v>
      </c>
      <c r="F3651" t="s">
        <v>14</v>
      </c>
      <c r="G3651">
        <v>113</v>
      </c>
      <c r="H3651">
        <v>510.26</v>
      </c>
      <c r="I3651">
        <v>12</v>
      </c>
      <c r="J3651" t="s">
        <v>15</v>
      </c>
      <c r="K3651">
        <v>57659.38</v>
      </c>
      <c r="L3651" t="str">
        <f t="shared" ref="L3651:L3714" si="228">TEXT(B3651,"MMM")</f>
        <v>Jan</v>
      </c>
      <c r="M3651">
        <f t="shared" ref="M3651:M3714" si="229">YEAR(B3651)</f>
        <v>2025</v>
      </c>
      <c r="N3651">
        <f t="shared" ref="N3651:N3714" si="230">G3651*H3651</f>
        <v>57659.38</v>
      </c>
      <c r="O3651" t="str">
        <f t="shared" ref="O3651:O3714" si="231">IF(I3651=0,"On Time",IF(I3651&lt;=30,"Minor Delay",IF(I3651&lt;=60,"Moderate Delay","Major Delay")))</f>
        <v>Minor Delay</v>
      </c>
    </row>
    <row r="3652" spans="1:15" x14ac:dyDescent="0.25">
      <c r="A3652">
        <v>3651</v>
      </c>
      <c r="B3652" s="2">
        <v>45703</v>
      </c>
      <c r="C3652" t="s">
        <v>11</v>
      </c>
      <c r="D3652" t="s">
        <v>17</v>
      </c>
      <c r="E3652" t="s">
        <v>23</v>
      </c>
      <c r="F3652" t="s">
        <v>21</v>
      </c>
      <c r="G3652">
        <v>153</v>
      </c>
      <c r="H3652">
        <v>772.97</v>
      </c>
      <c r="I3652">
        <v>62</v>
      </c>
      <c r="J3652" t="s">
        <v>15</v>
      </c>
      <c r="K3652">
        <v>118264.41</v>
      </c>
      <c r="L3652" t="str">
        <f t="shared" si="228"/>
        <v>Feb</v>
      </c>
      <c r="M3652">
        <f t="shared" si="229"/>
        <v>2025</v>
      </c>
      <c r="N3652">
        <f t="shared" si="230"/>
        <v>118264.41</v>
      </c>
      <c r="O3652" t="str">
        <f t="shared" si="231"/>
        <v>Major Delay</v>
      </c>
    </row>
    <row r="3653" spans="1:15" x14ac:dyDescent="0.25">
      <c r="A3653">
        <v>3652</v>
      </c>
      <c r="B3653" s="2">
        <v>45888</v>
      </c>
      <c r="C3653" t="s">
        <v>26</v>
      </c>
      <c r="D3653" t="s">
        <v>29</v>
      </c>
      <c r="E3653" t="s">
        <v>20</v>
      </c>
      <c r="F3653" t="s">
        <v>14</v>
      </c>
      <c r="G3653">
        <v>290</v>
      </c>
      <c r="H3653">
        <v>108.37</v>
      </c>
      <c r="I3653">
        <v>40</v>
      </c>
      <c r="J3653" t="s">
        <v>15</v>
      </c>
      <c r="K3653">
        <v>31427.3</v>
      </c>
      <c r="L3653" t="str">
        <f t="shared" si="228"/>
        <v>Aug</v>
      </c>
      <c r="M3653">
        <f t="shared" si="229"/>
        <v>2025</v>
      </c>
      <c r="N3653">
        <f t="shared" si="230"/>
        <v>31427.300000000003</v>
      </c>
      <c r="O3653" t="str">
        <f t="shared" si="231"/>
        <v>Moderate Delay</v>
      </c>
    </row>
    <row r="3654" spans="1:15" x14ac:dyDescent="0.25">
      <c r="A3654">
        <v>3653</v>
      </c>
      <c r="B3654" s="2">
        <v>45908</v>
      </c>
      <c r="C3654" t="s">
        <v>18</v>
      </c>
      <c r="D3654" t="s">
        <v>13</v>
      </c>
      <c r="E3654" t="s">
        <v>17</v>
      </c>
      <c r="F3654" t="s">
        <v>14</v>
      </c>
      <c r="G3654">
        <v>72</v>
      </c>
      <c r="H3654">
        <v>567.23</v>
      </c>
      <c r="I3654">
        <v>25</v>
      </c>
      <c r="J3654" t="s">
        <v>15</v>
      </c>
      <c r="K3654">
        <v>40840.559999999998</v>
      </c>
      <c r="L3654" t="str">
        <f t="shared" si="228"/>
        <v>Sep</v>
      </c>
      <c r="M3654">
        <f t="shared" si="229"/>
        <v>2025</v>
      </c>
      <c r="N3654">
        <f t="shared" si="230"/>
        <v>40840.559999999998</v>
      </c>
      <c r="O3654" t="str">
        <f t="shared" si="231"/>
        <v>Minor Delay</v>
      </c>
    </row>
    <row r="3655" spans="1:15" x14ac:dyDescent="0.25">
      <c r="A3655">
        <v>3654</v>
      </c>
      <c r="B3655" s="2">
        <v>45809</v>
      </c>
      <c r="C3655" t="s">
        <v>18</v>
      </c>
      <c r="D3655" t="s">
        <v>17</v>
      </c>
      <c r="E3655" t="s">
        <v>22</v>
      </c>
      <c r="F3655" t="s">
        <v>14</v>
      </c>
      <c r="G3655">
        <v>92</v>
      </c>
      <c r="H3655">
        <v>298.37</v>
      </c>
      <c r="I3655">
        <v>21</v>
      </c>
      <c r="J3655" t="s">
        <v>15</v>
      </c>
      <c r="K3655">
        <v>27450.04</v>
      </c>
      <c r="L3655" t="str">
        <f t="shared" si="228"/>
        <v>Jun</v>
      </c>
      <c r="M3655">
        <f t="shared" si="229"/>
        <v>2025</v>
      </c>
      <c r="N3655">
        <f t="shared" si="230"/>
        <v>27450.04</v>
      </c>
      <c r="O3655" t="str">
        <f t="shared" si="231"/>
        <v>Minor Delay</v>
      </c>
    </row>
    <row r="3656" spans="1:15" x14ac:dyDescent="0.25">
      <c r="A3656">
        <v>3655</v>
      </c>
      <c r="B3656" s="2">
        <v>45668</v>
      </c>
      <c r="C3656" t="s">
        <v>16</v>
      </c>
      <c r="D3656" t="s">
        <v>17</v>
      </c>
      <c r="E3656" t="s">
        <v>23</v>
      </c>
      <c r="F3656" t="s">
        <v>24</v>
      </c>
      <c r="G3656">
        <v>162</v>
      </c>
      <c r="H3656">
        <v>275.04000000000002</v>
      </c>
      <c r="I3656">
        <v>0</v>
      </c>
      <c r="J3656" t="s">
        <v>15</v>
      </c>
      <c r="K3656">
        <v>44556.480000000003</v>
      </c>
      <c r="L3656" t="str">
        <f t="shared" si="228"/>
        <v>Jan</v>
      </c>
      <c r="M3656">
        <f t="shared" si="229"/>
        <v>2025</v>
      </c>
      <c r="N3656">
        <f t="shared" si="230"/>
        <v>44556.480000000003</v>
      </c>
      <c r="O3656" t="str">
        <f t="shared" si="231"/>
        <v>On Time</v>
      </c>
    </row>
    <row r="3657" spans="1:15" x14ac:dyDescent="0.25">
      <c r="A3657">
        <v>3656</v>
      </c>
      <c r="B3657" s="2">
        <v>45983</v>
      </c>
      <c r="C3657" t="s">
        <v>25</v>
      </c>
      <c r="D3657" t="s">
        <v>27</v>
      </c>
      <c r="E3657" t="s">
        <v>17</v>
      </c>
      <c r="F3657" t="s">
        <v>21</v>
      </c>
      <c r="G3657">
        <v>258</v>
      </c>
      <c r="H3657">
        <v>443.93</v>
      </c>
      <c r="I3657">
        <v>16</v>
      </c>
      <c r="J3657" t="s">
        <v>15</v>
      </c>
      <c r="K3657">
        <v>114533.94</v>
      </c>
      <c r="L3657" t="str">
        <f t="shared" si="228"/>
        <v>Nov</v>
      </c>
      <c r="M3657">
        <f t="shared" si="229"/>
        <v>2025</v>
      </c>
      <c r="N3657">
        <f t="shared" si="230"/>
        <v>114533.94</v>
      </c>
      <c r="O3657" t="str">
        <f t="shared" si="231"/>
        <v>Minor Delay</v>
      </c>
    </row>
    <row r="3658" spans="1:15" x14ac:dyDescent="0.25">
      <c r="A3658">
        <v>3657</v>
      </c>
      <c r="B3658" s="2">
        <v>45897</v>
      </c>
      <c r="C3658" t="s">
        <v>16</v>
      </c>
      <c r="D3658" t="s">
        <v>23</v>
      </c>
      <c r="E3658" t="s">
        <v>12</v>
      </c>
      <c r="F3658" t="s">
        <v>21</v>
      </c>
      <c r="G3658">
        <v>113</v>
      </c>
      <c r="H3658">
        <v>359.91</v>
      </c>
      <c r="I3658">
        <v>78</v>
      </c>
      <c r="J3658" t="s">
        <v>30</v>
      </c>
      <c r="K3658">
        <v>40669.83</v>
      </c>
      <c r="L3658" t="str">
        <f t="shared" si="228"/>
        <v>Aug</v>
      </c>
      <c r="M3658">
        <f t="shared" si="229"/>
        <v>2025</v>
      </c>
      <c r="N3658">
        <f t="shared" si="230"/>
        <v>40669.83</v>
      </c>
      <c r="O3658" t="str">
        <f t="shared" si="231"/>
        <v>Major Delay</v>
      </c>
    </row>
    <row r="3659" spans="1:15" x14ac:dyDescent="0.25">
      <c r="A3659">
        <v>3658</v>
      </c>
      <c r="B3659" s="2">
        <v>45660</v>
      </c>
      <c r="C3659" t="s">
        <v>16</v>
      </c>
      <c r="D3659" t="s">
        <v>20</v>
      </c>
      <c r="E3659" t="s">
        <v>27</v>
      </c>
      <c r="F3659" t="s">
        <v>24</v>
      </c>
      <c r="G3659">
        <v>174</v>
      </c>
      <c r="H3659">
        <v>762.77</v>
      </c>
      <c r="I3659">
        <v>66</v>
      </c>
      <c r="J3659" t="s">
        <v>15</v>
      </c>
      <c r="K3659">
        <v>132721.98000000001</v>
      </c>
      <c r="L3659" t="str">
        <f t="shared" si="228"/>
        <v>Jan</v>
      </c>
      <c r="M3659">
        <f t="shared" si="229"/>
        <v>2025</v>
      </c>
      <c r="N3659">
        <f t="shared" si="230"/>
        <v>132721.98000000001</v>
      </c>
      <c r="O3659" t="str">
        <f t="shared" si="231"/>
        <v>Major Delay</v>
      </c>
    </row>
    <row r="3660" spans="1:15" x14ac:dyDescent="0.25">
      <c r="A3660">
        <v>3659</v>
      </c>
      <c r="B3660" s="2">
        <v>45818</v>
      </c>
      <c r="C3660" t="s">
        <v>31</v>
      </c>
      <c r="D3660" t="s">
        <v>19</v>
      </c>
      <c r="E3660" t="s">
        <v>27</v>
      </c>
      <c r="F3660" t="s">
        <v>24</v>
      </c>
      <c r="G3660">
        <v>202</v>
      </c>
      <c r="H3660">
        <v>205.98</v>
      </c>
      <c r="I3660">
        <v>42</v>
      </c>
      <c r="J3660" t="s">
        <v>15</v>
      </c>
      <c r="K3660">
        <v>41607.96</v>
      </c>
      <c r="L3660" t="str">
        <f t="shared" si="228"/>
        <v>Jun</v>
      </c>
      <c r="M3660">
        <f t="shared" si="229"/>
        <v>2025</v>
      </c>
      <c r="N3660">
        <f t="shared" si="230"/>
        <v>41607.96</v>
      </c>
      <c r="O3660" t="str">
        <f t="shared" si="231"/>
        <v>Moderate Delay</v>
      </c>
    </row>
    <row r="3661" spans="1:15" x14ac:dyDescent="0.25">
      <c r="A3661">
        <v>3660</v>
      </c>
      <c r="B3661" s="2">
        <v>45714</v>
      </c>
      <c r="C3661" t="s">
        <v>16</v>
      </c>
      <c r="D3661" t="s">
        <v>27</v>
      </c>
      <c r="E3661" t="s">
        <v>12</v>
      </c>
      <c r="F3661" t="s">
        <v>24</v>
      </c>
      <c r="G3661">
        <v>77</v>
      </c>
      <c r="H3661">
        <v>484.56</v>
      </c>
      <c r="I3661">
        <v>92</v>
      </c>
      <c r="J3661" t="s">
        <v>15</v>
      </c>
      <c r="K3661">
        <v>37311.120000000003</v>
      </c>
      <c r="L3661" t="str">
        <f t="shared" si="228"/>
        <v>Feb</v>
      </c>
      <c r="M3661">
        <f t="shared" si="229"/>
        <v>2025</v>
      </c>
      <c r="N3661">
        <f t="shared" si="230"/>
        <v>37311.120000000003</v>
      </c>
      <c r="O3661" t="str">
        <f t="shared" si="231"/>
        <v>Major Delay</v>
      </c>
    </row>
    <row r="3662" spans="1:15" x14ac:dyDescent="0.25">
      <c r="A3662">
        <v>3661</v>
      </c>
      <c r="B3662" s="2">
        <v>45800</v>
      </c>
      <c r="C3662" t="s">
        <v>31</v>
      </c>
      <c r="D3662" t="s">
        <v>13</v>
      </c>
      <c r="E3662" t="s">
        <v>12</v>
      </c>
      <c r="F3662" t="s">
        <v>14</v>
      </c>
      <c r="G3662">
        <v>93</v>
      </c>
      <c r="H3662">
        <v>742.22</v>
      </c>
      <c r="I3662">
        <v>17</v>
      </c>
      <c r="J3662" t="s">
        <v>30</v>
      </c>
      <c r="K3662">
        <v>69026.460000000006</v>
      </c>
      <c r="L3662" t="str">
        <f t="shared" si="228"/>
        <v>May</v>
      </c>
      <c r="M3662">
        <f t="shared" si="229"/>
        <v>2025</v>
      </c>
      <c r="N3662">
        <f t="shared" si="230"/>
        <v>69026.460000000006</v>
      </c>
      <c r="O3662" t="str">
        <f t="shared" si="231"/>
        <v>Minor Delay</v>
      </c>
    </row>
    <row r="3663" spans="1:15" x14ac:dyDescent="0.25">
      <c r="A3663">
        <v>3662</v>
      </c>
      <c r="B3663" s="2">
        <v>45961</v>
      </c>
      <c r="C3663" t="s">
        <v>18</v>
      </c>
      <c r="D3663" t="s">
        <v>22</v>
      </c>
      <c r="E3663" t="s">
        <v>17</v>
      </c>
      <c r="F3663" t="s">
        <v>24</v>
      </c>
      <c r="G3663">
        <v>121</v>
      </c>
      <c r="H3663">
        <v>228.31</v>
      </c>
      <c r="I3663">
        <v>40</v>
      </c>
      <c r="J3663" t="s">
        <v>15</v>
      </c>
      <c r="K3663">
        <v>27625.51</v>
      </c>
      <c r="L3663" t="str">
        <f t="shared" si="228"/>
        <v>Oct</v>
      </c>
      <c r="M3663">
        <f t="shared" si="229"/>
        <v>2025</v>
      </c>
      <c r="N3663">
        <f t="shared" si="230"/>
        <v>27625.510000000002</v>
      </c>
      <c r="O3663" t="str">
        <f t="shared" si="231"/>
        <v>Moderate Delay</v>
      </c>
    </row>
    <row r="3664" spans="1:15" x14ac:dyDescent="0.25">
      <c r="A3664">
        <v>3663</v>
      </c>
      <c r="B3664" s="2">
        <v>45997</v>
      </c>
      <c r="C3664" t="s">
        <v>31</v>
      </c>
      <c r="D3664" t="s">
        <v>27</v>
      </c>
      <c r="E3664" t="s">
        <v>23</v>
      </c>
      <c r="F3664" t="s">
        <v>21</v>
      </c>
      <c r="G3664">
        <v>154</v>
      </c>
      <c r="H3664">
        <v>788.85</v>
      </c>
      <c r="I3664">
        <v>41</v>
      </c>
      <c r="J3664" t="s">
        <v>15</v>
      </c>
      <c r="K3664">
        <v>121482.9</v>
      </c>
      <c r="L3664" t="str">
        <f t="shared" si="228"/>
        <v>Dec</v>
      </c>
      <c r="M3664">
        <f t="shared" si="229"/>
        <v>2025</v>
      </c>
      <c r="N3664">
        <f t="shared" si="230"/>
        <v>121482.90000000001</v>
      </c>
      <c r="O3664" t="str">
        <f t="shared" si="231"/>
        <v>Moderate Delay</v>
      </c>
    </row>
    <row r="3665" spans="1:15" x14ac:dyDescent="0.25">
      <c r="A3665">
        <v>3664</v>
      </c>
      <c r="B3665" s="2">
        <v>46006</v>
      </c>
      <c r="C3665" t="s">
        <v>16</v>
      </c>
      <c r="D3665" t="s">
        <v>12</v>
      </c>
      <c r="E3665" t="s">
        <v>27</v>
      </c>
      <c r="F3665" t="s">
        <v>14</v>
      </c>
      <c r="G3665">
        <v>236</v>
      </c>
      <c r="H3665">
        <v>233.26</v>
      </c>
      <c r="I3665">
        <v>9</v>
      </c>
      <c r="J3665" t="s">
        <v>15</v>
      </c>
      <c r="K3665">
        <v>55049.36</v>
      </c>
      <c r="L3665" t="str">
        <f t="shared" si="228"/>
        <v>Dec</v>
      </c>
      <c r="M3665">
        <f t="shared" si="229"/>
        <v>2025</v>
      </c>
      <c r="N3665">
        <f t="shared" si="230"/>
        <v>55049.36</v>
      </c>
      <c r="O3665" t="str">
        <f t="shared" si="231"/>
        <v>Minor Delay</v>
      </c>
    </row>
    <row r="3666" spans="1:15" x14ac:dyDescent="0.25">
      <c r="A3666">
        <v>3665</v>
      </c>
      <c r="B3666" s="2">
        <v>45817</v>
      </c>
      <c r="C3666" t="s">
        <v>31</v>
      </c>
      <c r="D3666" t="s">
        <v>13</v>
      </c>
      <c r="E3666" t="s">
        <v>12</v>
      </c>
      <c r="F3666" t="s">
        <v>21</v>
      </c>
      <c r="G3666">
        <v>254</v>
      </c>
      <c r="H3666">
        <v>493.39</v>
      </c>
      <c r="I3666">
        <v>34</v>
      </c>
      <c r="J3666" t="s">
        <v>30</v>
      </c>
      <c r="K3666">
        <v>125321.06</v>
      </c>
      <c r="L3666" t="str">
        <f t="shared" si="228"/>
        <v>Jun</v>
      </c>
      <c r="M3666">
        <f t="shared" si="229"/>
        <v>2025</v>
      </c>
      <c r="N3666">
        <f t="shared" si="230"/>
        <v>125321.06</v>
      </c>
      <c r="O3666" t="str">
        <f t="shared" si="231"/>
        <v>Moderate Delay</v>
      </c>
    </row>
    <row r="3667" spans="1:15" x14ac:dyDescent="0.25">
      <c r="A3667">
        <v>3666</v>
      </c>
      <c r="B3667" s="2">
        <v>45715</v>
      </c>
      <c r="C3667" t="s">
        <v>25</v>
      </c>
      <c r="D3667" t="s">
        <v>19</v>
      </c>
      <c r="E3667" t="s">
        <v>20</v>
      </c>
      <c r="F3667" t="s">
        <v>21</v>
      </c>
      <c r="G3667">
        <v>172</v>
      </c>
      <c r="H3667">
        <v>539.22</v>
      </c>
      <c r="I3667">
        <v>51</v>
      </c>
      <c r="J3667" t="s">
        <v>15</v>
      </c>
      <c r="K3667">
        <v>92745.84</v>
      </c>
      <c r="L3667" t="str">
        <f t="shared" si="228"/>
        <v>Feb</v>
      </c>
      <c r="M3667">
        <f t="shared" si="229"/>
        <v>2025</v>
      </c>
      <c r="N3667">
        <f t="shared" si="230"/>
        <v>92745.840000000011</v>
      </c>
      <c r="O3667" t="str">
        <f t="shared" si="231"/>
        <v>Moderate Delay</v>
      </c>
    </row>
    <row r="3668" spans="1:15" x14ac:dyDescent="0.25">
      <c r="A3668">
        <v>3667</v>
      </c>
      <c r="B3668" s="2">
        <v>45768</v>
      </c>
      <c r="C3668" t="s">
        <v>31</v>
      </c>
      <c r="D3668" t="s">
        <v>12</v>
      </c>
      <c r="E3668" t="s">
        <v>27</v>
      </c>
      <c r="F3668" t="s">
        <v>24</v>
      </c>
      <c r="G3668">
        <v>245</v>
      </c>
      <c r="H3668">
        <v>376.4</v>
      </c>
      <c r="I3668">
        <v>37</v>
      </c>
      <c r="J3668" t="s">
        <v>15</v>
      </c>
      <c r="K3668">
        <v>92218</v>
      </c>
      <c r="L3668" t="str">
        <f t="shared" si="228"/>
        <v>Apr</v>
      </c>
      <c r="M3668">
        <f t="shared" si="229"/>
        <v>2025</v>
      </c>
      <c r="N3668">
        <f t="shared" si="230"/>
        <v>92218</v>
      </c>
      <c r="O3668" t="str">
        <f t="shared" si="231"/>
        <v>Moderate Delay</v>
      </c>
    </row>
    <row r="3669" spans="1:15" x14ac:dyDescent="0.25">
      <c r="A3669">
        <v>3668</v>
      </c>
      <c r="B3669" s="2">
        <v>45944</v>
      </c>
      <c r="C3669" t="s">
        <v>26</v>
      </c>
      <c r="D3669" t="s">
        <v>29</v>
      </c>
      <c r="E3669" t="s">
        <v>23</v>
      </c>
      <c r="F3669" t="s">
        <v>21</v>
      </c>
      <c r="G3669">
        <v>146</v>
      </c>
      <c r="H3669">
        <v>694.79</v>
      </c>
      <c r="I3669">
        <v>9</v>
      </c>
      <c r="J3669" t="s">
        <v>30</v>
      </c>
      <c r="K3669">
        <v>101439.34</v>
      </c>
      <c r="L3669" t="str">
        <f t="shared" si="228"/>
        <v>Oct</v>
      </c>
      <c r="M3669">
        <f t="shared" si="229"/>
        <v>2025</v>
      </c>
      <c r="N3669">
        <f t="shared" si="230"/>
        <v>101439.34</v>
      </c>
      <c r="O3669" t="str">
        <f t="shared" si="231"/>
        <v>Minor Delay</v>
      </c>
    </row>
    <row r="3670" spans="1:15" x14ac:dyDescent="0.25">
      <c r="A3670">
        <v>3669</v>
      </c>
      <c r="B3670" s="2">
        <v>45903</v>
      </c>
      <c r="C3670" t="s">
        <v>25</v>
      </c>
      <c r="D3670" t="s">
        <v>19</v>
      </c>
      <c r="E3670" t="s">
        <v>29</v>
      </c>
      <c r="F3670" t="s">
        <v>24</v>
      </c>
      <c r="G3670">
        <v>191</v>
      </c>
      <c r="H3670">
        <v>395.39</v>
      </c>
      <c r="I3670">
        <v>52</v>
      </c>
      <c r="J3670" t="s">
        <v>28</v>
      </c>
      <c r="K3670">
        <v>75519.490000000005</v>
      </c>
      <c r="L3670" t="str">
        <f t="shared" si="228"/>
        <v>Sep</v>
      </c>
      <c r="M3670">
        <f t="shared" si="229"/>
        <v>2025</v>
      </c>
      <c r="N3670">
        <f t="shared" si="230"/>
        <v>75519.489999999991</v>
      </c>
      <c r="O3670" t="str">
        <f t="shared" si="231"/>
        <v>Moderate Delay</v>
      </c>
    </row>
    <row r="3671" spans="1:15" x14ac:dyDescent="0.25">
      <c r="A3671">
        <v>3670</v>
      </c>
      <c r="B3671" s="2">
        <v>45953</v>
      </c>
      <c r="C3671" t="s">
        <v>11</v>
      </c>
      <c r="D3671" t="s">
        <v>19</v>
      </c>
      <c r="E3671" t="s">
        <v>22</v>
      </c>
      <c r="F3671" t="s">
        <v>14</v>
      </c>
      <c r="G3671">
        <v>279</v>
      </c>
      <c r="H3671">
        <v>626.17999999999995</v>
      </c>
      <c r="I3671">
        <v>41</v>
      </c>
      <c r="J3671" t="s">
        <v>30</v>
      </c>
      <c r="K3671">
        <v>174704.22</v>
      </c>
      <c r="L3671" t="str">
        <f t="shared" si="228"/>
        <v>Oct</v>
      </c>
      <c r="M3671">
        <f t="shared" si="229"/>
        <v>2025</v>
      </c>
      <c r="N3671">
        <f t="shared" si="230"/>
        <v>174704.21999999997</v>
      </c>
      <c r="O3671" t="str">
        <f t="shared" si="231"/>
        <v>Moderate Delay</v>
      </c>
    </row>
    <row r="3672" spans="1:15" x14ac:dyDescent="0.25">
      <c r="A3672">
        <v>3671</v>
      </c>
      <c r="B3672" s="2">
        <v>45675</v>
      </c>
      <c r="C3672" t="s">
        <v>18</v>
      </c>
      <c r="D3672" t="s">
        <v>17</v>
      </c>
      <c r="E3672" t="s">
        <v>27</v>
      </c>
      <c r="F3672" t="s">
        <v>14</v>
      </c>
      <c r="G3672">
        <v>143</v>
      </c>
      <c r="H3672">
        <v>329.24</v>
      </c>
      <c r="I3672">
        <v>1</v>
      </c>
      <c r="J3672" t="s">
        <v>15</v>
      </c>
      <c r="K3672">
        <v>47081.32</v>
      </c>
      <c r="L3672" t="str">
        <f t="shared" si="228"/>
        <v>Jan</v>
      </c>
      <c r="M3672">
        <f t="shared" si="229"/>
        <v>2025</v>
      </c>
      <c r="N3672">
        <f t="shared" si="230"/>
        <v>47081.32</v>
      </c>
      <c r="O3672" t="str">
        <f t="shared" si="231"/>
        <v>Minor Delay</v>
      </c>
    </row>
    <row r="3673" spans="1:15" x14ac:dyDescent="0.25">
      <c r="A3673">
        <v>3672</v>
      </c>
      <c r="B3673" s="2">
        <v>45969</v>
      </c>
      <c r="C3673" t="s">
        <v>11</v>
      </c>
      <c r="D3673" t="s">
        <v>22</v>
      </c>
      <c r="E3673" t="s">
        <v>27</v>
      </c>
      <c r="F3673" t="s">
        <v>14</v>
      </c>
      <c r="G3673">
        <v>275</v>
      </c>
      <c r="H3673">
        <v>590.65</v>
      </c>
      <c r="I3673">
        <v>0</v>
      </c>
      <c r="J3673" t="s">
        <v>15</v>
      </c>
      <c r="K3673">
        <v>162428.75</v>
      </c>
      <c r="L3673" t="str">
        <f t="shared" si="228"/>
        <v>Nov</v>
      </c>
      <c r="M3673">
        <f t="shared" si="229"/>
        <v>2025</v>
      </c>
      <c r="N3673">
        <f t="shared" si="230"/>
        <v>162428.75</v>
      </c>
      <c r="O3673" t="str">
        <f t="shared" si="231"/>
        <v>On Time</v>
      </c>
    </row>
    <row r="3674" spans="1:15" x14ac:dyDescent="0.25">
      <c r="A3674">
        <v>3673</v>
      </c>
      <c r="B3674" s="2">
        <v>45859</v>
      </c>
      <c r="C3674" t="s">
        <v>25</v>
      </c>
      <c r="D3674" t="s">
        <v>22</v>
      </c>
      <c r="E3674" t="s">
        <v>13</v>
      </c>
      <c r="F3674" t="s">
        <v>21</v>
      </c>
      <c r="G3674">
        <v>192</v>
      </c>
      <c r="H3674">
        <v>513.14</v>
      </c>
      <c r="I3674">
        <v>42</v>
      </c>
      <c r="J3674" t="s">
        <v>15</v>
      </c>
      <c r="K3674">
        <v>98522.880000000005</v>
      </c>
      <c r="L3674" t="str">
        <f t="shared" si="228"/>
        <v>Jul</v>
      </c>
      <c r="M3674">
        <f t="shared" si="229"/>
        <v>2025</v>
      </c>
      <c r="N3674">
        <f t="shared" si="230"/>
        <v>98522.880000000005</v>
      </c>
      <c r="O3674" t="str">
        <f t="shared" si="231"/>
        <v>Moderate Delay</v>
      </c>
    </row>
    <row r="3675" spans="1:15" x14ac:dyDescent="0.25">
      <c r="A3675">
        <v>3674</v>
      </c>
      <c r="B3675" s="2">
        <v>45764</v>
      </c>
      <c r="C3675" t="s">
        <v>31</v>
      </c>
      <c r="D3675" t="s">
        <v>23</v>
      </c>
      <c r="E3675" t="s">
        <v>20</v>
      </c>
      <c r="F3675" t="s">
        <v>21</v>
      </c>
      <c r="G3675">
        <v>227</v>
      </c>
      <c r="H3675">
        <v>501.02</v>
      </c>
      <c r="I3675">
        <v>10</v>
      </c>
      <c r="J3675" t="s">
        <v>15</v>
      </c>
      <c r="K3675">
        <v>113731.54</v>
      </c>
      <c r="L3675" t="str">
        <f t="shared" si="228"/>
        <v>Apr</v>
      </c>
      <c r="M3675">
        <f t="shared" si="229"/>
        <v>2025</v>
      </c>
      <c r="N3675">
        <f t="shared" si="230"/>
        <v>113731.54</v>
      </c>
      <c r="O3675" t="str">
        <f t="shared" si="231"/>
        <v>Minor Delay</v>
      </c>
    </row>
    <row r="3676" spans="1:15" x14ac:dyDescent="0.25">
      <c r="A3676">
        <v>3675</v>
      </c>
      <c r="B3676" s="2">
        <v>45842</v>
      </c>
      <c r="C3676" t="s">
        <v>18</v>
      </c>
      <c r="D3676" t="s">
        <v>23</v>
      </c>
      <c r="E3676" t="s">
        <v>17</v>
      </c>
      <c r="F3676" t="s">
        <v>14</v>
      </c>
      <c r="G3676">
        <v>266</v>
      </c>
      <c r="H3676">
        <v>706.71</v>
      </c>
      <c r="I3676">
        <v>5</v>
      </c>
      <c r="J3676" t="s">
        <v>15</v>
      </c>
      <c r="K3676">
        <v>187984.86</v>
      </c>
      <c r="L3676" t="str">
        <f t="shared" si="228"/>
        <v>Jul</v>
      </c>
      <c r="M3676">
        <f t="shared" si="229"/>
        <v>2025</v>
      </c>
      <c r="N3676">
        <f t="shared" si="230"/>
        <v>187984.86000000002</v>
      </c>
      <c r="O3676" t="str">
        <f t="shared" si="231"/>
        <v>Minor Delay</v>
      </c>
    </row>
    <row r="3677" spans="1:15" x14ac:dyDescent="0.25">
      <c r="A3677">
        <v>3676</v>
      </c>
      <c r="B3677" s="2">
        <v>45934</v>
      </c>
      <c r="C3677" t="s">
        <v>18</v>
      </c>
      <c r="D3677" t="s">
        <v>20</v>
      </c>
      <c r="E3677" t="s">
        <v>12</v>
      </c>
      <c r="F3677" t="s">
        <v>24</v>
      </c>
      <c r="G3677">
        <v>294</v>
      </c>
      <c r="H3677">
        <v>613.04999999999995</v>
      </c>
      <c r="I3677">
        <v>9</v>
      </c>
      <c r="J3677" t="s">
        <v>30</v>
      </c>
      <c r="K3677">
        <v>180236.7</v>
      </c>
      <c r="L3677" t="str">
        <f t="shared" si="228"/>
        <v>Oct</v>
      </c>
      <c r="M3677">
        <f t="shared" si="229"/>
        <v>2025</v>
      </c>
      <c r="N3677">
        <f t="shared" si="230"/>
        <v>180236.69999999998</v>
      </c>
      <c r="O3677" t="str">
        <f t="shared" si="231"/>
        <v>Minor Delay</v>
      </c>
    </row>
    <row r="3678" spans="1:15" x14ac:dyDescent="0.25">
      <c r="A3678">
        <v>3677</v>
      </c>
      <c r="B3678" s="2">
        <v>45722</v>
      </c>
      <c r="C3678" t="s">
        <v>31</v>
      </c>
      <c r="D3678" t="s">
        <v>22</v>
      </c>
      <c r="E3678" t="s">
        <v>17</v>
      </c>
      <c r="F3678" t="s">
        <v>21</v>
      </c>
      <c r="G3678">
        <v>64</v>
      </c>
      <c r="H3678">
        <v>303.66000000000003</v>
      </c>
      <c r="I3678">
        <v>8</v>
      </c>
      <c r="J3678" t="s">
        <v>28</v>
      </c>
      <c r="K3678">
        <v>19434.240000000002</v>
      </c>
      <c r="L3678" t="str">
        <f t="shared" si="228"/>
        <v>Mar</v>
      </c>
      <c r="M3678">
        <f t="shared" si="229"/>
        <v>2025</v>
      </c>
      <c r="N3678">
        <f t="shared" si="230"/>
        <v>19434.240000000002</v>
      </c>
      <c r="O3678" t="str">
        <f t="shared" si="231"/>
        <v>Minor Delay</v>
      </c>
    </row>
    <row r="3679" spans="1:15" x14ac:dyDescent="0.25">
      <c r="A3679">
        <v>3678</v>
      </c>
      <c r="B3679" s="2">
        <v>45999</v>
      </c>
      <c r="C3679" t="s">
        <v>16</v>
      </c>
      <c r="D3679" t="s">
        <v>13</v>
      </c>
      <c r="E3679" t="s">
        <v>12</v>
      </c>
      <c r="F3679" t="s">
        <v>14</v>
      </c>
      <c r="G3679">
        <v>220</v>
      </c>
      <c r="H3679">
        <v>630.33000000000004</v>
      </c>
      <c r="I3679">
        <v>9</v>
      </c>
      <c r="J3679" t="s">
        <v>15</v>
      </c>
      <c r="K3679">
        <v>138672.6</v>
      </c>
      <c r="L3679" t="str">
        <f t="shared" si="228"/>
        <v>Dec</v>
      </c>
      <c r="M3679">
        <f t="shared" si="229"/>
        <v>2025</v>
      </c>
      <c r="N3679">
        <f t="shared" si="230"/>
        <v>138672.6</v>
      </c>
      <c r="O3679" t="str">
        <f t="shared" si="231"/>
        <v>Minor Delay</v>
      </c>
    </row>
    <row r="3680" spans="1:15" x14ac:dyDescent="0.25">
      <c r="A3680">
        <v>3679</v>
      </c>
      <c r="B3680" s="2">
        <v>45695</v>
      </c>
      <c r="C3680" t="s">
        <v>18</v>
      </c>
      <c r="D3680" t="s">
        <v>22</v>
      </c>
      <c r="E3680" t="s">
        <v>20</v>
      </c>
      <c r="F3680" t="s">
        <v>14</v>
      </c>
      <c r="G3680">
        <v>266</v>
      </c>
      <c r="H3680">
        <v>493.21</v>
      </c>
      <c r="I3680">
        <v>26</v>
      </c>
      <c r="J3680" t="s">
        <v>15</v>
      </c>
      <c r="K3680">
        <v>131193.85999999999</v>
      </c>
      <c r="L3680" t="str">
        <f t="shared" si="228"/>
        <v>Feb</v>
      </c>
      <c r="M3680">
        <f t="shared" si="229"/>
        <v>2025</v>
      </c>
      <c r="N3680">
        <f t="shared" si="230"/>
        <v>131193.85999999999</v>
      </c>
      <c r="O3680" t="str">
        <f t="shared" si="231"/>
        <v>Minor Delay</v>
      </c>
    </row>
    <row r="3681" spans="1:15" x14ac:dyDescent="0.25">
      <c r="A3681">
        <v>3680</v>
      </c>
      <c r="B3681" s="2">
        <v>45729</v>
      </c>
      <c r="C3681" t="s">
        <v>16</v>
      </c>
      <c r="D3681" t="s">
        <v>27</v>
      </c>
      <c r="E3681" t="s">
        <v>12</v>
      </c>
      <c r="F3681" t="s">
        <v>14</v>
      </c>
      <c r="G3681">
        <v>50</v>
      </c>
      <c r="H3681">
        <v>94.69</v>
      </c>
      <c r="I3681">
        <v>38</v>
      </c>
      <c r="J3681" t="s">
        <v>15</v>
      </c>
      <c r="K3681">
        <v>4734.5</v>
      </c>
      <c r="L3681" t="str">
        <f t="shared" si="228"/>
        <v>Mar</v>
      </c>
      <c r="M3681">
        <f t="shared" si="229"/>
        <v>2025</v>
      </c>
      <c r="N3681">
        <f t="shared" si="230"/>
        <v>4734.5</v>
      </c>
      <c r="O3681" t="str">
        <f t="shared" si="231"/>
        <v>Moderate Delay</v>
      </c>
    </row>
    <row r="3682" spans="1:15" x14ac:dyDescent="0.25">
      <c r="A3682">
        <v>3681</v>
      </c>
      <c r="B3682" s="2">
        <v>45993</v>
      </c>
      <c r="C3682" t="s">
        <v>11</v>
      </c>
      <c r="D3682" t="s">
        <v>27</v>
      </c>
      <c r="E3682" t="s">
        <v>29</v>
      </c>
      <c r="F3682" t="s">
        <v>21</v>
      </c>
      <c r="G3682">
        <v>268</v>
      </c>
      <c r="H3682">
        <v>284.19</v>
      </c>
      <c r="I3682">
        <v>66</v>
      </c>
      <c r="J3682" t="s">
        <v>15</v>
      </c>
      <c r="K3682">
        <v>76162.92</v>
      </c>
      <c r="L3682" t="str">
        <f t="shared" si="228"/>
        <v>Dec</v>
      </c>
      <c r="M3682">
        <f t="shared" si="229"/>
        <v>2025</v>
      </c>
      <c r="N3682">
        <f t="shared" si="230"/>
        <v>76162.92</v>
      </c>
      <c r="O3682" t="str">
        <f t="shared" si="231"/>
        <v>Major Delay</v>
      </c>
    </row>
    <row r="3683" spans="1:15" x14ac:dyDescent="0.25">
      <c r="A3683">
        <v>3682</v>
      </c>
      <c r="B3683" s="2">
        <v>45902</v>
      </c>
      <c r="C3683" t="s">
        <v>11</v>
      </c>
      <c r="D3683" t="s">
        <v>27</v>
      </c>
      <c r="E3683" t="s">
        <v>17</v>
      </c>
      <c r="F3683" t="s">
        <v>14</v>
      </c>
      <c r="G3683">
        <v>222</v>
      </c>
      <c r="H3683">
        <v>749.8</v>
      </c>
      <c r="I3683">
        <v>11</v>
      </c>
      <c r="J3683" t="s">
        <v>15</v>
      </c>
      <c r="K3683">
        <v>166455.6</v>
      </c>
      <c r="L3683" t="str">
        <f t="shared" si="228"/>
        <v>Sep</v>
      </c>
      <c r="M3683">
        <f t="shared" si="229"/>
        <v>2025</v>
      </c>
      <c r="N3683">
        <f t="shared" si="230"/>
        <v>166455.59999999998</v>
      </c>
      <c r="O3683" t="str">
        <f t="shared" si="231"/>
        <v>Minor Delay</v>
      </c>
    </row>
    <row r="3684" spans="1:15" x14ac:dyDescent="0.25">
      <c r="A3684">
        <v>3683</v>
      </c>
      <c r="B3684" s="2">
        <v>45928</v>
      </c>
      <c r="C3684" t="s">
        <v>16</v>
      </c>
      <c r="D3684" t="s">
        <v>23</v>
      </c>
      <c r="E3684" t="s">
        <v>22</v>
      </c>
      <c r="F3684" t="s">
        <v>24</v>
      </c>
      <c r="G3684">
        <v>223</v>
      </c>
      <c r="H3684">
        <v>717.84</v>
      </c>
      <c r="I3684">
        <v>80</v>
      </c>
      <c r="J3684" t="s">
        <v>15</v>
      </c>
      <c r="K3684">
        <v>160078.32</v>
      </c>
      <c r="L3684" t="str">
        <f t="shared" si="228"/>
        <v>Sep</v>
      </c>
      <c r="M3684">
        <f t="shared" si="229"/>
        <v>2025</v>
      </c>
      <c r="N3684">
        <f t="shared" si="230"/>
        <v>160078.32</v>
      </c>
      <c r="O3684" t="str">
        <f t="shared" si="231"/>
        <v>Major Delay</v>
      </c>
    </row>
    <row r="3685" spans="1:15" x14ac:dyDescent="0.25">
      <c r="A3685">
        <v>3684</v>
      </c>
      <c r="B3685" s="2">
        <v>45820</v>
      </c>
      <c r="C3685" t="s">
        <v>25</v>
      </c>
      <c r="D3685" t="s">
        <v>17</v>
      </c>
      <c r="E3685" t="s">
        <v>22</v>
      </c>
      <c r="F3685" t="s">
        <v>24</v>
      </c>
      <c r="G3685">
        <v>67</v>
      </c>
      <c r="H3685">
        <v>508.37</v>
      </c>
      <c r="I3685">
        <v>11</v>
      </c>
      <c r="J3685" t="s">
        <v>15</v>
      </c>
      <c r="K3685">
        <v>34060.79</v>
      </c>
      <c r="L3685" t="str">
        <f t="shared" si="228"/>
        <v>Jun</v>
      </c>
      <c r="M3685">
        <f t="shared" si="229"/>
        <v>2025</v>
      </c>
      <c r="N3685">
        <f t="shared" si="230"/>
        <v>34060.79</v>
      </c>
      <c r="O3685" t="str">
        <f t="shared" si="231"/>
        <v>Minor Delay</v>
      </c>
    </row>
    <row r="3686" spans="1:15" x14ac:dyDescent="0.25">
      <c r="A3686">
        <v>3685</v>
      </c>
      <c r="B3686" s="2">
        <v>45729</v>
      </c>
      <c r="C3686" t="s">
        <v>16</v>
      </c>
      <c r="D3686" t="s">
        <v>12</v>
      </c>
      <c r="E3686" t="s">
        <v>19</v>
      </c>
      <c r="F3686" t="s">
        <v>24</v>
      </c>
      <c r="G3686">
        <v>104</v>
      </c>
      <c r="H3686">
        <v>615.48</v>
      </c>
      <c r="I3686">
        <v>0</v>
      </c>
      <c r="J3686" t="s">
        <v>30</v>
      </c>
      <c r="K3686">
        <v>64009.919999999998</v>
      </c>
      <c r="L3686" t="str">
        <f t="shared" si="228"/>
        <v>Mar</v>
      </c>
      <c r="M3686">
        <f t="shared" si="229"/>
        <v>2025</v>
      </c>
      <c r="N3686">
        <f t="shared" si="230"/>
        <v>64009.919999999998</v>
      </c>
      <c r="O3686" t="str">
        <f t="shared" si="231"/>
        <v>On Time</v>
      </c>
    </row>
    <row r="3687" spans="1:15" x14ac:dyDescent="0.25">
      <c r="A3687">
        <v>3686</v>
      </c>
      <c r="B3687" s="2">
        <v>45854</v>
      </c>
      <c r="C3687" t="s">
        <v>16</v>
      </c>
      <c r="D3687" t="s">
        <v>12</v>
      </c>
      <c r="E3687" t="s">
        <v>27</v>
      </c>
      <c r="F3687" t="s">
        <v>21</v>
      </c>
      <c r="G3687">
        <v>211</v>
      </c>
      <c r="H3687">
        <v>524.26</v>
      </c>
      <c r="I3687">
        <v>8</v>
      </c>
      <c r="J3687" t="s">
        <v>15</v>
      </c>
      <c r="K3687">
        <v>110618.86</v>
      </c>
      <c r="L3687" t="str">
        <f t="shared" si="228"/>
        <v>Jul</v>
      </c>
      <c r="M3687">
        <f t="shared" si="229"/>
        <v>2025</v>
      </c>
      <c r="N3687">
        <f t="shared" si="230"/>
        <v>110618.86</v>
      </c>
      <c r="O3687" t="str">
        <f t="shared" si="231"/>
        <v>Minor Delay</v>
      </c>
    </row>
    <row r="3688" spans="1:15" x14ac:dyDescent="0.25">
      <c r="A3688">
        <v>3687</v>
      </c>
      <c r="B3688" s="2">
        <v>45755</v>
      </c>
      <c r="C3688" t="s">
        <v>18</v>
      </c>
      <c r="D3688" t="s">
        <v>13</v>
      </c>
      <c r="E3688" t="s">
        <v>19</v>
      </c>
      <c r="F3688" t="s">
        <v>24</v>
      </c>
      <c r="G3688">
        <v>245</v>
      </c>
      <c r="H3688">
        <v>146.11000000000001</v>
      </c>
      <c r="I3688">
        <v>0</v>
      </c>
      <c r="J3688" t="s">
        <v>15</v>
      </c>
      <c r="K3688">
        <v>35796.949999999997</v>
      </c>
      <c r="L3688" t="str">
        <f t="shared" si="228"/>
        <v>Apr</v>
      </c>
      <c r="M3688">
        <f t="shared" si="229"/>
        <v>2025</v>
      </c>
      <c r="N3688">
        <f t="shared" si="230"/>
        <v>35796.950000000004</v>
      </c>
      <c r="O3688" t="str">
        <f t="shared" si="231"/>
        <v>On Time</v>
      </c>
    </row>
    <row r="3689" spans="1:15" x14ac:dyDescent="0.25">
      <c r="A3689">
        <v>3688</v>
      </c>
      <c r="B3689" s="2">
        <v>45978</v>
      </c>
      <c r="C3689" t="s">
        <v>31</v>
      </c>
      <c r="D3689" t="s">
        <v>19</v>
      </c>
      <c r="E3689" t="s">
        <v>17</v>
      </c>
      <c r="F3689" t="s">
        <v>21</v>
      </c>
      <c r="G3689">
        <v>66</v>
      </c>
      <c r="H3689">
        <v>366.23</v>
      </c>
      <c r="I3689">
        <v>0</v>
      </c>
      <c r="J3689" t="s">
        <v>15</v>
      </c>
      <c r="K3689">
        <v>24171.18</v>
      </c>
      <c r="L3689" t="str">
        <f t="shared" si="228"/>
        <v>Nov</v>
      </c>
      <c r="M3689">
        <f t="shared" si="229"/>
        <v>2025</v>
      </c>
      <c r="N3689">
        <f t="shared" si="230"/>
        <v>24171.18</v>
      </c>
      <c r="O3689" t="str">
        <f t="shared" si="231"/>
        <v>On Time</v>
      </c>
    </row>
    <row r="3690" spans="1:15" x14ac:dyDescent="0.25">
      <c r="A3690">
        <v>3689</v>
      </c>
      <c r="B3690" s="2">
        <v>45782</v>
      </c>
      <c r="C3690" t="s">
        <v>11</v>
      </c>
      <c r="D3690" t="s">
        <v>23</v>
      </c>
      <c r="E3690" t="s">
        <v>13</v>
      </c>
      <c r="F3690" t="s">
        <v>14</v>
      </c>
      <c r="G3690">
        <v>250</v>
      </c>
      <c r="H3690">
        <v>487.28</v>
      </c>
      <c r="I3690">
        <v>49</v>
      </c>
      <c r="J3690" t="s">
        <v>15</v>
      </c>
      <c r="K3690">
        <v>121820</v>
      </c>
      <c r="L3690" t="str">
        <f t="shared" si="228"/>
        <v>May</v>
      </c>
      <c r="M3690">
        <f t="shared" si="229"/>
        <v>2025</v>
      </c>
      <c r="N3690">
        <f t="shared" si="230"/>
        <v>121820</v>
      </c>
      <c r="O3690" t="str">
        <f t="shared" si="231"/>
        <v>Moderate Delay</v>
      </c>
    </row>
    <row r="3691" spans="1:15" x14ac:dyDescent="0.25">
      <c r="A3691">
        <v>3690</v>
      </c>
      <c r="B3691" s="2">
        <v>45729</v>
      </c>
      <c r="C3691" t="s">
        <v>31</v>
      </c>
      <c r="D3691" t="s">
        <v>29</v>
      </c>
      <c r="E3691" t="s">
        <v>17</v>
      </c>
      <c r="F3691" t="s">
        <v>14</v>
      </c>
      <c r="G3691">
        <v>276</v>
      </c>
      <c r="H3691">
        <v>716.28</v>
      </c>
      <c r="I3691">
        <v>33</v>
      </c>
      <c r="J3691" t="s">
        <v>30</v>
      </c>
      <c r="K3691">
        <v>197693.28</v>
      </c>
      <c r="L3691" t="str">
        <f t="shared" si="228"/>
        <v>Mar</v>
      </c>
      <c r="M3691">
        <f t="shared" si="229"/>
        <v>2025</v>
      </c>
      <c r="N3691">
        <f t="shared" si="230"/>
        <v>197693.28</v>
      </c>
      <c r="O3691" t="str">
        <f t="shared" si="231"/>
        <v>Moderate Delay</v>
      </c>
    </row>
    <row r="3692" spans="1:15" x14ac:dyDescent="0.25">
      <c r="A3692">
        <v>3691</v>
      </c>
      <c r="B3692" s="2">
        <v>45747</v>
      </c>
      <c r="C3692" t="s">
        <v>18</v>
      </c>
      <c r="D3692" t="s">
        <v>20</v>
      </c>
      <c r="E3692" t="s">
        <v>12</v>
      </c>
      <c r="F3692" t="s">
        <v>21</v>
      </c>
      <c r="G3692">
        <v>111</v>
      </c>
      <c r="H3692">
        <v>401.21</v>
      </c>
      <c r="I3692">
        <v>16</v>
      </c>
      <c r="J3692" t="s">
        <v>15</v>
      </c>
      <c r="K3692">
        <v>44534.31</v>
      </c>
      <c r="L3692" t="str">
        <f t="shared" si="228"/>
        <v>Mar</v>
      </c>
      <c r="M3692">
        <f t="shared" si="229"/>
        <v>2025</v>
      </c>
      <c r="N3692">
        <f t="shared" si="230"/>
        <v>44534.31</v>
      </c>
      <c r="O3692" t="str">
        <f t="shared" si="231"/>
        <v>Minor Delay</v>
      </c>
    </row>
    <row r="3693" spans="1:15" x14ac:dyDescent="0.25">
      <c r="A3693">
        <v>3692</v>
      </c>
      <c r="B3693" s="2">
        <v>45818</v>
      </c>
      <c r="C3693" t="s">
        <v>11</v>
      </c>
      <c r="D3693" t="s">
        <v>29</v>
      </c>
      <c r="E3693" t="s">
        <v>19</v>
      </c>
      <c r="F3693" t="s">
        <v>21</v>
      </c>
      <c r="G3693">
        <v>156</v>
      </c>
      <c r="H3693">
        <v>623.59</v>
      </c>
      <c r="I3693">
        <v>68</v>
      </c>
      <c r="J3693" t="s">
        <v>15</v>
      </c>
      <c r="K3693">
        <v>97280.04</v>
      </c>
      <c r="L3693" t="str">
        <f t="shared" si="228"/>
        <v>Jun</v>
      </c>
      <c r="M3693">
        <f t="shared" si="229"/>
        <v>2025</v>
      </c>
      <c r="N3693">
        <f t="shared" si="230"/>
        <v>97280.040000000008</v>
      </c>
      <c r="O3693" t="str">
        <f t="shared" si="231"/>
        <v>Major Delay</v>
      </c>
    </row>
    <row r="3694" spans="1:15" x14ac:dyDescent="0.25">
      <c r="A3694">
        <v>3693</v>
      </c>
      <c r="B3694" s="2">
        <v>45785</v>
      </c>
      <c r="C3694" t="s">
        <v>25</v>
      </c>
      <c r="D3694" t="s">
        <v>27</v>
      </c>
      <c r="E3694" t="s">
        <v>23</v>
      </c>
      <c r="F3694" t="s">
        <v>21</v>
      </c>
      <c r="G3694">
        <v>159</v>
      </c>
      <c r="H3694">
        <v>627.39</v>
      </c>
      <c r="I3694">
        <v>16</v>
      </c>
      <c r="J3694" t="s">
        <v>15</v>
      </c>
      <c r="K3694">
        <v>99755.01</v>
      </c>
      <c r="L3694" t="str">
        <f t="shared" si="228"/>
        <v>May</v>
      </c>
      <c r="M3694">
        <f t="shared" si="229"/>
        <v>2025</v>
      </c>
      <c r="N3694">
        <f t="shared" si="230"/>
        <v>99755.01</v>
      </c>
      <c r="O3694" t="str">
        <f t="shared" si="231"/>
        <v>Minor Delay</v>
      </c>
    </row>
    <row r="3695" spans="1:15" x14ac:dyDescent="0.25">
      <c r="A3695">
        <v>3694</v>
      </c>
      <c r="B3695" s="2">
        <v>45816</v>
      </c>
      <c r="C3695" t="s">
        <v>11</v>
      </c>
      <c r="D3695" t="s">
        <v>12</v>
      </c>
      <c r="E3695" t="s">
        <v>29</v>
      </c>
      <c r="F3695" t="s">
        <v>14</v>
      </c>
      <c r="G3695">
        <v>61</v>
      </c>
      <c r="H3695">
        <v>375.3</v>
      </c>
      <c r="I3695">
        <v>0</v>
      </c>
      <c r="J3695" t="s">
        <v>15</v>
      </c>
      <c r="K3695">
        <v>22893.3</v>
      </c>
      <c r="L3695" t="str">
        <f t="shared" si="228"/>
        <v>Jun</v>
      </c>
      <c r="M3695">
        <f t="shared" si="229"/>
        <v>2025</v>
      </c>
      <c r="N3695">
        <f t="shared" si="230"/>
        <v>22893.3</v>
      </c>
      <c r="O3695" t="str">
        <f t="shared" si="231"/>
        <v>On Time</v>
      </c>
    </row>
    <row r="3696" spans="1:15" x14ac:dyDescent="0.25">
      <c r="A3696">
        <v>3695</v>
      </c>
      <c r="B3696" s="2">
        <v>45822</v>
      </c>
      <c r="C3696" t="s">
        <v>31</v>
      </c>
      <c r="D3696" t="s">
        <v>27</v>
      </c>
      <c r="E3696" t="s">
        <v>13</v>
      </c>
      <c r="F3696" t="s">
        <v>24</v>
      </c>
      <c r="G3696">
        <v>172</v>
      </c>
      <c r="H3696">
        <v>123.03</v>
      </c>
      <c r="I3696">
        <v>0</v>
      </c>
      <c r="J3696" t="s">
        <v>15</v>
      </c>
      <c r="K3696">
        <v>21161.16</v>
      </c>
      <c r="L3696" t="str">
        <f t="shared" si="228"/>
        <v>Jun</v>
      </c>
      <c r="M3696">
        <f t="shared" si="229"/>
        <v>2025</v>
      </c>
      <c r="N3696">
        <f t="shared" si="230"/>
        <v>21161.16</v>
      </c>
      <c r="O3696" t="str">
        <f t="shared" si="231"/>
        <v>On Time</v>
      </c>
    </row>
    <row r="3697" spans="1:15" x14ac:dyDescent="0.25">
      <c r="A3697">
        <v>3696</v>
      </c>
      <c r="B3697" s="2">
        <v>46015</v>
      </c>
      <c r="C3697" t="s">
        <v>11</v>
      </c>
      <c r="D3697" t="s">
        <v>13</v>
      </c>
      <c r="E3697" t="s">
        <v>20</v>
      </c>
      <c r="F3697" t="s">
        <v>24</v>
      </c>
      <c r="G3697">
        <v>185</v>
      </c>
      <c r="H3697">
        <v>414.39</v>
      </c>
      <c r="I3697">
        <v>53</v>
      </c>
      <c r="J3697" t="s">
        <v>15</v>
      </c>
      <c r="K3697">
        <v>76662.149999999994</v>
      </c>
      <c r="L3697" t="str">
        <f t="shared" si="228"/>
        <v>Dec</v>
      </c>
      <c r="M3697">
        <f t="shared" si="229"/>
        <v>2025</v>
      </c>
      <c r="N3697">
        <f t="shared" si="230"/>
        <v>76662.149999999994</v>
      </c>
      <c r="O3697" t="str">
        <f t="shared" si="231"/>
        <v>Moderate Delay</v>
      </c>
    </row>
    <row r="3698" spans="1:15" x14ac:dyDescent="0.25">
      <c r="A3698">
        <v>3697</v>
      </c>
      <c r="B3698" s="2">
        <v>45953</v>
      </c>
      <c r="C3698" t="s">
        <v>16</v>
      </c>
      <c r="D3698" t="s">
        <v>29</v>
      </c>
      <c r="E3698" t="s">
        <v>17</v>
      </c>
      <c r="F3698" t="s">
        <v>21</v>
      </c>
      <c r="G3698">
        <v>88</v>
      </c>
      <c r="H3698">
        <v>71.7</v>
      </c>
      <c r="I3698">
        <v>12</v>
      </c>
      <c r="J3698" t="s">
        <v>30</v>
      </c>
      <c r="K3698">
        <v>6309.6</v>
      </c>
      <c r="L3698" t="str">
        <f t="shared" si="228"/>
        <v>Oct</v>
      </c>
      <c r="M3698">
        <f t="shared" si="229"/>
        <v>2025</v>
      </c>
      <c r="N3698">
        <f t="shared" si="230"/>
        <v>6309.6</v>
      </c>
      <c r="O3698" t="str">
        <f t="shared" si="231"/>
        <v>Minor Delay</v>
      </c>
    </row>
    <row r="3699" spans="1:15" x14ac:dyDescent="0.25">
      <c r="A3699">
        <v>3698</v>
      </c>
      <c r="B3699" s="2">
        <v>45717</v>
      </c>
      <c r="C3699" t="s">
        <v>18</v>
      </c>
      <c r="D3699" t="s">
        <v>20</v>
      </c>
      <c r="E3699" t="s">
        <v>29</v>
      </c>
      <c r="F3699" t="s">
        <v>14</v>
      </c>
      <c r="G3699">
        <v>276</v>
      </c>
      <c r="H3699">
        <v>596.11</v>
      </c>
      <c r="I3699">
        <v>0</v>
      </c>
      <c r="J3699" t="s">
        <v>15</v>
      </c>
      <c r="K3699">
        <v>164526.35999999999</v>
      </c>
      <c r="L3699" t="str">
        <f t="shared" si="228"/>
        <v>Mar</v>
      </c>
      <c r="M3699">
        <f t="shared" si="229"/>
        <v>2025</v>
      </c>
      <c r="N3699">
        <f t="shared" si="230"/>
        <v>164526.36000000002</v>
      </c>
      <c r="O3699" t="str">
        <f t="shared" si="231"/>
        <v>On Time</v>
      </c>
    </row>
    <row r="3700" spans="1:15" x14ac:dyDescent="0.25">
      <c r="A3700">
        <v>3699</v>
      </c>
      <c r="B3700" s="2">
        <v>45732</v>
      </c>
      <c r="C3700" t="s">
        <v>11</v>
      </c>
      <c r="D3700" t="s">
        <v>13</v>
      </c>
      <c r="E3700" t="s">
        <v>23</v>
      </c>
      <c r="F3700" t="s">
        <v>24</v>
      </c>
      <c r="G3700">
        <v>180</v>
      </c>
      <c r="H3700">
        <v>279.75</v>
      </c>
      <c r="I3700">
        <v>17</v>
      </c>
      <c r="J3700" t="s">
        <v>15</v>
      </c>
      <c r="K3700">
        <v>50355</v>
      </c>
      <c r="L3700" t="str">
        <f t="shared" si="228"/>
        <v>Mar</v>
      </c>
      <c r="M3700">
        <f t="shared" si="229"/>
        <v>2025</v>
      </c>
      <c r="N3700">
        <f t="shared" si="230"/>
        <v>50355</v>
      </c>
      <c r="O3700" t="str">
        <f t="shared" si="231"/>
        <v>Minor Delay</v>
      </c>
    </row>
    <row r="3701" spans="1:15" x14ac:dyDescent="0.25">
      <c r="A3701">
        <v>3700</v>
      </c>
      <c r="B3701" s="2">
        <v>45897</v>
      </c>
      <c r="C3701" t="s">
        <v>11</v>
      </c>
      <c r="D3701" t="s">
        <v>22</v>
      </c>
      <c r="E3701" t="s">
        <v>27</v>
      </c>
      <c r="F3701" t="s">
        <v>21</v>
      </c>
      <c r="G3701">
        <v>166</v>
      </c>
      <c r="H3701">
        <v>777.93</v>
      </c>
      <c r="I3701">
        <v>19</v>
      </c>
      <c r="J3701" t="s">
        <v>15</v>
      </c>
      <c r="K3701">
        <v>129136.38</v>
      </c>
      <c r="L3701" t="str">
        <f t="shared" si="228"/>
        <v>Aug</v>
      </c>
      <c r="M3701">
        <f t="shared" si="229"/>
        <v>2025</v>
      </c>
      <c r="N3701">
        <f t="shared" si="230"/>
        <v>129136.37999999999</v>
      </c>
      <c r="O3701" t="str">
        <f t="shared" si="231"/>
        <v>Minor Delay</v>
      </c>
    </row>
    <row r="3702" spans="1:15" x14ac:dyDescent="0.25">
      <c r="A3702">
        <v>3701</v>
      </c>
      <c r="B3702" s="2">
        <v>45908</v>
      </c>
      <c r="C3702" t="s">
        <v>31</v>
      </c>
      <c r="D3702" t="s">
        <v>19</v>
      </c>
      <c r="E3702" t="s">
        <v>17</v>
      </c>
      <c r="F3702" t="s">
        <v>24</v>
      </c>
      <c r="G3702">
        <v>245</v>
      </c>
      <c r="H3702">
        <v>316.23</v>
      </c>
      <c r="I3702">
        <v>0</v>
      </c>
      <c r="J3702" t="s">
        <v>15</v>
      </c>
      <c r="K3702">
        <v>77476.350000000006</v>
      </c>
      <c r="L3702" t="str">
        <f t="shared" si="228"/>
        <v>Sep</v>
      </c>
      <c r="M3702">
        <f t="shared" si="229"/>
        <v>2025</v>
      </c>
      <c r="N3702">
        <f t="shared" si="230"/>
        <v>77476.350000000006</v>
      </c>
      <c r="O3702" t="str">
        <f t="shared" si="231"/>
        <v>On Time</v>
      </c>
    </row>
    <row r="3703" spans="1:15" x14ac:dyDescent="0.25">
      <c r="A3703">
        <v>3702</v>
      </c>
      <c r="B3703" s="2">
        <v>46007</v>
      </c>
      <c r="C3703" t="s">
        <v>16</v>
      </c>
      <c r="D3703" t="s">
        <v>20</v>
      </c>
      <c r="E3703" t="s">
        <v>23</v>
      </c>
      <c r="F3703" t="s">
        <v>14</v>
      </c>
      <c r="G3703">
        <v>66</v>
      </c>
      <c r="H3703">
        <v>414.82</v>
      </c>
      <c r="I3703">
        <v>5</v>
      </c>
      <c r="J3703" t="s">
        <v>15</v>
      </c>
      <c r="K3703">
        <v>27378.12</v>
      </c>
      <c r="L3703" t="str">
        <f t="shared" si="228"/>
        <v>Dec</v>
      </c>
      <c r="M3703">
        <f t="shared" si="229"/>
        <v>2025</v>
      </c>
      <c r="N3703">
        <f t="shared" si="230"/>
        <v>27378.12</v>
      </c>
      <c r="O3703" t="str">
        <f t="shared" si="231"/>
        <v>Minor Delay</v>
      </c>
    </row>
    <row r="3704" spans="1:15" x14ac:dyDescent="0.25">
      <c r="A3704">
        <v>3703</v>
      </c>
      <c r="B3704" s="2">
        <v>45664</v>
      </c>
      <c r="C3704" t="s">
        <v>11</v>
      </c>
      <c r="D3704" t="s">
        <v>17</v>
      </c>
      <c r="E3704" t="s">
        <v>27</v>
      </c>
      <c r="F3704" t="s">
        <v>21</v>
      </c>
      <c r="G3704">
        <v>185</v>
      </c>
      <c r="H3704">
        <v>375.02</v>
      </c>
      <c r="I3704">
        <v>44</v>
      </c>
      <c r="J3704" t="s">
        <v>15</v>
      </c>
      <c r="K3704">
        <v>69378.7</v>
      </c>
      <c r="L3704" t="str">
        <f t="shared" si="228"/>
        <v>Jan</v>
      </c>
      <c r="M3704">
        <f t="shared" si="229"/>
        <v>2025</v>
      </c>
      <c r="N3704">
        <f t="shared" si="230"/>
        <v>69378.7</v>
      </c>
      <c r="O3704" t="str">
        <f t="shared" si="231"/>
        <v>Moderate Delay</v>
      </c>
    </row>
    <row r="3705" spans="1:15" x14ac:dyDescent="0.25">
      <c r="A3705">
        <v>3704</v>
      </c>
      <c r="B3705" s="2">
        <v>45710</v>
      </c>
      <c r="C3705" t="s">
        <v>11</v>
      </c>
      <c r="D3705" t="s">
        <v>17</v>
      </c>
      <c r="E3705" t="s">
        <v>12</v>
      </c>
      <c r="F3705" t="s">
        <v>24</v>
      </c>
      <c r="G3705">
        <v>292</v>
      </c>
      <c r="H3705">
        <v>471.15</v>
      </c>
      <c r="I3705">
        <v>13</v>
      </c>
      <c r="J3705" t="s">
        <v>15</v>
      </c>
      <c r="K3705">
        <v>137575.79999999999</v>
      </c>
      <c r="L3705" t="str">
        <f t="shared" si="228"/>
        <v>Feb</v>
      </c>
      <c r="M3705">
        <f t="shared" si="229"/>
        <v>2025</v>
      </c>
      <c r="N3705">
        <f t="shared" si="230"/>
        <v>137575.79999999999</v>
      </c>
      <c r="O3705" t="str">
        <f t="shared" si="231"/>
        <v>Minor Delay</v>
      </c>
    </row>
    <row r="3706" spans="1:15" x14ac:dyDescent="0.25">
      <c r="A3706">
        <v>3705</v>
      </c>
      <c r="B3706" s="2">
        <v>45764</v>
      </c>
      <c r="C3706" t="s">
        <v>16</v>
      </c>
      <c r="D3706" t="s">
        <v>29</v>
      </c>
      <c r="E3706" t="s">
        <v>23</v>
      </c>
      <c r="F3706" t="s">
        <v>14</v>
      </c>
      <c r="G3706">
        <v>189</v>
      </c>
      <c r="H3706">
        <v>91.79</v>
      </c>
      <c r="I3706">
        <v>4</v>
      </c>
      <c r="J3706" t="s">
        <v>15</v>
      </c>
      <c r="K3706">
        <v>17348.310000000001</v>
      </c>
      <c r="L3706" t="str">
        <f t="shared" si="228"/>
        <v>Apr</v>
      </c>
      <c r="M3706">
        <f t="shared" si="229"/>
        <v>2025</v>
      </c>
      <c r="N3706">
        <f t="shared" si="230"/>
        <v>17348.310000000001</v>
      </c>
      <c r="O3706" t="str">
        <f t="shared" si="231"/>
        <v>Minor Delay</v>
      </c>
    </row>
    <row r="3707" spans="1:15" x14ac:dyDescent="0.25">
      <c r="A3707">
        <v>3706</v>
      </c>
      <c r="B3707" s="2">
        <v>45953</v>
      </c>
      <c r="C3707" t="s">
        <v>11</v>
      </c>
      <c r="D3707" t="s">
        <v>27</v>
      </c>
      <c r="E3707" t="s">
        <v>29</v>
      </c>
      <c r="F3707" t="s">
        <v>21</v>
      </c>
      <c r="G3707">
        <v>114</v>
      </c>
      <c r="H3707">
        <v>795.73</v>
      </c>
      <c r="I3707">
        <v>31</v>
      </c>
      <c r="J3707" t="s">
        <v>15</v>
      </c>
      <c r="K3707">
        <v>90713.22</v>
      </c>
      <c r="L3707" t="str">
        <f t="shared" si="228"/>
        <v>Oct</v>
      </c>
      <c r="M3707">
        <f t="shared" si="229"/>
        <v>2025</v>
      </c>
      <c r="N3707">
        <f t="shared" si="230"/>
        <v>90713.22</v>
      </c>
      <c r="O3707" t="str">
        <f t="shared" si="231"/>
        <v>Moderate Delay</v>
      </c>
    </row>
    <row r="3708" spans="1:15" x14ac:dyDescent="0.25">
      <c r="A3708">
        <v>3707</v>
      </c>
      <c r="B3708" s="2">
        <v>45772</v>
      </c>
      <c r="C3708" t="s">
        <v>11</v>
      </c>
      <c r="D3708" t="s">
        <v>27</v>
      </c>
      <c r="E3708" t="s">
        <v>20</v>
      </c>
      <c r="F3708" t="s">
        <v>14</v>
      </c>
      <c r="G3708">
        <v>60</v>
      </c>
      <c r="H3708">
        <v>717.1</v>
      </c>
      <c r="I3708">
        <v>7</v>
      </c>
      <c r="J3708" t="s">
        <v>15</v>
      </c>
      <c r="K3708">
        <v>43026</v>
      </c>
      <c r="L3708" t="str">
        <f t="shared" si="228"/>
        <v>Apr</v>
      </c>
      <c r="M3708">
        <f t="shared" si="229"/>
        <v>2025</v>
      </c>
      <c r="N3708">
        <f t="shared" si="230"/>
        <v>43026</v>
      </c>
      <c r="O3708" t="str">
        <f t="shared" si="231"/>
        <v>Minor Delay</v>
      </c>
    </row>
    <row r="3709" spans="1:15" x14ac:dyDescent="0.25">
      <c r="A3709">
        <v>3708</v>
      </c>
      <c r="B3709" s="2">
        <v>45775</v>
      </c>
      <c r="C3709" t="s">
        <v>25</v>
      </c>
      <c r="D3709" t="s">
        <v>29</v>
      </c>
      <c r="E3709" t="s">
        <v>27</v>
      </c>
      <c r="F3709" t="s">
        <v>24</v>
      </c>
      <c r="G3709">
        <v>140</v>
      </c>
      <c r="H3709">
        <v>624.25</v>
      </c>
      <c r="I3709">
        <v>0</v>
      </c>
      <c r="J3709" t="s">
        <v>15</v>
      </c>
      <c r="K3709">
        <v>87395</v>
      </c>
      <c r="L3709" t="str">
        <f t="shared" si="228"/>
        <v>Apr</v>
      </c>
      <c r="M3709">
        <f t="shared" si="229"/>
        <v>2025</v>
      </c>
      <c r="N3709">
        <f t="shared" si="230"/>
        <v>87395</v>
      </c>
      <c r="O3709" t="str">
        <f t="shared" si="231"/>
        <v>On Time</v>
      </c>
    </row>
    <row r="3710" spans="1:15" x14ac:dyDescent="0.25">
      <c r="A3710">
        <v>3709</v>
      </c>
      <c r="B3710" s="2">
        <v>45752</v>
      </c>
      <c r="C3710" t="s">
        <v>16</v>
      </c>
      <c r="D3710" t="s">
        <v>22</v>
      </c>
      <c r="E3710" t="s">
        <v>29</v>
      </c>
      <c r="F3710" t="s">
        <v>24</v>
      </c>
      <c r="G3710">
        <v>84</v>
      </c>
      <c r="H3710">
        <v>64.87</v>
      </c>
      <c r="I3710">
        <v>0</v>
      </c>
      <c r="J3710" t="s">
        <v>15</v>
      </c>
      <c r="K3710">
        <v>5449.08</v>
      </c>
      <c r="L3710" t="str">
        <f t="shared" si="228"/>
        <v>Apr</v>
      </c>
      <c r="M3710">
        <f t="shared" si="229"/>
        <v>2025</v>
      </c>
      <c r="N3710">
        <f t="shared" si="230"/>
        <v>5449.08</v>
      </c>
      <c r="O3710" t="str">
        <f t="shared" si="231"/>
        <v>On Time</v>
      </c>
    </row>
    <row r="3711" spans="1:15" x14ac:dyDescent="0.25">
      <c r="A3711">
        <v>3710</v>
      </c>
      <c r="B3711" s="2">
        <v>45787</v>
      </c>
      <c r="C3711" t="s">
        <v>25</v>
      </c>
      <c r="D3711" t="s">
        <v>29</v>
      </c>
      <c r="E3711" t="s">
        <v>27</v>
      </c>
      <c r="F3711" t="s">
        <v>14</v>
      </c>
      <c r="G3711">
        <v>161</v>
      </c>
      <c r="H3711">
        <v>564.59</v>
      </c>
      <c r="I3711">
        <v>0</v>
      </c>
      <c r="J3711" t="s">
        <v>15</v>
      </c>
      <c r="K3711">
        <v>90898.99</v>
      </c>
      <c r="L3711" t="str">
        <f t="shared" si="228"/>
        <v>May</v>
      </c>
      <c r="M3711">
        <f t="shared" si="229"/>
        <v>2025</v>
      </c>
      <c r="N3711">
        <f t="shared" si="230"/>
        <v>90898.99</v>
      </c>
      <c r="O3711" t="str">
        <f t="shared" si="231"/>
        <v>On Time</v>
      </c>
    </row>
    <row r="3712" spans="1:15" x14ac:dyDescent="0.25">
      <c r="A3712">
        <v>3711</v>
      </c>
      <c r="B3712" s="2">
        <v>45980</v>
      </c>
      <c r="C3712" t="s">
        <v>18</v>
      </c>
      <c r="D3712" t="s">
        <v>17</v>
      </c>
      <c r="E3712" t="s">
        <v>19</v>
      </c>
      <c r="F3712" t="s">
        <v>24</v>
      </c>
      <c r="G3712">
        <v>66</v>
      </c>
      <c r="H3712">
        <v>176.19</v>
      </c>
      <c r="I3712">
        <v>17</v>
      </c>
      <c r="J3712" t="s">
        <v>15</v>
      </c>
      <c r="K3712">
        <v>11628.54</v>
      </c>
      <c r="L3712" t="str">
        <f t="shared" si="228"/>
        <v>Nov</v>
      </c>
      <c r="M3712">
        <f t="shared" si="229"/>
        <v>2025</v>
      </c>
      <c r="N3712">
        <f t="shared" si="230"/>
        <v>11628.539999999999</v>
      </c>
      <c r="O3712" t="str">
        <f t="shared" si="231"/>
        <v>Minor Delay</v>
      </c>
    </row>
    <row r="3713" spans="1:15" x14ac:dyDescent="0.25">
      <c r="A3713">
        <v>3712</v>
      </c>
      <c r="B3713" s="2">
        <v>45844</v>
      </c>
      <c r="C3713" t="s">
        <v>16</v>
      </c>
      <c r="D3713" t="s">
        <v>13</v>
      </c>
      <c r="E3713" t="s">
        <v>12</v>
      </c>
      <c r="F3713" t="s">
        <v>14</v>
      </c>
      <c r="G3713">
        <v>181</v>
      </c>
      <c r="H3713">
        <v>144.97</v>
      </c>
      <c r="I3713">
        <v>0</v>
      </c>
      <c r="J3713" t="s">
        <v>15</v>
      </c>
      <c r="K3713">
        <v>26239.57</v>
      </c>
      <c r="L3713" t="str">
        <f t="shared" si="228"/>
        <v>Jul</v>
      </c>
      <c r="M3713">
        <f t="shared" si="229"/>
        <v>2025</v>
      </c>
      <c r="N3713">
        <f t="shared" si="230"/>
        <v>26239.57</v>
      </c>
      <c r="O3713" t="str">
        <f t="shared" si="231"/>
        <v>On Time</v>
      </c>
    </row>
    <row r="3714" spans="1:15" x14ac:dyDescent="0.25">
      <c r="A3714">
        <v>3713</v>
      </c>
      <c r="B3714" s="2">
        <v>46021</v>
      </c>
      <c r="C3714" t="s">
        <v>11</v>
      </c>
      <c r="D3714" t="s">
        <v>27</v>
      </c>
      <c r="E3714" t="s">
        <v>23</v>
      </c>
      <c r="F3714" t="s">
        <v>14</v>
      </c>
      <c r="G3714">
        <v>159</v>
      </c>
      <c r="H3714">
        <v>709.06</v>
      </c>
      <c r="I3714">
        <v>22</v>
      </c>
      <c r="J3714" t="s">
        <v>15</v>
      </c>
      <c r="K3714">
        <v>112740.54</v>
      </c>
      <c r="L3714" t="str">
        <f t="shared" si="228"/>
        <v>Dec</v>
      </c>
      <c r="M3714">
        <f t="shared" si="229"/>
        <v>2025</v>
      </c>
      <c r="N3714">
        <f t="shared" si="230"/>
        <v>112740.54</v>
      </c>
      <c r="O3714" t="str">
        <f t="shared" si="231"/>
        <v>Minor Delay</v>
      </c>
    </row>
    <row r="3715" spans="1:15" x14ac:dyDescent="0.25">
      <c r="A3715">
        <v>3714</v>
      </c>
      <c r="B3715" s="2">
        <v>45726</v>
      </c>
      <c r="C3715" t="s">
        <v>11</v>
      </c>
      <c r="D3715" t="s">
        <v>13</v>
      </c>
      <c r="E3715" t="s">
        <v>27</v>
      </c>
      <c r="F3715" t="s">
        <v>14</v>
      </c>
      <c r="G3715">
        <v>132</v>
      </c>
      <c r="H3715">
        <v>88.33</v>
      </c>
      <c r="I3715">
        <v>27</v>
      </c>
      <c r="J3715" t="s">
        <v>15</v>
      </c>
      <c r="K3715">
        <v>11659.56</v>
      </c>
      <c r="L3715" t="str">
        <f t="shared" ref="L3715:L3778" si="232">TEXT(B3715,"MMM")</f>
        <v>Mar</v>
      </c>
      <c r="M3715">
        <f t="shared" ref="M3715:M3778" si="233">YEAR(B3715)</f>
        <v>2025</v>
      </c>
      <c r="N3715">
        <f t="shared" ref="N3715:N3778" si="234">G3715*H3715</f>
        <v>11659.56</v>
      </c>
      <c r="O3715" t="str">
        <f t="shared" ref="O3715:O3778" si="235">IF(I3715=0,"On Time",IF(I3715&lt;=30,"Minor Delay",IF(I3715&lt;=60,"Moderate Delay","Major Delay")))</f>
        <v>Minor Delay</v>
      </c>
    </row>
    <row r="3716" spans="1:15" x14ac:dyDescent="0.25">
      <c r="A3716">
        <v>3715</v>
      </c>
      <c r="B3716" s="2">
        <v>45659</v>
      </c>
      <c r="C3716" t="s">
        <v>25</v>
      </c>
      <c r="D3716" t="s">
        <v>27</v>
      </c>
      <c r="E3716" t="s">
        <v>19</v>
      </c>
      <c r="F3716" t="s">
        <v>14</v>
      </c>
      <c r="G3716">
        <v>221</v>
      </c>
      <c r="H3716">
        <v>261.07</v>
      </c>
      <c r="I3716">
        <v>48</v>
      </c>
      <c r="J3716" t="s">
        <v>15</v>
      </c>
      <c r="K3716">
        <v>57696.47</v>
      </c>
      <c r="L3716" t="str">
        <f t="shared" si="232"/>
        <v>Jan</v>
      </c>
      <c r="M3716">
        <f t="shared" si="233"/>
        <v>2025</v>
      </c>
      <c r="N3716">
        <f t="shared" si="234"/>
        <v>57696.47</v>
      </c>
      <c r="O3716" t="str">
        <f t="shared" si="235"/>
        <v>Moderate Delay</v>
      </c>
    </row>
    <row r="3717" spans="1:15" x14ac:dyDescent="0.25">
      <c r="A3717">
        <v>3716</v>
      </c>
      <c r="B3717" s="2">
        <v>45762</v>
      </c>
      <c r="C3717" t="s">
        <v>31</v>
      </c>
      <c r="D3717" t="s">
        <v>20</v>
      </c>
      <c r="E3717" t="s">
        <v>22</v>
      </c>
      <c r="F3717" t="s">
        <v>14</v>
      </c>
      <c r="G3717">
        <v>161</v>
      </c>
      <c r="H3717">
        <v>627.96</v>
      </c>
      <c r="I3717">
        <v>56</v>
      </c>
      <c r="J3717" t="s">
        <v>15</v>
      </c>
      <c r="K3717">
        <v>101101.56</v>
      </c>
      <c r="L3717" t="str">
        <f t="shared" si="232"/>
        <v>Apr</v>
      </c>
      <c r="M3717">
        <f t="shared" si="233"/>
        <v>2025</v>
      </c>
      <c r="N3717">
        <f t="shared" si="234"/>
        <v>101101.56000000001</v>
      </c>
      <c r="O3717" t="str">
        <f t="shared" si="235"/>
        <v>Moderate Delay</v>
      </c>
    </row>
    <row r="3718" spans="1:15" x14ac:dyDescent="0.25">
      <c r="A3718">
        <v>3717</v>
      </c>
      <c r="B3718" s="2">
        <v>45968</v>
      </c>
      <c r="C3718" t="s">
        <v>16</v>
      </c>
      <c r="D3718" t="s">
        <v>27</v>
      </c>
      <c r="E3718" t="s">
        <v>13</v>
      </c>
      <c r="F3718" t="s">
        <v>24</v>
      </c>
      <c r="G3718">
        <v>231</v>
      </c>
      <c r="H3718">
        <v>353.33</v>
      </c>
      <c r="I3718">
        <v>54</v>
      </c>
      <c r="J3718" t="s">
        <v>15</v>
      </c>
      <c r="K3718">
        <v>81619.23</v>
      </c>
      <c r="L3718" t="str">
        <f t="shared" si="232"/>
        <v>Nov</v>
      </c>
      <c r="M3718">
        <f t="shared" si="233"/>
        <v>2025</v>
      </c>
      <c r="N3718">
        <f t="shared" si="234"/>
        <v>81619.23</v>
      </c>
      <c r="O3718" t="str">
        <f t="shared" si="235"/>
        <v>Moderate Delay</v>
      </c>
    </row>
    <row r="3719" spans="1:15" x14ac:dyDescent="0.25">
      <c r="A3719">
        <v>3718</v>
      </c>
      <c r="B3719" s="2">
        <v>46004</v>
      </c>
      <c r="C3719" t="s">
        <v>26</v>
      </c>
      <c r="D3719" t="s">
        <v>17</v>
      </c>
      <c r="E3719" t="s">
        <v>27</v>
      </c>
      <c r="F3719" t="s">
        <v>14</v>
      </c>
      <c r="G3719">
        <v>113</v>
      </c>
      <c r="H3719">
        <v>212.69</v>
      </c>
      <c r="I3719">
        <v>53</v>
      </c>
      <c r="J3719" t="s">
        <v>15</v>
      </c>
      <c r="K3719">
        <v>24033.97</v>
      </c>
      <c r="L3719" t="str">
        <f t="shared" si="232"/>
        <v>Dec</v>
      </c>
      <c r="M3719">
        <f t="shared" si="233"/>
        <v>2025</v>
      </c>
      <c r="N3719">
        <f t="shared" si="234"/>
        <v>24033.97</v>
      </c>
      <c r="O3719" t="str">
        <f t="shared" si="235"/>
        <v>Moderate Delay</v>
      </c>
    </row>
    <row r="3720" spans="1:15" x14ac:dyDescent="0.25">
      <c r="A3720">
        <v>3719</v>
      </c>
      <c r="B3720" s="2">
        <v>45787</v>
      </c>
      <c r="C3720" t="s">
        <v>16</v>
      </c>
      <c r="D3720" t="s">
        <v>22</v>
      </c>
      <c r="E3720" t="s">
        <v>23</v>
      </c>
      <c r="F3720" t="s">
        <v>14</v>
      </c>
      <c r="G3720">
        <v>149</v>
      </c>
      <c r="H3720">
        <v>133.69999999999999</v>
      </c>
      <c r="I3720">
        <v>0</v>
      </c>
      <c r="J3720" t="s">
        <v>15</v>
      </c>
      <c r="K3720">
        <v>19921.3</v>
      </c>
      <c r="L3720" t="str">
        <f t="shared" si="232"/>
        <v>May</v>
      </c>
      <c r="M3720">
        <f t="shared" si="233"/>
        <v>2025</v>
      </c>
      <c r="N3720">
        <f t="shared" si="234"/>
        <v>19921.3</v>
      </c>
      <c r="O3720" t="str">
        <f t="shared" si="235"/>
        <v>On Time</v>
      </c>
    </row>
    <row r="3721" spans="1:15" x14ac:dyDescent="0.25">
      <c r="A3721">
        <v>3720</v>
      </c>
      <c r="B3721" s="2">
        <v>45806</v>
      </c>
      <c r="C3721" t="s">
        <v>25</v>
      </c>
      <c r="D3721" t="s">
        <v>27</v>
      </c>
      <c r="E3721" t="s">
        <v>23</v>
      </c>
      <c r="F3721" t="s">
        <v>24</v>
      </c>
      <c r="G3721">
        <v>191</v>
      </c>
      <c r="H3721">
        <v>80.33</v>
      </c>
      <c r="I3721">
        <v>40</v>
      </c>
      <c r="J3721" t="s">
        <v>15</v>
      </c>
      <c r="K3721">
        <v>15343.03</v>
      </c>
      <c r="L3721" t="str">
        <f t="shared" si="232"/>
        <v>May</v>
      </c>
      <c r="M3721">
        <f t="shared" si="233"/>
        <v>2025</v>
      </c>
      <c r="N3721">
        <f t="shared" si="234"/>
        <v>15343.029999999999</v>
      </c>
      <c r="O3721" t="str">
        <f t="shared" si="235"/>
        <v>Moderate Delay</v>
      </c>
    </row>
    <row r="3722" spans="1:15" x14ac:dyDescent="0.25">
      <c r="A3722">
        <v>3721</v>
      </c>
      <c r="B3722" s="2">
        <v>45866</v>
      </c>
      <c r="C3722" t="s">
        <v>26</v>
      </c>
      <c r="D3722" t="s">
        <v>12</v>
      </c>
      <c r="E3722" t="s">
        <v>27</v>
      </c>
      <c r="F3722" t="s">
        <v>14</v>
      </c>
      <c r="G3722">
        <v>198</v>
      </c>
      <c r="H3722">
        <v>759.57</v>
      </c>
      <c r="I3722">
        <v>27</v>
      </c>
      <c r="J3722" t="s">
        <v>15</v>
      </c>
      <c r="K3722">
        <v>150394.85999999999</v>
      </c>
      <c r="L3722" t="str">
        <f t="shared" si="232"/>
        <v>Jul</v>
      </c>
      <c r="M3722">
        <f t="shared" si="233"/>
        <v>2025</v>
      </c>
      <c r="N3722">
        <f t="shared" si="234"/>
        <v>150394.86000000002</v>
      </c>
      <c r="O3722" t="str">
        <f t="shared" si="235"/>
        <v>Minor Delay</v>
      </c>
    </row>
    <row r="3723" spans="1:15" x14ac:dyDescent="0.25">
      <c r="A3723">
        <v>3722</v>
      </c>
      <c r="B3723" s="2">
        <v>45707</v>
      </c>
      <c r="C3723" t="s">
        <v>16</v>
      </c>
      <c r="D3723" t="s">
        <v>29</v>
      </c>
      <c r="E3723" t="s">
        <v>22</v>
      </c>
      <c r="F3723" t="s">
        <v>24</v>
      </c>
      <c r="G3723">
        <v>51</v>
      </c>
      <c r="H3723">
        <v>295.20999999999998</v>
      </c>
      <c r="I3723">
        <v>6</v>
      </c>
      <c r="J3723" t="s">
        <v>15</v>
      </c>
      <c r="K3723">
        <v>15055.71</v>
      </c>
      <c r="L3723" t="str">
        <f t="shared" si="232"/>
        <v>Feb</v>
      </c>
      <c r="M3723">
        <f t="shared" si="233"/>
        <v>2025</v>
      </c>
      <c r="N3723">
        <f t="shared" si="234"/>
        <v>15055.71</v>
      </c>
      <c r="O3723" t="str">
        <f t="shared" si="235"/>
        <v>Minor Delay</v>
      </c>
    </row>
    <row r="3724" spans="1:15" x14ac:dyDescent="0.25">
      <c r="A3724">
        <v>3723</v>
      </c>
      <c r="B3724" s="2">
        <v>45708</v>
      </c>
      <c r="C3724" t="s">
        <v>25</v>
      </c>
      <c r="D3724" t="s">
        <v>17</v>
      </c>
      <c r="E3724" t="s">
        <v>20</v>
      </c>
      <c r="F3724" t="s">
        <v>21</v>
      </c>
      <c r="G3724">
        <v>247</v>
      </c>
      <c r="H3724">
        <v>204.41</v>
      </c>
      <c r="I3724">
        <v>12</v>
      </c>
      <c r="J3724" t="s">
        <v>15</v>
      </c>
      <c r="K3724">
        <v>50489.27</v>
      </c>
      <c r="L3724" t="str">
        <f t="shared" si="232"/>
        <v>Feb</v>
      </c>
      <c r="M3724">
        <f t="shared" si="233"/>
        <v>2025</v>
      </c>
      <c r="N3724">
        <f t="shared" si="234"/>
        <v>50489.27</v>
      </c>
      <c r="O3724" t="str">
        <f t="shared" si="235"/>
        <v>Minor Delay</v>
      </c>
    </row>
    <row r="3725" spans="1:15" x14ac:dyDescent="0.25">
      <c r="A3725">
        <v>3724</v>
      </c>
      <c r="B3725" s="2">
        <v>46014</v>
      </c>
      <c r="C3725" t="s">
        <v>11</v>
      </c>
      <c r="D3725" t="s">
        <v>29</v>
      </c>
      <c r="E3725" t="s">
        <v>23</v>
      </c>
      <c r="F3725" t="s">
        <v>14</v>
      </c>
      <c r="G3725">
        <v>219</v>
      </c>
      <c r="H3725">
        <v>646.96</v>
      </c>
      <c r="I3725">
        <v>33</v>
      </c>
      <c r="J3725" t="s">
        <v>15</v>
      </c>
      <c r="K3725">
        <v>141684.24</v>
      </c>
      <c r="L3725" t="str">
        <f t="shared" si="232"/>
        <v>Dec</v>
      </c>
      <c r="M3725">
        <f t="shared" si="233"/>
        <v>2025</v>
      </c>
      <c r="N3725">
        <f t="shared" si="234"/>
        <v>141684.24000000002</v>
      </c>
      <c r="O3725" t="str">
        <f t="shared" si="235"/>
        <v>Moderate Delay</v>
      </c>
    </row>
    <row r="3726" spans="1:15" x14ac:dyDescent="0.25">
      <c r="A3726">
        <v>3725</v>
      </c>
      <c r="B3726" s="2">
        <v>45915</v>
      </c>
      <c r="C3726" t="s">
        <v>31</v>
      </c>
      <c r="D3726" t="s">
        <v>13</v>
      </c>
      <c r="E3726" t="s">
        <v>17</v>
      </c>
      <c r="F3726" t="s">
        <v>14</v>
      </c>
      <c r="G3726">
        <v>166</v>
      </c>
      <c r="H3726">
        <v>539.46</v>
      </c>
      <c r="I3726">
        <v>7</v>
      </c>
      <c r="J3726" t="s">
        <v>30</v>
      </c>
      <c r="K3726">
        <v>89550.36</v>
      </c>
      <c r="L3726" t="str">
        <f t="shared" si="232"/>
        <v>Sep</v>
      </c>
      <c r="M3726">
        <f t="shared" si="233"/>
        <v>2025</v>
      </c>
      <c r="N3726">
        <f t="shared" si="234"/>
        <v>89550.36</v>
      </c>
      <c r="O3726" t="str">
        <f t="shared" si="235"/>
        <v>Minor Delay</v>
      </c>
    </row>
    <row r="3727" spans="1:15" x14ac:dyDescent="0.25">
      <c r="A3727">
        <v>3726</v>
      </c>
      <c r="B3727" s="2">
        <v>45912</v>
      </c>
      <c r="C3727" t="s">
        <v>18</v>
      </c>
      <c r="D3727" t="s">
        <v>13</v>
      </c>
      <c r="E3727" t="s">
        <v>22</v>
      </c>
      <c r="F3727" t="s">
        <v>14</v>
      </c>
      <c r="G3727">
        <v>290</v>
      </c>
      <c r="H3727">
        <v>311.5</v>
      </c>
      <c r="I3727">
        <v>6</v>
      </c>
      <c r="J3727" t="s">
        <v>30</v>
      </c>
      <c r="K3727">
        <v>90335</v>
      </c>
      <c r="L3727" t="str">
        <f t="shared" si="232"/>
        <v>Sep</v>
      </c>
      <c r="M3727">
        <f t="shared" si="233"/>
        <v>2025</v>
      </c>
      <c r="N3727">
        <f t="shared" si="234"/>
        <v>90335</v>
      </c>
      <c r="O3727" t="str">
        <f t="shared" si="235"/>
        <v>Minor Delay</v>
      </c>
    </row>
    <row r="3728" spans="1:15" x14ac:dyDescent="0.25">
      <c r="A3728">
        <v>3727</v>
      </c>
      <c r="B3728" s="2">
        <v>45681</v>
      </c>
      <c r="C3728" t="s">
        <v>16</v>
      </c>
      <c r="D3728" t="s">
        <v>19</v>
      </c>
      <c r="E3728" t="s">
        <v>17</v>
      </c>
      <c r="F3728" t="s">
        <v>14</v>
      </c>
      <c r="G3728">
        <v>79</v>
      </c>
      <c r="H3728">
        <v>736.83</v>
      </c>
      <c r="I3728">
        <v>27</v>
      </c>
      <c r="J3728" t="s">
        <v>15</v>
      </c>
      <c r="K3728">
        <v>58209.57</v>
      </c>
      <c r="L3728" t="str">
        <f t="shared" si="232"/>
        <v>Jan</v>
      </c>
      <c r="M3728">
        <f t="shared" si="233"/>
        <v>2025</v>
      </c>
      <c r="N3728">
        <f t="shared" si="234"/>
        <v>58209.57</v>
      </c>
      <c r="O3728" t="str">
        <f t="shared" si="235"/>
        <v>Minor Delay</v>
      </c>
    </row>
    <row r="3729" spans="1:15" x14ac:dyDescent="0.25">
      <c r="A3729">
        <v>3728</v>
      </c>
      <c r="B3729" s="2">
        <v>45895</v>
      </c>
      <c r="C3729" t="s">
        <v>18</v>
      </c>
      <c r="D3729" t="s">
        <v>17</v>
      </c>
      <c r="E3729" t="s">
        <v>29</v>
      </c>
      <c r="F3729" t="s">
        <v>21</v>
      </c>
      <c r="G3729">
        <v>189</v>
      </c>
      <c r="H3729">
        <v>468.6</v>
      </c>
      <c r="I3729">
        <v>0</v>
      </c>
      <c r="J3729" t="s">
        <v>15</v>
      </c>
      <c r="K3729">
        <v>88565.4</v>
      </c>
      <c r="L3729" t="str">
        <f t="shared" si="232"/>
        <v>Aug</v>
      </c>
      <c r="M3729">
        <f t="shared" si="233"/>
        <v>2025</v>
      </c>
      <c r="N3729">
        <f t="shared" si="234"/>
        <v>88565.400000000009</v>
      </c>
      <c r="O3729" t="str">
        <f t="shared" si="235"/>
        <v>On Time</v>
      </c>
    </row>
    <row r="3730" spans="1:15" x14ac:dyDescent="0.25">
      <c r="A3730">
        <v>3729</v>
      </c>
      <c r="B3730" s="2">
        <v>45700</v>
      </c>
      <c r="C3730" t="s">
        <v>18</v>
      </c>
      <c r="D3730" t="s">
        <v>13</v>
      </c>
      <c r="E3730" t="s">
        <v>23</v>
      </c>
      <c r="F3730" t="s">
        <v>24</v>
      </c>
      <c r="G3730">
        <v>186</v>
      </c>
      <c r="H3730">
        <v>494.8</v>
      </c>
      <c r="I3730">
        <v>24</v>
      </c>
      <c r="J3730" t="s">
        <v>30</v>
      </c>
      <c r="K3730">
        <v>92032.8</v>
      </c>
      <c r="L3730" t="str">
        <f t="shared" si="232"/>
        <v>Feb</v>
      </c>
      <c r="M3730">
        <f t="shared" si="233"/>
        <v>2025</v>
      </c>
      <c r="N3730">
        <f t="shared" si="234"/>
        <v>92032.8</v>
      </c>
      <c r="O3730" t="str">
        <f t="shared" si="235"/>
        <v>Minor Delay</v>
      </c>
    </row>
    <row r="3731" spans="1:15" x14ac:dyDescent="0.25">
      <c r="A3731">
        <v>3730</v>
      </c>
      <c r="B3731" s="2">
        <v>46019</v>
      </c>
      <c r="C3731" t="s">
        <v>31</v>
      </c>
      <c r="D3731" t="s">
        <v>22</v>
      </c>
      <c r="E3731" t="s">
        <v>13</v>
      </c>
      <c r="F3731" t="s">
        <v>24</v>
      </c>
      <c r="G3731">
        <v>80</v>
      </c>
      <c r="H3731">
        <v>679.21</v>
      </c>
      <c r="I3731">
        <v>19</v>
      </c>
      <c r="J3731" t="s">
        <v>15</v>
      </c>
      <c r="K3731">
        <v>54336.800000000003</v>
      </c>
      <c r="L3731" t="str">
        <f t="shared" si="232"/>
        <v>Dec</v>
      </c>
      <c r="M3731">
        <f t="shared" si="233"/>
        <v>2025</v>
      </c>
      <c r="N3731">
        <f t="shared" si="234"/>
        <v>54336.800000000003</v>
      </c>
      <c r="O3731" t="str">
        <f t="shared" si="235"/>
        <v>Minor Delay</v>
      </c>
    </row>
    <row r="3732" spans="1:15" x14ac:dyDescent="0.25">
      <c r="A3732">
        <v>3731</v>
      </c>
      <c r="B3732" s="2">
        <v>45749</v>
      </c>
      <c r="C3732" t="s">
        <v>31</v>
      </c>
      <c r="D3732" t="s">
        <v>23</v>
      </c>
      <c r="E3732" t="s">
        <v>29</v>
      </c>
      <c r="F3732" t="s">
        <v>14</v>
      </c>
      <c r="G3732">
        <v>144</v>
      </c>
      <c r="H3732">
        <v>768.39</v>
      </c>
      <c r="I3732">
        <v>1</v>
      </c>
      <c r="J3732" t="s">
        <v>15</v>
      </c>
      <c r="K3732">
        <v>110648.16</v>
      </c>
      <c r="L3732" t="str">
        <f t="shared" si="232"/>
        <v>Apr</v>
      </c>
      <c r="M3732">
        <f t="shared" si="233"/>
        <v>2025</v>
      </c>
      <c r="N3732">
        <f t="shared" si="234"/>
        <v>110648.16</v>
      </c>
      <c r="O3732" t="str">
        <f t="shared" si="235"/>
        <v>Minor Delay</v>
      </c>
    </row>
    <row r="3733" spans="1:15" x14ac:dyDescent="0.25">
      <c r="A3733">
        <v>3732</v>
      </c>
      <c r="B3733" s="2">
        <v>45681</v>
      </c>
      <c r="C3733" t="s">
        <v>26</v>
      </c>
      <c r="D3733" t="s">
        <v>22</v>
      </c>
      <c r="E3733" t="s">
        <v>29</v>
      </c>
      <c r="F3733" t="s">
        <v>21</v>
      </c>
      <c r="G3733">
        <v>253</v>
      </c>
      <c r="H3733">
        <v>320.94</v>
      </c>
      <c r="I3733">
        <v>53</v>
      </c>
      <c r="J3733" t="s">
        <v>15</v>
      </c>
      <c r="K3733">
        <v>81197.820000000007</v>
      </c>
      <c r="L3733" t="str">
        <f t="shared" si="232"/>
        <v>Jan</v>
      </c>
      <c r="M3733">
        <f t="shared" si="233"/>
        <v>2025</v>
      </c>
      <c r="N3733">
        <f t="shared" si="234"/>
        <v>81197.819999999992</v>
      </c>
      <c r="O3733" t="str">
        <f t="shared" si="235"/>
        <v>Moderate Delay</v>
      </c>
    </row>
    <row r="3734" spans="1:15" x14ac:dyDescent="0.25">
      <c r="A3734">
        <v>3733</v>
      </c>
      <c r="B3734" s="2">
        <v>45911</v>
      </c>
      <c r="C3734" t="s">
        <v>31</v>
      </c>
      <c r="D3734" t="s">
        <v>22</v>
      </c>
      <c r="E3734" t="s">
        <v>27</v>
      </c>
      <c r="F3734" t="s">
        <v>21</v>
      </c>
      <c r="G3734">
        <v>268</v>
      </c>
      <c r="H3734">
        <v>125.31</v>
      </c>
      <c r="I3734">
        <v>1</v>
      </c>
      <c r="J3734" t="s">
        <v>28</v>
      </c>
      <c r="K3734">
        <v>33583.08</v>
      </c>
      <c r="L3734" t="str">
        <f t="shared" si="232"/>
        <v>Sep</v>
      </c>
      <c r="M3734">
        <f t="shared" si="233"/>
        <v>2025</v>
      </c>
      <c r="N3734">
        <f t="shared" si="234"/>
        <v>33583.08</v>
      </c>
      <c r="O3734" t="str">
        <f t="shared" si="235"/>
        <v>Minor Delay</v>
      </c>
    </row>
    <row r="3735" spans="1:15" x14ac:dyDescent="0.25">
      <c r="A3735">
        <v>3734</v>
      </c>
      <c r="B3735" s="2">
        <v>45667</v>
      </c>
      <c r="C3735" t="s">
        <v>25</v>
      </c>
      <c r="D3735" t="s">
        <v>27</v>
      </c>
      <c r="E3735" t="s">
        <v>19</v>
      </c>
      <c r="F3735" t="s">
        <v>24</v>
      </c>
      <c r="G3735">
        <v>244</v>
      </c>
      <c r="H3735">
        <v>305.20999999999998</v>
      </c>
      <c r="I3735">
        <v>0</v>
      </c>
      <c r="J3735" t="s">
        <v>15</v>
      </c>
      <c r="K3735">
        <v>74471.240000000005</v>
      </c>
      <c r="L3735" t="str">
        <f t="shared" si="232"/>
        <v>Jan</v>
      </c>
      <c r="M3735">
        <f t="shared" si="233"/>
        <v>2025</v>
      </c>
      <c r="N3735">
        <f t="shared" si="234"/>
        <v>74471.239999999991</v>
      </c>
      <c r="O3735" t="str">
        <f t="shared" si="235"/>
        <v>On Time</v>
      </c>
    </row>
    <row r="3736" spans="1:15" x14ac:dyDescent="0.25">
      <c r="A3736">
        <v>3735</v>
      </c>
      <c r="B3736" s="2">
        <v>45786</v>
      </c>
      <c r="C3736" t="s">
        <v>26</v>
      </c>
      <c r="D3736" t="s">
        <v>29</v>
      </c>
      <c r="E3736" t="s">
        <v>27</v>
      </c>
      <c r="F3736" t="s">
        <v>21</v>
      </c>
      <c r="G3736">
        <v>76</v>
      </c>
      <c r="H3736">
        <v>124.94</v>
      </c>
      <c r="I3736">
        <v>0</v>
      </c>
      <c r="J3736" t="s">
        <v>30</v>
      </c>
      <c r="K3736">
        <v>9495.44</v>
      </c>
      <c r="L3736" t="str">
        <f t="shared" si="232"/>
        <v>May</v>
      </c>
      <c r="M3736">
        <f t="shared" si="233"/>
        <v>2025</v>
      </c>
      <c r="N3736">
        <f t="shared" si="234"/>
        <v>9495.44</v>
      </c>
      <c r="O3736" t="str">
        <f t="shared" si="235"/>
        <v>On Time</v>
      </c>
    </row>
    <row r="3737" spans="1:15" x14ac:dyDescent="0.25">
      <c r="A3737">
        <v>3736</v>
      </c>
      <c r="B3737" s="2">
        <v>45677</v>
      </c>
      <c r="C3737" t="s">
        <v>16</v>
      </c>
      <c r="D3737" t="s">
        <v>22</v>
      </c>
      <c r="E3737" t="s">
        <v>27</v>
      </c>
      <c r="F3737" t="s">
        <v>24</v>
      </c>
      <c r="G3737">
        <v>218</v>
      </c>
      <c r="H3737">
        <v>746.99</v>
      </c>
      <c r="I3737">
        <v>40</v>
      </c>
      <c r="J3737" t="s">
        <v>15</v>
      </c>
      <c r="K3737">
        <v>162843.82</v>
      </c>
      <c r="L3737" t="str">
        <f t="shared" si="232"/>
        <v>Jan</v>
      </c>
      <c r="M3737">
        <f t="shared" si="233"/>
        <v>2025</v>
      </c>
      <c r="N3737">
        <f t="shared" si="234"/>
        <v>162843.82</v>
      </c>
      <c r="O3737" t="str">
        <f t="shared" si="235"/>
        <v>Moderate Delay</v>
      </c>
    </row>
    <row r="3738" spans="1:15" x14ac:dyDescent="0.25">
      <c r="A3738">
        <v>3737</v>
      </c>
      <c r="B3738" s="2">
        <v>45761</v>
      </c>
      <c r="C3738" t="s">
        <v>18</v>
      </c>
      <c r="D3738" t="s">
        <v>12</v>
      </c>
      <c r="E3738" t="s">
        <v>23</v>
      </c>
      <c r="F3738" t="s">
        <v>21</v>
      </c>
      <c r="G3738">
        <v>183</v>
      </c>
      <c r="H3738">
        <v>500.38</v>
      </c>
      <c r="I3738">
        <v>17</v>
      </c>
      <c r="J3738" t="s">
        <v>15</v>
      </c>
      <c r="K3738">
        <v>91569.54</v>
      </c>
      <c r="L3738" t="str">
        <f t="shared" si="232"/>
        <v>Apr</v>
      </c>
      <c r="M3738">
        <f t="shared" si="233"/>
        <v>2025</v>
      </c>
      <c r="N3738">
        <f t="shared" si="234"/>
        <v>91569.54</v>
      </c>
      <c r="O3738" t="str">
        <f t="shared" si="235"/>
        <v>Minor Delay</v>
      </c>
    </row>
    <row r="3739" spans="1:15" x14ac:dyDescent="0.25">
      <c r="A3739">
        <v>3738</v>
      </c>
      <c r="B3739" s="2">
        <v>45879</v>
      </c>
      <c r="C3739" t="s">
        <v>25</v>
      </c>
      <c r="D3739" t="s">
        <v>23</v>
      </c>
      <c r="E3739" t="s">
        <v>27</v>
      </c>
      <c r="F3739" t="s">
        <v>21</v>
      </c>
      <c r="G3739">
        <v>68</v>
      </c>
      <c r="H3739">
        <v>156.13</v>
      </c>
      <c r="I3739">
        <v>22</v>
      </c>
      <c r="J3739" t="s">
        <v>15</v>
      </c>
      <c r="K3739">
        <v>10616.84</v>
      </c>
      <c r="L3739" t="str">
        <f t="shared" si="232"/>
        <v>Aug</v>
      </c>
      <c r="M3739">
        <f t="shared" si="233"/>
        <v>2025</v>
      </c>
      <c r="N3739">
        <f t="shared" si="234"/>
        <v>10616.84</v>
      </c>
      <c r="O3739" t="str">
        <f t="shared" si="235"/>
        <v>Minor Delay</v>
      </c>
    </row>
    <row r="3740" spans="1:15" x14ac:dyDescent="0.25">
      <c r="A3740">
        <v>3739</v>
      </c>
      <c r="B3740" s="2">
        <v>45661</v>
      </c>
      <c r="C3740" t="s">
        <v>25</v>
      </c>
      <c r="D3740" t="s">
        <v>27</v>
      </c>
      <c r="E3740" t="s">
        <v>19</v>
      </c>
      <c r="F3740" t="s">
        <v>24</v>
      </c>
      <c r="G3740">
        <v>121</v>
      </c>
      <c r="H3740">
        <v>348.91</v>
      </c>
      <c r="I3740">
        <v>29</v>
      </c>
      <c r="J3740" t="s">
        <v>15</v>
      </c>
      <c r="K3740">
        <v>42218.11</v>
      </c>
      <c r="L3740" t="str">
        <f t="shared" si="232"/>
        <v>Jan</v>
      </c>
      <c r="M3740">
        <f t="shared" si="233"/>
        <v>2025</v>
      </c>
      <c r="N3740">
        <f t="shared" si="234"/>
        <v>42218.11</v>
      </c>
      <c r="O3740" t="str">
        <f t="shared" si="235"/>
        <v>Minor Delay</v>
      </c>
    </row>
    <row r="3741" spans="1:15" x14ac:dyDescent="0.25">
      <c r="A3741">
        <v>3740</v>
      </c>
      <c r="B3741" s="2">
        <v>45896</v>
      </c>
      <c r="C3741" t="s">
        <v>16</v>
      </c>
      <c r="D3741" t="s">
        <v>20</v>
      </c>
      <c r="E3741" t="s">
        <v>29</v>
      </c>
      <c r="F3741" t="s">
        <v>21</v>
      </c>
      <c r="G3741">
        <v>282</v>
      </c>
      <c r="H3741">
        <v>747.48</v>
      </c>
      <c r="I3741">
        <v>27</v>
      </c>
      <c r="J3741" t="s">
        <v>15</v>
      </c>
      <c r="K3741">
        <v>210789.36</v>
      </c>
      <c r="L3741" t="str">
        <f t="shared" si="232"/>
        <v>Aug</v>
      </c>
      <c r="M3741">
        <f t="shared" si="233"/>
        <v>2025</v>
      </c>
      <c r="N3741">
        <f t="shared" si="234"/>
        <v>210789.36000000002</v>
      </c>
      <c r="O3741" t="str">
        <f t="shared" si="235"/>
        <v>Minor Delay</v>
      </c>
    </row>
    <row r="3742" spans="1:15" x14ac:dyDescent="0.25">
      <c r="A3742">
        <v>3741</v>
      </c>
      <c r="B3742" s="2">
        <v>45766</v>
      </c>
      <c r="C3742" t="s">
        <v>31</v>
      </c>
      <c r="D3742" t="s">
        <v>13</v>
      </c>
      <c r="E3742" t="s">
        <v>23</v>
      </c>
      <c r="F3742" t="s">
        <v>21</v>
      </c>
      <c r="G3742">
        <v>174</v>
      </c>
      <c r="H3742">
        <v>613.64</v>
      </c>
      <c r="I3742">
        <v>47</v>
      </c>
      <c r="J3742" t="s">
        <v>30</v>
      </c>
      <c r="K3742">
        <v>106773.36</v>
      </c>
      <c r="L3742" t="str">
        <f t="shared" si="232"/>
        <v>Apr</v>
      </c>
      <c r="M3742">
        <f t="shared" si="233"/>
        <v>2025</v>
      </c>
      <c r="N3742">
        <f t="shared" si="234"/>
        <v>106773.36</v>
      </c>
      <c r="O3742" t="str">
        <f t="shared" si="235"/>
        <v>Moderate Delay</v>
      </c>
    </row>
    <row r="3743" spans="1:15" x14ac:dyDescent="0.25">
      <c r="A3743">
        <v>3742</v>
      </c>
      <c r="B3743" s="2">
        <v>45987</v>
      </c>
      <c r="C3743" t="s">
        <v>31</v>
      </c>
      <c r="D3743" t="s">
        <v>29</v>
      </c>
      <c r="E3743" t="s">
        <v>17</v>
      </c>
      <c r="F3743" t="s">
        <v>21</v>
      </c>
      <c r="G3743">
        <v>181</v>
      </c>
      <c r="H3743">
        <v>353.46</v>
      </c>
      <c r="I3743">
        <v>0</v>
      </c>
      <c r="J3743" t="s">
        <v>15</v>
      </c>
      <c r="K3743">
        <v>63976.26</v>
      </c>
      <c r="L3743" t="str">
        <f t="shared" si="232"/>
        <v>Nov</v>
      </c>
      <c r="M3743">
        <f t="shared" si="233"/>
        <v>2025</v>
      </c>
      <c r="N3743">
        <f t="shared" si="234"/>
        <v>63976.259999999995</v>
      </c>
      <c r="O3743" t="str">
        <f t="shared" si="235"/>
        <v>On Time</v>
      </c>
    </row>
    <row r="3744" spans="1:15" x14ac:dyDescent="0.25">
      <c r="A3744">
        <v>3743</v>
      </c>
      <c r="B3744" s="2">
        <v>45778</v>
      </c>
      <c r="C3744" t="s">
        <v>31</v>
      </c>
      <c r="D3744" t="s">
        <v>27</v>
      </c>
      <c r="E3744" t="s">
        <v>23</v>
      </c>
      <c r="F3744" t="s">
        <v>24</v>
      </c>
      <c r="G3744">
        <v>151</v>
      </c>
      <c r="H3744">
        <v>575.54</v>
      </c>
      <c r="I3744">
        <v>71</v>
      </c>
      <c r="J3744" t="s">
        <v>15</v>
      </c>
      <c r="K3744">
        <v>86906.54</v>
      </c>
      <c r="L3744" t="str">
        <f t="shared" si="232"/>
        <v>May</v>
      </c>
      <c r="M3744">
        <f t="shared" si="233"/>
        <v>2025</v>
      </c>
      <c r="N3744">
        <f t="shared" si="234"/>
        <v>86906.54</v>
      </c>
      <c r="O3744" t="str">
        <f t="shared" si="235"/>
        <v>Major Delay</v>
      </c>
    </row>
    <row r="3745" spans="1:15" x14ac:dyDescent="0.25">
      <c r="A3745">
        <v>3744</v>
      </c>
      <c r="B3745" s="2">
        <v>45779</v>
      </c>
      <c r="C3745" t="s">
        <v>18</v>
      </c>
      <c r="D3745" t="s">
        <v>13</v>
      </c>
      <c r="E3745" t="s">
        <v>27</v>
      </c>
      <c r="F3745" t="s">
        <v>21</v>
      </c>
      <c r="G3745">
        <v>122</v>
      </c>
      <c r="H3745">
        <v>515.45000000000005</v>
      </c>
      <c r="I3745">
        <v>37</v>
      </c>
      <c r="J3745" t="s">
        <v>28</v>
      </c>
      <c r="K3745">
        <v>62884.9</v>
      </c>
      <c r="L3745" t="str">
        <f t="shared" si="232"/>
        <v>May</v>
      </c>
      <c r="M3745">
        <f t="shared" si="233"/>
        <v>2025</v>
      </c>
      <c r="N3745">
        <f t="shared" si="234"/>
        <v>62884.900000000009</v>
      </c>
      <c r="O3745" t="str">
        <f t="shared" si="235"/>
        <v>Moderate Delay</v>
      </c>
    </row>
    <row r="3746" spans="1:15" x14ac:dyDescent="0.25">
      <c r="A3746">
        <v>3745</v>
      </c>
      <c r="B3746" s="2">
        <v>45818</v>
      </c>
      <c r="C3746" t="s">
        <v>18</v>
      </c>
      <c r="D3746" t="s">
        <v>23</v>
      </c>
      <c r="E3746" t="s">
        <v>22</v>
      </c>
      <c r="F3746" t="s">
        <v>21</v>
      </c>
      <c r="G3746">
        <v>280</v>
      </c>
      <c r="H3746">
        <v>535.5</v>
      </c>
      <c r="I3746">
        <v>19</v>
      </c>
      <c r="J3746" t="s">
        <v>15</v>
      </c>
      <c r="K3746">
        <v>149940</v>
      </c>
      <c r="L3746" t="str">
        <f t="shared" si="232"/>
        <v>Jun</v>
      </c>
      <c r="M3746">
        <f t="shared" si="233"/>
        <v>2025</v>
      </c>
      <c r="N3746">
        <f t="shared" si="234"/>
        <v>149940</v>
      </c>
      <c r="O3746" t="str">
        <f t="shared" si="235"/>
        <v>Minor Delay</v>
      </c>
    </row>
    <row r="3747" spans="1:15" x14ac:dyDescent="0.25">
      <c r="A3747">
        <v>3746</v>
      </c>
      <c r="B3747" s="2">
        <v>45864</v>
      </c>
      <c r="C3747" t="s">
        <v>31</v>
      </c>
      <c r="D3747" t="s">
        <v>13</v>
      </c>
      <c r="E3747" t="s">
        <v>27</v>
      </c>
      <c r="F3747" t="s">
        <v>14</v>
      </c>
      <c r="G3747">
        <v>240</v>
      </c>
      <c r="H3747">
        <v>375.27</v>
      </c>
      <c r="I3747">
        <v>64</v>
      </c>
      <c r="J3747" t="s">
        <v>15</v>
      </c>
      <c r="K3747">
        <v>90064.8</v>
      </c>
      <c r="L3747" t="str">
        <f t="shared" si="232"/>
        <v>Jul</v>
      </c>
      <c r="M3747">
        <f t="shared" si="233"/>
        <v>2025</v>
      </c>
      <c r="N3747">
        <f t="shared" si="234"/>
        <v>90064.799999999988</v>
      </c>
      <c r="O3747" t="str">
        <f t="shared" si="235"/>
        <v>Major Delay</v>
      </c>
    </row>
    <row r="3748" spans="1:15" x14ac:dyDescent="0.25">
      <c r="A3748">
        <v>3747</v>
      </c>
      <c r="B3748" s="2">
        <v>45992</v>
      </c>
      <c r="C3748" t="s">
        <v>11</v>
      </c>
      <c r="D3748" t="s">
        <v>22</v>
      </c>
      <c r="E3748" t="s">
        <v>23</v>
      </c>
      <c r="F3748" t="s">
        <v>24</v>
      </c>
      <c r="G3748">
        <v>246</v>
      </c>
      <c r="H3748">
        <v>394.42</v>
      </c>
      <c r="I3748">
        <v>0</v>
      </c>
      <c r="J3748" t="s">
        <v>15</v>
      </c>
      <c r="K3748">
        <v>97027.32</v>
      </c>
      <c r="L3748" t="str">
        <f t="shared" si="232"/>
        <v>Dec</v>
      </c>
      <c r="M3748">
        <f t="shared" si="233"/>
        <v>2025</v>
      </c>
      <c r="N3748">
        <f t="shared" si="234"/>
        <v>97027.32</v>
      </c>
      <c r="O3748" t="str">
        <f t="shared" si="235"/>
        <v>On Time</v>
      </c>
    </row>
    <row r="3749" spans="1:15" x14ac:dyDescent="0.25">
      <c r="A3749">
        <v>3748</v>
      </c>
      <c r="B3749" s="2">
        <v>45785</v>
      </c>
      <c r="C3749" t="s">
        <v>26</v>
      </c>
      <c r="D3749" t="s">
        <v>13</v>
      </c>
      <c r="E3749" t="s">
        <v>22</v>
      </c>
      <c r="F3749" t="s">
        <v>21</v>
      </c>
      <c r="G3749">
        <v>216</v>
      </c>
      <c r="H3749">
        <v>740.51</v>
      </c>
      <c r="I3749">
        <v>45</v>
      </c>
      <c r="J3749" t="s">
        <v>15</v>
      </c>
      <c r="K3749">
        <v>159950.16</v>
      </c>
      <c r="L3749" t="str">
        <f t="shared" si="232"/>
        <v>May</v>
      </c>
      <c r="M3749">
        <f t="shared" si="233"/>
        <v>2025</v>
      </c>
      <c r="N3749">
        <f t="shared" si="234"/>
        <v>159950.16</v>
      </c>
      <c r="O3749" t="str">
        <f t="shared" si="235"/>
        <v>Moderate Delay</v>
      </c>
    </row>
    <row r="3750" spans="1:15" x14ac:dyDescent="0.25">
      <c r="A3750">
        <v>3749</v>
      </c>
      <c r="B3750" s="2">
        <v>45978</v>
      </c>
      <c r="C3750" t="s">
        <v>25</v>
      </c>
      <c r="D3750" t="s">
        <v>27</v>
      </c>
      <c r="E3750" t="s">
        <v>22</v>
      </c>
      <c r="F3750" t="s">
        <v>21</v>
      </c>
      <c r="G3750">
        <v>270</v>
      </c>
      <c r="H3750">
        <v>480.09</v>
      </c>
      <c r="I3750">
        <v>63</v>
      </c>
      <c r="J3750" t="s">
        <v>15</v>
      </c>
      <c r="K3750">
        <v>129624.3</v>
      </c>
      <c r="L3750" t="str">
        <f t="shared" si="232"/>
        <v>Nov</v>
      </c>
      <c r="M3750">
        <f t="shared" si="233"/>
        <v>2025</v>
      </c>
      <c r="N3750">
        <f t="shared" si="234"/>
        <v>129624.29999999999</v>
      </c>
      <c r="O3750" t="str">
        <f t="shared" si="235"/>
        <v>Major Delay</v>
      </c>
    </row>
    <row r="3751" spans="1:15" x14ac:dyDescent="0.25">
      <c r="A3751">
        <v>3750</v>
      </c>
      <c r="B3751" s="2">
        <v>45917</v>
      </c>
      <c r="C3751" t="s">
        <v>26</v>
      </c>
      <c r="D3751" t="s">
        <v>17</v>
      </c>
      <c r="E3751" t="s">
        <v>22</v>
      </c>
      <c r="F3751" t="s">
        <v>24</v>
      </c>
      <c r="G3751">
        <v>179</v>
      </c>
      <c r="H3751">
        <v>619.67999999999995</v>
      </c>
      <c r="I3751">
        <v>35</v>
      </c>
      <c r="J3751" t="s">
        <v>30</v>
      </c>
      <c r="K3751">
        <v>110922.72</v>
      </c>
      <c r="L3751" t="str">
        <f t="shared" si="232"/>
        <v>Sep</v>
      </c>
      <c r="M3751">
        <f t="shared" si="233"/>
        <v>2025</v>
      </c>
      <c r="N3751">
        <f t="shared" si="234"/>
        <v>110922.71999999999</v>
      </c>
      <c r="O3751" t="str">
        <f t="shared" si="235"/>
        <v>Moderate Delay</v>
      </c>
    </row>
    <row r="3752" spans="1:15" x14ac:dyDescent="0.25">
      <c r="A3752">
        <v>3751</v>
      </c>
      <c r="B3752" s="2">
        <v>45871</v>
      </c>
      <c r="C3752" t="s">
        <v>25</v>
      </c>
      <c r="D3752" t="s">
        <v>20</v>
      </c>
      <c r="E3752" t="s">
        <v>22</v>
      </c>
      <c r="F3752" t="s">
        <v>21</v>
      </c>
      <c r="G3752">
        <v>68</v>
      </c>
      <c r="H3752">
        <v>340.03</v>
      </c>
      <c r="I3752">
        <v>0</v>
      </c>
      <c r="J3752" t="s">
        <v>15</v>
      </c>
      <c r="K3752">
        <v>23122.04</v>
      </c>
      <c r="L3752" t="str">
        <f t="shared" si="232"/>
        <v>Aug</v>
      </c>
      <c r="M3752">
        <f t="shared" si="233"/>
        <v>2025</v>
      </c>
      <c r="N3752">
        <f t="shared" si="234"/>
        <v>23122.039999999997</v>
      </c>
      <c r="O3752" t="str">
        <f t="shared" si="235"/>
        <v>On Time</v>
      </c>
    </row>
    <row r="3753" spans="1:15" x14ac:dyDescent="0.25">
      <c r="A3753">
        <v>3752</v>
      </c>
      <c r="B3753" s="2">
        <v>45908</v>
      </c>
      <c r="C3753" t="s">
        <v>25</v>
      </c>
      <c r="D3753" t="s">
        <v>23</v>
      </c>
      <c r="E3753" t="s">
        <v>13</v>
      </c>
      <c r="F3753" t="s">
        <v>14</v>
      </c>
      <c r="G3753">
        <v>64</v>
      </c>
      <c r="H3753">
        <v>797.1</v>
      </c>
      <c r="I3753">
        <v>6</v>
      </c>
      <c r="J3753" t="s">
        <v>15</v>
      </c>
      <c r="K3753">
        <v>51014.400000000001</v>
      </c>
      <c r="L3753" t="str">
        <f t="shared" si="232"/>
        <v>Sep</v>
      </c>
      <c r="M3753">
        <f t="shared" si="233"/>
        <v>2025</v>
      </c>
      <c r="N3753">
        <f t="shared" si="234"/>
        <v>51014.400000000001</v>
      </c>
      <c r="O3753" t="str">
        <f t="shared" si="235"/>
        <v>Minor Delay</v>
      </c>
    </row>
    <row r="3754" spans="1:15" x14ac:dyDescent="0.25">
      <c r="A3754">
        <v>3753</v>
      </c>
      <c r="B3754" s="2">
        <v>45896</v>
      </c>
      <c r="C3754" t="s">
        <v>18</v>
      </c>
      <c r="D3754" t="s">
        <v>12</v>
      </c>
      <c r="E3754" t="s">
        <v>27</v>
      </c>
      <c r="F3754" t="s">
        <v>14</v>
      </c>
      <c r="G3754">
        <v>275</v>
      </c>
      <c r="H3754">
        <v>741.69</v>
      </c>
      <c r="I3754">
        <v>9</v>
      </c>
      <c r="J3754" t="s">
        <v>15</v>
      </c>
      <c r="K3754">
        <v>203964.75</v>
      </c>
      <c r="L3754" t="str">
        <f t="shared" si="232"/>
        <v>Aug</v>
      </c>
      <c r="M3754">
        <f t="shared" si="233"/>
        <v>2025</v>
      </c>
      <c r="N3754">
        <f t="shared" si="234"/>
        <v>203964.75000000003</v>
      </c>
      <c r="O3754" t="str">
        <f t="shared" si="235"/>
        <v>Minor Delay</v>
      </c>
    </row>
    <row r="3755" spans="1:15" x14ac:dyDescent="0.25">
      <c r="A3755">
        <v>3754</v>
      </c>
      <c r="B3755" s="2">
        <v>45918</v>
      </c>
      <c r="C3755" t="s">
        <v>31</v>
      </c>
      <c r="D3755" t="s">
        <v>13</v>
      </c>
      <c r="E3755" t="s">
        <v>27</v>
      </c>
      <c r="F3755" t="s">
        <v>14</v>
      </c>
      <c r="G3755">
        <v>149</v>
      </c>
      <c r="H3755">
        <v>492.06</v>
      </c>
      <c r="I3755">
        <v>7</v>
      </c>
      <c r="J3755" t="s">
        <v>15</v>
      </c>
      <c r="K3755">
        <v>73316.94</v>
      </c>
      <c r="L3755" t="str">
        <f t="shared" si="232"/>
        <v>Sep</v>
      </c>
      <c r="M3755">
        <f t="shared" si="233"/>
        <v>2025</v>
      </c>
      <c r="N3755">
        <f t="shared" si="234"/>
        <v>73316.94</v>
      </c>
      <c r="O3755" t="str">
        <f t="shared" si="235"/>
        <v>Minor Delay</v>
      </c>
    </row>
    <row r="3756" spans="1:15" x14ac:dyDescent="0.25">
      <c r="A3756">
        <v>3755</v>
      </c>
      <c r="B3756" s="2">
        <v>45802</v>
      </c>
      <c r="C3756" t="s">
        <v>16</v>
      </c>
      <c r="D3756" t="s">
        <v>19</v>
      </c>
      <c r="E3756" t="s">
        <v>17</v>
      </c>
      <c r="F3756" t="s">
        <v>14</v>
      </c>
      <c r="G3756">
        <v>281</v>
      </c>
      <c r="H3756">
        <v>199.93</v>
      </c>
      <c r="I3756">
        <v>0</v>
      </c>
      <c r="J3756" t="s">
        <v>15</v>
      </c>
      <c r="K3756">
        <v>56180.33</v>
      </c>
      <c r="L3756" t="str">
        <f t="shared" si="232"/>
        <v>May</v>
      </c>
      <c r="M3756">
        <f t="shared" si="233"/>
        <v>2025</v>
      </c>
      <c r="N3756">
        <f t="shared" si="234"/>
        <v>56180.33</v>
      </c>
      <c r="O3756" t="str">
        <f t="shared" si="235"/>
        <v>On Time</v>
      </c>
    </row>
    <row r="3757" spans="1:15" x14ac:dyDescent="0.25">
      <c r="A3757">
        <v>3756</v>
      </c>
      <c r="B3757" s="2">
        <v>46007</v>
      </c>
      <c r="C3757" t="s">
        <v>16</v>
      </c>
      <c r="D3757" t="s">
        <v>27</v>
      </c>
      <c r="E3757" t="s">
        <v>22</v>
      </c>
      <c r="F3757" t="s">
        <v>21</v>
      </c>
      <c r="G3757">
        <v>97</v>
      </c>
      <c r="H3757">
        <v>225.91</v>
      </c>
      <c r="I3757">
        <v>3</v>
      </c>
      <c r="J3757" t="s">
        <v>15</v>
      </c>
      <c r="K3757">
        <v>21913.27</v>
      </c>
      <c r="L3757" t="str">
        <f t="shared" si="232"/>
        <v>Dec</v>
      </c>
      <c r="M3757">
        <f t="shared" si="233"/>
        <v>2025</v>
      </c>
      <c r="N3757">
        <f t="shared" si="234"/>
        <v>21913.27</v>
      </c>
      <c r="O3757" t="str">
        <f t="shared" si="235"/>
        <v>Minor Delay</v>
      </c>
    </row>
    <row r="3758" spans="1:15" x14ac:dyDescent="0.25">
      <c r="A3758">
        <v>3757</v>
      </c>
      <c r="B3758" s="2">
        <v>45819</v>
      </c>
      <c r="C3758" t="s">
        <v>11</v>
      </c>
      <c r="D3758" t="s">
        <v>29</v>
      </c>
      <c r="E3758" t="s">
        <v>20</v>
      </c>
      <c r="F3758" t="s">
        <v>14</v>
      </c>
      <c r="G3758">
        <v>167</v>
      </c>
      <c r="H3758">
        <v>236.04</v>
      </c>
      <c r="I3758">
        <v>6</v>
      </c>
      <c r="J3758" t="s">
        <v>30</v>
      </c>
      <c r="K3758">
        <v>39418.68</v>
      </c>
      <c r="L3758" t="str">
        <f t="shared" si="232"/>
        <v>Jun</v>
      </c>
      <c r="M3758">
        <f t="shared" si="233"/>
        <v>2025</v>
      </c>
      <c r="N3758">
        <f t="shared" si="234"/>
        <v>39418.68</v>
      </c>
      <c r="O3758" t="str">
        <f t="shared" si="235"/>
        <v>Minor Delay</v>
      </c>
    </row>
    <row r="3759" spans="1:15" x14ac:dyDescent="0.25">
      <c r="A3759">
        <v>3758</v>
      </c>
      <c r="B3759" s="2">
        <v>45737</v>
      </c>
      <c r="C3759" t="s">
        <v>26</v>
      </c>
      <c r="D3759" t="s">
        <v>23</v>
      </c>
      <c r="E3759" t="s">
        <v>27</v>
      </c>
      <c r="F3759" t="s">
        <v>21</v>
      </c>
      <c r="G3759">
        <v>226</v>
      </c>
      <c r="H3759">
        <v>99.69</v>
      </c>
      <c r="I3759">
        <v>0</v>
      </c>
      <c r="J3759" t="s">
        <v>15</v>
      </c>
      <c r="K3759">
        <v>22529.94</v>
      </c>
      <c r="L3759" t="str">
        <f t="shared" si="232"/>
        <v>Mar</v>
      </c>
      <c r="M3759">
        <f t="shared" si="233"/>
        <v>2025</v>
      </c>
      <c r="N3759">
        <f t="shared" si="234"/>
        <v>22529.94</v>
      </c>
      <c r="O3759" t="str">
        <f t="shared" si="235"/>
        <v>On Time</v>
      </c>
    </row>
    <row r="3760" spans="1:15" x14ac:dyDescent="0.25">
      <c r="A3760">
        <v>3759</v>
      </c>
      <c r="B3760" s="2">
        <v>45795</v>
      </c>
      <c r="C3760" t="s">
        <v>18</v>
      </c>
      <c r="D3760" t="s">
        <v>29</v>
      </c>
      <c r="E3760" t="s">
        <v>23</v>
      </c>
      <c r="F3760" t="s">
        <v>24</v>
      </c>
      <c r="G3760">
        <v>69</v>
      </c>
      <c r="H3760">
        <v>276.08999999999997</v>
      </c>
      <c r="I3760">
        <v>25</v>
      </c>
      <c r="J3760" t="s">
        <v>15</v>
      </c>
      <c r="K3760">
        <v>19050.21</v>
      </c>
      <c r="L3760" t="str">
        <f t="shared" si="232"/>
        <v>May</v>
      </c>
      <c r="M3760">
        <f t="shared" si="233"/>
        <v>2025</v>
      </c>
      <c r="N3760">
        <f t="shared" si="234"/>
        <v>19050.21</v>
      </c>
      <c r="O3760" t="str">
        <f t="shared" si="235"/>
        <v>Minor Delay</v>
      </c>
    </row>
    <row r="3761" spans="1:15" x14ac:dyDescent="0.25">
      <c r="A3761">
        <v>3760</v>
      </c>
      <c r="B3761" s="2">
        <v>45818</v>
      </c>
      <c r="C3761" t="s">
        <v>26</v>
      </c>
      <c r="D3761" t="s">
        <v>19</v>
      </c>
      <c r="E3761" t="s">
        <v>17</v>
      </c>
      <c r="F3761" t="s">
        <v>24</v>
      </c>
      <c r="G3761">
        <v>227</v>
      </c>
      <c r="H3761">
        <v>394.1</v>
      </c>
      <c r="I3761">
        <v>0</v>
      </c>
      <c r="J3761" t="s">
        <v>28</v>
      </c>
      <c r="K3761">
        <v>89460.7</v>
      </c>
      <c r="L3761" t="str">
        <f t="shared" si="232"/>
        <v>Jun</v>
      </c>
      <c r="M3761">
        <f t="shared" si="233"/>
        <v>2025</v>
      </c>
      <c r="N3761">
        <f t="shared" si="234"/>
        <v>89460.700000000012</v>
      </c>
      <c r="O3761" t="str">
        <f t="shared" si="235"/>
        <v>On Time</v>
      </c>
    </row>
    <row r="3762" spans="1:15" x14ac:dyDescent="0.25">
      <c r="A3762">
        <v>3761</v>
      </c>
      <c r="B3762" s="2">
        <v>45678</v>
      </c>
      <c r="C3762" t="s">
        <v>18</v>
      </c>
      <c r="D3762" t="s">
        <v>29</v>
      </c>
      <c r="E3762" t="s">
        <v>13</v>
      </c>
      <c r="F3762" t="s">
        <v>14</v>
      </c>
      <c r="G3762">
        <v>170</v>
      </c>
      <c r="H3762">
        <v>246.09</v>
      </c>
      <c r="I3762">
        <v>43</v>
      </c>
      <c r="J3762" t="s">
        <v>15</v>
      </c>
      <c r="K3762">
        <v>41835.300000000003</v>
      </c>
      <c r="L3762" t="str">
        <f t="shared" si="232"/>
        <v>Jan</v>
      </c>
      <c r="M3762">
        <f t="shared" si="233"/>
        <v>2025</v>
      </c>
      <c r="N3762">
        <f t="shared" si="234"/>
        <v>41835.300000000003</v>
      </c>
      <c r="O3762" t="str">
        <f t="shared" si="235"/>
        <v>Moderate Delay</v>
      </c>
    </row>
    <row r="3763" spans="1:15" x14ac:dyDescent="0.25">
      <c r="A3763">
        <v>3762</v>
      </c>
      <c r="B3763" s="2">
        <v>45898</v>
      </c>
      <c r="C3763" t="s">
        <v>18</v>
      </c>
      <c r="D3763" t="s">
        <v>22</v>
      </c>
      <c r="E3763" t="s">
        <v>23</v>
      </c>
      <c r="F3763" t="s">
        <v>14</v>
      </c>
      <c r="G3763">
        <v>246</v>
      </c>
      <c r="H3763">
        <v>178.49</v>
      </c>
      <c r="I3763">
        <v>83</v>
      </c>
      <c r="J3763" t="s">
        <v>15</v>
      </c>
      <c r="K3763">
        <v>43908.54</v>
      </c>
      <c r="L3763" t="str">
        <f t="shared" si="232"/>
        <v>Aug</v>
      </c>
      <c r="M3763">
        <f t="shared" si="233"/>
        <v>2025</v>
      </c>
      <c r="N3763">
        <f t="shared" si="234"/>
        <v>43908.54</v>
      </c>
      <c r="O3763" t="str">
        <f t="shared" si="235"/>
        <v>Major Delay</v>
      </c>
    </row>
    <row r="3764" spans="1:15" x14ac:dyDescent="0.25">
      <c r="A3764">
        <v>3763</v>
      </c>
      <c r="B3764" s="2">
        <v>45983</v>
      </c>
      <c r="C3764" t="s">
        <v>11</v>
      </c>
      <c r="D3764" t="s">
        <v>19</v>
      </c>
      <c r="E3764" t="s">
        <v>12</v>
      </c>
      <c r="F3764" t="s">
        <v>24</v>
      </c>
      <c r="G3764">
        <v>223</v>
      </c>
      <c r="H3764">
        <v>601.99</v>
      </c>
      <c r="I3764">
        <v>30</v>
      </c>
      <c r="J3764" t="s">
        <v>15</v>
      </c>
      <c r="K3764">
        <v>134243.76999999999</v>
      </c>
      <c r="L3764" t="str">
        <f t="shared" si="232"/>
        <v>Nov</v>
      </c>
      <c r="M3764">
        <f t="shared" si="233"/>
        <v>2025</v>
      </c>
      <c r="N3764">
        <f t="shared" si="234"/>
        <v>134243.76999999999</v>
      </c>
      <c r="O3764" t="str">
        <f t="shared" si="235"/>
        <v>Minor Delay</v>
      </c>
    </row>
    <row r="3765" spans="1:15" x14ac:dyDescent="0.25">
      <c r="A3765">
        <v>3764</v>
      </c>
      <c r="B3765" s="2">
        <v>45710</v>
      </c>
      <c r="C3765" t="s">
        <v>11</v>
      </c>
      <c r="D3765" t="s">
        <v>20</v>
      </c>
      <c r="E3765" t="s">
        <v>17</v>
      </c>
      <c r="F3765" t="s">
        <v>14</v>
      </c>
      <c r="G3765">
        <v>272</v>
      </c>
      <c r="H3765">
        <v>170.58</v>
      </c>
      <c r="I3765">
        <v>0</v>
      </c>
      <c r="J3765" t="s">
        <v>30</v>
      </c>
      <c r="K3765">
        <v>46397.760000000002</v>
      </c>
      <c r="L3765" t="str">
        <f t="shared" si="232"/>
        <v>Feb</v>
      </c>
      <c r="M3765">
        <f t="shared" si="233"/>
        <v>2025</v>
      </c>
      <c r="N3765">
        <f t="shared" si="234"/>
        <v>46397.760000000002</v>
      </c>
      <c r="O3765" t="str">
        <f t="shared" si="235"/>
        <v>On Time</v>
      </c>
    </row>
    <row r="3766" spans="1:15" x14ac:dyDescent="0.25">
      <c r="A3766">
        <v>3765</v>
      </c>
      <c r="B3766" s="2">
        <v>45844</v>
      </c>
      <c r="C3766" t="s">
        <v>18</v>
      </c>
      <c r="D3766" t="s">
        <v>19</v>
      </c>
      <c r="E3766" t="s">
        <v>13</v>
      </c>
      <c r="F3766" t="s">
        <v>24</v>
      </c>
      <c r="G3766">
        <v>122</v>
      </c>
      <c r="H3766">
        <v>370.24</v>
      </c>
      <c r="I3766">
        <v>13</v>
      </c>
      <c r="J3766" t="s">
        <v>15</v>
      </c>
      <c r="K3766">
        <v>45169.279999999999</v>
      </c>
      <c r="L3766" t="str">
        <f t="shared" si="232"/>
        <v>Jul</v>
      </c>
      <c r="M3766">
        <f t="shared" si="233"/>
        <v>2025</v>
      </c>
      <c r="N3766">
        <f t="shared" si="234"/>
        <v>45169.279999999999</v>
      </c>
      <c r="O3766" t="str">
        <f t="shared" si="235"/>
        <v>Minor Delay</v>
      </c>
    </row>
    <row r="3767" spans="1:15" x14ac:dyDescent="0.25">
      <c r="A3767">
        <v>3766</v>
      </c>
      <c r="B3767" s="2">
        <v>45847</v>
      </c>
      <c r="C3767" t="s">
        <v>26</v>
      </c>
      <c r="D3767" t="s">
        <v>23</v>
      </c>
      <c r="E3767" t="s">
        <v>17</v>
      </c>
      <c r="F3767" t="s">
        <v>24</v>
      </c>
      <c r="G3767">
        <v>198</v>
      </c>
      <c r="H3767">
        <v>306.39999999999998</v>
      </c>
      <c r="I3767">
        <v>2</v>
      </c>
      <c r="J3767" t="s">
        <v>15</v>
      </c>
      <c r="K3767">
        <v>60667.199999999997</v>
      </c>
      <c r="L3767" t="str">
        <f t="shared" si="232"/>
        <v>Jul</v>
      </c>
      <c r="M3767">
        <f t="shared" si="233"/>
        <v>2025</v>
      </c>
      <c r="N3767">
        <f t="shared" si="234"/>
        <v>60667.199999999997</v>
      </c>
      <c r="O3767" t="str">
        <f t="shared" si="235"/>
        <v>Minor Delay</v>
      </c>
    </row>
    <row r="3768" spans="1:15" x14ac:dyDescent="0.25">
      <c r="A3768">
        <v>3767</v>
      </c>
      <c r="B3768" s="2">
        <v>46019</v>
      </c>
      <c r="C3768" t="s">
        <v>26</v>
      </c>
      <c r="D3768" t="s">
        <v>17</v>
      </c>
      <c r="E3768" t="s">
        <v>19</v>
      </c>
      <c r="F3768" t="s">
        <v>24</v>
      </c>
      <c r="G3768">
        <v>51</v>
      </c>
      <c r="H3768">
        <v>429.79</v>
      </c>
      <c r="I3768">
        <v>0</v>
      </c>
      <c r="J3768" t="s">
        <v>30</v>
      </c>
      <c r="K3768">
        <v>21919.29</v>
      </c>
      <c r="L3768" t="str">
        <f t="shared" si="232"/>
        <v>Dec</v>
      </c>
      <c r="M3768">
        <f t="shared" si="233"/>
        <v>2025</v>
      </c>
      <c r="N3768">
        <f t="shared" si="234"/>
        <v>21919.29</v>
      </c>
      <c r="O3768" t="str">
        <f t="shared" si="235"/>
        <v>On Time</v>
      </c>
    </row>
    <row r="3769" spans="1:15" x14ac:dyDescent="0.25">
      <c r="A3769">
        <v>3768</v>
      </c>
      <c r="B3769" s="2">
        <v>45776</v>
      </c>
      <c r="C3769" t="s">
        <v>25</v>
      </c>
      <c r="D3769" t="s">
        <v>23</v>
      </c>
      <c r="E3769" t="s">
        <v>19</v>
      </c>
      <c r="F3769" t="s">
        <v>14</v>
      </c>
      <c r="G3769">
        <v>174</v>
      </c>
      <c r="H3769">
        <v>363.36</v>
      </c>
      <c r="I3769">
        <v>22</v>
      </c>
      <c r="J3769" t="s">
        <v>28</v>
      </c>
      <c r="K3769">
        <v>63224.639999999999</v>
      </c>
      <c r="L3769" t="str">
        <f t="shared" si="232"/>
        <v>Apr</v>
      </c>
      <c r="M3769">
        <f t="shared" si="233"/>
        <v>2025</v>
      </c>
      <c r="N3769">
        <f t="shared" si="234"/>
        <v>63224.639999999999</v>
      </c>
      <c r="O3769" t="str">
        <f t="shared" si="235"/>
        <v>Minor Delay</v>
      </c>
    </row>
    <row r="3770" spans="1:15" x14ac:dyDescent="0.25">
      <c r="A3770">
        <v>3769</v>
      </c>
      <c r="B3770" s="2">
        <v>46005</v>
      </c>
      <c r="C3770" t="s">
        <v>18</v>
      </c>
      <c r="D3770" t="s">
        <v>13</v>
      </c>
      <c r="E3770" t="s">
        <v>22</v>
      </c>
      <c r="F3770" t="s">
        <v>14</v>
      </c>
      <c r="G3770">
        <v>57</v>
      </c>
      <c r="H3770">
        <v>444.47</v>
      </c>
      <c r="I3770">
        <v>3</v>
      </c>
      <c r="J3770" t="s">
        <v>15</v>
      </c>
      <c r="K3770">
        <v>25334.79</v>
      </c>
      <c r="L3770" t="str">
        <f t="shared" si="232"/>
        <v>Dec</v>
      </c>
      <c r="M3770">
        <f t="shared" si="233"/>
        <v>2025</v>
      </c>
      <c r="N3770">
        <f t="shared" si="234"/>
        <v>25334.79</v>
      </c>
      <c r="O3770" t="str">
        <f t="shared" si="235"/>
        <v>Minor Delay</v>
      </c>
    </row>
    <row r="3771" spans="1:15" x14ac:dyDescent="0.25">
      <c r="A3771">
        <v>3770</v>
      </c>
      <c r="B3771" s="2">
        <v>45875</v>
      </c>
      <c r="C3771" t="s">
        <v>31</v>
      </c>
      <c r="D3771" t="s">
        <v>17</v>
      </c>
      <c r="E3771" t="s">
        <v>29</v>
      </c>
      <c r="F3771" t="s">
        <v>14</v>
      </c>
      <c r="G3771">
        <v>97</v>
      </c>
      <c r="H3771">
        <v>760.74</v>
      </c>
      <c r="I3771">
        <v>0</v>
      </c>
      <c r="J3771" t="s">
        <v>15</v>
      </c>
      <c r="K3771">
        <v>73791.78</v>
      </c>
      <c r="L3771" t="str">
        <f t="shared" si="232"/>
        <v>Aug</v>
      </c>
      <c r="M3771">
        <f t="shared" si="233"/>
        <v>2025</v>
      </c>
      <c r="N3771">
        <f t="shared" si="234"/>
        <v>73791.78</v>
      </c>
      <c r="O3771" t="str">
        <f t="shared" si="235"/>
        <v>On Time</v>
      </c>
    </row>
    <row r="3772" spans="1:15" x14ac:dyDescent="0.25">
      <c r="A3772">
        <v>3771</v>
      </c>
      <c r="B3772" s="2">
        <v>45849</v>
      </c>
      <c r="C3772" t="s">
        <v>26</v>
      </c>
      <c r="D3772" t="s">
        <v>13</v>
      </c>
      <c r="E3772" t="s">
        <v>27</v>
      </c>
      <c r="F3772" t="s">
        <v>21</v>
      </c>
      <c r="G3772">
        <v>55</v>
      </c>
      <c r="H3772">
        <v>356.3</v>
      </c>
      <c r="I3772">
        <v>0</v>
      </c>
      <c r="J3772" t="s">
        <v>15</v>
      </c>
      <c r="K3772">
        <v>19596.5</v>
      </c>
      <c r="L3772" t="str">
        <f t="shared" si="232"/>
        <v>Jul</v>
      </c>
      <c r="M3772">
        <f t="shared" si="233"/>
        <v>2025</v>
      </c>
      <c r="N3772">
        <f t="shared" si="234"/>
        <v>19596.5</v>
      </c>
      <c r="O3772" t="str">
        <f t="shared" si="235"/>
        <v>On Time</v>
      </c>
    </row>
    <row r="3773" spans="1:15" x14ac:dyDescent="0.25">
      <c r="A3773">
        <v>3772</v>
      </c>
      <c r="B3773" s="2">
        <v>45692</v>
      </c>
      <c r="C3773" t="s">
        <v>26</v>
      </c>
      <c r="D3773" t="s">
        <v>20</v>
      </c>
      <c r="E3773" t="s">
        <v>13</v>
      </c>
      <c r="F3773" t="s">
        <v>21</v>
      </c>
      <c r="G3773">
        <v>77</v>
      </c>
      <c r="H3773">
        <v>187.76</v>
      </c>
      <c r="I3773">
        <v>28</v>
      </c>
      <c r="J3773" t="s">
        <v>15</v>
      </c>
      <c r="K3773">
        <v>14457.52</v>
      </c>
      <c r="L3773" t="str">
        <f t="shared" si="232"/>
        <v>Feb</v>
      </c>
      <c r="M3773">
        <f t="shared" si="233"/>
        <v>2025</v>
      </c>
      <c r="N3773">
        <f t="shared" si="234"/>
        <v>14457.519999999999</v>
      </c>
      <c r="O3773" t="str">
        <f t="shared" si="235"/>
        <v>Minor Delay</v>
      </c>
    </row>
    <row r="3774" spans="1:15" x14ac:dyDescent="0.25">
      <c r="A3774">
        <v>3773</v>
      </c>
      <c r="B3774" s="2">
        <v>45816</v>
      </c>
      <c r="C3774" t="s">
        <v>31</v>
      </c>
      <c r="D3774" t="s">
        <v>19</v>
      </c>
      <c r="E3774" t="s">
        <v>22</v>
      </c>
      <c r="F3774" t="s">
        <v>14</v>
      </c>
      <c r="G3774">
        <v>167</v>
      </c>
      <c r="H3774">
        <v>382.95</v>
      </c>
      <c r="I3774">
        <v>5</v>
      </c>
      <c r="J3774" t="s">
        <v>15</v>
      </c>
      <c r="K3774">
        <v>63952.65</v>
      </c>
      <c r="L3774" t="str">
        <f t="shared" si="232"/>
        <v>Jun</v>
      </c>
      <c r="M3774">
        <f t="shared" si="233"/>
        <v>2025</v>
      </c>
      <c r="N3774">
        <f t="shared" si="234"/>
        <v>63952.65</v>
      </c>
      <c r="O3774" t="str">
        <f t="shared" si="235"/>
        <v>Minor Delay</v>
      </c>
    </row>
    <row r="3775" spans="1:15" x14ac:dyDescent="0.25">
      <c r="A3775">
        <v>3774</v>
      </c>
      <c r="B3775" s="2">
        <v>45940</v>
      </c>
      <c r="C3775" t="s">
        <v>25</v>
      </c>
      <c r="D3775" t="s">
        <v>29</v>
      </c>
      <c r="E3775" t="s">
        <v>12</v>
      </c>
      <c r="F3775" t="s">
        <v>14</v>
      </c>
      <c r="G3775">
        <v>225</v>
      </c>
      <c r="H3775">
        <v>235.88</v>
      </c>
      <c r="I3775">
        <v>22</v>
      </c>
      <c r="J3775" t="s">
        <v>15</v>
      </c>
      <c r="K3775">
        <v>53073</v>
      </c>
      <c r="L3775" t="str">
        <f t="shared" si="232"/>
        <v>Oct</v>
      </c>
      <c r="M3775">
        <f t="shared" si="233"/>
        <v>2025</v>
      </c>
      <c r="N3775">
        <f t="shared" si="234"/>
        <v>53073</v>
      </c>
      <c r="O3775" t="str">
        <f t="shared" si="235"/>
        <v>Minor Delay</v>
      </c>
    </row>
    <row r="3776" spans="1:15" x14ac:dyDescent="0.25">
      <c r="A3776">
        <v>3775</v>
      </c>
      <c r="B3776" s="2">
        <v>45963</v>
      </c>
      <c r="C3776" t="s">
        <v>11</v>
      </c>
      <c r="D3776" t="s">
        <v>19</v>
      </c>
      <c r="E3776" t="s">
        <v>12</v>
      </c>
      <c r="F3776" t="s">
        <v>21</v>
      </c>
      <c r="G3776">
        <v>285</v>
      </c>
      <c r="H3776">
        <v>339.66</v>
      </c>
      <c r="I3776">
        <v>11</v>
      </c>
      <c r="J3776" t="s">
        <v>15</v>
      </c>
      <c r="K3776">
        <v>96803.1</v>
      </c>
      <c r="L3776" t="str">
        <f t="shared" si="232"/>
        <v>Nov</v>
      </c>
      <c r="M3776">
        <f t="shared" si="233"/>
        <v>2025</v>
      </c>
      <c r="N3776">
        <f t="shared" si="234"/>
        <v>96803.1</v>
      </c>
      <c r="O3776" t="str">
        <f t="shared" si="235"/>
        <v>Minor Delay</v>
      </c>
    </row>
    <row r="3777" spans="1:15" x14ac:dyDescent="0.25">
      <c r="A3777">
        <v>3776</v>
      </c>
      <c r="B3777" s="2">
        <v>45670</v>
      </c>
      <c r="C3777" t="s">
        <v>18</v>
      </c>
      <c r="D3777" t="s">
        <v>22</v>
      </c>
      <c r="E3777" t="s">
        <v>19</v>
      </c>
      <c r="F3777" t="s">
        <v>14</v>
      </c>
      <c r="G3777">
        <v>90</v>
      </c>
      <c r="H3777">
        <v>188.27</v>
      </c>
      <c r="I3777">
        <v>8</v>
      </c>
      <c r="J3777" t="s">
        <v>15</v>
      </c>
      <c r="K3777">
        <v>16944.3</v>
      </c>
      <c r="L3777" t="str">
        <f t="shared" si="232"/>
        <v>Jan</v>
      </c>
      <c r="M3777">
        <f t="shared" si="233"/>
        <v>2025</v>
      </c>
      <c r="N3777">
        <f t="shared" si="234"/>
        <v>16944.3</v>
      </c>
      <c r="O3777" t="str">
        <f t="shared" si="235"/>
        <v>Minor Delay</v>
      </c>
    </row>
    <row r="3778" spans="1:15" x14ac:dyDescent="0.25">
      <c r="A3778">
        <v>3777</v>
      </c>
      <c r="B3778" s="2">
        <v>45732</v>
      </c>
      <c r="C3778" t="s">
        <v>31</v>
      </c>
      <c r="D3778" t="s">
        <v>13</v>
      </c>
      <c r="E3778" t="s">
        <v>19</v>
      </c>
      <c r="F3778" t="s">
        <v>14</v>
      </c>
      <c r="G3778">
        <v>217</v>
      </c>
      <c r="H3778">
        <v>402.84</v>
      </c>
      <c r="I3778">
        <v>19</v>
      </c>
      <c r="J3778" t="s">
        <v>15</v>
      </c>
      <c r="K3778">
        <v>87416.28</v>
      </c>
      <c r="L3778" t="str">
        <f t="shared" si="232"/>
        <v>Mar</v>
      </c>
      <c r="M3778">
        <f t="shared" si="233"/>
        <v>2025</v>
      </c>
      <c r="N3778">
        <f t="shared" si="234"/>
        <v>87416.28</v>
      </c>
      <c r="O3778" t="str">
        <f t="shared" si="235"/>
        <v>Minor Delay</v>
      </c>
    </row>
    <row r="3779" spans="1:15" x14ac:dyDescent="0.25">
      <c r="A3779">
        <v>3778</v>
      </c>
      <c r="B3779" s="2">
        <v>45975</v>
      </c>
      <c r="C3779" t="s">
        <v>31</v>
      </c>
      <c r="D3779" t="s">
        <v>22</v>
      </c>
      <c r="E3779" t="s">
        <v>23</v>
      </c>
      <c r="F3779" t="s">
        <v>24</v>
      </c>
      <c r="G3779">
        <v>175</v>
      </c>
      <c r="H3779">
        <v>604.15</v>
      </c>
      <c r="I3779">
        <v>4</v>
      </c>
      <c r="J3779" t="s">
        <v>15</v>
      </c>
      <c r="K3779">
        <v>105726.25</v>
      </c>
      <c r="L3779" t="str">
        <f t="shared" ref="L3779:L3842" si="236">TEXT(B3779,"MMM")</f>
        <v>Nov</v>
      </c>
      <c r="M3779">
        <f t="shared" ref="M3779:M3842" si="237">YEAR(B3779)</f>
        <v>2025</v>
      </c>
      <c r="N3779">
        <f t="shared" ref="N3779:N3842" si="238">G3779*H3779</f>
        <v>105726.25</v>
      </c>
      <c r="O3779" t="str">
        <f t="shared" ref="O3779:O3842" si="239">IF(I3779=0,"On Time",IF(I3779&lt;=30,"Minor Delay",IF(I3779&lt;=60,"Moderate Delay","Major Delay")))</f>
        <v>Minor Delay</v>
      </c>
    </row>
    <row r="3780" spans="1:15" x14ac:dyDescent="0.25">
      <c r="A3780">
        <v>3779</v>
      </c>
      <c r="B3780" s="2">
        <v>45938</v>
      </c>
      <c r="C3780" t="s">
        <v>11</v>
      </c>
      <c r="D3780" t="s">
        <v>20</v>
      </c>
      <c r="E3780" t="s">
        <v>29</v>
      </c>
      <c r="F3780" t="s">
        <v>14</v>
      </c>
      <c r="G3780">
        <v>152</v>
      </c>
      <c r="H3780">
        <v>203.2</v>
      </c>
      <c r="I3780">
        <v>39</v>
      </c>
      <c r="J3780" t="s">
        <v>30</v>
      </c>
      <c r="K3780">
        <v>30886.400000000001</v>
      </c>
      <c r="L3780" t="str">
        <f t="shared" si="236"/>
        <v>Oct</v>
      </c>
      <c r="M3780">
        <f t="shared" si="237"/>
        <v>2025</v>
      </c>
      <c r="N3780">
        <f t="shared" si="238"/>
        <v>30886.399999999998</v>
      </c>
      <c r="O3780" t="str">
        <f t="shared" si="239"/>
        <v>Moderate Delay</v>
      </c>
    </row>
    <row r="3781" spans="1:15" x14ac:dyDescent="0.25">
      <c r="A3781">
        <v>3780</v>
      </c>
      <c r="B3781" s="2">
        <v>45743</v>
      </c>
      <c r="C3781" t="s">
        <v>18</v>
      </c>
      <c r="D3781" t="s">
        <v>13</v>
      </c>
      <c r="E3781" t="s">
        <v>29</v>
      </c>
      <c r="F3781" t="s">
        <v>21</v>
      </c>
      <c r="G3781">
        <v>191</v>
      </c>
      <c r="H3781">
        <v>99.23</v>
      </c>
      <c r="I3781">
        <v>50</v>
      </c>
      <c r="J3781" t="s">
        <v>15</v>
      </c>
      <c r="K3781">
        <v>18952.93</v>
      </c>
      <c r="L3781" t="str">
        <f t="shared" si="236"/>
        <v>Mar</v>
      </c>
      <c r="M3781">
        <f t="shared" si="237"/>
        <v>2025</v>
      </c>
      <c r="N3781">
        <f t="shared" si="238"/>
        <v>18952.93</v>
      </c>
      <c r="O3781" t="str">
        <f t="shared" si="239"/>
        <v>Moderate Delay</v>
      </c>
    </row>
    <row r="3782" spans="1:15" x14ac:dyDescent="0.25">
      <c r="A3782">
        <v>3781</v>
      </c>
      <c r="B3782" s="2">
        <v>45845</v>
      </c>
      <c r="C3782" t="s">
        <v>31</v>
      </c>
      <c r="D3782" t="s">
        <v>17</v>
      </c>
      <c r="E3782" t="s">
        <v>20</v>
      </c>
      <c r="F3782" t="s">
        <v>21</v>
      </c>
      <c r="G3782">
        <v>132</v>
      </c>
      <c r="H3782">
        <v>161.63999999999999</v>
      </c>
      <c r="I3782">
        <v>41</v>
      </c>
      <c r="J3782" t="s">
        <v>15</v>
      </c>
      <c r="K3782">
        <v>21336.48</v>
      </c>
      <c r="L3782" t="str">
        <f t="shared" si="236"/>
        <v>Jul</v>
      </c>
      <c r="M3782">
        <f t="shared" si="237"/>
        <v>2025</v>
      </c>
      <c r="N3782">
        <f t="shared" si="238"/>
        <v>21336.48</v>
      </c>
      <c r="O3782" t="str">
        <f t="shared" si="239"/>
        <v>Moderate Delay</v>
      </c>
    </row>
    <row r="3783" spans="1:15" x14ac:dyDescent="0.25">
      <c r="A3783">
        <v>3782</v>
      </c>
      <c r="B3783" s="2">
        <v>45989</v>
      </c>
      <c r="C3783" t="s">
        <v>18</v>
      </c>
      <c r="D3783" t="s">
        <v>17</v>
      </c>
      <c r="E3783" t="s">
        <v>13</v>
      </c>
      <c r="F3783" t="s">
        <v>24</v>
      </c>
      <c r="G3783">
        <v>162</v>
      </c>
      <c r="H3783">
        <v>175.17</v>
      </c>
      <c r="I3783">
        <v>0</v>
      </c>
      <c r="J3783" t="s">
        <v>15</v>
      </c>
      <c r="K3783">
        <v>28377.54</v>
      </c>
      <c r="L3783" t="str">
        <f t="shared" si="236"/>
        <v>Nov</v>
      </c>
      <c r="M3783">
        <f t="shared" si="237"/>
        <v>2025</v>
      </c>
      <c r="N3783">
        <f t="shared" si="238"/>
        <v>28377.539999999997</v>
      </c>
      <c r="O3783" t="str">
        <f t="shared" si="239"/>
        <v>On Time</v>
      </c>
    </row>
    <row r="3784" spans="1:15" x14ac:dyDescent="0.25">
      <c r="A3784">
        <v>3783</v>
      </c>
      <c r="B3784" s="2">
        <v>45843</v>
      </c>
      <c r="C3784" t="s">
        <v>18</v>
      </c>
      <c r="D3784" t="s">
        <v>22</v>
      </c>
      <c r="E3784" t="s">
        <v>29</v>
      </c>
      <c r="F3784" t="s">
        <v>14</v>
      </c>
      <c r="G3784">
        <v>165</v>
      </c>
      <c r="H3784">
        <v>467.08</v>
      </c>
      <c r="I3784">
        <v>10</v>
      </c>
      <c r="J3784" t="s">
        <v>15</v>
      </c>
      <c r="K3784">
        <v>77068.2</v>
      </c>
      <c r="L3784" t="str">
        <f t="shared" si="236"/>
        <v>Jul</v>
      </c>
      <c r="M3784">
        <f t="shared" si="237"/>
        <v>2025</v>
      </c>
      <c r="N3784">
        <f t="shared" si="238"/>
        <v>77068.2</v>
      </c>
      <c r="O3784" t="str">
        <f t="shared" si="239"/>
        <v>Minor Delay</v>
      </c>
    </row>
    <row r="3785" spans="1:15" x14ac:dyDescent="0.25">
      <c r="A3785">
        <v>3784</v>
      </c>
      <c r="B3785" s="2">
        <v>45665</v>
      </c>
      <c r="C3785" t="s">
        <v>18</v>
      </c>
      <c r="D3785" t="s">
        <v>27</v>
      </c>
      <c r="E3785" t="s">
        <v>23</v>
      </c>
      <c r="F3785" t="s">
        <v>14</v>
      </c>
      <c r="G3785">
        <v>257</v>
      </c>
      <c r="H3785">
        <v>575.69000000000005</v>
      </c>
      <c r="I3785">
        <v>0</v>
      </c>
      <c r="J3785" t="s">
        <v>15</v>
      </c>
      <c r="K3785">
        <v>147952.32999999999</v>
      </c>
      <c r="L3785" t="str">
        <f t="shared" si="236"/>
        <v>Jan</v>
      </c>
      <c r="M3785">
        <f t="shared" si="237"/>
        <v>2025</v>
      </c>
      <c r="N3785">
        <f t="shared" si="238"/>
        <v>147952.33000000002</v>
      </c>
      <c r="O3785" t="str">
        <f t="shared" si="239"/>
        <v>On Time</v>
      </c>
    </row>
    <row r="3786" spans="1:15" x14ac:dyDescent="0.25">
      <c r="A3786">
        <v>3785</v>
      </c>
      <c r="B3786" s="2">
        <v>45903</v>
      </c>
      <c r="C3786" t="s">
        <v>18</v>
      </c>
      <c r="D3786" t="s">
        <v>17</v>
      </c>
      <c r="E3786" t="s">
        <v>22</v>
      </c>
      <c r="F3786" t="s">
        <v>24</v>
      </c>
      <c r="G3786">
        <v>248</v>
      </c>
      <c r="H3786">
        <v>701.97</v>
      </c>
      <c r="I3786">
        <v>30</v>
      </c>
      <c r="J3786" t="s">
        <v>30</v>
      </c>
      <c r="K3786">
        <v>174088.56</v>
      </c>
      <c r="L3786" t="str">
        <f t="shared" si="236"/>
        <v>Sep</v>
      </c>
      <c r="M3786">
        <f t="shared" si="237"/>
        <v>2025</v>
      </c>
      <c r="N3786">
        <f t="shared" si="238"/>
        <v>174088.56</v>
      </c>
      <c r="O3786" t="str">
        <f t="shared" si="239"/>
        <v>Minor Delay</v>
      </c>
    </row>
    <row r="3787" spans="1:15" x14ac:dyDescent="0.25">
      <c r="A3787">
        <v>3786</v>
      </c>
      <c r="B3787" s="2">
        <v>45736</v>
      </c>
      <c r="C3787" t="s">
        <v>31</v>
      </c>
      <c r="D3787" t="s">
        <v>27</v>
      </c>
      <c r="E3787" t="s">
        <v>20</v>
      </c>
      <c r="F3787" t="s">
        <v>24</v>
      </c>
      <c r="G3787">
        <v>89</v>
      </c>
      <c r="H3787">
        <v>355.18</v>
      </c>
      <c r="I3787">
        <v>19</v>
      </c>
      <c r="J3787" t="s">
        <v>15</v>
      </c>
      <c r="K3787">
        <v>31611.02</v>
      </c>
      <c r="L3787" t="str">
        <f t="shared" si="236"/>
        <v>Mar</v>
      </c>
      <c r="M3787">
        <f t="shared" si="237"/>
        <v>2025</v>
      </c>
      <c r="N3787">
        <f t="shared" si="238"/>
        <v>31611.02</v>
      </c>
      <c r="O3787" t="str">
        <f t="shared" si="239"/>
        <v>Minor Delay</v>
      </c>
    </row>
    <row r="3788" spans="1:15" x14ac:dyDescent="0.25">
      <c r="A3788">
        <v>3787</v>
      </c>
      <c r="B3788" s="2">
        <v>45863</v>
      </c>
      <c r="C3788" t="s">
        <v>25</v>
      </c>
      <c r="D3788" t="s">
        <v>29</v>
      </c>
      <c r="E3788" t="s">
        <v>19</v>
      </c>
      <c r="F3788" t="s">
        <v>21</v>
      </c>
      <c r="G3788">
        <v>68</v>
      </c>
      <c r="H3788">
        <v>583.51</v>
      </c>
      <c r="I3788">
        <v>20</v>
      </c>
      <c r="J3788" t="s">
        <v>15</v>
      </c>
      <c r="K3788">
        <v>39678.68</v>
      </c>
      <c r="L3788" t="str">
        <f t="shared" si="236"/>
        <v>Jul</v>
      </c>
      <c r="M3788">
        <f t="shared" si="237"/>
        <v>2025</v>
      </c>
      <c r="N3788">
        <f t="shared" si="238"/>
        <v>39678.68</v>
      </c>
      <c r="O3788" t="str">
        <f t="shared" si="239"/>
        <v>Minor Delay</v>
      </c>
    </row>
    <row r="3789" spans="1:15" x14ac:dyDescent="0.25">
      <c r="A3789">
        <v>3788</v>
      </c>
      <c r="B3789" s="2">
        <v>45758</v>
      </c>
      <c r="C3789" t="s">
        <v>18</v>
      </c>
      <c r="D3789" t="s">
        <v>13</v>
      </c>
      <c r="E3789" t="s">
        <v>17</v>
      </c>
      <c r="F3789" t="s">
        <v>14</v>
      </c>
      <c r="G3789">
        <v>215</v>
      </c>
      <c r="H3789">
        <v>441.8</v>
      </c>
      <c r="I3789">
        <v>0</v>
      </c>
      <c r="J3789" t="s">
        <v>15</v>
      </c>
      <c r="K3789">
        <v>94987</v>
      </c>
      <c r="L3789" t="str">
        <f t="shared" si="236"/>
        <v>Apr</v>
      </c>
      <c r="M3789">
        <f t="shared" si="237"/>
        <v>2025</v>
      </c>
      <c r="N3789">
        <f t="shared" si="238"/>
        <v>94987</v>
      </c>
      <c r="O3789" t="str">
        <f t="shared" si="239"/>
        <v>On Time</v>
      </c>
    </row>
    <row r="3790" spans="1:15" x14ac:dyDescent="0.25">
      <c r="A3790">
        <v>3789</v>
      </c>
      <c r="B3790" s="2">
        <v>45861</v>
      </c>
      <c r="C3790" t="s">
        <v>31</v>
      </c>
      <c r="D3790" t="s">
        <v>22</v>
      </c>
      <c r="E3790" t="s">
        <v>20</v>
      </c>
      <c r="F3790" t="s">
        <v>21</v>
      </c>
      <c r="G3790">
        <v>52</v>
      </c>
      <c r="H3790">
        <v>648.22</v>
      </c>
      <c r="I3790">
        <v>62</v>
      </c>
      <c r="J3790" t="s">
        <v>15</v>
      </c>
      <c r="K3790">
        <v>33707.440000000002</v>
      </c>
      <c r="L3790" t="str">
        <f t="shared" si="236"/>
        <v>Jul</v>
      </c>
      <c r="M3790">
        <f t="shared" si="237"/>
        <v>2025</v>
      </c>
      <c r="N3790">
        <f t="shared" si="238"/>
        <v>33707.440000000002</v>
      </c>
      <c r="O3790" t="str">
        <f t="shared" si="239"/>
        <v>Major Delay</v>
      </c>
    </row>
    <row r="3791" spans="1:15" x14ac:dyDescent="0.25">
      <c r="A3791">
        <v>3790</v>
      </c>
      <c r="B3791" s="2">
        <v>45899</v>
      </c>
      <c r="C3791" t="s">
        <v>31</v>
      </c>
      <c r="D3791" t="s">
        <v>17</v>
      </c>
      <c r="E3791" t="s">
        <v>23</v>
      </c>
      <c r="F3791" t="s">
        <v>24</v>
      </c>
      <c r="G3791">
        <v>212</v>
      </c>
      <c r="H3791">
        <v>107.44</v>
      </c>
      <c r="I3791">
        <v>41</v>
      </c>
      <c r="J3791" t="s">
        <v>15</v>
      </c>
      <c r="K3791">
        <v>22777.279999999999</v>
      </c>
      <c r="L3791" t="str">
        <f t="shared" si="236"/>
        <v>Aug</v>
      </c>
      <c r="M3791">
        <f t="shared" si="237"/>
        <v>2025</v>
      </c>
      <c r="N3791">
        <f t="shared" si="238"/>
        <v>22777.279999999999</v>
      </c>
      <c r="O3791" t="str">
        <f t="shared" si="239"/>
        <v>Moderate Delay</v>
      </c>
    </row>
    <row r="3792" spans="1:15" x14ac:dyDescent="0.25">
      <c r="A3792">
        <v>3791</v>
      </c>
      <c r="B3792" s="2">
        <v>45721</v>
      </c>
      <c r="C3792" t="s">
        <v>11</v>
      </c>
      <c r="D3792" t="s">
        <v>27</v>
      </c>
      <c r="E3792" t="s">
        <v>19</v>
      </c>
      <c r="F3792" t="s">
        <v>24</v>
      </c>
      <c r="G3792">
        <v>84</v>
      </c>
      <c r="H3792">
        <v>471.92</v>
      </c>
      <c r="I3792">
        <v>0</v>
      </c>
      <c r="J3792" t="s">
        <v>15</v>
      </c>
      <c r="K3792">
        <v>39641.279999999999</v>
      </c>
      <c r="L3792" t="str">
        <f t="shared" si="236"/>
        <v>Mar</v>
      </c>
      <c r="M3792">
        <f t="shared" si="237"/>
        <v>2025</v>
      </c>
      <c r="N3792">
        <f t="shared" si="238"/>
        <v>39641.279999999999</v>
      </c>
      <c r="O3792" t="str">
        <f t="shared" si="239"/>
        <v>On Time</v>
      </c>
    </row>
    <row r="3793" spans="1:15" x14ac:dyDescent="0.25">
      <c r="A3793">
        <v>3792</v>
      </c>
      <c r="B3793" s="2">
        <v>45862</v>
      </c>
      <c r="C3793" t="s">
        <v>16</v>
      </c>
      <c r="D3793" t="s">
        <v>23</v>
      </c>
      <c r="E3793" t="s">
        <v>12</v>
      </c>
      <c r="F3793" t="s">
        <v>14</v>
      </c>
      <c r="G3793">
        <v>197</v>
      </c>
      <c r="H3793">
        <v>506.91</v>
      </c>
      <c r="I3793">
        <v>74</v>
      </c>
      <c r="J3793" t="s">
        <v>30</v>
      </c>
      <c r="K3793">
        <v>99861.27</v>
      </c>
      <c r="L3793" t="str">
        <f t="shared" si="236"/>
        <v>Jul</v>
      </c>
      <c r="M3793">
        <f t="shared" si="237"/>
        <v>2025</v>
      </c>
      <c r="N3793">
        <f t="shared" si="238"/>
        <v>99861.27</v>
      </c>
      <c r="O3793" t="str">
        <f t="shared" si="239"/>
        <v>Major Delay</v>
      </c>
    </row>
    <row r="3794" spans="1:15" x14ac:dyDescent="0.25">
      <c r="A3794">
        <v>3793</v>
      </c>
      <c r="B3794" s="2">
        <v>45942</v>
      </c>
      <c r="C3794" t="s">
        <v>16</v>
      </c>
      <c r="D3794" t="s">
        <v>27</v>
      </c>
      <c r="E3794" t="s">
        <v>23</v>
      </c>
      <c r="F3794" t="s">
        <v>21</v>
      </c>
      <c r="G3794">
        <v>162</v>
      </c>
      <c r="H3794">
        <v>62.04</v>
      </c>
      <c r="I3794">
        <v>11</v>
      </c>
      <c r="J3794" t="s">
        <v>15</v>
      </c>
      <c r="K3794">
        <v>10050.48</v>
      </c>
      <c r="L3794" t="str">
        <f t="shared" si="236"/>
        <v>Oct</v>
      </c>
      <c r="M3794">
        <f t="shared" si="237"/>
        <v>2025</v>
      </c>
      <c r="N3794">
        <f t="shared" si="238"/>
        <v>10050.48</v>
      </c>
      <c r="O3794" t="str">
        <f t="shared" si="239"/>
        <v>Minor Delay</v>
      </c>
    </row>
    <row r="3795" spans="1:15" x14ac:dyDescent="0.25">
      <c r="A3795">
        <v>3794</v>
      </c>
      <c r="B3795" s="2">
        <v>45710</v>
      </c>
      <c r="C3795" t="s">
        <v>26</v>
      </c>
      <c r="D3795" t="s">
        <v>17</v>
      </c>
      <c r="E3795" t="s">
        <v>27</v>
      </c>
      <c r="F3795" t="s">
        <v>14</v>
      </c>
      <c r="G3795">
        <v>60</v>
      </c>
      <c r="H3795">
        <v>414.86</v>
      </c>
      <c r="I3795">
        <v>0</v>
      </c>
      <c r="J3795" t="s">
        <v>15</v>
      </c>
      <c r="K3795">
        <v>24891.599999999999</v>
      </c>
      <c r="L3795" t="str">
        <f t="shared" si="236"/>
        <v>Feb</v>
      </c>
      <c r="M3795">
        <f t="shared" si="237"/>
        <v>2025</v>
      </c>
      <c r="N3795">
        <f t="shared" si="238"/>
        <v>24891.600000000002</v>
      </c>
      <c r="O3795" t="str">
        <f t="shared" si="239"/>
        <v>On Time</v>
      </c>
    </row>
    <row r="3796" spans="1:15" x14ac:dyDescent="0.25">
      <c r="A3796">
        <v>3795</v>
      </c>
      <c r="B3796" s="2">
        <v>45804</v>
      </c>
      <c r="C3796" t="s">
        <v>16</v>
      </c>
      <c r="D3796" t="s">
        <v>13</v>
      </c>
      <c r="E3796" t="s">
        <v>27</v>
      </c>
      <c r="F3796" t="s">
        <v>24</v>
      </c>
      <c r="G3796">
        <v>107</v>
      </c>
      <c r="H3796">
        <v>226.45</v>
      </c>
      <c r="I3796">
        <v>52</v>
      </c>
      <c r="J3796" t="s">
        <v>15</v>
      </c>
      <c r="K3796">
        <v>24230.15</v>
      </c>
      <c r="L3796" t="str">
        <f t="shared" si="236"/>
        <v>May</v>
      </c>
      <c r="M3796">
        <f t="shared" si="237"/>
        <v>2025</v>
      </c>
      <c r="N3796">
        <f t="shared" si="238"/>
        <v>24230.149999999998</v>
      </c>
      <c r="O3796" t="str">
        <f t="shared" si="239"/>
        <v>Moderate Delay</v>
      </c>
    </row>
    <row r="3797" spans="1:15" x14ac:dyDescent="0.25">
      <c r="A3797">
        <v>3796</v>
      </c>
      <c r="B3797" s="2">
        <v>46016</v>
      </c>
      <c r="C3797" t="s">
        <v>11</v>
      </c>
      <c r="D3797" t="s">
        <v>17</v>
      </c>
      <c r="E3797" t="s">
        <v>27</v>
      </c>
      <c r="F3797" t="s">
        <v>21</v>
      </c>
      <c r="G3797">
        <v>283</v>
      </c>
      <c r="H3797">
        <v>277.32</v>
      </c>
      <c r="I3797">
        <v>14</v>
      </c>
      <c r="J3797" t="s">
        <v>15</v>
      </c>
      <c r="K3797">
        <v>78481.56</v>
      </c>
      <c r="L3797" t="str">
        <f t="shared" si="236"/>
        <v>Dec</v>
      </c>
      <c r="M3797">
        <f t="shared" si="237"/>
        <v>2025</v>
      </c>
      <c r="N3797">
        <f t="shared" si="238"/>
        <v>78481.56</v>
      </c>
      <c r="O3797" t="str">
        <f t="shared" si="239"/>
        <v>Minor Delay</v>
      </c>
    </row>
    <row r="3798" spans="1:15" x14ac:dyDescent="0.25">
      <c r="A3798">
        <v>3797</v>
      </c>
      <c r="B3798" s="2">
        <v>45692</v>
      </c>
      <c r="C3798" t="s">
        <v>16</v>
      </c>
      <c r="D3798" t="s">
        <v>13</v>
      </c>
      <c r="E3798" t="s">
        <v>17</v>
      </c>
      <c r="F3798" t="s">
        <v>14</v>
      </c>
      <c r="G3798">
        <v>287</v>
      </c>
      <c r="H3798">
        <v>673.22</v>
      </c>
      <c r="I3798">
        <v>27</v>
      </c>
      <c r="J3798" t="s">
        <v>15</v>
      </c>
      <c r="K3798">
        <v>193214.14</v>
      </c>
      <c r="L3798" t="str">
        <f t="shared" si="236"/>
        <v>Feb</v>
      </c>
      <c r="M3798">
        <f t="shared" si="237"/>
        <v>2025</v>
      </c>
      <c r="N3798">
        <f t="shared" si="238"/>
        <v>193214.14</v>
      </c>
      <c r="O3798" t="str">
        <f t="shared" si="239"/>
        <v>Minor Delay</v>
      </c>
    </row>
    <row r="3799" spans="1:15" x14ac:dyDescent="0.25">
      <c r="A3799">
        <v>3798</v>
      </c>
      <c r="B3799" s="2">
        <v>45942</v>
      </c>
      <c r="C3799" t="s">
        <v>25</v>
      </c>
      <c r="D3799" t="s">
        <v>12</v>
      </c>
      <c r="E3799" t="s">
        <v>27</v>
      </c>
      <c r="F3799" t="s">
        <v>24</v>
      </c>
      <c r="G3799">
        <v>57</v>
      </c>
      <c r="H3799">
        <v>597.62</v>
      </c>
      <c r="I3799">
        <v>16</v>
      </c>
      <c r="J3799" t="s">
        <v>15</v>
      </c>
      <c r="K3799">
        <v>34064.339999999997</v>
      </c>
      <c r="L3799" t="str">
        <f t="shared" si="236"/>
        <v>Oct</v>
      </c>
      <c r="M3799">
        <f t="shared" si="237"/>
        <v>2025</v>
      </c>
      <c r="N3799">
        <f t="shared" si="238"/>
        <v>34064.340000000004</v>
      </c>
      <c r="O3799" t="str">
        <f t="shared" si="239"/>
        <v>Minor Delay</v>
      </c>
    </row>
    <row r="3800" spans="1:15" x14ac:dyDescent="0.25">
      <c r="A3800">
        <v>3799</v>
      </c>
      <c r="B3800" s="2">
        <v>45836</v>
      </c>
      <c r="C3800" t="s">
        <v>25</v>
      </c>
      <c r="D3800" t="s">
        <v>13</v>
      </c>
      <c r="E3800" t="s">
        <v>19</v>
      </c>
      <c r="F3800" t="s">
        <v>24</v>
      </c>
      <c r="G3800">
        <v>194</v>
      </c>
      <c r="H3800">
        <v>410.43</v>
      </c>
      <c r="I3800">
        <v>0</v>
      </c>
      <c r="J3800" t="s">
        <v>15</v>
      </c>
      <c r="K3800">
        <v>79623.42</v>
      </c>
      <c r="L3800" t="str">
        <f t="shared" si="236"/>
        <v>Jun</v>
      </c>
      <c r="M3800">
        <f t="shared" si="237"/>
        <v>2025</v>
      </c>
      <c r="N3800">
        <f t="shared" si="238"/>
        <v>79623.42</v>
      </c>
      <c r="O3800" t="str">
        <f t="shared" si="239"/>
        <v>On Time</v>
      </c>
    </row>
    <row r="3801" spans="1:15" x14ac:dyDescent="0.25">
      <c r="A3801">
        <v>3800</v>
      </c>
      <c r="B3801" s="2">
        <v>45699</v>
      </c>
      <c r="C3801" t="s">
        <v>16</v>
      </c>
      <c r="D3801" t="s">
        <v>29</v>
      </c>
      <c r="E3801" t="s">
        <v>13</v>
      </c>
      <c r="F3801" t="s">
        <v>21</v>
      </c>
      <c r="G3801">
        <v>94</v>
      </c>
      <c r="H3801">
        <v>518.88</v>
      </c>
      <c r="I3801">
        <v>0</v>
      </c>
      <c r="J3801" t="s">
        <v>30</v>
      </c>
      <c r="K3801">
        <v>48774.720000000001</v>
      </c>
      <c r="L3801" t="str">
        <f t="shared" si="236"/>
        <v>Feb</v>
      </c>
      <c r="M3801">
        <f t="shared" si="237"/>
        <v>2025</v>
      </c>
      <c r="N3801">
        <f t="shared" si="238"/>
        <v>48774.720000000001</v>
      </c>
      <c r="O3801" t="str">
        <f t="shared" si="239"/>
        <v>On Time</v>
      </c>
    </row>
    <row r="3802" spans="1:15" x14ac:dyDescent="0.25">
      <c r="A3802">
        <v>3801</v>
      </c>
      <c r="B3802" s="2">
        <v>45795</v>
      </c>
      <c r="C3802" t="s">
        <v>25</v>
      </c>
      <c r="D3802" t="s">
        <v>22</v>
      </c>
      <c r="E3802" t="s">
        <v>27</v>
      </c>
      <c r="F3802" t="s">
        <v>24</v>
      </c>
      <c r="G3802">
        <v>222</v>
      </c>
      <c r="H3802">
        <v>572.69000000000005</v>
      </c>
      <c r="I3802">
        <v>0</v>
      </c>
      <c r="J3802" t="s">
        <v>15</v>
      </c>
      <c r="K3802">
        <v>127137.18</v>
      </c>
      <c r="L3802" t="str">
        <f t="shared" si="236"/>
        <v>May</v>
      </c>
      <c r="M3802">
        <f t="shared" si="237"/>
        <v>2025</v>
      </c>
      <c r="N3802">
        <f t="shared" si="238"/>
        <v>127137.18000000001</v>
      </c>
      <c r="O3802" t="str">
        <f t="shared" si="239"/>
        <v>On Time</v>
      </c>
    </row>
    <row r="3803" spans="1:15" x14ac:dyDescent="0.25">
      <c r="A3803">
        <v>3802</v>
      </c>
      <c r="B3803" s="2">
        <v>45962</v>
      </c>
      <c r="C3803" t="s">
        <v>25</v>
      </c>
      <c r="D3803" t="s">
        <v>17</v>
      </c>
      <c r="E3803" t="s">
        <v>22</v>
      </c>
      <c r="F3803" t="s">
        <v>24</v>
      </c>
      <c r="G3803">
        <v>241</v>
      </c>
      <c r="H3803">
        <v>288.83</v>
      </c>
      <c r="I3803">
        <v>0</v>
      </c>
      <c r="J3803" t="s">
        <v>30</v>
      </c>
      <c r="K3803">
        <v>69608.03</v>
      </c>
      <c r="L3803" t="str">
        <f t="shared" si="236"/>
        <v>Nov</v>
      </c>
      <c r="M3803">
        <f t="shared" si="237"/>
        <v>2025</v>
      </c>
      <c r="N3803">
        <f t="shared" si="238"/>
        <v>69608.03</v>
      </c>
      <c r="O3803" t="str">
        <f t="shared" si="239"/>
        <v>On Time</v>
      </c>
    </row>
    <row r="3804" spans="1:15" x14ac:dyDescent="0.25">
      <c r="A3804">
        <v>3803</v>
      </c>
      <c r="B3804" s="2">
        <v>45735</v>
      </c>
      <c r="C3804" t="s">
        <v>18</v>
      </c>
      <c r="D3804" t="s">
        <v>29</v>
      </c>
      <c r="E3804" t="s">
        <v>17</v>
      </c>
      <c r="F3804" t="s">
        <v>21</v>
      </c>
      <c r="G3804">
        <v>223</v>
      </c>
      <c r="H3804">
        <v>563.54</v>
      </c>
      <c r="I3804">
        <v>21</v>
      </c>
      <c r="J3804" t="s">
        <v>15</v>
      </c>
      <c r="K3804">
        <v>125669.42</v>
      </c>
      <c r="L3804" t="str">
        <f t="shared" si="236"/>
        <v>Mar</v>
      </c>
      <c r="M3804">
        <f t="shared" si="237"/>
        <v>2025</v>
      </c>
      <c r="N3804">
        <f t="shared" si="238"/>
        <v>125669.42</v>
      </c>
      <c r="O3804" t="str">
        <f t="shared" si="239"/>
        <v>Minor Delay</v>
      </c>
    </row>
    <row r="3805" spans="1:15" x14ac:dyDescent="0.25">
      <c r="A3805">
        <v>3804</v>
      </c>
      <c r="B3805" s="2">
        <v>45700</v>
      </c>
      <c r="C3805" t="s">
        <v>18</v>
      </c>
      <c r="D3805" t="s">
        <v>13</v>
      </c>
      <c r="E3805" t="s">
        <v>22</v>
      </c>
      <c r="F3805" t="s">
        <v>24</v>
      </c>
      <c r="G3805">
        <v>78</v>
      </c>
      <c r="H3805">
        <v>318.42</v>
      </c>
      <c r="I3805">
        <v>0</v>
      </c>
      <c r="J3805" t="s">
        <v>15</v>
      </c>
      <c r="K3805">
        <v>24836.76</v>
      </c>
      <c r="L3805" t="str">
        <f t="shared" si="236"/>
        <v>Feb</v>
      </c>
      <c r="M3805">
        <f t="shared" si="237"/>
        <v>2025</v>
      </c>
      <c r="N3805">
        <f t="shared" si="238"/>
        <v>24836.760000000002</v>
      </c>
      <c r="O3805" t="str">
        <f t="shared" si="239"/>
        <v>On Time</v>
      </c>
    </row>
    <row r="3806" spans="1:15" x14ac:dyDescent="0.25">
      <c r="A3806">
        <v>3805</v>
      </c>
      <c r="B3806" s="2">
        <v>45678</v>
      </c>
      <c r="C3806" t="s">
        <v>25</v>
      </c>
      <c r="D3806" t="s">
        <v>20</v>
      </c>
      <c r="E3806" t="s">
        <v>23</v>
      </c>
      <c r="F3806" t="s">
        <v>24</v>
      </c>
      <c r="G3806">
        <v>73</v>
      </c>
      <c r="H3806">
        <v>726.34</v>
      </c>
      <c r="I3806">
        <v>38</v>
      </c>
      <c r="J3806" t="s">
        <v>30</v>
      </c>
      <c r="K3806">
        <v>53022.82</v>
      </c>
      <c r="L3806" t="str">
        <f t="shared" si="236"/>
        <v>Jan</v>
      </c>
      <c r="M3806">
        <f t="shared" si="237"/>
        <v>2025</v>
      </c>
      <c r="N3806">
        <f t="shared" si="238"/>
        <v>53022.82</v>
      </c>
      <c r="O3806" t="str">
        <f t="shared" si="239"/>
        <v>Moderate Delay</v>
      </c>
    </row>
    <row r="3807" spans="1:15" x14ac:dyDescent="0.25">
      <c r="A3807">
        <v>3806</v>
      </c>
      <c r="B3807" s="2">
        <v>45874</v>
      </c>
      <c r="C3807" t="s">
        <v>18</v>
      </c>
      <c r="D3807" t="s">
        <v>19</v>
      </c>
      <c r="E3807" t="s">
        <v>27</v>
      </c>
      <c r="F3807" t="s">
        <v>21</v>
      </c>
      <c r="G3807">
        <v>196</v>
      </c>
      <c r="H3807">
        <v>630.87</v>
      </c>
      <c r="I3807">
        <v>19</v>
      </c>
      <c r="J3807" t="s">
        <v>15</v>
      </c>
      <c r="K3807">
        <v>123650.52</v>
      </c>
      <c r="L3807" t="str">
        <f t="shared" si="236"/>
        <v>Aug</v>
      </c>
      <c r="M3807">
        <f t="shared" si="237"/>
        <v>2025</v>
      </c>
      <c r="N3807">
        <f t="shared" si="238"/>
        <v>123650.52</v>
      </c>
      <c r="O3807" t="str">
        <f t="shared" si="239"/>
        <v>Minor Delay</v>
      </c>
    </row>
    <row r="3808" spans="1:15" x14ac:dyDescent="0.25">
      <c r="A3808">
        <v>3807</v>
      </c>
      <c r="B3808" s="2">
        <v>45931</v>
      </c>
      <c r="C3808" t="s">
        <v>16</v>
      </c>
      <c r="D3808" t="s">
        <v>20</v>
      </c>
      <c r="E3808" t="s">
        <v>17</v>
      </c>
      <c r="F3808" t="s">
        <v>21</v>
      </c>
      <c r="G3808">
        <v>223</v>
      </c>
      <c r="H3808">
        <v>726.38</v>
      </c>
      <c r="I3808">
        <v>20</v>
      </c>
      <c r="J3808" t="s">
        <v>15</v>
      </c>
      <c r="K3808">
        <v>161982.74</v>
      </c>
      <c r="L3808" t="str">
        <f t="shared" si="236"/>
        <v>Oct</v>
      </c>
      <c r="M3808">
        <f t="shared" si="237"/>
        <v>2025</v>
      </c>
      <c r="N3808">
        <f t="shared" si="238"/>
        <v>161982.74</v>
      </c>
      <c r="O3808" t="str">
        <f t="shared" si="239"/>
        <v>Minor Delay</v>
      </c>
    </row>
    <row r="3809" spans="1:15" x14ac:dyDescent="0.25">
      <c r="A3809">
        <v>3808</v>
      </c>
      <c r="B3809" s="2">
        <v>45703</v>
      </c>
      <c r="C3809" t="s">
        <v>18</v>
      </c>
      <c r="D3809" t="s">
        <v>22</v>
      </c>
      <c r="E3809" t="s">
        <v>27</v>
      </c>
      <c r="F3809" t="s">
        <v>24</v>
      </c>
      <c r="G3809">
        <v>203</v>
      </c>
      <c r="H3809">
        <v>546.4</v>
      </c>
      <c r="I3809">
        <v>17</v>
      </c>
      <c r="J3809" t="s">
        <v>15</v>
      </c>
      <c r="K3809">
        <v>110919.2</v>
      </c>
      <c r="L3809" t="str">
        <f t="shared" si="236"/>
        <v>Feb</v>
      </c>
      <c r="M3809">
        <f t="shared" si="237"/>
        <v>2025</v>
      </c>
      <c r="N3809">
        <f t="shared" si="238"/>
        <v>110919.2</v>
      </c>
      <c r="O3809" t="str">
        <f t="shared" si="239"/>
        <v>Minor Delay</v>
      </c>
    </row>
    <row r="3810" spans="1:15" x14ac:dyDescent="0.25">
      <c r="A3810">
        <v>3809</v>
      </c>
      <c r="B3810" s="2">
        <v>45973</v>
      </c>
      <c r="C3810" t="s">
        <v>25</v>
      </c>
      <c r="D3810" t="s">
        <v>27</v>
      </c>
      <c r="E3810" t="s">
        <v>23</v>
      </c>
      <c r="F3810" t="s">
        <v>24</v>
      </c>
      <c r="G3810">
        <v>182</v>
      </c>
      <c r="H3810">
        <v>436.76</v>
      </c>
      <c r="I3810">
        <v>14</v>
      </c>
      <c r="J3810" t="s">
        <v>15</v>
      </c>
      <c r="K3810">
        <v>79490.320000000007</v>
      </c>
      <c r="L3810" t="str">
        <f t="shared" si="236"/>
        <v>Nov</v>
      </c>
      <c r="M3810">
        <f t="shared" si="237"/>
        <v>2025</v>
      </c>
      <c r="N3810">
        <f t="shared" si="238"/>
        <v>79490.319999999992</v>
      </c>
      <c r="O3810" t="str">
        <f t="shared" si="239"/>
        <v>Minor Delay</v>
      </c>
    </row>
    <row r="3811" spans="1:15" x14ac:dyDescent="0.25">
      <c r="A3811">
        <v>3810</v>
      </c>
      <c r="B3811" s="2">
        <v>45830</v>
      </c>
      <c r="C3811" t="s">
        <v>31</v>
      </c>
      <c r="D3811" t="s">
        <v>13</v>
      </c>
      <c r="E3811" t="s">
        <v>23</v>
      </c>
      <c r="F3811" t="s">
        <v>24</v>
      </c>
      <c r="G3811">
        <v>93</v>
      </c>
      <c r="H3811">
        <v>269.60000000000002</v>
      </c>
      <c r="I3811">
        <v>52</v>
      </c>
      <c r="J3811" t="s">
        <v>15</v>
      </c>
      <c r="K3811">
        <v>25072.799999999999</v>
      </c>
      <c r="L3811" t="str">
        <f t="shared" si="236"/>
        <v>Jun</v>
      </c>
      <c r="M3811">
        <f t="shared" si="237"/>
        <v>2025</v>
      </c>
      <c r="N3811">
        <f t="shared" si="238"/>
        <v>25072.800000000003</v>
      </c>
      <c r="O3811" t="str">
        <f t="shared" si="239"/>
        <v>Moderate Delay</v>
      </c>
    </row>
    <row r="3812" spans="1:15" x14ac:dyDescent="0.25">
      <c r="A3812">
        <v>3811</v>
      </c>
      <c r="B3812" s="2">
        <v>45788</v>
      </c>
      <c r="C3812" t="s">
        <v>26</v>
      </c>
      <c r="D3812" t="s">
        <v>22</v>
      </c>
      <c r="E3812" t="s">
        <v>27</v>
      </c>
      <c r="F3812" t="s">
        <v>24</v>
      </c>
      <c r="G3812">
        <v>56</v>
      </c>
      <c r="H3812">
        <v>478.05</v>
      </c>
      <c r="I3812">
        <v>0</v>
      </c>
      <c r="J3812" t="s">
        <v>15</v>
      </c>
      <c r="K3812">
        <v>26770.799999999999</v>
      </c>
      <c r="L3812" t="str">
        <f t="shared" si="236"/>
        <v>May</v>
      </c>
      <c r="M3812">
        <f t="shared" si="237"/>
        <v>2025</v>
      </c>
      <c r="N3812">
        <f t="shared" si="238"/>
        <v>26770.799999999999</v>
      </c>
      <c r="O3812" t="str">
        <f t="shared" si="239"/>
        <v>On Time</v>
      </c>
    </row>
    <row r="3813" spans="1:15" x14ac:dyDescent="0.25">
      <c r="A3813">
        <v>3812</v>
      </c>
      <c r="B3813" s="2">
        <v>45820</v>
      </c>
      <c r="C3813" t="s">
        <v>11</v>
      </c>
      <c r="D3813" t="s">
        <v>22</v>
      </c>
      <c r="E3813" t="s">
        <v>19</v>
      </c>
      <c r="F3813" t="s">
        <v>24</v>
      </c>
      <c r="G3813">
        <v>238</v>
      </c>
      <c r="H3813">
        <v>497.46</v>
      </c>
      <c r="I3813">
        <v>7</v>
      </c>
      <c r="J3813" t="s">
        <v>15</v>
      </c>
      <c r="K3813">
        <v>118395.48</v>
      </c>
      <c r="L3813" t="str">
        <f t="shared" si="236"/>
        <v>Jun</v>
      </c>
      <c r="M3813">
        <f t="shared" si="237"/>
        <v>2025</v>
      </c>
      <c r="N3813">
        <f t="shared" si="238"/>
        <v>118395.48</v>
      </c>
      <c r="O3813" t="str">
        <f t="shared" si="239"/>
        <v>Minor Delay</v>
      </c>
    </row>
    <row r="3814" spans="1:15" x14ac:dyDescent="0.25">
      <c r="A3814">
        <v>3813</v>
      </c>
      <c r="B3814" s="2">
        <v>46012</v>
      </c>
      <c r="C3814" t="s">
        <v>16</v>
      </c>
      <c r="D3814" t="s">
        <v>12</v>
      </c>
      <c r="E3814" t="s">
        <v>29</v>
      </c>
      <c r="F3814" t="s">
        <v>21</v>
      </c>
      <c r="G3814">
        <v>182</v>
      </c>
      <c r="H3814">
        <v>335.24</v>
      </c>
      <c r="I3814">
        <v>16</v>
      </c>
      <c r="J3814" t="s">
        <v>15</v>
      </c>
      <c r="K3814">
        <v>61013.68</v>
      </c>
      <c r="L3814" t="str">
        <f t="shared" si="236"/>
        <v>Dec</v>
      </c>
      <c r="M3814">
        <f t="shared" si="237"/>
        <v>2025</v>
      </c>
      <c r="N3814">
        <f t="shared" si="238"/>
        <v>61013.68</v>
      </c>
      <c r="O3814" t="str">
        <f t="shared" si="239"/>
        <v>Minor Delay</v>
      </c>
    </row>
    <row r="3815" spans="1:15" x14ac:dyDescent="0.25">
      <c r="A3815">
        <v>3814</v>
      </c>
      <c r="B3815" s="2">
        <v>45919</v>
      </c>
      <c r="C3815" t="s">
        <v>31</v>
      </c>
      <c r="D3815" t="s">
        <v>17</v>
      </c>
      <c r="E3815" t="s">
        <v>20</v>
      </c>
      <c r="F3815" t="s">
        <v>21</v>
      </c>
      <c r="G3815">
        <v>221</v>
      </c>
      <c r="H3815">
        <v>796.64</v>
      </c>
      <c r="I3815">
        <v>11</v>
      </c>
      <c r="J3815" t="s">
        <v>15</v>
      </c>
      <c r="K3815">
        <v>176057.44</v>
      </c>
      <c r="L3815" t="str">
        <f t="shared" si="236"/>
        <v>Sep</v>
      </c>
      <c r="M3815">
        <f t="shared" si="237"/>
        <v>2025</v>
      </c>
      <c r="N3815">
        <f t="shared" si="238"/>
        <v>176057.44</v>
      </c>
      <c r="O3815" t="str">
        <f t="shared" si="239"/>
        <v>Minor Delay</v>
      </c>
    </row>
    <row r="3816" spans="1:15" x14ac:dyDescent="0.25">
      <c r="A3816">
        <v>3815</v>
      </c>
      <c r="B3816" s="2">
        <v>45697</v>
      </c>
      <c r="C3816" t="s">
        <v>11</v>
      </c>
      <c r="D3816" t="s">
        <v>19</v>
      </c>
      <c r="E3816" t="s">
        <v>29</v>
      </c>
      <c r="F3816" t="s">
        <v>24</v>
      </c>
      <c r="G3816">
        <v>261</v>
      </c>
      <c r="H3816">
        <v>486.89</v>
      </c>
      <c r="I3816">
        <v>47</v>
      </c>
      <c r="J3816" t="s">
        <v>15</v>
      </c>
      <c r="K3816">
        <v>127078.29</v>
      </c>
      <c r="L3816" t="str">
        <f t="shared" si="236"/>
        <v>Feb</v>
      </c>
      <c r="M3816">
        <f t="shared" si="237"/>
        <v>2025</v>
      </c>
      <c r="N3816">
        <f t="shared" si="238"/>
        <v>127078.29</v>
      </c>
      <c r="O3816" t="str">
        <f t="shared" si="239"/>
        <v>Moderate Delay</v>
      </c>
    </row>
    <row r="3817" spans="1:15" x14ac:dyDescent="0.25">
      <c r="A3817">
        <v>3816</v>
      </c>
      <c r="B3817" s="2">
        <v>45991</v>
      </c>
      <c r="C3817" t="s">
        <v>26</v>
      </c>
      <c r="D3817" t="s">
        <v>20</v>
      </c>
      <c r="E3817" t="s">
        <v>19</v>
      </c>
      <c r="F3817" t="s">
        <v>21</v>
      </c>
      <c r="G3817">
        <v>289</v>
      </c>
      <c r="H3817">
        <v>690.05</v>
      </c>
      <c r="I3817">
        <v>44</v>
      </c>
      <c r="J3817" t="s">
        <v>15</v>
      </c>
      <c r="K3817">
        <v>199424.45</v>
      </c>
      <c r="L3817" t="str">
        <f t="shared" si="236"/>
        <v>Nov</v>
      </c>
      <c r="M3817">
        <f t="shared" si="237"/>
        <v>2025</v>
      </c>
      <c r="N3817">
        <f t="shared" si="238"/>
        <v>199424.44999999998</v>
      </c>
      <c r="O3817" t="str">
        <f t="shared" si="239"/>
        <v>Moderate Delay</v>
      </c>
    </row>
    <row r="3818" spans="1:15" x14ac:dyDescent="0.25">
      <c r="A3818">
        <v>3817</v>
      </c>
      <c r="B3818" s="2">
        <v>45733</v>
      </c>
      <c r="C3818" t="s">
        <v>25</v>
      </c>
      <c r="D3818" t="s">
        <v>13</v>
      </c>
      <c r="E3818" t="s">
        <v>19</v>
      </c>
      <c r="F3818" t="s">
        <v>24</v>
      </c>
      <c r="G3818">
        <v>117</v>
      </c>
      <c r="H3818">
        <v>174.6</v>
      </c>
      <c r="I3818">
        <v>0</v>
      </c>
      <c r="J3818" t="s">
        <v>15</v>
      </c>
      <c r="K3818">
        <v>20428.2</v>
      </c>
      <c r="L3818" t="str">
        <f t="shared" si="236"/>
        <v>Mar</v>
      </c>
      <c r="M3818">
        <f t="shared" si="237"/>
        <v>2025</v>
      </c>
      <c r="N3818">
        <f t="shared" si="238"/>
        <v>20428.2</v>
      </c>
      <c r="O3818" t="str">
        <f t="shared" si="239"/>
        <v>On Time</v>
      </c>
    </row>
    <row r="3819" spans="1:15" x14ac:dyDescent="0.25">
      <c r="A3819">
        <v>3818</v>
      </c>
      <c r="B3819" s="2">
        <v>45829</v>
      </c>
      <c r="C3819" t="s">
        <v>26</v>
      </c>
      <c r="D3819" t="s">
        <v>29</v>
      </c>
      <c r="E3819" t="s">
        <v>13</v>
      </c>
      <c r="F3819" t="s">
        <v>24</v>
      </c>
      <c r="G3819">
        <v>189</v>
      </c>
      <c r="H3819">
        <v>671.41</v>
      </c>
      <c r="I3819">
        <v>0</v>
      </c>
      <c r="J3819" t="s">
        <v>30</v>
      </c>
      <c r="K3819">
        <v>126896.49</v>
      </c>
      <c r="L3819" t="str">
        <f t="shared" si="236"/>
        <v>Jun</v>
      </c>
      <c r="M3819">
        <f t="shared" si="237"/>
        <v>2025</v>
      </c>
      <c r="N3819">
        <f t="shared" si="238"/>
        <v>126896.48999999999</v>
      </c>
      <c r="O3819" t="str">
        <f t="shared" si="239"/>
        <v>On Time</v>
      </c>
    </row>
    <row r="3820" spans="1:15" x14ac:dyDescent="0.25">
      <c r="A3820">
        <v>3819</v>
      </c>
      <c r="B3820" s="2">
        <v>45938</v>
      </c>
      <c r="C3820" t="s">
        <v>16</v>
      </c>
      <c r="D3820" t="s">
        <v>27</v>
      </c>
      <c r="E3820" t="s">
        <v>20</v>
      </c>
      <c r="F3820" t="s">
        <v>21</v>
      </c>
      <c r="G3820">
        <v>206</v>
      </c>
      <c r="H3820">
        <v>164.27</v>
      </c>
      <c r="I3820">
        <v>58</v>
      </c>
      <c r="J3820" t="s">
        <v>15</v>
      </c>
      <c r="K3820">
        <v>33839.620000000003</v>
      </c>
      <c r="L3820" t="str">
        <f t="shared" si="236"/>
        <v>Oct</v>
      </c>
      <c r="M3820">
        <f t="shared" si="237"/>
        <v>2025</v>
      </c>
      <c r="N3820">
        <f t="shared" si="238"/>
        <v>33839.620000000003</v>
      </c>
      <c r="O3820" t="str">
        <f t="shared" si="239"/>
        <v>Moderate Delay</v>
      </c>
    </row>
    <row r="3821" spans="1:15" x14ac:dyDescent="0.25">
      <c r="A3821">
        <v>3820</v>
      </c>
      <c r="B3821" s="2">
        <v>45886</v>
      </c>
      <c r="C3821" t="s">
        <v>26</v>
      </c>
      <c r="D3821" t="s">
        <v>23</v>
      </c>
      <c r="E3821" t="s">
        <v>22</v>
      </c>
      <c r="F3821" t="s">
        <v>24</v>
      </c>
      <c r="G3821">
        <v>51</v>
      </c>
      <c r="H3821">
        <v>278.07</v>
      </c>
      <c r="I3821">
        <v>36</v>
      </c>
      <c r="J3821" t="s">
        <v>15</v>
      </c>
      <c r="K3821">
        <v>14181.57</v>
      </c>
      <c r="L3821" t="str">
        <f t="shared" si="236"/>
        <v>Aug</v>
      </c>
      <c r="M3821">
        <f t="shared" si="237"/>
        <v>2025</v>
      </c>
      <c r="N3821">
        <f t="shared" si="238"/>
        <v>14181.57</v>
      </c>
      <c r="O3821" t="str">
        <f t="shared" si="239"/>
        <v>Moderate Delay</v>
      </c>
    </row>
    <row r="3822" spans="1:15" x14ac:dyDescent="0.25">
      <c r="A3822">
        <v>3821</v>
      </c>
      <c r="B3822" s="2">
        <v>45904</v>
      </c>
      <c r="C3822" t="s">
        <v>25</v>
      </c>
      <c r="D3822" t="s">
        <v>20</v>
      </c>
      <c r="E3822" t="s">
        <v>12</v>
      </c>
      <c r="F3822" t="s">
        <v>21</v>
      </c>
      <c r="G3822">
        <v>285</v>
      </c>
      <c r="H3822">
        <v>246.53</v>
      </c>
      <c r="I3822">
        <v>0</v>
      </c>
      <c r="J3822" t="s">
        <v>15</v>
      </c>
      <c r="K3822">
        <v>70261.05</v>
      </c>
      <c r="L3822" t="str">
        <f t="shared" si="236"/>
        <v>Sep</v>
      </c>
      <c r="M3822">
        <f t="shared" si="237"/>
        <v>2025</v>
      </c>
      <c r="N3822">
        <f t="shared" si="238"/>
        <v>70261.05</v>
      </c>
      <c r="O3822" t="str">
        <f t="shared" si="239"/>
        <v>On Time</v>
      </c>
    </row>
    <row r="3823" spans="1:15" x14ac:dyDescent="0.25">
      <c r="A3823">
        <v>3822</v>
      </c>
      <c r="B3823" s="2">
        <v>45698</v>
      </c>
      <c r="C3823" t="s">
        <v>18</v>
      </c>
      <c r="D3823" t="s">
        <v>23</v>
      </c>
      <c r="E3823" t="s">
        <v>20</v>
      </c>
      <c r="F3823" t="s">
        <v>14</v>
      </c>
      <c r="G3823">
        <v>177</v>
      </c>
      <c r="H3823">
        <v>308.60000000000002</v>
      </c>
      <c r="I3823">
        <v>27</v>
      </c>
      <c r="J3823" t="s">
        <v>15</v>
      </c>
      <c r="K3823">
        <v>54622.2</v>
      </c>
      <c r="L3823" t="str">
        <f t="shared" si="236"/>
        <v>Feb</v>
      </c>
      <c r="M3823">
        <f t="shared" si="237"/>
        <v>2025</v>
      </c>
      <c r="N3823">
        <f t="shared" si="238"/>
        <v>54622.200000000004</v>
      </c>
      <c r="O3823" t="str">
        <f t="shared" si="239"/>
        <v>Minor Delay</v>
      </c>
    </row>
    <row r="3824" spans="1:15" x14ac:dyDescent="0.25">
      <c r="A3824">
        <v>3823</v>
      </c>
      <c r="B3824" s="2">
        <v>45731</v>
      </c>
      <c r="C3824" t="s">
        <v>31</v>
      </c>
      <c r="D3824" t="s">
        <v>23</v>
      </c>
      <c r="E3824" t="s">
        <v>17</v>
      </c>
      <c r="F3824" t="s">
        <v>14</v>
      </c>
      <c r="G3824">
        <v>158</v>
      </c>
      <c r="H3824">
        <v>390.05</v>
      </c>
      <c r="I3824">
        <v>44</v>
      </c>
      <c r="J3824" t="s">
        <v>30</v>
      </c>
      <c r="K3824">
        <v>61627.9</v>
      </c>
      <c r="L3824" t="str">
        <f t="shared" si="236"/>
        <v>Mar</v>
      </c>
      <c r="M3824">
        <f t="shared" si="237"/>
        <v>2025</v>
      </c>
      <c r="N3824">
        <f t="shared" si="238"/>
        <v>61627.9</v>
      </c>
      <c r="O3824" t="str">
        <f t="shared" si="239"/>
        <v>Moderate Delay</v>
      </c>
    </row>
    <row r="3825" spans="1:15" x14ac:dyDescent="0.25">
      <c r="A3825">
        <v>3824</v>
      </c>
      <c r="B3825" s="2">
        <v>45959</v>
      </c>
      <c r="C3825" t="s">
        <v>31</v>
      </c>
      <c r="D3825" t="s">
        <v>27</v>
      </c>
      <c r="E3825" t="s">
        <v>20</v>
      </c>
      <c r="F3825" t="s">
        <v>21</v>
      </c>
      <c r="G3825">
        <v>168</v>
      </c>
      <c r="H3825">
        <v>756.12</v>
      </c>
      <c r="I3825">
        <v>10</v>
      </c>
      <c r="J3825" t="s">
        <v>15</v>
      </c>
      <c r="K3825">
        <v>127028.16</v>
      </c>
      <c r="L3825" t="str">
        <f t="shared" si="236"/>
        <v>Oct</v>
      </c>
      <c r="M3825">
        <f t="shared" si="237"/>
        <v>2025</v>
      </c>
      <c r="N3825">
        <f t="shared" si="238"/>
        <v>127028.16</v>
      </c>
      <c r="O3825" t="str">
        <f t="shared" si="239"/>
        <v>Minor Delay</v>
      </c>
    </row>
    <row r="3826" spans="1:15" x14ac:dyDescent="0.25">
      <c r="A3826">
        <v>3825</v>
      </c>
      <c r="B3826" s="2">
        <v>45920</v>
      </c>
      <c r="C3826" t="s">
        <v>26</v>
      </c>
      <c r="D3826" t="s">
        <v>23</v>
      </c>
      <c r="E3826" t="s">
        <v>17</v>
      </c>
      <c r="F3826" t="s">
        <v>24</v>
      </c>
      <c r="G3826">
        <v>244</v>
      </c>
      <c r="H3826">
        <v>278.23</v>
      </c>
      <c r="I3826">
        <v>38</v>
      </c>
      <c r="J3826" t="s">
        <v>15</v>
      </c>
      <c r="K3826">
        <v>67888.12</v>
      </c>
      <c r="L3826" t="str">
        <f t="shared" si="236"/>
        <v>Sep</v>
      </c>
      <c r="M3826">
        <f t="shared" si="237"/>
        <v>2025</v>
      </c>
      <c r="N3826">
        <f t="shared" si="238"/>
        <v>67888.12000000001</v>
      </c>
      <c r="O3826" t="str">
        <f t="shared" si="239"/>
        <v>Moderate Delay</v>
      </c>
    </row>
    <row r="3827" spans="1:15" x14ac:dyDescent="0.25">
      <c r="A3827">
        <v>3826</v>
      </c>
      <c r="B3827" s="2">
        <v>45870</v>
      </c>
      <c r="C3827" t="s">
        <v>16</v>
      </c>
      <c r="D3827" t="s">
        <v>29</v>
      </c>
      <c r="E3827" t="s">
        <v>23</v>
      </c>
      <c r="F3827" t="s">
        <v>21</v>
      </c>
      <c r="G3827">
        <v>134</v>
      </c>
      <c r="H3827">
        <v>772.3</v>
      </c>
      <c r="I3827">
        <v>28</v>
      </c>
      <c r="J3827" t="s">
        <v>15</v>
      </c>
      <c r="K3827">
        <v>103488.2</v>
      </c>
      <c r="L3827" t="str">
        <f t="shared" si="236"/>
        <v>Aug</v>
      </c>
      <c r="M3827">
        <f t="shared" si="237"/>
        <v>2025</v>
      </c>
      <c r="N3827">
        <f t="shared" si="238"/>
        <v>103488.2</v>
      </c>
      <c r="O3827" t="str">
        <f t="shared" si="239"/>
        <v>Minor Delay</v>
      </c>
    </row>
    <row r="3828" spans="1:15" x14ac:dyDescent="0.25">
      <c r="A3828">
        <v>3827</v>
      </c>
      <c r="B3828" s="2">
        <v>45997</v>
      </c>
      <c r="C3828" t="s">
        <v>16</v>
      </c>
      <c r="D3828" t="s">
        <v>20</v>
      </c>
      <c r="E3828" t="s">
        <v>22</v>
      </c>
      <c r="F3828" t="s">
        <v>21</v>
      </c>
      <c r="G3828">
        <v>198</v>
      </c>
      <c r="H3828">
        <v>214.51</v>
      </c>
      <c r="I3828">
        <v>6</v>
      </c>
      <c r="J3828" t="s">
        <v>15</v>
      </c>
      <c r="K3828">
        <v>42472.98</v>
      </c>
      <c r="L3828" t="str">
        <f t="shared" si="236"/>
        <v>Dec</v>
      </c>
      <c r="M3828">
        <f t="shared" si="237"/>
        <v>2025</v>
      </c>
      <c r="N3828">
        <f t="shared" si="238"/>
        <v>42472.979999999996</v>
      </c>
      <c r="O3828" t="str">
        <f t="shared" si="239"/>
        <v>Minor Delay</v>
      </c>
    </row>
    <row r="3829" spans="1:15" x14ac:dyDescent="0.25">
      <c r="A3829">
        <v>3828</v>
      </c>
      <c r="B3829" s="2">
        <v>45800</v>
      </c>
      <c r="C3829" t="s">
        <v>31</v>
      </c>
      <c r="D3829" t="s">
        <v>12</v>
      </c>
      <c r="E3829" t="s">
        <v>19</v>
      </c>
      <c r="F3829" t="s">
        <v>24</v>
      </c>
      <c r="G3829">
        <v>251</v>
      </c>
      <c r="H3829">
        <v>278.01</v>
      </c>
      <c r="I3829">
        <v>33</v>
      </c>
      <c r="J3829" t="s">
        <v>15</v>
      </c>
      <c r="K3829">
        <v>69780.509999999995</v>
      </c>
      <c r="L3829" t="str">
        <f t="shared" si="236"/>
        <v>May</v>
      </c>
      <c r="M3829">
        <f t="shared" si="237"/>
        <v>2025</v>
      </c>
      <c r="N3829">
        <f t="shared" si="238"/>
        <v>69780.509999999995</v>
      </c>
      <c r="O3829" t="str">
        <f t="shared" si="239"/>
        <v>Moderate Delay</v>
      </c>
    </row>
    <row r="3830" spans="1:15" x14ac:dyDescent="0.25">
      <c r="A3830">
        <v>3829</v>
      </c>
      <c r="B3830" s="2">
        <v>45866</v>
      </c>
      <c r="C3830" t="s">
        <v>16</v>
      </c>
      <c r="D3830" t="s">
        <v>17</v>
      </c>
      <c r="E3830" t="s">
        <v>22</v>
      </c>
      <c r="F3830" t="s">
        <v>14</v>
      </c>
      <c r="G3830">
        <v>142</v>
      </c>
      <c r="H3830">
        <v>363.1</v>
      </c>
      <c r="I3830">
        <v>24</v>
      </c>
      <c r="J3830" t="s">
        <v>15</v>
      </c>
      <c r="K3830">
        <v>51560.2</v>
      </c>
      <c r="L3830" t="str">
        <f t="shared" si="236"/>
        <v>Jul</v>
      </c>
      <c r="M3830">
        <f t="shared" si="237"/>
        <v>2025</v>
      </c>
      <c r="N3830">
        <f t="shared" si="238"/>
        <v>51560.200000000004</v>
      </c>
      <c r="O3830" t="str">
        <f t="shared" si="239"/>
        <v>Minor Delay</v>
      </c>
    </row>
    <row r="3831" spans="1:15" x14ac:dyDescent="0.25">
      <c r="A3831">
        <v>3830</v>
      </c>
      <c r="B3831" s="2">
        <v>45896</v>
      </c>
      <c r="C3831" t="s">
        <v>16</v>
      </c>
      <c r="D3831" t="s">
        <v>19</v>
      </c>
      <c r="E3831" t="s">
        <v>13</v>
      </c>
      <c r="F3831" t="s">
        <v>21</v>
      </c>
      <c r="G3831">
        <v>157</v>
      </c>
      <c r="H3831">
        <v>308.11</v>
      </c>
      <c r="I3831">
        <v>7</v>
      </c>
      <c r="J3831" t="s">
        <v>15</v>
      </c>
      <c r="K3831">
        <v>48373.27</v>
      </c>
      <c r="L3831" t="str">
        <f t="shared" si="236"/>
        <v>Aug</v>
      </c>
      <c r="M3831">
        <f t="shared" si="237"/>
        <v>2025</v>
      </c>
      <c r="N3831">
        <f t="shared" si="238"/>
        <v>48373.270000000004</v>
      </c>
      <c r="O3831" t="str">
        <f t="shared" si="239"/>
        <v>Minor Delay</v>
      </c>
    </row>
    <row r="3832" spans="1:15" x14ac:dyDescent="0.25">
      <c r="A3832">
        <v>3831</v>
      </c>
      <c r="B3832" s="2">
        <v>45776</v>
      </c>
      <c r="C3832" t="s">
        <v>16</v>
      </c>
      <c r="D3832" t="s">
        <v>13</v>
      </c>
      <c r="E3832" t="s">
        <v>17</v>
      </c>
      <c r="F3832" t="s">
        <v>24</v>
      </c>
      <c r="G3832">
        <v>58</v>
      </c>
      <c r="H3832">
        <v>157.18</v>
      </c>
      <c r="I3832">
        <v>44</v>
      </c>
      <c r="J3832" t="s">
        <v>15</v>
      </c>
      <c r="K3832">
        <v>9116.44</v>
      </c>
      <c r="L3832" t="str">
        <f t="shared" si="236"/>
        <v>Apr</v>
      </c>
      <c r="M3832">
        <f t="shared" si="237"/>
        <v>2025</v>
      </c>
      <c r="N3832">
        <f t="shared" si="238"/>
        <v>9116.44</v>
      </c>
      <c r="O3832" t="str">
        <f t="shared" si="239"/>
        <v>Moderate Delay</v>
      </c>
    </row>
    <row r="3833" spans="1:15" x14ac:dyDescent="0.25">
      <c r="A3833">
        <v>3832</v>
      </c>
      <c r="B3833" s="2">
        <v>45767</v>
      </c>
      <c r="C3833" t="s">
        <v>18</v>
      </c>
      <c r="D3833" t="s">
        <v>19</v>
      </c>
      <c r="E3833" t="s">
        <v>13</v>
      </c>
      <c r="F3833" t="s">
        <v>21</v>
      </c>
      <c r="G3833">
        <v>95</v>
      </c>
      <c r="H3833">
        <v>658.24</v>
      </c>
      <c r="I3833">
        <v>45</v>
      </c>
      <c r="J3833" t="s">
        <v>30</v>
      </c>
      <c r="K3833">
        <v>62532.800000000003</v>
      </c>
      <c r="L3833" t="str">
        <f t="shared" si="236"/>
        <v>Apr</v>
      </c>
      <c r="M3833">
        <f t="shared" si="237"/>
        <v>2025</v>
      </c>
      <c r="N3833">
        <f t="shared" si="238"/>
        <v>62532.800000000003</v>
      </c>
      <c r="O3833" t="str">
        <f t="shared" si="239"/>
        <v>Moderate Delay</v>
      </c>
    </row>
    <row r="3834" spans="1:15" x14ac:dyDescent="0.25">
      <c r="A3834">
        <v>3833</v>
      </c>
      <c r="B3834" s="2">
        <v>45932</v>
      </c>
      <c r="C3834" t="s">
        <v>18</v>
      </c>
      <c r="D3834" t="s">
        <v>20</v>
      </c>
      <c r="E3834" t="s">
        <v>12</v>
      </c>
      <c r="F3834" t="s">
        <v>21</v>
      </c>
      <c r="G3834">
        <v>216</v>
      </c>
      <c r="H3834">
        <v>179.84</v>
      </c>
      <c r="I3834">
        <v>4</v>
      </c>
      <c r="J3834" t="s">
        <v>15</v>
      </c>
      <c r="K3834">
        <v>38845.440000000002</v>
      </c>
      <c r="L3834" t="str">
        <f t="shared" si="236"/>
        <v>Oct</v>
      </c>
      <c r="M3834">
        <f t="shared" si="237"/>
        <v>2025</v>
      </c>
      <c r="N3834">
        <f t="shared" si="238"/>
        <v>38845.440000000002</v>
      </c>
      <c r="O3834" t="str">
        <f t="shared" si="239"/>
        <v>Minor Delay</v>
      </c>
    </row>
    <row r="3835" spans="1:15" x14ac:dyDescent="0.25">
      <c r="A3835">
        <v>3834</v>
      </c>
      <c r="B3835" s="2">
        <v>45711</v>
      </c>
      <c r="C3835" t="s">
        <v>11</v>
      </c>
      <c r="D3835" t="s">
        <v>19</v>
      </c>
      <c r="E3835" t="s">
        <v>12</v>
      </c>
      <c r="F3835" t="s">
        <v>21</v>
      </c>
      <c r="G3835">
        <v>69</v>
      </c>
      <c r="H3835">
        <v>215.18</v>
      </c>
      <c r="I3835">
        <v>68</v>
      </c>
      <c r="J3835" t="s">
        <v>15</v>
      </c>
      <c r="K3835">
        <v>14847.42</v>
      </c>
      <c r="L3835" t="str">
        <f t="shared" si="236"/>
        <v>Feb</v>
      </c>
      <c r="M3835">
        <f t="shared" si="237"/>
        <v>2025</v>
      </c>
      <c r="N3835">
        <f t="shared" si="238"/>
        <v>14847.42</v>
      </c>
      <c r="O3835" t="str">
        <f t="shared" si="239"/>
        <v>Major Delay</v>
      </c>
    </row>
    <row r="3836" spans="1:15" x14ac:dyDescent="0.25">
      <c r="A3836">
        <v>3835</v>
      </c>
      <c r="B3836" s="2">
        <v>45943</v>
      </c>
      <c r="C3836" t="s">
        <v>18</v>
      </c>
      <c r="D3836" t="s">
        <v>20</v>
      </c>
      <c r="E3836" t="s">
        <v>29</v>
      </c>
      <c r="F3836" t="s">
        <v>21</v>
      </c>
      <c r="G3836">
        <v>244</v>
      </c>
      <c r="H3836">
        <v>650.48</v>
      </c>
      <c r="I3836">
        <v>41</v>
      </c>
      <c r="J3836" t="s">
        <v>15</v>
      </c>
      <c r="K3836">
        <v>158717.12</v>
      </c>
      <c r="L3836" t="str">
        <f t="shared" si="236"/>
        <v>Oct</v>
      </c>
      <c r="M3836">
        <f t="shared" si="237"/>
        <v>2025</v>
      </c>
      <c r="N3836">
        <f t="shared" si="238"/>
        <v>158717.12</v>
      </c>
      <c r="O3836" t="str">
        <f t="shared" si="239"/>
        <v>Moderate Delay</v>
      </c>
    </row>
    <row r="3837" spans="1:15" x14ac:dyDescent="0.25">
      <c r="A3837">
        <v>3836</v>
      </c>
      <c r="B3837" s="2">
        <v>45976</v>
      </c>
      <c r="C3837" t="s">
        <v>31</v>
      </c>
      <c r="D3837" t="s">
        <v>23</v>
      </c>
      <c r="E3837" t="s">
        <v>17</v>
      </c>
      <c r="F3837" t="s">
        <v>24</v>
      </c>
      <c r="G3837">
        <v>181</v>
      </c>
      <c r="H3837">
        <v>356.99</v>
      </c>
      <c r="I3837">
        <v>5</v>
      </c>
      <c r="J3837" t="s">
        <v>15</v>
      </c>
      <c r="K3837">
        <v>64615.19</v>
      </c>
      <c r="L3837" t="str">
        <f t="shared" si="236"/>
        <v>Nov</v>
      </c>
      <c r="M3837">
        <f t="shared" si="237"/>
        <v>2025</v>
      </c>
      <c r="N3837">
        <f t="shared" si="238"/>
        <v>64615.19</v>
      </c>
      <c r="O3837" t="str">
        <f t="shared" si="239"/>
        <v>Minor Delay</v>
      </c>
    </row>
    <row r="3838" spans="1:15" x14ac:dyDescent="0.25">
      <c r="A3838">
        <v>3837</v>
      </c>
      <c r="B3838" s="2">
        <v>46020</v>
      </c>
      <c r="C3838" t="s">
        <v>26</v>
      </c>
      <c r="D3838" t="s">
        <v>17</v>
      </c>
      <c r="E3838" t="s">
        <v>22</v>
      </c>
      <c r="F3838" t="s">
        <v>14</v>
      </c>
      <c r="G3838">
        <v>183</v>
      </c>
      <c r="H3838">
        <v>748.27</v>
      </c>
      <c r="I3838">
        <v>44</v>
      </c>
      <c r="J3838" t="s">
        <v>15</v>
      </c>
      <c r="K3838">
        <v>136933.41</v>
      </c>
      <c r="L3838" t="str">
        <f t="shared" si="236"/>
        <v>Dec</v>
      </c>
      <c r="M3838">
        <f t="shared" si="237"/>
        <v>2025</v>
      </c>
      <c r="N3838">
        <f t="shared" si="238"/>
        <v>136933.41</v>
      </c>
      <c r="O3838" t="str">
        <f t="shared" si="239"/>
        <v>Moderate Delay</v>
      </c>
    </row>
    <row r="3839" spans="1:15" x14ac:dyDescent="0.25">
      <c r="A3839">
        <v>3838</v>
      </c>
      <c r="B3839" s="2">
        <v>45729</v>
      </c>
      <c r="C3839" t="s">
        <v>16</v>
      </c>
      <c r="D3839" t="s">
        <v>29</v>
      </c>
      <c r="E3839" t="s">
        <v>17</v>
      </c>
      <c r="F3839" t="s">
        <v>14</v>
      </c>
      <c r="G3839">
        <v>284</v>
      </c>
      <c r="H3839">
        <v>550.45000000000005</v>
      </c>
      <c r="I3839">
        <v>62</v>
      </c>
      <c r="J3839" t="s">
        <v>15</v>
      </c>
      <c r="K3839">
        <v>156327.79999999999</v>
      </c>
      <c r="L3839" t="str">
        <f t="shared" si="236"/>
        <v>Mar</v>
      </c>
      <c r="M3839">
        <f t="shared" si="237"/>
        <v>2025</v>
      </c>
      <c r="N3839">
        <f t="shared" si="238"/>
        <v>156327.80000000002</v>
      </c>
      <c r="O3839" t="str">
        <f t="shared" si="239"/>
        <v>Major Delay</v>
      </c>
    </row>
    <row r="3840" spans="1:15" x14ac:dyDescent="0.25">
      <c r="A3840">
        <v>3839</v>
      </c>
      <c r="B3840" s="2">
        <v>45957</v>
      </c>
      <c r="C3840" t="s">
        <v>16</v>
      </c>
      <c r="D3840" t="s">
        <v>17</v>
      </c>
      <c r="E3840" t="s">
        <v>20</v>
      </c>
      <c r="F3840" t="s">
        <v>24</v>
      </c>
      <c r="G3840">
        <v>263</v>
      </c>
      <c r="H3840">
        <v>764.69</v>
      </c>
      <c r="I3840">
        <v>15</v>
      </c>
      <c r="J3840" t="s">
        <v>15</v>
      </c>
      <c r="K3840">
        <v>201113.47</v>
      </c>
      <c r="L3840" t="str">
        <f t="shared" si="236"/>
        <v>Oct</v>
      </c>
      <c r="M3840">
        <f t="shared" si="237"/>
        <v>2025</v>
      </c>
      <c r="N3840">
        <f t="shared" si="238"/>
        <v>201113.47</v>
      </c>
      <c r="O3840" t="str">
        <f t="shared" si="239"/>
        <v>Minor Delay</v>
      </c>
    </row>
    <row r="3841" spans="1:15" x14ac:dyDescent="0.25">
      <c r="A3841">
        <v>3840</v>
      </c>
      <c r="B3841" s="2">
        <v>45747</v>
      </c>
      <c r="C3841" t="s">
        <v>31</v>
      </c>
      <c r="D3841" t="s">
        <v>27</v>
      </c>
      <c r="E3841" t="s">
        <v>23</v>
      </c>
      <c r="F3841" t="s">
        <v>21</v>
      </c>
      <c r="G3841">
        <v>277</v>
      </c>
      <c r="H3841">
        <v>175.68</v>
      </c>
      <c r="I3841">
        <v>53</v>
      </c>
      <c r="J3841" t="s">
        <v>15</v>
      </c>
      <c r="K3841">
        <v>48663.360000000001</v>
      </c>
      <c r="L3841" t="str">
        <f t="shared" si="236"/>
        <v>Mar</v>
      </c>
      <c r="M3841">
        <f t="shared" si="237"/>
        <v>2025</v>
      </c>
      <c r="N3841">
        <f t="shared" si="238"/>
        <v>48663.360000000001</v>
      </c>
      <c r="O3841" t="str">
        <f t="shared" si="239"/>
        <v>Moderate Delay</v>
      </c>
    </row>
    <row r="3842" spans="1:15" x14ac:dyDescent="0.25">
      <c r="A3842">
        <v>3841</v>
      </c>
      <c r="B3842" s="2">
        <v>45887</v>
      </c>
      <c r="C3842" t="s">
        <v>16</v>
      </c>
      <c r="D3842" t="s">
        <v>27</v>
      </c>
      <c r="E3842" t="s">
        <v>23</v>
      </c>
      <c r="F3842" t="s">
        <v>24</v>
      </c>
      <c r="G3842">
        <v>89</v>
      </c>
      <c r="H3842">
        <v>92.9</v>
      </c>
      <c r="I3842">
        <v>35</v>
      </c>
      <c r="J3842" t="s">
        <v>15</v>
      </c>
      <c r="K3842">
        <v>8268.1</v>
      </c>
      <c r="L3842" t="str">
        <f t="shared" si="236"/>
        <v>Aug</v>
      </c>
      <c r="M3842">
        <f t="shared" si="237"/>
        <v>2025</v>
      </c>
      <c r="N3842">
        <f t="shared" si="238"/>
        <v>8268.1</v>
      </c>
      <c r="O3842" t="str">
        <f t="shared" si="239"/>
        <v>Moderate Delay</v>
      </c>
    </row>
    <row r="3843" spans="1:15" x14ac:dyDescent="0.25">
      <c r="A3843">
        <v>3842</v>
      </c>
      <c r="B3843" s="2">
        <v>45704</v>
      </c>
      <c r="C3843" t="s">
        <v>25</v>
      </c>
      <c r="D3843" t="s">
        <v>27</v>
      </c>
      <c r="E3843" t="s">
        <v>20</v>
      </c>
      <c r="F3843" t="s">
        <v>14</v>
      </c>
      <c r="G3843">
        <v>103</v>
      </c>
      <c r="H3843">
        <v>611.89</v>
      </c>
      <c r="I3843">
        <v>28</v>
      </c>
      <c r="J3843" t="s">
        <v>30</v>
      </c>
      <c r="K3843">
        <v>63024.67</v>
      </c>
      <c r="L3843" t="str">
        <f t="shared" ref="L3843:L3906" si="240">TEXT(B3843,"MMM")</f>
        <v>Feb</v>
      </c>
      <c r="M3843">
        <f t="shared" ref="M3843:M3906" si="241">YEAR(B3843)</f>
        <v>2025</v>
      </c>
      <c r="N3843">
        <f t="shared" ref="N3843:N3906" si="242">G3843*H3843</f>
        <v>63024.67</v>
      </c>
      <c r="O3843" t="str">
        <f t="shared" ref="O3843:O3906" si="243">IF(I3843=0,"On Time",IF(I3843&lt;=30,"Minor Delay",IF(I3843&lt;=60,"Moderate Delay","Major Delay")))</f>
        <v>Minor Delay</v>
      </c>
    </row>
    <row r="3844" spans="1:15" x14ac:dyDescent="0.25">
      <c r="A3844">
        <v>3843</v>
      </c>
      <c r="B3844" s="2">
        <v>45853</v>
      </c>
      <c r="C3844" t="s">
        <v>31</v>
      </c>
      <c r="D3844" t="s">
        <v>19</v>
      </c>
      <c r="E3844" t="s">
        <v>20</v>
      </c>
      <c r="F3844" t="s">
        <v>24</v>
      </c>
      <c r="G3844">
        <v>300</v>
      </c>
      <c r="H3844">
        <v>276.81</v>
      </c>
      <c r="I3844">
        <v>33</v>
      </c>
      <c r="J3844" t="s">
        <v>15</v>
      </c>
      <c r="K3844">
        <v>83043</v>
      </c>
      <c r="L3844" t="str">
        <f t="shared" si="240"/>
        <v>Jul</v>
      </c>
      <c r="M3844">
        <f t="shared" si="241"/>
        <v>2025</v>
      </c>
      <c r="N3844">
        <f t="shared" si="242"/>
        <v>83043</v>
      </c>
      <c r="O3844" t="str">
        <f t="shared" si="243"/>
        <v>Moderate Delay</v>
      </c>
    </row>
    <row r="3845" spans="1:15" x14ac:dyDescent="0.25">
      <c r="A3845">
        <v>3844</v>
      </c>
      <c r="B3845" s="2">
        <v>45727</v>
      </c>
      <c r="C3845" t="s">
        <v>18</v>
      </c>
      <c r="D3845" t="s">
        <v>27</v>
      </c>
      <c r="E3845" t="s">
        <v>17</v>
      </c>
      <c r="F3845" t="s">
        <v>21</v>
      </c>
      <c r="G3845">
        <v>229</v>
      </c>
      <c r="H3845">
        <v>550.91999999999996</v>
      </c>
      <c r="I3845">
        <v>0</v>
      </c>
      <c r="J3845" t="s">
        <v>15</v>
      </c>
      <c r="K3845">
        <v>126160.68</v>
      </c>
      <c r="L3845" t="str">
        <f t="shared" si="240"/>
        <v>Mar</v>
      </c>
      <c r="M3845">
        <f t="shared" si="241"/>
        <v>2025</v>
      </c>
      <c r="N3845">
        <f t="shared" si="242"/>
        <v>126160.68</v>
      </c>
      <c r="O3845" t="str">
        <f t="shared" si="243"/>
        <v>On Time</v>
      </c>
    </row>
    <row r="3846" spans="1:15" x14ac:dyDescent="0.25">
      <c r="A3846">
        <v>3845</v>
      </c>
      <c r="B3846" s="2">
        <v>45928</v>
      </c>
      <c r="C3846" t="s">
        <v>18</v>
      </c>
      <c r="D3846" t="s">
        <v>20</v>
      </c>
      <c r="E3846" t="s">
        <v>29</v>
      </c>
      <c r="F3846" t="s">
        <v>21</v>
      </c>
      <c r="G3846">
        <v>146</v>
      </c>
      <c r="H3846">
        <v>786.35</v>
      </c>
      <c r="I3846">
        <v>17</v>
      </c>
      <c r="J3846" t="s">
        <v>15</v>
      </c>
      <c r="K3846">
        <v>114807.1</v>
      </c>
      <c r="L3846" t="str">
        <f t="shared" si="240"/>
        <v>Sep</v>
      </c>
      <c r="M3846">
        <f t="shared" si="241"/>
        <v>2025</v>
      </c>
      <c r="N3846">
        <f t="shared" si="242"/>
        <v>114807.1</v>
      </c>
      <c r="O3846" t="str">
        <f t="shared" si="243"/>
        <v>Minor Delay</v>
      </c>
    </row>
    <row r="3847" spans="1:15" x14ac:dyDescent="0.25">
      <c r="A3847">
        <v>3846</v>
      </c>
      <c r="B3847" s="2">
        <v>45945</v>
      </c>
      <c r="C3847" t="s">
        <v>11</v>
      </c>
      <c r="D3847" t="s">
        <v>20</v>
      </c>
      <c r="E3847" t="s">
        <v>27</v>
      </c>
      <c r="F3847" t="s">
        <v>24</v>
      </c>
      <c r="G3847">
        <v>162</v>
      </c>
      <c r="H3847">
        <v>777.76</v>
      </c>
      <c r="I3847">
        <v>5</v>
      </c>
      <c r="J3847" t="s">
        <v>30</v>
      </c>
      <c r="K3847">
        <v>125997.12</v>
      </c>
      <c r="L3847" t="str">
        <f t="shared" si="240"/>
        <v>Oct</v>
      </c>
      <c r="M3847">
        <f t="shared" si="241"/>
        <v>2025</v>
      </c>
      <c r="N3847">
        <f t="shared" si="242"/>
        <v>125997.12</v>
      </c>
      <c r="O3847" t="str">
        <f t="shared" si="243"/>
        <v>Minor Delay</v>
      </c>
    </row>
    <row r="3848" spans="1:15" x14ac:dyDescent="0.25">
      <c r="A3848">
        <v>3847</v>
      </c>
      <c r="B3848" s="2">
        <v>45751</v>
      </c>
      <c r="C3848" t="s">
        <v>25</v>
      </c>
      <c r="D3848" t="s">
        <v>13</v>
      </c>
      <c r="E3848" t="s">
        <v>20</v>
      </c>
      <c r="F3848" t="s">
        <v>21</v>
      </c>
      <c r="G3848">
        <v>108</v>
      </c>
      <c r="H3848">
        <v>669.67</v>
      </c>
      <c r="I3848">
        <v>16</v>
      </c>
      <c r="J3848" t="s">
        <v>30</v>
      </c>
      <c r="K3848">
        <v>72324.36</v>
      </c>
      <c r="L3848" t="str">
        <f t="shared" si="240"/>
        <v>Apr</v>
      </c>
      <c r="M3848">
        <f t="shared" si="241"/>
        <v>2025</v>
      </c>
      <c r="N3848">
        <f t="shared" si="242"/>
        <v>72324.36</v>
      </c>
      <c r="O3848" t="str">
        <f t="shared" si="243"/>
        <v>Minor Delay</v>
      </c>
    </row>
    <row r="3849" spans="1:15" x14ac:dyDescent="0.25">
      <c r="A3849">
        <v>3848</v>
      </c>
      <c r="B3849" s="2">
        <v>45782</v>
      </c>
      <c r="C3849" t="s">
        <v>26</v>
      </c>
      <c r="D3849" t="s">
        <v>22</v>
      </c>
      <c r="E3849" t="s">
        <v>27</v>
      </c>
      <c r="F3849" t="s">
        <v>24</v>
      </c>
      <c r="G3849">
        <v>94</v>
      </c>
      <c r="H3849">
        <v>202.73</v>
      </c>
      <c r="I3849">
        <v>55</v>
      </c>
      <c r="J3849" t="s">
        <v>15</v>
      </c>
      <c r="K3849">
        <v>19056.62</v>
      </c>
      <c r="L3849" t="str">
        <f t="shared" si="240"/>
        <v>May</v>
      </c>
      <c r="M3849">
        <f t="shared" si="241"/>
        <v>2025</v>
      </c>
      <c r="N3849">
        <f t="shared" si="242"/>
        <v>19056.62</v>
      </c>
      <c r="O3849" t="str">
        <f t="shared" si="243"/>
        <v>Moderate Delay</v>
      </c>
    </row>
    <row r="3850" spans="1:15" x14ac:dyDescent="0.25">
      <c r="A3850">
        <v>3849</v>
      </c>
      <c r="B3850" s="2">
        <v>45987</v>
      </c>
      <c r="C3850" t="s">
        <v>25</v>
      </c>
      <c r="D3850" t="s">
        <v>20</v>
      </c>
      <c r="E3850" t="s">
        <v>27</v>
      </c>
      <c r="F3850" t="s">
        <v>14</v>
      </c>
      <c r="G3850">
        <v>64</v>
      </c>
      <c r="H3850">
        <v>248.47</v>
      </c>
      <c r="I3850">
        <v>27</v>
      </c>
      <c r="J3850" t="s">
        <v>15</v>
      </c>
      <c r="K3850">
        <v>15902.08</v>
      </c>
      <c r="L3850" t="str">
        <f t="shared" si="240"/>
        <v>Nov</v>
      </c>
      <c r="M3850">
        <f t="shared" si="241"/>
        <v>2025</v>
      </c>
      <c r="N3850">
        <f t="shared" si="242"/>
        <v>15902.08</v>
      </c>
      <c r="O3850" t="str">
        <f t="shared" si="243"/>
        <v>Minor Delay</v>
      </c>
    </row>
    <row r="3851" spans="1:15" x14ac:dyDescent="0.25">
      <c r="A3851">
        <v>3850</v>
      </c>
      <c r="B3851" s="2">
        <v>45689</v>
      </c>
      <c r="C3851" t="s">
        <v>11</v>
      </c>
      <c r="D3851" t="s">
        <v>20</v>
      </c>
      <c r="E3851" t="s">
        <v>19</v>
      </c>
      <c r="F3851" t="s">
        <v>24</v>
      </c>
      <c r="G3851">
        <v>106</v>
      </c>
      <c r="H3851">
        <v>611.64</v>
      </c>
      <c r="I3851">
        <v>49</v>
      </c>
      <c r="J3851" t="s">
        <v>15</v>
      </c>
      <c r="K3851">
        <v>64833.84</v>
      </c>
      <c r="L3851" t="str">
        <f t="shared" si="240"/>
        <v>Feb</v>
      </c>
      <c r="M3851">
        <f t="shared" si="241"/>
        <v>2025</v>
      </c>
      <c r="N3851">
        <f t="shared" si="242"/>
        <v>64833.84</v>
      </c>
      <c r="O3851" t="str">
        <f t="shared" si="243"/>
        <v>Moderate Delay</v>
      </c>
    </row>
    <row r="3852" spans="1:15" x14ac:dyDescent="0.25">
      <c r="A3852">
        <v>3851</v>
      </c>
      <c r="B3852" s="2">
        <v>45939</v>
      </c>
      <c r="C3852" t="s">
        <v>26</v>
      </c>
      <c r="D3852" t="s">
        <v>29</v>
      </c>
      <c r="E3852" t="s">
        <v>19</v>
      </c>
      <c r="F3852" t="s">
        <v>24</v>
      </c>
      <c r="G3852">
        <v>286</v>
      </c>
      <c r="H3852">
        <v>734.58</v>
      </c>
      <c r="I3852">
        <v>14</v>
      </c>
      <c r="J3852" t="s">
        <v>15</v>
      </c>
      <c r="K3852">
        <v>210089.88</v>
      </c>
      <c r="L3852" t="str">
        <f t="shared" si="240"/>
        <v>Oct</v>
      </c>
      <c r="M3852">
        <f t="shared" si="241"/>
        <v>2025</v>
      </c>
      <c r="N3852">
        <f t="shared" si="242"/>
        <v>210089.88</v>
      </c>
      <c r="O3852" t="str">
        <f t="shared" si="243"/>
        <v>Minor Delay</v>
      </c>
    </row>
    <row r="3853" spans="1:15" x14ac:dyDescent="0.25">
      <c r="A3853">
        <v>3852</v>
      </c>
      <c r="B3853" s="2">
        <v>45833</v>
      </c>
      <c r="C3853" t="s">
        <v>26</v>
      </c>
      <c r="D3853" t="s">
        <v>29</v>
      </c>
      <c r="E3853" t="s">
        <v>17</v>
      </c>
      <c r="F3853" t="s">
        <v>24</v>
      </c>
      <c r="G3853">
        <v>282</v>
      </c>
      <c r="H3853">
        <v>363.8</v>
      </c>
      <c r="I3853">
        <v>33</v>
      </c>
      <c r="J3853" t="s">
        <v>15</v>
      </c>
      <c r="K3853">
        <v>102591.6</v>
      </c>
      <c r="L3853" t="str">
        <f t="shared" si="240"/>
        <v>Jun</v>
      </c>
      <c r="M3853">
        <f t="shared" si="241"/>
        <v>2025</v>
      </c>
      <c r="N3853">
        <f t="shared" si="242"/>
        <v>102591.6</v>
      </c>
      <c r="O3853" t="str">
        <f t="shared" si="243"/>
        <v>Moderate Delay</v>
      </c>
    </row>
    <row r="3854" spans="1:15" x14ac:dyDescent="0.25">
      <c r="A3854">
        <v>3853</v>
      </c>
      <c r="B3854" s="2">
        <v>45892</v>
      </c>
      <c r="C3854" t="s">
        <v>25</v>
      </c>
      <c r="D3854" t="s">
        <v>19</v>
      </c>
      <c r="E3854" t="s">
        <v>27</v>
      </c>
      <c r="F3854" t="s">
        <v>14</v>
      </c>
      <c r="G3854">
        <v>125</v>
      </c>
      <c r="H3854">
        <v>137.15</v>
      </c>
      <c r="I3854">
        <v>0</v>
      </c>
      <c r="J3854" t="s">
        <v>15</v>
      </c>
      <c r="K3854">
        <v>17143.75</v>
      </c>
      <c r="L3854" t="str">
        <f t="shared" si="240"/>
        <v>Aug</v>
      </c>
      <c r="M3854">
        <f t="shared" si="241"/>
        <v>2025</v>
      </c>
      <c r="N3854">
        <f t="shared" si="242"/>
        <v>17143.75</v>
      </c>
      <c r="O3854" t="str">
        <f t="shared" si="243"/>
        <v>On Time</v>
      </c>
    </row>
    <row r="3855" spans="1:15" x14ac:dyDescent="0.25">
      <c r="A3855">
        <v>3854</v>
      </c>
      <c r="B3855" s="2">
        <v>45956</v>
      </c>
      <c r="C3855" t="s">
        <v>18</v>
      </c>
      <c r="D3855" t="s">
        <v>12</v>
      </c>
      <c r="E3855" t="s">
        <v>17</v>
      </c>
      <c r="F3855" t="s">
        <v>21</v>
      </c>
      <c r="G3855">
        <v>250</v>
      </c>
      <c r="H3855">
        <v>699.53</v>
      </c>
      <c r="I3855">
        <v>53</v>
      </c>
      <c r="J3855" t="s">
        <v>15</v>
      </c>
      <c r="K3855">
        <v>174882.5</v>
      </c>
      <c r="L3855" t="str">
        <f t="shared" si="240"/>
        <v>Oct</v>
      </c>
      <c r="M3855">
        <f t="shared" si="241"/>
        <v>2025</v>
      </c>
      <c r="N3855">
        <f t="shared" si="242"/>
        <v>174882.5</v>
      </c>
      <c r="O3855" t="str">
        <f t="shared" si="243"/>
        <v>Moderate Delay</v>
      </c>
    </row>
    <row r="3856" spans="1:15" x14ac:dyDescent="0.25">
      <c r="A3856">
        <v>3855</v>
      </c>
      <c r="B3856" s="2">
        <v>45928</v>
      </c>
      <c r="C3856" t="s">
        <v>18</v>
      </c>
      <c r="D3856" t="s">
        <v>20</v>
      </c>
      <c r="E3856" t="s">
        <v>19</v>
      </c>
      <c r="F3856" t="s">
        <v>24</v>
      </c>
      <c r="G3856">
        <v>147</v>
      </c>
      <c r="H3856">
        <v>510.45</v>
      </c>
      <c r="I3856">
        <v>1</v>
      </c>
      <c r="J3856" t="s">
        <v>15</v>
      </c>
      <c r="K3856">
        <v>75036.149999999994</v>
      </c>
      <c r="L3856" t="str">
        <f t="shared" si="240"/>
        <v>Sep</v>
      </c>
      <c r="M3856">
        <f t="shared" si="241"/>
        <v>2025</v>
      </c>
      <c r="N3856">
        <f t="shared" si="242"/>
        <v>75036.149999999994</v>
      </c>
      <c r="O3856" t="str">
        <f t="shared" si="243"/>
        <v>Minor Delay</v>
      </c>
    </row>
    <row r="3857" spans="1:15" x14ac:dyDescent="0.25">
      <c r="A3857">
        <v>3856</v>
      </c>
      <c r="B3857" s="2">
        <v>45913</v>
      </c>
      <c r="C3857" t="s">
        <v>25</v>
      </c>
      <c r="D3857" t="s">
        <v>23</v>
      </c>
      <c r="E3857" t="s">
        <v>20</v>
      </c>
      <c r="F3857" t="s">
        <v>14</v>
      </c>
      <c r="G3857">
        <v>103</v>
      </c>
      <c r="H3857">
        <v>198.69</v>
      </c>
      <c r="I3857">
        <v>82</v>
      </c>
      <c r="J3857" t="s">
        <v>15</v>
      </c>
      <c r="K3857">
        <v>20465.07</v>
      </c>
      <c r="L3857" t="str">
        <f t="shared" si="240"/>
        <v>Sep</v>
      </c>
      <c r="M3857">
        <f t="shared" si="241"/>
        <v>2025</v>
      </c>
      <c r="N3857">
        <f t="shared" si="242"/>
        <v>20465.07</v>
      </c>
      <c r="O3857" t="str">
        <f t="shared" si="243"/>
        <v>Major Delay</v>
      </c>
    </row>
    <row r="3858" spans="1:15" x14ac:dyDescent="0.25">
      <c r="A3858">
        <v>3857</v>
      </c>
      <c r="B3858" s="2">
        <v>45803</v>
      </c>
      <c r="C3858" t="s">
        <v>31</v>
      </c>
      <c r="D3858" t="s">
        <v>12</v>
      </c>
      <c r="E3858" t="s">
        <v>19</v>
      </c>
      <c r="F3858" t="s">
        <v>21</v>
      </c>
      <c r="G3858">
        <v>134</v>
      </c>
      <c r="H3858">
        <v>320.66000000000003</v>
      </c>
      <c r="I3858">
        <v>0</v>
      </c>
      <c r="J3858" t="s">
        <v>15</v>
      </c>
      <c r="K3858">
        <v>42968.44</v>
      </c>
      <c r="L3858" t="str">
        <f t="shared" si="240"/>
        <v>May</v>
      </c>
      <c r="M3858">
        <f t="shared" si="241"/>
        <v>2025</v>
      </c>
      <c r="N3858">
        <f t="shared" si="242"/>
        <v>42968.44</v>
      </c>
      <c r="O3858" t="str">
        <f t="shared" si="243"/>
        <v>On Time</v>
      </c>
    </row>
    <row r="3859" spans="1:15" x14ac:dyDescent="0.25">
      <c r="A3859">
        <v>3858</v>
      </c>
      <c r="B3859" s="2">
        <v>45780</v>
      </c>
      <c r="C3859" t="s">
        <v>25</v>
      </c>
      <c r="D3859" t="s">
        <v>17</v>
      </c>
      <c r="E3859" t="s">
        <v>29</v>
      </c>
      <c r="F3859" t="s">
        <v>21</v>
      </c>
      <c r="G3859">
        <v>117</v>
      </c>
      <c r="H3859">
        <v>755.61</v>
      </c>
      <c r="I3859">
        <v>28</v>
      </c>
      <c r="J3859" t="s">
        <v>15</v>
      </c>
      <c r="K3859">
        <v>88406.37</v>
      </c>
      <c r="L3859" t="str">
        <f t="shared" si="240"/>
        <v>May</v>
      </c>
      <c r="M3859">
        <f t="shared" si="241"/>
        <v>2025</v>
      </c>
      <c r="N3859">
        <f t="shared" si="242"/>
        <v>88406.37</v>
      </c>
      <c r="O3859" t="str">
        <f t="shared" si="243"/>
        <v>Minor Delay</v>
      </c>
    </row>
    <row r="3860" spans="1:15" x14ac:dyDescent="0.25">
      <c r="A3860">
        <v>3859</v>
      </c>
      <c r="B3860" s="2">
        <v>45873</v>
      </c>
      <c r="C3860" t="s">
        <v>26</v>
      </c>
      <c r="D3860" t="s">
        <v>23</v>
      </c>
      <c r="E3860" t="s">
        <v>29</v>
      </c>
      <c r="F3860" t="s">
        <v>14</v>
      </c>
      <c r="G3860">
        <v>174</v>
      </c>
      <c r="H3860">
        <v>365.31</v>
      </c>
      <c r="I3860">
        <v>0</v>
      </c>
      <c r="J3860" t="s">
        <v>15</v>
      </c>
      <c r="K3860">
        <v>63563.94</v>
      </c>
      <c r="L3860" t="str">
        <f t="shared" si="240"/>
        <v>Aug</v>
      </c>
      <c r="M3860">
        <f t="shared" si="241"/>
        <v>2025</v>
      </c>
      <c r="N3860">
        <f t="shared" si="242"/>
        <v>63563.94</v>
      </c>
      <c r="O3860" t="str">
        <f t="shared" si="243"/>
        <v>On Time</v>
      </c>
    </row>
    <row r="3861" spans="1:15" x14ac:dyDescent="0.25">
      <c r="A3861">
        <v>3860</v>
      </c>
      <c r="B3861" s="2">
        <v>45682</v>
      </c>
      <c r="C3861" t="s">
        <v>11</v>
      </c>
      <c r="D3861" t="s">
        <v>12</v>
      </c>
      <c r="E3861" t="s">
        <v>19</v>
      </c>
      <c r="F3861" t="s">
        <v>14</v>
      </c>
      <c r="G3861">
        <v>197</v>
      </c>
      <c r="H3861">
        <v>438.62</v>
      </c>
      <c r="I3861">
        <v>0</v>
      </c>
      <c r="J3861" t="s">
        <v>15</v>
      </c>
      <c r="K3861">
        <v>86408.14</v>
      </c>
      <c r="L3861" t="str">
        <f t="shared" si="240"/>
        <v>Jan</v>
      </c>
      <c r="M3861">
        <f t="shared" si="241"/>
        <v>2025</v>
      </c>
      <c r="N3861">
        <f t="shared" si="242"/>
        <v>86408.14</v>
      </c>
      <c r="O3861" t="str">
        <f t="shared" si="243"/>
        <v>On Time</v>
      </c>
    </row>
    <row r="3862" spans="1:15" x14ac:dyDescent="0.25">
      <c r="A3862">
        <v>3861</v>
      </c>
      <c r="B3862" s="2">
        <v>45704</v>
      </c>
      <c r="C3862" t="s">
        <v>18</v>
      </c>
      <c r="D3862" t="s">
        <v>19</v>
      </c>
      <c r="E3862" t="s">
        <v>27</v>
      </c>
      <c r="F3862" t="s">
        <v>14</v>
      </c>
      <c r="G3862">
        <v>189</v>
      </c>
      <c r="H3862">
        <v>225.65</v>
      </c>
      <c r="I3862">
        <v>0</v>
      </c>
      <c r="J3862" t="s">
        <v>15</v>
      </c>
      <c r="K3862">
        <v>42647.85</v>
      </c>
      <c r="L3862" t="str">
        <f t="shared" si="240"/>
        <v>Feb</v>
      </c>
      <c r="M3862">
        <f t="shared" si="241"/>
        <v>2025</v>
      </c>
      <c r="N3862">
        <f t="shared" si="242"/>
        <v>42647.85</v>
      </c>
      <c r="O3862" t="str">
        <f t="shared" si="243"/>
        <v>On Time</v>
      </c>
    </row>
    <row r="3863" spans="1:15" x14ac:dyDescent="0.25">
      <c r="A3863">
        <v>3862</v>
      </c>
      <c r="B3863" s="2">
        <v>45677</v>
      </c>
      <c r="C3863" t="s">
        <v>31</v>
      </c>
      <c r="D3863" t="s">
        <v>27</v>
      </c>
      <c r="E3863" t="s">
        <v>12</v>
      </c>
      <c r="F3863" t="s">
        <v>21</v>
      </c>
      <c r="G3863">
        <v>54</v>
      </c>
      <c r="H3863">
        <v>760.52</v>
      </c>
      <c r="I3863">
        <v>44</v>
      </c>
      <c r="J3863" t="s">
        <v>15</v>
      </c>
      <c r="K3863">
        <v>41068.080000000002</v>
      </c>
      <c r="L3863" t="str">
        <f t="shared" si="240"/>
        <v>Jan</v>
      </c>
      <c r="M3863">
        <f t="shared" si="241"/>
        <v>2025</v>
      </c>
      <c r="N3863">
        <f t="shared" si="242"/>
        <v>41068.080000000002</v>
      </c>
      <c r="O3863" t="str">
        <f t="shared" si="243"/>
        <v>Moderate Delay</v>
      </c>
    </row>
    <row r="3864" spans="1:15" x14ac:dyDescent="0.25">
      <c r="A3864">
        <v>3863</v>
      </c>
      <c r="B3864" s="2">
        <v>45892</v>
      </c>
      <c r="C3864" t="s">
        <v>26</v>
      </c>
      <c r="D3864" t="s">
        <v>19</v>
      </c>
      <c r="E3864" t="s">
        <v>23</v>
      </c>
      <c r="F3864" t="s">
        <v>14</v>
      </c>
      <c r="G3864">
        <v>133</v>
      </c>
      <c r="H3864">
        <v>358.74</v>
      </c>
      <c r="I3864">
        <v>55</v>
      </c>
      <c r="J3864" t="s">
        <v>15</v>
      </c>
      <c r="K3864">
        <v>47712.42</v>
      </c>
      <c r="L3864" t="str">
        <f t="shared" si="240"/>
        <v>Aug</v>
      </c>
      <c r="M3864">
        <f t="shared" si="241"/>
        <v>2025</v>
      </c>
      <c r="N3864">
        <f t="shared" si="242"/>
        <v>47712.42</v>
      </c>
      <c r="O3864" t="str">
        <f t="shared" si="243"/>
        <v>Moderate Delay</v>
      </c>
    </row>
    <row r="3865" spans="1:15" x14ac:dyDescent="0.25">
      <c r="A3865">
        <v>3864</v>
      </c>
      <c r="B3865" s="2">
        <v>45694</v>
      </c>
      <c r="C3865" t="s">
        <v>26</v>
      </c>
      <c r="D3865" t="s">
        <v>29</v>
      </c>
      <c r="E3865" t="s">
        <v>27</v>
      </c>
      <c r="F3865" t="s">
        <v>24</v>
      </c>
      <c r="G3865">
        <v>143</v>
      </c>
      <c r="H3865">
        <v>510.03</v>
      </c>
      <c r="I3865">
        <v>24</v>
      </c>
      <c r="J3865" t="s">
        <v>15</v>
      </c>
      <c r="K3865">
        <v>72934.289999999994</v>
      </c>
      <c r="L3865" t="str">
        <f t="shared" si="240"/>
        <v>Feb</v>
      </c>
      <c r="M3865">
        <f t="shared" si="241"/>
        <v>2025</v>
      </c>
      <c r="N3865">
        <f t="shared" si="242"/>
        <v>72934.289999999994</v>
      </c>
      <c r="O3865" t="str">
        <f t="shared" si="243"/>
        <v>Minor Delay</v>
      </c>
    </row>
    <row r="3866" spans="1:15" x14ac:dyDescent="0.25">
      <c r="A3866">
        <v>3865</v>
      </c>
      <c r="B3866" s="2">
        <v>46014</v>
      </c>
      <c r="C3866" t="s">
        <v>31</v>
      </c>
      <c r="D3866" t="s">
        <v>22</v>
      </c>
      <c r="E3866" t="s">
        <v>27</v>
      </c>
      <c r="F3866" t="s">
        <v>21</v>
      </c>
      <c r="G3866">
        <v>279</v>
      </c>
      <c r="H3866">
        <v>278.89999999999998</v>
      </c>
      <c r="I3866">
        <v>42</v>
      </c>
      <c r="J3866" t="s">
        <v>15</v>
      </c>
      <c r="K3866">
        <v>77813.100000000006</v>
      </c>
      <c r="L3866" t="str">
        <f t="shared" si="240"/>
        <v>Dec</v>
      </c>
      <c r="M3866">
        <f t="shared" si="241"/>
        <v>2025</v>
      </c>
      <c r="N3866">
        <f t="shared" si="242"/>
        <v>77813.099999999991</v>
      </c>
      <c r="O3866" t="str">
        <f t="shared" si="243"/>
        <v>Moderate Delay</v>
      </c>
    </row>
    <row r="3867" spans="1:15" x14ac:dyDescent="0.25">
      <c r="A3867">
        <v>3866</v>
      </c>
      <c r="B3867" s="2">
        <v>45671</v>
      </c>
      <c r="C3867" t="s">
        <v>26</v>
      </c>
      <c r="D3867" t="s">
        <v>22</v>
      </c>
      <c r="E3867" t="s">
        <v>17</v>
      </c>
      <c r="F3867" t="s">
        <v>24</v>
      </c>
      <c r="G3867">
        <v>279</v>
      </c>
      <c r="H3867">
        <v>539.91999999999996</v>
      </c>
      <c r="I3867">
        <v>14</v>
      </c>
      <c r="J3867" t="s">
        <v>15</v>
      </c>
      <c r="K3867">
        <v>150637.68</v>
      </c>
      <c r="L3867" t="str">
        <f t="shared" si="240"/>
        <v>Jan</v>
      </c>
      <c r="M3867">
        <f t="shared" si="241"/>
        <v>2025</v>
      </c>
      <c r="N3867">
        <f t="shared" si="242"/>
        <v>150637.68</v>
      </c>
      <c r="O3867" t="str">
        <f t="shared" si="243"/>
        <v>Minor Delay</v>
      </c>
    </row>
    <row r="3868" spans="1:15" x14ac:dyDescent="0.25">
      <c r="A3868">
        <v>3867</v>
      </c>
      <c r="B3868" s="2">
        <v>45946</v>
      </c>
      <c r="C3868" t="s">
        <v>25</v>
      </c>
      <c r="D3868" t="s">
        <v>17</v>
      </c>
      <c r="E3868" t="s">
        <v>29</v>
      </c>
      <c r="F3868" t="s">
        <v>21</v>
      </c>
      <c r="G3868">
        <v>71</v>
      </c>
      <c r="H3868">
        <v>387.9</v>
      </c>
      <c r="I3868">
        <v>12</v>
      </c>
      <c r="J3868" t="s">
        <v>30</v>
      </c>
      <c r="K3868">
        <v>27540.9</v>
      </c>
      <c r="L3868" t="str">
        <f t="shared" si="240"/>
        <v>Oct</v>
      </c>
      <c r="M3868">
        <f t="shared" si="241"/>
        <v>2025</v>
      </c>
      <c r="N3868">
        <f t="shared" si="242"/>
        <v>27540.899999999998</v>
      </c>
      <c r="O3868" t="str">
        <f t="shared" si="243"/>
        <v>Minor Delay</v>
      </c>
    </row>
    <row r="3869" spans="1:15" x14ac:dyDescent="0.25">
      <c r="A3869">
        <v>3868</v>
      </c>
      <c r="B3869" s="2">
        <v>45944</v>
      </c>
      <c r="C3869" t="s">
        <v>11</v>
      </c>
      <c r="D3869" t="s">
        <v>23</v>
      </c>
      <c r="E3869" t="s">
        <v>12</v>
      </c>
      <c r="F3869" t="s">
        <v>21</v>
      </c>
      <c r="G3869">
        <v>138</v>
      </c>
      <c r="H3869">
        <v>757.12</v>
      </c>
      <c r="I3869">
        <v>42</v>
      </c>
      <c r="J3869" t="s">
        <v>15</v>
      </c>
      <c r="K3869">
        <v>104482.56</v>
      </c>
      <c r="L3869" t="str">
        <f t="shared" si="240"/>
        <v>Oct</v>
      </c>
      <c r="M3869">
        <f t="shared" si="241"/>
        <v>2025</v>
      </c>
      <c r="N3869">
        <f t="shared" si="242"/>
        <v>104482.56</v>
      </c>
      <c r="O3869" t="str">
        <f t="shared" si="243"/>
        <v>Moderate Delay</v>
      </c>
    </row>
    <row r="3870" spans="1:15" x14ac:dyDescent="0.25">
      <c r="A3870">
        <v>3869</v>
      </c>
      <c r="B3870" s="2">
        <v>45731</v>
      </c>
      <c r="C3870" t="s">
        <v>16</v>
      </c>
      <c r="D3870" t="s">
        <v>29</v>
      </c>
      <c r="E3870" t="s">
        <v>17</v>
      </c>
      <c r="F3870" t="s">
        <v>24</v>
      </c>
      <c r="G3870">
        <v>278</v>
      </c>
      <c r="H3870">
        <v>554.86</v>
      </c>
      <c r="I3870">
        <v>0</v>
      </c>
      <c r="J3870" t="s">
        <v>15</v>
      </c>
      <c r="K3870">
        <v>154251.07999999999</v>
      </c>
      <c r="L3870" t="str">
        <f t="shared" si="240"/>
        <v>Mar</v>
      </c>
      <c r="M3870">
        <f t="shared" si="241"/>
        <v>2025</v>
      </c>
      <c r="N3870">
        <f t="shared" si="242"/>
        <v>154251.08000000002</v>
      </c>
      <c r="O3870" t="str">
        <f t="shared" si="243"/>
        <v>On Time</v>
      </c>
    </row>
    <row r="3871" spans="1:15" x14ac:dyDescent="0.25">
      <c r="A3871">
        <v>3870</v>
      </c>
      <c r="B3871" s="2">
        <v>45990</v>
      </c>
      <c r="C3871" t="s">
        <v>26</v>
      </c>
      <c r="D3871" t="s">
        <v>12</v>
      </c>
      <c r="E3871" t="s">
        <v>20</v>
      </c>
      <c r="F3871" t="s">
        <v>14</v>
      </c>
      <c r="G3871">
        <v>273</v>
      </c>
      <c r="H3871">
        <v>109.65</v>
      </c>
      <c r="I3871">
        <v>7</v>
      </c>
      <c r="J3871" t="s">
        <v>15</v>
      </c>
      <c r="K3871">
        <v>29934.45</v>
      </c>
      <c r="L3871" t="str">
        <f t="shared" si="240"/>
        <v>Nov</v>
      </c>
      <c r="M3871">
        <f t="shared" si="241"/>
        <v>2025</v>
      </c>
      <c r="N3871">
        <f t="shared" si="242"/>
        <v>29934.45</v>
      </c>
      <c r="O3871" t="str">
        <f t="shared" si="243"/>
        <v>Minor Delay</v>
      </c>
    </row>
    <row r="3872" spans="1:15" x14ac:dyDescent="0.25">
      <c r="A3872">
        <v>3871</v>
      </c>
      <c r="B3872" s="2">
        <v>45811</v>
      </c>
      <c r="C3872" t="s">
        <v>26</v>
      </c>
      <c r="D3872" t="s">
        <v>29</v>
      </c>
      <c r="E3872" t="s">
        <v>12</v>
      </c>
      <c r="F3872" t="s">
        <v>24</v>
      </c>
      <c r="G3872">
        <v>125</v>
      </c>
      <c r="H3872">
        <v>585.79</v>
      </c>
      <c r="I3872">
        <v>16</v>
      </c>
      <c r="J3872" t="s">
        <v>15</v>
      </c>
      <c r="K3872">
        <v>73223.75</v>
      </c>
      <c r="L3872" t="str">
        <f t="shared" si="240"/>
        <v>Jun</v>
      </c>
      <c r="M3872">
        <f t="shared" si="241"/>
        <v>2025</v>
      </c>
      <c r="N3872">
        <f t="shared" si="242"/>
        <v>73223.75</v>
      </c>
      <c r="O3872" t="str">
        <f t="shared" si="243"/>
        <v>Minor Delay</v>
      </c>
    </row>
    <row r="3873" spans="1:15" x14ac:dyDescent="0.25">
      <c r="A3873">
        <v>3872</v>
      </c>
      <c r="B3873" s="2">
        <v>45980</v>
      </c>
      <c r="C3873" t="s">
        <v>18</v>
      </c>
      <c r="D3873" t="s">
        <v>29</v>
      </c>
      <c r="E3873" t="s">
        <v>27</v>
      </c>
      <c r="F3873" t="s">
        <v>21</v>
      </c>
      <c r="G3873">
        <v>275</v>
      </c>
      <c r="H3873">
        <v>253.94</v>
      </c>
      <c r="I3873">
        <v>27</v>
      </c>
      <c r="J3873" t="s">
        <v>15</v>
      </c>
      <c r="K3873">
        <v>69833.5</v>
      </c>
      <c r="L3873" t="str">
        <f t="shared" si="240"/>
        <v>Nov</v>
      </c>
      <c r="M3873">
        <f t="shared" si="241"/>
        <v>2025</v>
      </c>
      <c r="N3873">
        <f t="shared" si="242"/>
        <v>69833.5</v>
      </c>
      <c r="O3873" t="str">
        <f t="shared" si="243"/>
        <v>Minor Delay</v>
      </c>
    </row>
    <row r="3874" spans="1:15" x14ac:dyDescent="0.25">
      <c r="A3874">
        <v>3873</v>
      </c>
      <c r="B3874" s="2">
        <v>45811</v>
      </c>
      <c r="C3874" t="s">
        <v>16</v>
      </c>
      <c r="D3874" t="s">
        <v>27</v>
      </c>
      <c r="E3874" t="s">
        <v>29</v>
      </c>
      <c r="F3874" t="s">
        <v>14</v>
      </c>
      <c r="G3874">
        <v>260</v>
      </c>
      <c r="H3874">
        <v>599.29999999999995</v>
      </c>
      <c r="I3874">
        <v>12</v>
      </c>
      <c r="J3874" t="s">
        <v>15</v>
      </c>
      <c r="K3874">
        <v>155818</v>
      </c>
      <c r="L3874" t="str">
        <f t="shared" si="240"/>
        <v>Jun</v>
      </c>
      <c r="M3874">
        <f t="shared" si="241"/>
        <v>2025</v>
      </c>
      <c r="N3874">
        <f t="shared" si="242"/>
        <v>155818</v>
      </c>
      <c r="O3874" t="str">
        <f t="shared" si="243"/>
        <v>Minor Delay</v>
      </c>
    </row>
    <row r="3875" spans="1:15" x14ac:dyDescent="0.25">
      <c r="A3875">
        <v>3874</v>
      </c>
      <c r="B3875" s="2">
        <v>45803</v>
      </c>
      <c r="C3875" t="s">
        <v>26</v>
      </c>
      <c r="D3875" t="s">
        <v>12</v>
      </c>
      <c r="E3875" t="s">
        <v>19</v>
      </c>
      <c r="F3875" t="s">
        <v>14</v>
      </c>
      <c r="G3875">
        <v>238</v>
      </c>
      <c r="H3875">
        <v>579.65</v>
      </c>
      <c r="I3875">
        <v>3</v>
      </c>
      <c r="J3875" t="s">
        <v>15</v>
      </c>
      <c r="K3875">
        <v>137956.70000000001</v>
      </c>
      <c r="L3875" t="str">
        <f t="shared" si="240"/>
        <v>May</v>
      </c>
      <c r="M3875">
        <f t="shared" si="241"/>
        <v>2025</v>
      </c>
      <c r="N3875">
        <f t="shared" si="242"/>
        <v>137956.69999999998</v>
      </c>
      <c r="O3875" t="str">
        <f t="shared" si="243"/>
        <v>Minor Delay</v>
      </c>
    </row>
    <row r="3876" spans="1:15" x14ac:dyDescent="0.25">
      <c r="A3876">
        <v>3875</v>
      </c>
      <c r="B3876" s="2">
        <v>45806</v>
      </c>
      <c r="C3876" t="s">
        <v>25</v>
      </c>
      <c r="D3876" t="s">
        <v>17</v>
      </c>
      <c r="E3876" t="s">
        <v>19</v>
      </c>
      <c r="F3876" t="s">
        <v>14</v>
      </c>
      <c r="G3876">
        <v>197</v>
      </c>
      <c r="H3876">
        <v>245.38</v>
      </c>
      <c r="I3876">
        <v>37</v>
      </c>
      <c r="J3876" t="s">
        <v>30</v>
      </c>
      <c r="K3876">
        <v>48339.86</v>
      </c>
      <c r="L3876" t="str">
        <f t="shared" si="240"/>
        <v>May</v>
      </c>
      <c r="M3876">
        <f t="shared" si="241"/>
        <v>2025</v>
      </c>
      <c r="N3876">
        <f t="shared" si="242"/>
        <v>48339.86</v>
      </c>
      <c r="O3876" t="str">
        <f t="shared" si="243"/>
        <v>Moderate Delay</v>
      </c>
    </row>
    <row r="3877" spans="1:15" x14ac:dyDescent="0.25">
      <c r="A3877">
        <v>3876</v>
      </c>
      <c r="B3877" s="2">
        <v>45995</v>
      </c>
      <c r="C3877" t="s">
        <v>11</v>
      </c>
      <c r="D3877" t="s">
        <v>13</v>
      </c>
      <c r="E3877" t="s">
        <v>17</v>
      </c>
      <c r="F3877" t="s">
        <v>24</v>
      </c>
      <c r="G3877">
        <v>172</v>
      </c>
      <c r="H3877">
        <v>483.04</v>
      </c>
      <c r="I3877">
        <v>55</v>
      </c>
      <c r="J3877" t="s">
        <v>15</v>
      </c>
      <c r="K3877">
        <v>83082.880000000005</v>
      </c>
      <c r="L3877" t="str">
        <f t="shared" si="240"/>
        <v>Dec</v>
      </c>
      <c r="M3877">
        <f t="shared" si="241"/>
        <v>2025</v>
      </c>
      <c r="N3877">
        <f t="shared" si="242"/>
        <v>83082.880000000005</v>
      </c>
      <c r="O3877" t="str">
        <f t="shared" si="243"/>
        <v>Moderate Delay</v>
      </c>
    </row>
    <row r="3878" spans="1:15" x14ac:dyDescent="0.25">
      <c r="A3878">
        <v>3877</v>
      </c>
      <c r="B3878" s="2">
        <v>45802</v>
      </c>
      <c r="C3878" t="s">
        <v>18</v>
      </c>
      <c r="D3878" t="s">
        <v>13</v>
      </c>
      <c r="E3878" t="s">
        <v>12</v>
      </c>
      <c r="F3878" t="s">
        <v>21</v>
      </c>
      <c r="G3878">
        <v>283</v>
      </c>
      <c r="H3878">
        <v>247.13</v>
      </c>
      <c r="I3878">
        <v>56</v>
      </c>
      <c r="J3878" t="s">
        <v>15</v>
      </c>
      <c r="K3878">
        <v>69937.789999999994</v>
      </c>
      <c r="L3878" t="str">
        <f t="shared" si="240"/>
        <v>May</v>
      </c>
      <c r="M3878">
        <f t="shared" si="241"/>
        <v>2025</v>
      </c>
      <c r="N3878">
        <f t="shared" si="242"/>
        <v>69937.789999999994</v>
      </c>
      <c r="O3878" t="str">
        <f t="shared" si="243"/>
        <v>Moderate Delay</v>
      </c>
    </row>
    <row r="3879" spans="1:15" x14ac:dyDescent="0.25">
      <c r="A3879">
        <v>3878</v>
      </c>
      <c r="B3879" s="2">
        <v>45812</v>
      </c>
      <c r="C3879" t="s">
        <v>18</v>
      </c>
      <c r="D3879" t="s">
        <v>29</v>
      </c>
      <c r="E3879" t="s">
        <v>17</v>
      </c>
      <c r="F3879" t="s">
        <v>14</v>
      </c>
      <c r="G3879">
        <v>72</v>
      </c>
      <c r="H3879">
        <v>469.73</v>
      </c>
      <c r="I3879">
        <v>61</v>
      </c>
      <c r="J3879" t="s">
        <v>15</v>
      </c>
      <c r="K3879">
        <v>33820.559999999998</v>
      </c>
      <c r="L3879" t="str">
        <f t="shared" si="240"/>
        <v>Jun</v>
      </c>
      <c r="M3879">
        <f t="shared" si="241"/>
        <v>2025</v>
      </c>
      <c r="N3879">
        <f t="shared" si="242"/>
        <v>33820.559999999998</v>
      </c>
      <c r="O3879" t="str">
        <f t="shared" si="243"/>
        <v>Major Delay</v>
      </c>
    </row>
    <row r="3880" spans="1:15" x14ac:dyDescent="0.25">
      <c r="A3880">
        <v>3879</v>
      </c>
      <c r="B3880" s="2">
        <v>45812</v>
      </c>
      <c r="C3880" t="s">
        <v>25</v>
      </c>
      <c r="D3880" t="s">
        <v>12</v>
      </c>
      <c r="E3880" t="s">
        <v>23</v>
      </c>
      <c r="F3880" t="s">
        <v>21</v>
      </c>
      <c r="G3880">
        <v>300</v>
      </c>
      <c r="H3880">
        <v>232.59</v>
      </c>
      <c r="I3880">
        <v>32</v>
      </c>
      <c r="J3880" t="s">
        <v>15</v>
      </c>
      <c r="K3880">
        <v>69777</v>
      </c>
      <c r="L3880" t="str">
        <f t="shared" si="240"/>
        <v>Jun</v>
      </c>
      <c r="M3880">
        <f t="shared" si="241"/>
        <v>2025</v>
      </c>
      <c r="N3880">
        <f t="shared" si="242"/>
        <v>69777</v>
      </c>
      <c r="O3880" t="str">
        <f t="shared" si="243"/>
        <v>Moderate Delay</v>
      </c>
    </row>
    <row r="3881" spans="1:15" x14ac:dyDescent="0.25">
      <c r="A3881">
        <v>3880</v>
      </c>
      <c r="B3881" s="2">
        <v>45965</v>
      </c>
      <c r="C3881" t="s">
        <v>25</v>
      </c>
      <c r="D3881" t="s">
        <v>19</v>
      </c>
      <c r="E3881" t="s">
        <v>23</v>
      </c>
      <c r="F3881" t="s">
        <v>21</v>
      </c>
      <c r="G3881">
        <v>160</v>
      </c>
      <c r="H3881">
        <v>572.01</v>
      </c>
      <c r="I3881">
        <v>0</v>
      </c>
      <c r="J3881" t="s">
        <v>30</v>
      </c>
      <c r="K3881">
        <v>91521.600000000006</v>
      </c>
      <c r="L3881" t="str">
        <f t="shared" si="240"/>
        <v>Nov</v>
      </c>
      <c r="M3881">
        <f t="shared" si="241"/>
        <v>2025</v>
      </c>
      <c r="N3881">
        <f t="shared" si="242"/>
        <v>91521.600000000006</v>
      </c>
      <c r="O3881" t="str">
        <f t="shared" si="243"/>
        <v>On Time</v>
      </c>
    </row>
    <row r="3882" spans="1:15" x14ac:dyDescent="0.25">
      <c r="A3882">
        <v>3881</v>
      </c>
      <c r="B3882" s="2">
        <v>45702</v>
      </c>
      <c r="C3882" t="s">
        <v>11</v>
      </c>
      <c r="D3882" t="s">
        <v>17</v>
      </c>
      <c r="E3882" t="s">
        <v>20</v>
      </c>
      <c r="F3882" t="s">
        <v>24</v>
      </c>
      <c r="G3882">
        <v>111</v>
      </c>
      <c r="H3882">
        <v>274.86</v>
      </c>
      <c r="I3882">
        <v>49</v>
      </c>
      <c r="J3882" t="s">
        <v>15</v>
      </c>
      <c r="K3882">
        <v>30509.46</v>
      </c>
      <c r="L3882" t="str">
        <f t="shared" si="240"/>
        <v>Feb</v>
      </c>
      <c r="M3882">
        <f t="shared" si="241"/>
        <v>2025</v>
      </c>
      <c r="N3882">
        <f t="shared" si="242"/>
        <v>30509.460000000003</v>
      </c>
      <c r="O3882" t="str">
        <f t="shared" si="243"/>
        <v>Moderate Delay</v>
      </c>
    </row>
    <row r="3883" spans="1:15" x14ac:dyDescent="0.25">
      <c r="A3883">
        <v>3882</v>
      </c>
      <c r="B3883" s="2">
        <v>46014</v>
      </c>
      <c r="C3883" t="s">
        <v>25</v>
      </c>
      <c r="D3883" t="s">
        <v>29</v>
      </c>
      <c r="E3883" t="s">
        <v>12</v>
      </c>
      <c r="F3883" t="s">
        <v>14</v>
      </c>
      <c r="G3883">
        <v>178</v>
      </c>
      <c r="H3883">
        <v>121.85</v>
      </c>
      <c r="I3883">
        <v>50</v>
      </c>
      <c r="J3883" t="s">
        <v>15</v>
      </c>
      <c r="K3883">
        <v>21689.3</v>
      </c>
      <c r="L3883" t="str">
        <f t="shared" si="240"/>
        <v>Dec</v>
      </c>
      <c r="M3883">
        <f t="shared" si="241"/>
        <v>2025</v>
      </c>
      <c r="N3883">
        <f t="shared" si="242"/>
        <v>21689.3</v>
      </c>
      <c r="O3883" t="str">
        <f t="shared" si="243"/>
        <v>Moderate Delay</v>
      </c>
    </row>
    <row r="3884" spans="1:15" x14ac:dyDescent="0.25">
      <c r="A3884">
        <v>3883</v>
      </c>
      <c r="B3884" s="2">
        <v>45961</v>
      </c>
      <c r="C3884" t="s">
        <v>26</v>
      </c>
      <c r="D3884" t="s">
        <v>12</v>
      </c>
      <c r="E3884" t="s">
        <v>22</v>
      </c>
      <c r="F3884" t="s">
        <v>21</v>
      </c>
      <c r="G3884">
        <v>58</v>
      </c>
      <c r="H3884">
        <v>180.44</v>
      </c>
      <c r="I3884">
        <v>0</v>
      </c>
      <c r="J3884" t="s">
        <v>15</v>
      </c>
      <c r="K3884">
        <v>10465.52</v>
      </c>
      <c r="L3884" t="str">
        <f t="shared" si="240"/>
        <v>Oct</v>
      </c>
      <c r="M3884">
        <f t="shared" si="241"/>
        <v>2025</v>
      </c>
      <c r="N3884">
        <f t="shared" si="242"/>
        <v>10465.52</v>
      </c>
      <c r="O3884" t="str">
        <f t="shared" si="243"/>
        <v>On Time</v>
      </c>
    </row>
    <row r="3885" spans="1:15" x14ac:dyDescent="0.25">
      <c r="A3885">
        <v>3884</v>
      </c>
      <c r="B3885" s="2">
        <v>45954</v>
      </c>
      <c r="C3885" t="s">
        <v>18</v>
      </c>
      <c r="D3885" t="s">
        <v>27</v>
      </c>
      <c r="E3885" t="s">
        <v>12</v>
      </c>
      <c r="F3885" t="s">
        <v>21</v>
      </c>
      <c r="G3885">
        <v>155</v>
      </c>
      <c r="H3885">
        <v>283.49</v>
      </c>
      <c r="I3885">
        <v>14</v>
      </c>
      <c r="J3885" t="s">
        <v>15</v>
      </c>
      <c r="K3885">
        <v>43940.95</v>
      </c>
      <c r="L3885" t="str">
        <f t="shared" si="240"/>
        <v>Oct</v>
      </c>
      <c r="M3885">
        <f t="shared" si="241"/>
        <v>2025</v>
      </c>
      <c r="N3885">
        <f t="shared" si="242"/>
        <v>43940.950000000004</v>
      </c>
      <c r="O3885" t="str">
        <f t="shared" si="243"/>
        <v>Minor Delay</v>
      </c>
    </row>
    <row r="3886" spans="1:15" x14ac:dyDescent="0.25">
      <c r="A3886">
        <v>3885</v>
      </c>
      <c r="B3886" s="2">
        <v>45951</v>
      </c>
      <c r="C3886" t="s">
        <v>16</v>
      </c>
      <c r="D3886" t="s">
        <v>19</v>
      </c>
      <c r="E3886" t="s">
        <v>12</v>
      </c>
      <c r="F3886" t="s">
        <v>21</v>
      </c>
      <c r="G3886">
        <v>197</v>
      </c>
      <c r="H3886">
        <v>702.96</v>
      </c>
      <c r="I3886">
        <v>34</v>
      </c>
      <c r="J3886" t="s">
        <v>15</v>
      </c>
      <c r="K3886">
        <v>138483.12</v>
      </c>
      <c r="L3886" t="str">
        <f t="shared" si="240"/>
        <v>Oct</v>
      </c>
      <c r="M3886">
        <f t="shared" si="241"/>
        <v>2025</v>
      </c>
      <c r="N3886">
        <f t="shared" si="242"/>
        <v>138483.12</v>
      </c>
      <c r="O3886" t="str">
        <f t="shared" si="243"/>
        <v>Moderate Delay</v>
      </c>
    </row>
    <row r="3887" spans="1:15" x14ac:dyDescent="0.25">
      <c r="A3887">
        <v>3886</v>
      </c>
      <c r="B3887" s="2">
        <v>45858</v>
      </c>
      <c r="C3887" t="s">
        <v>31</v>
      </c>
      <c r="D3887" t="s">
        <v>19</v>
      </c>
      <c r="E3887" t="s">
        <v>17</v>
      </c>
      <c r="F3887" t="s">
        <v>21</v>
      </c>
      <c r="G3887">
        <v>259</v>
      </c>
      <c r="H3887">
        <v>575.17999999999995</v>
      </c>
      <c r="I3887">
        <v>23</v>
      </c>
      <c r="J3887" t="s">
        <v>15</v>
      </c>
      <c r="K3887">
        <v>148971.62</v>
      </c>
      <c r="L3887" t="str">
        <f t="shared" si="240"/>
        <v>Jul</v>
      </c>
      <c r="M3887">
        <f t="shared" si="241"/>
        <v>2025</v>
      </c>
      <c r="N3887">
        <f t="shared" si="242"/>
        <v>148971.62</v>
      </c>
      <c r="O3887" t="str">
        <f t="shared" si="243"/>
        <v>Minor Delay</v>
      </c>
    </row>
    <row r="3888" spans="1:15" x14ac:dyDescent="0.25">
      <c r="A3888">
        <v>3887</v>
      </c>
      <c r="B3888" s="2">
        <v>45878</v>
      </c>
      <c r="C3888" t="s">
        <v>25</v>
      </c>
      <c r="D3888" t="s">
        <v>29</v>
      </c>
      <c r="E3888" t="s">
        <v>23</v>
      </c>
      <c r="F3888" t="s">
        <v>24</v>
      </c>
      <c r="G3888">
        <v>175</v>
      </c>
      <c r="H3888">
        <v>99.84</v>
      </c>
      <c r="I3888">
        <v>2</v>
      </c>
      <c r="J3888" t="s">
        <v>30</v>
      </c>
      <c r="K3888">
        <v>17472</v>
      </c>
      <c r="L3888" t="str">
        <f t="shared" si="240"/>
        <v>Aug</v>
      </c>
      <c r="M3888">
        <f t="shared" si="241"/>
        <v>2025</v>
      </c>
      <c r="N3888">
        <f t="shared" si="242"/>
        <v>17472</v>
      </c>
      <c r="O3888" t="str">
        <f t="shared" si="243"/>
        <v>Minor Delay</v>
      </c>
    </row>
    <row r="3889" spans="1:15" x14ac:dyDescent="0.25">
      <c r="A3889">
        <v>3888</v>
      </c>
      <c r="B3889" s="2">
        <v>45701</v>
      </c>
      <c r="C3889" t="s">
        <v>16</v>
      </c>
      <c r="D3889" t="s">
        <v>12</v>
      </c>
      <c r="E3889" t="s">
        <v>27</v>
      </c>
      <c r="F3889" t="s">
        <v>21</v>
      </c>
      <c r="G3889">
        <v>105</v>
      </c>
      <c r="H3889">
        <v>571.17999999999995</v>
      </c>
      <c r="I3889">
        <v>74</v>
      </c>
      <c r="J3889" t="s">
        <v>30</v>
      </c>
      <c r="K3889">
        <v>59973.9</v>
      </c>
      <c r="L3889" t="str">
        <f t="shared" si="240"/>
        <v>Feb</v>
      </c>
      <c r="M3889">
        <f t="shared" si="241"/>
        <v>2025</v>
      </c>
      <c r="N3889">
        <f t="shared" si="242"/>
        <v>59973.899999999994</v>
      </c>
      <c r="O3889" t="str">
        <f t="shared" si="243"/>
        <v>Major Delay</v>
      </c>
    </row>
    <row r="3890" spans="1:15" x14ac:dyDescent="0.25">
      <c r="A3890">
        <v>3889</v>
      </c>
      <c r="B3890" s="2">
        <v>45917</v>
      </c>
      <c r="C3890" t="s">
        <v>18</v>
      </c>
      <c r="D3890" t="s">
        <v>12</v>
      </c>
      <c r="E3890" t="s">
        <v>29</v>
      </c>
      <c r="F3890" t="s">
        <v>24</v>
      </c>
      <c r="G3890">
        <v>59</v>
      </c>
      <c r="H3890">
        <v>297.58</v>
      </c>
      <c r="I3890">
        <v>28</v>
      </c>
      <c r="J3890" t="s">
        <v>15</v>
      </c>
      <c r="K3890">
        <v>17557.22</v>
      </c>
      <c r="L3890" t="str">
        <f t="shared" si="240"/>
        <v>Sep</v>
      </c>
      <c r="M3890">
        <f t="shared" si="241"/>
        <v>2025</v>
      </c>
      <c r="N3890">
        <f t="shared" si="242"/>
        <v>17557.219999999998</v>
      </c>
      <c r="O3890" t="str">
        <f t="shared" si="243"/>
        <v>Minor Delay</v>
      </c>
    </row>
    <row r="3891" spans="1:15" x14ac:dyDescent="0.25">
      <c r="A3891">
        <v>3890</v>
      </c>
      <c r="B3891" s="2">
        <v>45785</v>
      </c>
      <c r="C3891" t="s">
        <v>26</v>
      </c>
      <c r="D3891" t="s">
        <v>29</v>
      </c>
      <c r="E3891" t="s">
        <v>13</v>
      </c>
      <c r="F3891" t="s">
        <v>24</v>
      </c>
      <c r="G3891">
        <v>201</v>
      </c>
      <c r="H3891">
        <v>332.23</v>
      </c>
      <c r="I3891">
        <v>10</v>
      </c>
      <c r="J3891" t="s">
        <v>15</v>
      </c>
      <c r="K3891">
        <v>66778.23</v>
      </c>
      <c r="L3891" t="str">
        <f t="shared" si="240"/>
        <v>May</v>
      </c>
      <c r="M3891">
        <f t="shared" si="241"/>
        <v>2025</v>
      </c>
      <c r="N3891">
        <f t="shared" si="242"/>
        <v>66778.23000000001</v>
      </c>
      <c r="O3891" t="str">
        <f t="shared" si="243"/>
        <v>Minor Delay</v>
      </c>
    </row>
    <row r="3892" spans="1:15" x14ac:dyDescent="0.25">
      <c r="A3892">
        <v>3891</v>
      </c>
      <c r="B3892" s="2">
        <v>45789</v>
      </c>
      <c r="C3892" t="s">
        <v>31</v>
      </c>
      <c r="D3892" t="s">
        <v>20</v>
      </c>
      <c r="E3892" t="s">
        <v>12</v>
      </c>
      <c r="F3892" t="s">
        <v>24</v>
      </c>
      <c r="G3892">
        <v>247</v>
      </c>
      <c r="H3892">
        <v>349.22</v>
      </c>
      <c r="I3892">
        <v>57</v>
      </c>
      <c r="J3892" t="s">
        <v>15</v>
      </c>
      <c r="K3892">
        <v>86257.34</v>
      </c>
      <c r="L3892" t="str">
        <f t="shared" si="240"/>
        <v>May</v>
      </c>
      <c r="M3892">
        <f t="shared" si="241"/>
        <v>2025</v>
      </c>
      <c r="N3892">
        <f t="shared" si="242"/>
        <v>86257.340000000011</v>
      </c>
      <c r="O3892" t="str">
        <f t="shared" si="243"/>
        <v>Moderate Delay</v>
      </c>
    </row>
    <row r="3893" spans="1:15" x14ac:dyDescent="0.25">
      <c r="A3893">
        <v>3892</v>
      </c>
      <c r="B3893" s="2">
        <v>46020</v>
      </c>
      <c r="C3893" t="s">
        <v>25</v>
      </c>
      <c r="D3893" t="s">
        <v>29</v>
      </c>
      <c r="E3893" t="s">
        <v>17</v>
      </c>
      <c r="F3893" t="s">
        <v>24</v>
      </c>
      <c r="G3893">
        <v>88</v>
      </c>
      <c r="H3893">
        <v>227.31</v>
      </c>
      <c r="I3893">
        <v>34</v>
      </c>
      <c r="J3893" t="s">
        <v>30</v>
      </c>
      <c r="K3893">
        <v>20003.28</v>
      </c>
      <c r="L3893" t="str">
        <f t="shared" si="240"/>
        <v>Dec</v>
      </c>
      <c r="M3893">
        <f t="shared" si="241"/>
        <v>2025</v>
      </c>
      <c r="N3893">
        <f t="shared" si="242"/>
        <v>20003.28</v>
      </c>
      <c r="O3893" t="str">
        <f t="shared" si="243"/>
        <v>Moderate Delay</v>
      </c>
    </row>
    <row r="3894" spans="1:15" x14ac:dyDescent="0.25">
      <c r="A3894">
        <v>3893</v>
      </c>
      <c r="B3894" s="2">
        <v>45859</v>
      </c>
      <c r="C3894" t="s">
        <v>16</v>
      </c>
      <c r="D3894" t="s">
        <v>19</v>
      </c>
      <c r="E3894" t="s">
        <v>12</v>
      </c>
      <c r="F3894" t="s">
        <v>14</v>
      </c>
      <c r="G3894">
        <v>219</v>
      </c>
      <c r="H3894">
        <v>428.12</v>
      </c>
      <c r="I3894">
        <v>0</v>
      </c>
      <c r="J3894" t="s">
        <v>15</v>
      </c>
      <c r="K3894">
        <v>93758.28</v>
      </c>
      <c r="L3894" t="str">
        <f t="shared" si="240"/>
        <v>Jul</v>
      </c>
      <c r="M3894">
        <f t="shared" si="241"/>
        <v>2025</v>
      </c>
      <c r="N3894">
        <f t="shared" si="242"/>
        <v>93758.28</v>
      </c>
      <c r="O3894" t="str">
        <f t="shared" si="243"/>
        <v>On Time</v>
      </c>
    </row>
    <row r="3895" spans="1:15" x14ac:dyDescent="0.25">
      <c r="A3895">
        <v>3894</v>
      </c>
      <c r="B3895" s="2">
        <v>46011</v>
      </c>
      <c r="C3895" t="s">
        <v>18</v>
      </c>
      <c r="D3895" t="s">
        <v>13</v>
      </c>
      <c r="E3895" t="s">
        <v>17</v>
      </c>
      <c r="F3895" t="s">
        <v>14</v>
      </c>
      <c r="G3895">
        <v>294</v>
      </c>
      <c r="H3895">
        <v>199.09</v>
      </c>
      <c r="I3895">
        <v>0</v>
      </c>
      <c r="J3895" t="s">
        <v>30</v>
      </c>
      <c r="K3895">
        <v>58532.46</v>
      </c>
      <c r="L3895" t="str">
        <f t="shared" si="240"/>
        <v>Dec</v>
      </c>
      <c r="M3895">
        <f t="shared" si="241"/>
        <v>2025</v>
      </c>
      <c r="N3895">
        <f t="shared" si="242"/>
        <v>58532.46</v>
      </c>
      <c r="O3895" t="str">
        <f t="shared" si="243"/>
        <v>On Time</v>
      </c>
    </row>
    <row r="3896" spans="1:15" x14ac:dyDescent="0.25">
      <c r="A3896">
        <v>3895</v>
      </c>
      <c r="B3896" s="2">
        <v>45688</v>
      </c>
      <c r="C3896" t="s">
        <v>18</v>
      </c>
      <c r="D3896" t="s">
        <v>17</v>
      </c>
      <c r="E3896" t="s">
        <v>19</v>
      </c>
      <c r="F3896" t="s">
        <v>24</v>
      </c>
      <c r="G3896">
        <v>272</v>
      </c>
      <c r="H3896">
        <v>401.63</v>
      </c>
      <c r="I3896">
        <v>53</v>
      </c>
      <c r="J3896" t="s">
        <v>15</v>
      </c>
      <c r="K3896">
        <v>109243.36</v>
      </c>
      <c r="L3896" t="str">
        <f t="shared" si="240"/>
        <v>Jan</v>
      </c>
      <c r="M3896">
        <f t="shared" si="241"/>
        <v>2025</v>
      </c>
      <c r="N3896">
        <f t="shared" si="242"/>
        <v>109243.36</v>
      </c>
      <c r="O3896" t="str">
        <f t="shared" si="243"/>
        <v>Moderate Delay</v>
      </c>
    </row>
    <row r="3897" spans="1:15" x14ac:dyDescent="0.25">
      <c r="A3897">
        <v>3896</v>
      </c>
      <c r="B3897" s="2">
        <v>46009</v>
      </c>
      <c r="C3897" t="s">
        <v>31</v>
      </c>
      <c r="D3897" t="s">
        <v>17</v>
      </c>
      <c r="E3897" t="s">
        <v>20</v>
      </c>
      <c r="F3897" t="s">
        <v>14</v>
      </c>
      <c r="G3897">
        <v>270</v>
      </c>
      <c r="H3897">
        <v>589.63</v>
      </c>
      <c r="I3897">
        <v>22</v>
      </c>
      <c r="J3897" t="s">
        <v>28</v>
      </c>
      <c r="K3897">
        <v>159200.1</v>
      </c>
      <c r="L3897" t="str">
        <f t="shared" si="240"/>
        <v>Dec</v>
      </c>
      <c r="M3897">
        <f t="shared" si="241"/>
        <v>2025</v>
      </c>
      <c r="N3897">
        <f t="shared" si="242"/>
        <v>159200.1</v>
      </c>
      <c r="O3897" t="str">
        <f t="shared" si="243"/>
        <v>Minor Delay</v>
      </c>
    </row>
    <row r="3898" spans="1:15" x14ac:dyDescent="0.25">
      <c r="A3898">
        <v>3897</v>
      </c>
      <c r="B3898" s="2">
        <v>46011</v>
      </c>
      <c r="C3898" t="s">
        <v>18</v>
      </c>
      <c r="D3898" t="s">
        <v>19</v>
      </c>
      <c r="E3898" t="s">
        <v>23</v>
      </c>
      <c r="F3898" t="s">
        <v>14</v>
      </c>
      <c r="G3898">
        <v>57</v>
      </c>
      <c r="H3898">
        <v>424.93</v>
      </c>
      <c r="I3898">
        <v>18</v>
      </c>
      <c r="J3898" t="s">
        <v>30</v>
      </c>
      <c r="K3898">
        <v>24221.01</v>
      </c>
      <c r="L3898" t="str">
        <f t="shared" si="240"/>
        <v>Dec</v>
      </c>
      <c r="M3898">
        <f t="shared" si="241"/>
        <v>2025</v>
      </c>
      <c r="N3898">
        <f t="shared" si="242"/>
        <v>24221.010000000002</v>
      </c>
      <c r="O3898" t="str">
        <f t="shared" si="243"/>
        <v>Minor Delay</v>
      </c>
    </row>
    <row r="3899" spans="1:15" x14ac:dyDescent="0.25">
      <c r="A3899">
        <v>3898</v>
      </c>
      <c r="B3899" s="2">
        <v>45691</v>
      </c>
      <c r="C3899" t="s">
        <v>26</v>
      </c>
      <c r="D3899" t="s">
        <v>13</v>
      </c>
      <c r="E3899" t="s">
        <v>27</v>
      </c>
      <c r="F3899" t="s">
        <v>21</v>
      </c>
      <c r="G3899">
        <v>62</v>
      </c>
      <c r="H3899">
        <v>473.98</v>
      </c>
      <c r="I3899">
        <v>0</v>
      </c>
      <c r="J3899" t="s">
        <v>15</v>
      </c>
      <c r="K3899">
        <v>29386.76</v>
      </c>
      <c r="L3899" t="str">
        <f t="shared" si="240"/>
        <v>Feb</v>
      </c>
      <c r="M3899">
        <f t="shared" si="241"/>
        <v>2025</v>
      </c>
      <c r="N3899">
        <f t="shared" si="242"/>
        <v>29386.760000000002</v>
      </c>
      <c r="O3899" t="str">
        <f t="shared" si="243"/>
        <v>On Time</v>
      </c>
    </row>
    <row r="3900" spans="1:15" x14ac:dyDescent="0.25">
      <c r="A3900">
        <v>3899</v>
      </c>
      <c r="B3900" s="2">
        <v>45810</v>
      </c>
      <c r="C3900" t="s">
        <v>11</v>
      </c>
      <c r="D3900" t="s">
        <v>29</v>
      </c>
      <c r="E3900" t="s">
        <v>23</v>
      </c>
      <c r="F3900" t="s">
        <v>14</v>
      </c>
      <c r="G3900">
        <v>254</v>
      </c>
      <c r="H3900">
        <v>616.95000000000005</v>
      </c>
      <c r="I3900">
        <v>3</v>
      </c>
      <c r="J3900" t="s">
        <v>15</v>
      </c>
      <c r="K3900">
        <v>156705.29999999999</v>
      </c>
      <c r="L3900" t="str">
        <f t="shared" si="240"/>
        <v>Jun</v>
      </c>
      <c r="M3900">
        <f t="shared" si="241"/>
        <v>2025</v>
      </c>
      <c r="N3900">
        <f t="shared" si="242"/>
        <v>156705.30000000002</v>
      </c>
      <c r="O3900" t="str">
        <f t="shared" si="243"/>
        <v>Minor Delay</v>
      </c>
    </row>
    <row r="3901" spans="1:15" x14ac:dyDescent="0.25">
      <c r="A3901">
        <v>3900</v>
      </c>
      <c r="B3901" s="2">
        <v>45977</v>
      </c>
      <c r="C3901" t="s">
        <v>25</v>
      </c>
      <c r="D3901" t="s">
        <v>23</v>
      </c>
      <c r="E3901" t="s">
        <v>19</v>
      </c>
      <c r="F3901" t="s">
        <v>14</v>
      </c>
      <c r="G3901">
        <v>112</v>
      </c>
      <c r="H3901">
        <v>406.41</v>
      </c>
      <c r="I3901">
        <v>46</v>
      </c>
      <c r="J3901" t="s">
        <v>15</v>
      </c>
      <c r="K3901">
        <v>45517.919999999998</v>
      </c>
      <c r="L3901" t="str">
        <f t="shared" si="240"/>
        <v>Nov</v>
      </c>
      <c r="M3901">
        <f t="shared" si="241"/>
        <v>2025</v>
      </c>
      <c r="N3901">
        <f t="shared" si="242"/>
        <v>45517.920000000006</v>
      </c>
      <c r="O3901" t="str">
        <f t="shared" si="243"/>
        <v>Moderate Delay</v>
      </c>
    </row>
    <row r="3902" spans="1:15" x14ac:dyDescent="0.25">
      <c r="A3902">
        <v>3901</v>
      </c>
      <c r="B3902" s="2">
        <v>45753</v>
      </c>
      <c r="C3902" t="s">
        <v>11</v>
      </c>
      <c r="D3902" t="s">
        <v>13</v>
      </c>
      <c r="E3902" t="s">
        <v>27</v>
      </c>
      <c r="F3902" t="s">
        <v>21</v>
      </c>
      <c r="G3902">
        <v>267</v>
      </c>
      <c r="H3902">
        <v>718.11</v>
      </c>
      <c r="I3902">
        <v>60</v>
      </c>
      <c r="J3902" t="s">
        <v>15</v>
      </c>
      <c r="K3902">
        <v>191735.37</v>
      </c>
      <c r="L3902" t="str">
        <f t="shared" si="240"/>
        <v>Apr</v>
      </c>
      <c r="M3902">
        <f t="shared" si="241"/>
        <v>2025</v>
      </c>
      <c r="N3902">
        <f t="shared" si="242"/>
        <v>191735.37</v>
      </c>
      <c r="O3902" t="str">
        <f t="shared" si="243"/>
        <v>Moderate Delay</v>
      </c>
    </row>
    <row r="3903" spans="1:15" x14ac:dyDescent="0.25">
      <c r="A3903">
        <v>3902</v>
      </c>
      <c r="B3903" s="2">
        <v>45798</v>
      </c>
      <c r="C3903" t="s">
        <v>26</v>
      </c>
      <c r="D3903" t="s">
        <v>22</v>
      </c>
      <c r="E3903" t="s">
        <v>17</v>
      </c>
      <c r="F3903" t="s">
        <v>24</v>
      </c>
      <c r="G3903">
        <v>272</v>
      </c>
      <c r="H3903">
        <v>143.30000000000001</v>
      </c>
      <c r="I3903">
        <v>0</v>
      </c>
      <c r="J3903" t="s">
        <v>15</v>
      </c>
      <c r="K3903">
        <v>38977.599999999999</v>
      </c>
      <c r="L3903" t="str">
        <f t="shared" si="240"/>
        <v>May</v>
      </c>
      <c r="M3903">
        <f t="shared" si="241"/>
        <v>2025</v>
      </c>
      <c r="N3903">
        <f t="shared" si="242"/>
        <v>38977.600000000006</v>
      </c>
      <c r="O3903" t="str">
        <f t="shared" si="243"/>
        <v>On Time</v>
      </c>
    </row>
    <row r="3904" spans="1:15" x14ac:dyDescent="0.25">
      <c r="A3904">
        <v>3903</v>
      </c>
      <c r="B3904" s="2">
        <v>45670</v>
      </c>
      <c r="C3904" t="s">
        <v>11</v>
      </c>
      <c r="D3904" t="s">
        <v>12</v>
      </c>
      <c r="E3904" t="s">
        <v>20</v>
      </c>
      <c r="F3904" t="s">
        <v>24</v>
      </c>
      <c r="G3904">
        <v>182</v>
      </c>
      <c r="H3904">
        <v>697.83</v>
      </c>
      <c r="I3904">
        <v>23</v>
      </c>
      <c r="J3904" t="s">
        <v>15</v>
      </c>
      <c r="K3904">
        <v>127005.06</v>
      </c>
      <c r="L3904" t="str">
        <f t="shared" si="240"/>
        <v>Jan</v>
      </c>
      <c r="M3904">
        <f t="shared" si="241"/>
        <v>2025</v>
      </c>
      <c r="N3904">
        <f t="shared" si="242"/>
        <v>127005.06000000001</v>
      </c>
      <c r="O3904" t="str">
        <f t="shared" si="243"/>
        <v>Minor Delay</v>
      </c>
    </row>
    <row r="3905" spans="1:15" x14ac:dyDescent="0.25">
      <c r="A3905">
        <v>3904</v>
      </c>
      <c r="B3905" s="2">
        <v>45938</v>
      </c>
      <c r="C3905" t="s">
        <v>25</v>
      </c>
      <c r="D3905" t="s">
        <v>27</v>
      </c>
      <c r="E3905" t="s">
        <v>19</v>
      </c>
      <c r="F3905" t="s">
        <v>24</v>
      </c>
      <c r="G3905">
        <v>100</v>
      </c>
      <c r="H3905">
        <v>353.32</v>
      </c>
      <c r="I3905">
        <v>1</v>
      </c>
      <c r="J3905" t="s">
        <v>15</v>
      </c>
      <c r="K3905">
        <v>35332</v>
      </c>
      <c r="L3905" t="str">
        <f t="shared" si="240"/>
        <v>Oct</v>
      </c>
      <c r="M3905">
        <f t="shared" si="241"/>
        <v>2025</v>
      </c>
      <c r="N3905">
        <f t="shared" si="242"/>
        <v>35332</v>
      </c>
      <c r="O3905" t="str">
        <f t="shared" si="243"/>
        <v>Minor Delay</v>
      </c>
    </row>
    <row r="3906" spans="1:15" x14ac:dyDescent="0.25">
      <c r="A3906">
        <v>3905</v>
      </c>
      <c r="B3906" s="2">
        <v>45781</v>
      </c>
      <c r="C3906" t="s">
        <v>31</v>
      </c>
      <c r="D3906" t="s">
        <v>19</v>
      </c>
      <c r="E3906" t="s">
        <v>29</v>
      </c>
      <c r="F3906" t="s">
        <v>14</v>
      </c>
      <c r="G3906">
        <v>58</v>
      </c>
      <c r="H3906">
        <v>250.99</v>
      </c>
      <c r="I3906">
        <v>21</v>
      </c>
      <c r="J3906" t="s">
        <v>15</v>
      </c>
      <c r="K3906">
        <v>14557.42</v>
      </c>
      <c r="L3906" t="str">
        <f t="shared" si="240"/>
        <v>May</v>
      </c>
      <c r="M3906">
        <f t="shared" si="241"/>
        <v>2025</v>
      </c>
      <c r="N3906">
        <f t="shared" si="242"/>
        <v>14557.42</v>
      </c>
      <c r="O3906" t="str">
        <f t="shared" si="243"/>
        <v>Minor Delay</v>
      </c>
    </row>
    <row r="3907" spans="1:15" x14ac:dyDescent="0.25">
      <c r="A3907">
        <v>3906</v>
      </c>
      <c r="B3907" s="2">
        <v>45873</v>
      </c>
      <c r="C3907" t="s">
        <v>26</v>
      </c>
      <c r="D3907" t="s">
        <v>23</v>
      </c>
      <c r="E3907" t="s">
        <v>20</v>
      </c>
      <c r="F3907" t="s">
        <v>21</v>
      </c>
      <c r="G3907">
        <v>160</v>
      </c>
      <c r="H3907">
        <v>606.16</v>
      </c>
      <c r="I3907">
        <v>39</v>
      </c>
      <c r="J3907" t="s">
        <v>30</v>
      </c>
      <c r="K3907">
        <v>96985.600000000006</v>
      </c>
      <c r="L3907" t="str">
        <f t="shared" ref="L3907:L3970" si="244">TEXT(B3907,"MMM")</f>
        <v>Aug</v>
      </c>
      <c r="M3907">
        <f t="shared" ref="M3907:M3970" si="245">YEAR(B3907)</f>
        <v>2025</v>
      </c>
      <c r="N3907">
        <f t="shared" ref="N3907:N3970" si="246">G3907*H3907</f>
        <v>96985.599999999991</v>
      </c>
      <c r="O3907" t="str">
        <f t="shared" ref="O3907:O3970" si="247">IF(I3907=0,"On Time",IF(I3907&lt;=30,"Minor Delay",IF(I3907&lt;=60,"Moderate Delay","Major Delay")))</f>
        <v>Moderate Delay</v>
      </c>
    </row>
    <row r="3908" spans="1:15" x14ac:dyDescent="0.25">
      <c r="A3908">
        <v>3907</v>
      </c>
      <c r="B3908" s="2">
        <v>45859</v>
      </c>
      <c r="C3908" t="s">
        <v>11</v>
      </c>
      <c r="D3908" t="s">
        <v>23</v>
      </c>
      <c r="E3908" t="s">
        <v>12</v>
      </c>
      <c r="F3908" t="s">
        <v>24</v>
      </c>
      <c r="G3908">
        <v>246</v>
      </c>
      <c r="H3908">
        <v>125.37</v>
      </c>
      <c r="I3908">
        <v>37</v>
      </c>
      <c r="J3908" t="s">
        <v>15</v>
      </c>
      <c r="K3908">
        <v>30841.02</v>
      </c>
      <c r="L3908" t="str">
        <f t="shared" si="244"/>
        <v>Jul</v>
      </c>
      <c r="M3908">
        <f t="shared" si="245"/>
        <v>2025</v>
      </c>
      <c r="N3908">
        <f t="shared" si="246"/>
        <v>30841.02</v>
      </c>
      <c r="O3908" t="str">
        <f t="shared" si="247"/>
        <v>Moderate Delay</v>
      </c>
    </row>
    <row r="3909" spans="1:15" x14ac:dyDescent="0.25">
      <c r="A3909">
        <v>3908</v>
      </c>
      <c r="B3909" s="2">
        <v>45952</v>
      </c>
      <c r="C3909" t="s">
        <v>18</v>
      </c>
      <c r="D3909" t="s">
        <v>22</v>
      </c>
      <c r="E3909" t="s">
        <v>29</v>
      </c>
      <c r="F3909" t="s">
        <v>24</v>
      </c>
      <c r="G3909">
        <v>152</v>
      </c>
      <c r="H3909">
        <v>87.61</v>
      </c>
      <c r="I3909">
        <v>24</v>
      </c>
      <c r="J3909" t="s">
        <v>15</v>
      </c>
      <c r="K3909">
        <v>13316.72</v>
      </c>
      <c r="L3909" t="str">
        <f t="shared" si="244"/>
        <v>Oct</v>
      </c>
      <c r="M3909">
        <f t="shared" si="245"/>
        <v>2025</v>
      </c>
      <c r="N3909">
        <f t="shared" si="246"/>
        <v>13316.72</v>
      </c>
      <c r="O3909" t="str">
        <f t="shared" si="247"/>
        <v>Minor Delay</v>
      </c>
    </row>
    <row r="3910" spans="1:15" x14ac:dyDescent="0.25">
      <c r="A3910">
        <v>3909</v>
      </c>
      <c r="B3910" s="2">
        <v>45660</v>
      </c>
      <c r="C3910" t="s">
        <v>31</v>
      </c>
      <c r="D3910" t="s">
        <v>27</v>
      </c>
      <c r="E3910" t="s">
        <v>23</v>
      </c>
      <c r="F3910" t="s">
        <v>14</v>
      </c>
      <c r="G3910">
        <v>78</v>
      </c>
      <c r="H3910">
        <v>614.48</v>
      </c>
      <c r="I3910">
        <v>14</v>
      </c>
      <c r="J3910" t="s">
        <v>15</v>
      </c>
      <c r="K3910">
        <v>47929.440000000002</v>
      </c>
      <c r="L3910" t="str">
        <f t="shared" si="244"/>
        <v>Jan</v>
      </c>
      <c r="M3910">
        <f t="shared" si="245"/>
        <v>2025</v>
      </c>
      <c r="N3910">
        <f t="shared" si="246"/>
        <v>47929.440000000002</v>
      </c>
      <c r="O3910" t="str">
        <f t="shared" si="247"/>
        <v>Minor Delay</v>
      </c>
    </row>
    <row r="3911" spans="1:15" x14ac:dyDescent="0.25">
      <c r="A3911">
        <v>3910</v>
      </c>
      <c r="B3911" s="2">
        <v>46019</v>
      </c>
      <c r="C3911" t="s">
        <v>26</v>
      </c>
      <c r="D3911" t="s">
        <v>29</v>
      </c>
      <c r="E3911" t="s">
        <v>12</v>
      </c>
      <c r="F3911" t="s">
        <v>21</v>
      </c>
      <c r="G3911">
        <v>104</v>
      </c>
      <c r="H3911">
        <v>580.26</v>
      </c>
      <c r="I3911">
        <v>64</v>
      </c>
      <c r="J3911" t="s">
        <v>30</v>
      </c>
      <c r="K3911">
        <v>60347.040000000001</v>
      </c>
      <c r="L3911" t="str">
        <f t="shared" si="244"/>
        <v>Dec</v>
      </c>
      <c r="M3911">
        <f t="shared" si="245"/>
        <v>2025</v>
      </c>
      <c r="N3911">
        <f t="shared" si="246"/>
        <v>60347.040000000001</v>
      </c>
      <c r="O3911" t="str">
        <f t="shared" si="247"/>
        <v>Major Delay</v>
      </c>
    </row>
    <row r="3912" spans="1:15" x14ac:dyDescent="0.25">
      <c r="A3912">
        <v>3911</v>
      </c>
      <c r="B3912" s="2">
        <v>45933</v>
      </c>
      <c r="C3912" t="s">
        <v>18</v>
      </c>
      <c r="D3912" t="s">
        <v>12</v>
      </c>
      <c r="E3912" t="s">
        <v>20</v>
      </c>
      <c r="F3912" t="s">
        <v>14</v>
      </c>
      <c r="G3912">
        <v>76</v>
      </c>
      <c r="H3912">
        <v>287.12</v>
      </c>
      <c r="I3912">
        <v>63</v>
      </c>
      <c r="J3912" t="s">
        <v>30</v>
      </c>
      <c r="K3912">
        <v>21821.119999999999</v>
      </c>
      <c r="L3912" t="str">
        <f t="shared" si="244"/>
        <v>Oct</v>
      </c>
      <c r="M3912">
        <f t="shared" si="245"/>
        <v>2025</v>
      </c>
      <c r="N3912">
        <f t="shared" si="246"/>
        <v>21821.119999999999</v>
      </c>
      <c r="O3912" t="str">
        <f t="shared" si="247"/>
        <v>Major Delay</v>
      </c>
    </row>
    <row r="3913" spans="1:15" x14ac:dyDescent="0.25">
      <c r="A3913">
        <v>3912</v>
      </c>
      <c r="B3913" s="2">
        <v>45922</v>
      </c>
      <c r="C3913" t="s">
        <v>31</v>
      </c>
      <c r="D3913" t="s">
        <v>12</v>
      </c>
      <c r="E3913" t="s">
        <v>29</v>
      </c>
      <c r="F3913" t="s">
        <v>14</v>
      </c>
      <c r="G3913">
        <v>152</v>
      </c>
      <c r="H3913">
        <v>613.9</v>
      </c>
      <c r="I3913">
        <v>0</v>
      </c>
      <c r="J3913" t="s">
        <v>15</v>
      </c>
      <c r="K3913">
        <v>93312.8</v>
      </c>
      <c r="L3913" t="str">
        <f t="shared" si="244"/>
        <v>Sep</v>
      </c>
      <c r="M3913">
        <f t="shared" si="245"/>
        <v>2025</v>
      </c>
      <c r="N3913">
        <f t="shared" si="246"/>
        <v>93312.8</v>
      </c>
      <c r="O3913" t="str">
        <f t="shared" si="247"/>
        <v>On Time</v>
      </c>
    </row>
    <row r="3914" spans="1:15" x14ac:dyDescent="0.25">
      <c r="A3914">
        <v>3913</v>
      </c>
      <c r="B3914" s="2">
        <v>45831</v>
      </c>
      <c r="C3914" t="s">
        <v>25</v>
      </c>
      <c r="D3914" t="s">
        <v>22</v>
      </c>
      <c r="E3914" t="s">
        <v>17</v>
      </c>
      <c r="F3914" t="s">
        <v>21</v>
      </c>
      <c r="G3914">
        <v>119</v>
      </c>
      <c r="H3914">
        <v>340.52</v>
      </c>
      <c r="I3914">
        <v>8</v>
      </c>
      <c r="J3914" t="s">
        <v>15</v>
      </c>
      <c r="K3914">
        <v>40521.879999999997</v>
      </c>
      <c r="L3914" t="str">
        <f t="shared" si="244"/>
        <v>Jun</v>
      </c>
      <c r="M3914">
        <f t="shared" si="245"/>
        <v>2025</v>
      </c>
      <c r="N3914">
        <f t="shared" si="246"/>
        <v>40521.879999999997</v>
      </c>
      <c r="O3914" t="str">
        <f t="shared" si="247"/>
        <v>Minor Delay</v>
      </c>
    </row>
    <row r="3915" spans="1:15" x14ac:dyDescent="0.25">
      <c r="A3915">
        <v>3914</v>
      </c>
      <c r="B3915" s="2">
        <v>45852</v>
      </c>
      <c r="C3915" t="s">
        <v>31</v>
      </c>
      <c r="D3915" t="s">
        <v>27</v>
      </c>
      <c r="E3915" t="s">
        <v>19</v>
      </c>
      <c r="F3915" t="s">
        <v>24</v>
      </c>
      <c r="G3915">
        <v>286</v>
      </c>
      <c r="H3915">
        <v>688.48</v>
      </c>
      <c r="I3915">
        <v>35</v>
      </c>
      <c r="J3915" t="s">
        <v>15</v>
      </c>
      <c r="K3915">
        <v>196905.28</v>
      </c>
      <c r="L3915" t="str">
        <f t="shared" si="244"/>
        <v>Jul</v>
      </c>
      <c r="M3915">
        <f t="shared" si="245"/>
        <v>2025</v>
      </c>
      <c r="N3915">
        <f t="shared" si="246"/>
        <v>196905.28</v>
      </c>
      <c r="O3915" t="str">
        <f t="shared" si="247"/>
        <v>Moderate Delay</v>
      </c>
    </row>
    <row r="3916" spans="1:15" x14ac:dyDescent="0.25">
      <c r="A3916">
        <v>3915</v>
      </c>
      <c r="B3916" s="2">
        <v>45889</v>
      </c>
      <c r="C3916" t="s">
        <v>16</v>
      </c>
      <c r="D3916" t="s">
        <v>19</v>
      </c>
      <c r="E3916" t="s">
        <v>27</v>
      </c>
      <c r="F3916" t="s">
        <v>24</v>
      </c>
      <c r="G3916">
        <v>256</v>
      </c>
      <c r="H3916">
        <v>80.2</v>
      </c>
      <c r="I3916">
        <v>8</v>
      </c>
      <c r="J3916" t="s">
        <v>15</v>
      </c>
      <c r="K3916">
        <v>20531.2</v>
      </c>
      <c r="L3916" t="str">
        <f t="shared" si="244"/>
        <v>Aug</v>
      </c>
      <c r="M3916">
        <f t="shared" si="245"/>
        <v>2025</v>
      </c>
      <c r="N3916">
        <f t="shared" si="246"/>
        <v>20531.2</v>
      </c>
      <c r="O3916" t="str">
        <f t="shared" si="247"/>
        <v>Minor Delay</v>
      </c>
    </row>
    <row r="3917" spans="1:15" x14ac:dyDescent="0.25">
      <c r="A3917">
        <v>3916</v>
      </c>
      <c r="B3917" s="2">
        <v>45831</v>
      </c>
      <c r="C3917" t="s">
        <v>31</v>
      </c>
      <c r="D3917" t="s">
        <v>22</v>
      </c>
      <c r="E3917" t="s">
        <v>23</v>
      </c>
      <c r="F3917" t="s">
        <v>24</v>
      </c>
      <c r="G3917">
        <v>222</v>
      </c>
      <c r="H3917">
        <v>363.6</v>
      </c>
      <c r="I3917">
        <v>63</v>
      </c>
      <c r="J3917" t="s">
        <v>15</v>
      </c>
      <c r="K3917">
        <v>80719.199999999997</v>
      </c>
      <c r="L3917" t="str">
        <f t="shared" si="244"/>
        <v>Jun</v>
      </c>
      <c r="M3917">
        <f t="shared" si="245"/>
        <v>2025</v>
      </c>
      <c r="N3917">
        <f t="shared" si="246"/>
        <v>80719.200000000012</v>
      </c>
      <c r="O3917" t="str">
        <f t="shared" si="247"/>
        <v>Major Delay</v>
      </c>
    </row>
    <row r="3918" spans="1:15" x14ac:dyDescent="0.25">
      <c r="A3918">
        <v>3917</v>
      </c>
      <c r="B3918" s="2">
        <v>45661</v>
      </c>
      <c r="C3918" t="s">
        <v>16</v>
      </c>
      <c r="D3918" t="s">
        <v>13</v>
      </c>
      <c r="E3918" t="s">
        <v>23</v>
      </c>
      <c r="F3918" t="s">
        <v>14</v>
      </c>
      <c r="G3918">
        <v>203</v>
      </c>
      <c r="H3918">
        <v>766.91</v>
      </c>
      <c r="I3918">
        <v>11</v>
      </c>
      <c r="J3918" t="s">
        <v>15</v>
      </c>
      <c r="K3918">
        <v>155682.73000000001</v>
      </c>
      <c r="L3918" t="str">
        <f t="shared" si="244"/>
        <v>Jan</v>
      </c>
      <c r="M3918">
        <f t="shared" si="245"/>
        <v>2025</v>
      </c>
      <c r="N3918">
        <f t="shared" si="246"/>
        <v>155682.72999999998</v>
      </c>
      <c r="O3918" t="str">
        <f t="shared" si="247"/>
        <v>Minor Delay</v>
      </c>
    </row>
    <row r="3919" spans="1:15" x14ac:dyDescent="0.25">
      <c r="A3919">
        <v>3918</v>
      </c>
      <c r="B3919" s="2">
        <v>45925</v>
      </c>
      <c r="C3919" t="s">
        <v>18</v>
      </c>
      <c r="D3919" t="s">
        <v>29</v>
      </c>
      <c r="E3919" t="s">
        <v>23</v>
      </c>
      <c r="F3919" t="s">
        <v>21</v>
      </c>
      <c r="G3919">
        <v>170</v>
      </c>
      <c r="H3919">
        <v>731.25</v>
      </c>
      <c r="I3919">
        <v>9</v>
      </c>
      <c r="J3919" t="s">
        <v>15</v>
      </c>
      <c r="K3919">
        <v>124312.5</v>
      </c>
      <c r="L3919" t="str">
        <f t="shared" si="244"/>
        <v>Sep</v>
      </c>
      <c r="M3919">
        <f t="shared" si="245"/>
        <v>2025</v>
      </c>
      <c r="N3919">
        <f t="shared" si="246"/>
        <v>124312.5</v>
      </c>
      <c r="O3919" t="str">
        <f t="shared" si="247"/>
        <v>Minor Delay</v>
      </c>
    </row>
    <row r="3920" spans="1:15" x14ac:dyDescent="0.25">
      <c r="A3920">
        <v>3919</v>
      </c>
      <c r="B3920" s="2">
        <v>45764</v>
      </c>
      <c r="C3920" t="s">
        <v>18</v>
      </c>
      <c r="D3920" t="s">
        <v>12</v>
      </c>
      <c r="E3920" t="s">
        <v>27</v>
      </c>
      <c r="F3920" t="s">
        <v>21</v>
      </c>
      <c r="G3920">
        <v>109</v>
      </c>
      <c r="H3920">
        <v>455.96</v>
      </c>
      <c r="I3920">
        <v>0</v>
      </c>
      <c r="J3920" t="s">
        <v>30</v>
      </c>
      <c r="K3920">
        <v>49699.64</v>
      </c>
      <c r="L3920" t="str">
        <f t="shared" si="244"/>
        <v>Apr</v>
      </c>
      <c r="M3920">
        <f t="shared" si="245"/>
        <v>2025</v>
      </c>
      <c r="N3920">
        <f t="shared" si="246"/>
        <v>49699.64</v>
      </c>
      <c r="O3920" t="str">
        <f t="shared" si="247"/>
        <v>On Time</v>
      </c>
    </row>
    <row r="3921" spans="1:15" x14ac:dyDescent="0.25">
      <c r="A3921">
        <v>3920</v>
      </c>
      <c r="B3921" s="2">
        <v>45668</v>
      </c>
      <c r="C3921" t="s">
        <v>31</v>
      </c>
      <c r="D3921" t="s">
        <v>22</v>
      </c>
      <c r="E3921" t="s">
        <v>27</v>
      </c>
      <c r="F3921" t="s">
        <v>14</v>
      </c>
      <c r="G3921">
        <v>116</v>
      </c>
      <c r="H3921">
        <v>81.739999999999995</v>
      </c>
      <c r="I3921">
        <v>0</v>
      </c>
      <c r="J3921" t="s">
        <v>15</v>
      </c>
      <c r="K3921">
        <v>9481.84</v>
      </c>
      <c r="L3921" t="str">
        <f t="shared" si="244"/>
        <v>Jan</v>
      </c>
      <c r="M3921">
        <f t="shared" si="245"/>
        <v>2025</v>
      </c>
      <c r="N3921">
        <f t="shared" si="246"/>
        <v>9481.84</v>
      </c>
      <c r="O3921" t="str">
        <f t="shared" si="247"/>
        <v>On Time</v>
      </c>
    </row>
    <row r="3922" spans="1:15" x14ac:dyDescent="0.25">
      <c r="A3922">
        <v>3921</v>
      </c>
      <c r="B3922" s="2">
        <v>46007</v>
      </c>
      <c r="C3922" t="s">
        <v>26</v>
      </c>
      <c r="D3922" t="s">
        <v>12</v>
      </c>
      <c r="E3922" t="s">
        <v>20</v>
      </c>
      <c r="F3922" t="s">
        <v>14</v>
      </c>
      <c r="G3922">
        <v>189</v>
      </c>
      <c r="H3922">
        <v>143.99</v>
      </c>
      <c r="I3922">
        <v>36</v>
      </c>
      <c r="J3922" t="s">
        <v>15</v>
      </c>
      <c r="K3922">
        <v>27214.11</v>
      </c>
      <c r="L3922" t="str">
        <f t="shared" si="244"/>
        <v>Dec</v>
      </c>
      <c r="M3922">
        <f t="shared" si="245"/>
        <v>2025</v>
      </c>
      <c r="N3922">
        <f t="shared" si="246"/>
        <v>27214.11</v>
      </c>
      <c r="O3922" t="str">
        <f t="shared" si="247"/>
        <v>Moderate Delay</v>
      </c>
    </row>
    <row r="3923" spans="1:15" x14ac:dyDescent="0.25">
      <c r="A3923">
        <v>3922</v>
      </c>
      <c r="B3923" s="2">
        <v>45798</v>
      </c>
      <c r="C3923" t="s">
        <v>31</v>
      </c>
      <c r="D3923" t="s">
        <v>13</v>
      </c>
      <c r="E3923" t="s">
        <v>23</v>
      </c>
      <c r="F3923" t="s">
        <v>21</v>
      </c>
      <c r="G3923">
        <v>114</v>
      </c>
      <c r="H3923">
        <v>475.86</v>
      </c>
      <c r="I3923">
        <v>61</v>
      </c>
      <c r="J3923" t="s">
        <v>15</v>
      </c>
      <c r="K3923">
        <v>54248.04</v>
      </c>
      <c r="L3923" t="str">
        <f t="shared" si="244"/>
        <v>May</v>
      </c>
      <c r="M3923">
        <f t="shared" si="245"/>
        <v>2025</v>
      </c>
      <c r="N3923">
        <f t="shared" si="246"/>
        <v>54248.04</v>
      </c>
      <c r="O3923" t="str">
        <f t="shared" si="247"/>
        <v>Major Delay</v>
      </c>
    </row>
    <row r="3924" spans="1:15" x14ac:dyDescent="0.25">
      <c r="A3924">
        <v>3923</v>
      </c>
      <c r="B3924" s="2">
        <v>45675</v>
      </c>
      <c r="C3924" t="s">
        <v>16</v>
      </c>
      <c r="D3924" t="s">
        <v>20</v>
      </c>
      <c r="E3924" t="s">
        <v>27</v>
      </c>
      <c r="F3924" t="s">
        <v>21</v>
      </c>
      <c r="G3924">
        <v>157</v>
      </c>
      <c r="H3924">
        <v>187.81</v>
      </c>
      <c r="I3924">
        <v>0</v>
      </c>
      <c r="J3924" t="s">
        <v>15</v>
      </c>
      <c r="K3924">
        <v>29486.17</v>
      </c>
      <c r="L3924" t="str">
        <f t="shared" si="244"/>
        <v>Jan</v>
      </c>
      <c r="M3924">
        <f t="shared" si="245"/>
        <v>2025</v>
      </c>
      <c r="N3924">
        <f t="shared" si="246"/>
        <v>29486.170000000002</v>
      </c>
      <c r="O3924" t="str">
        <f t="shared" si="247"/>
        <v>On Time</v>
      </c>
    </row>
    <row r="3925" spans="1:15" x14ac:dyDescent="0.25">
      <c r="A3925">
        <v>3924</v>
      </c>
      <c r="B3925" s="2">
        <v>45814</v>
      </c>
      <c r="C3925" t="s">
        <v>11</v>
      </c>
      <c r="D3925" t="s">
        <v>22</v>
      </c>
      <c r="E3925" t="s">
        <v>12</v>
      </c>
      <c r="F3925" t="s">
        <v>21</v>
      </c>
      <c r="G3925">
        <v>294</v>
      </c>
      <c r="H3925">
        <v>323</v>
      </c>
      <c r="I3925">
        <v>22</v>
      </c>
      <c r="J3925" t="s">
        <v>15</v>
      </c>
      <c r="K3925">
        <v>94962</v>
      </c>
      <c r="L3925" t="str">
        <f t="shared" si="244"/>
        <v>Jun</v>
      </c>
      <c r="M3925">
        <f t="shared" si="245"/>
        <v>2025</v>
      </c>
      <c r="N3925">
        <f t="shared" si="246"/>
        <v>94962</v>
      </c>
      <c r="O3925" t="str">
        <f t="shared" si="247"/>
        <v>Minor Delay</v>
      </c>
    </row>
    <row r="3926" spans="1:15" x14ac:dyDescent="0.25">
      <c r="A3926">
        <v>3925</v>
      </c>
      <c r="B3926" s="2">
        <v>45952</v>
      </c>
      <c r="C3926" t="s">
        <v>26</v>
      </c>
      <c r="D3926" t="s">
        <v>17</v>
      </c>
      <c r="E3926" t="s">
        <v>20</v>
      </c>
      <c r="F3926" t="s">
        <v>24</v>
      </c>
      <c r="G3926">
        <v>85</v>
      </c>
      <c r="H3926">
        <v>678.13</v>
      </c>
      <c r="I3926">
        <v>61</v>
      </c>
      <c r="J3926" t="s">
        <v>15</v>
      </c>
      <c r="K3926">
        <v>57641.05</v>
      </c>
      <c r="L3926" t="str">
        <f t="shared" si="244"/>
        <v>Oct</v>
      </c>
      <c r="M3926">
        <f t="shared" si="245"/>
        <v>2025</v>
      </c>
      <c r="N3926">
        <f t="shared" si="246"/>
        <v>57641.05</v>
      </c>
      <c r="O3926" t="str">
        <f t="shared" si="247"/>
        <v>Major Delay</v>
      </c>
    </row>
    <row r="3927" spans="1:15" x14ac:dyDescent="0.25">
      <c r="A3927">
        <v>3926</v>
      </c>
      <c r="B3927" s="2">
        <v>45724</v>
      </c>
      <c r="C3927" t="s">
        <v>18</v>
      </c>
      <c r="D3927" t="s">
        <v>22</v>
      </c>
      <c r="E3927" t="s">
        <v>20</v>
      </c>
      <c r="F3927" t="s">
        <v>24</v>
      </c>
      <c r="G3927">
        <v>93</v>
      </c>
      <c r="H3927">
        <v>430.36</v>
      </c>
      <c r="I3927">
        <v>15</v>
      </c>
      <c r="J3927" t="s">
        <v>30</v>
      </c>
      <c r="K3927">
        <v>40023.480000000003</v>
      </c>
      <c r="L3927" t="str">
        <f t="shared" si="244"/>
        <v>Mar</v>
      </c>
      <c r="M3927">
        <f t="shared" si="245"/>
        <v>2025</v>
      </c>
      <c r="N3927">
        <f t="shared" si="246"/>
        <v>40023.480000000003</v>
      </c>
      <c r="O3927" t="str">
        <f t="shared" si="247"/>
        <v>Minor Delay</v>
      </c>
    </row>
    <row r="3928" spans="1:15" x14ac:dyDescent="0.25">
      <c r="A3928">
        <v>3927</v>
      </c>
      <c r="B3928" s="2">
        <v>45692</v>
      </c>
      <c r="C3928" t="s">
        <v>25</v>
      </c>
      <c r="D3928" t="s">
        <v>12</v>
      </c>
      <c r="E3928" t="s">
        <v>20</v>
      </c>
      <c r="F3928" t="s">
        <v>24</v>
      </c>
      <c r="G3928">
        <v>102</v>
      </c>
      <c r="H3928">
        <v>260.47000000000003</v>
      </c>
      <c r="I3928">
        <v>0</v>
      </c>
      <c r="J3928" t="s">
        <v>15</v>
      </c>
      <c r="K3928">
        <v>26567.94</v>
      </c>
      <c r="L3928" t="str">
        <f t="shared" si="244"/>
        <v>Feb</v>
      </c>
      <c r="M3928">
        <f t="shared" si="245"/>
        <v>2025</v>
      </c>
      <c r="N3928">
        <f t="shared" si="246"/>
        <v>26567.940000000002</v>
      </c>
      <c r="O3928" t="str">
        <f t="shared" si="247"/>
        <v>On Time</v>
      </c>
    </row>
    <row r="3929" spans="1:15" x14ac:dyDescent="0.25">
      <c r="A3929">
        <v>3928</v>
      </c>
      <c r="B3929" s="2">
        <v>45777</v>
      </c>
      <c r="C3929" t="s">
        <v>26</v>
      </c>
      <c r="D3929" t="s">
        <v>22</v>
      </c>
      <c r="E3929" t="s">
        <v>29</v>
      </c>
      <c r="F3929" t="s">
        <v>21</v>
      </c>
      <c r="G3929">
        <v>80</v>
      </c>
      <c r="H3929">
        <v>663.92</v>
      </c>
      <c r="I3929">
        <v>28</v>
      </c>
      <c r="J3929" t="s">
        <v>15</v>
      </c>
      <c r="K3929">
        <v>53113.599999999999</v>
      </c>
      <c r="L3929" t="str">
        <f t="shared" si="244"/>
        <v>Apr</v>
      </c>
      <c r="M3929">
        <f t="shared" si="245"/>
        <v>2025</v>
      </c>
      <c r="N3929">
        <f t="shared" si="246"/>
        <v>53113.599999999999</v>
      </c>
      <c r="O3929" t="str">
        <f t="shared" si="247"/>
        <v>Minor Delay</v>
      </c>
    </row>
    <row r="3930" spans="1:15" x14ac:dyDescent="0.25">
      <c r="A3930">
        <v>3929</v>
      </c>
      <c r="B3930" s="2">
        <v>45741</v>
      </c>
      <c r="C3930" t="s">
        <v>18</v>
      </c>
      <c r="D3930" t="s">
        <v>27</v>
      </c>
      <c r="E3930" t="s">
        <v>19</v>
      </c>
      <c r="F3930" t="s">
        <v>24</v>
      </c>
      <c r="G3930">
        <v>282</v>
      </c>
      <c r="H3930">
        <v>601.89</v>
      </c>
      <c r="I3930">
        <v>0</v>
      </c>
      <c r="J3930" t="s">
        <v>15</v>
      </c>
      <c r="K3930">
        <v>169732.98</v>
      </c>
      <c r="L3930" t="str">
        <f t="shared" si="244"/>
        <v>Mar</v>
      </c>
      <c r="M3930">
        <f t="shared" si="245"/>
        <v>2025</v>
      </c>
      <c r="N3930">
        <f t="shared" si="246"/>
        <v>169732.98</v>
      </c>
      <c r="O3930" t="str">
        <f t="shared" si="247"/>
        <v>On Time</v>
      </c>
    </row>
    <row r="3931" spans="1:15" x14ac:dyDescent="0.25">
      <c r="A3931">
        <v>3930</v>
      </c>
      <c r="B3931" s="2">
        <v>45704</v>
      </c>
      <c r="C3931" t="s">
        <v>18</v>
      </c>
      <c r="D3931" t="s">
        <v>13</v>
      </c>
      <c r="E3931" t="s">
        <v>12</v>
      </c>
      <c r="F3931" t="s">
        <v>14</v>
      </c>
      <c r="G3931">
        <v>169</v>
      </c>
      <c r="H3931">
        <v>471.58</v>
      </c>
      <c r="I3931">
        <v>0</v>
      </c>
      <c r="J3931" t="s">
        <v>30</v>
      </c>
      <c r="K3931">
        <v>79697.02</v>
      </c>
      <c r="L3931" t="str">
        <f t="shared" si="244"/>
        <v>Feb</v>
      </c>
      <c r="M3931">
        <f t="shared" si="245"/>
        <v>2025</v>
      </c>
      <c r="N3931">
        <f t="shared" si="246"/>
        <v>79697.02</v>
      </c>
      <c r="O3931" t="str">
        <f t="shared" si="247"/>
        <v>On Time</v>
      </c>
    </row>
    <row r="3932" spans="1:15" x14ac:dyDescent="0.25">
      <c r="A3932">
        <v>3931</v>
      </c>
      <c r="B3932" s="2">
        <v>45983</v>
      </c>
      <c r="C3932" t="s">
        <v>25</v>
      </c>
      <c r="D3932" t="s">
        <v>29</v>
      </c>
      <c r="E3932" t="s">
        <v>22</v>
      </c>
      <c r="F3932" t="s">
        <v>24</v>
      </c>
      <c r="G3932">
        <v>164</v>
      </c>
      <c r="H3932">
        <v>359.73</v>
      </c>
      <c r="I3932">
        <v>56</v>
      </c>
      <c r="J3932" t="s">
        <v>15</v>
      </c>
      <c r="K3932">
        <v>58995.72</v>
      </c>
      <c r="L3932" t="str">
        <f t="shared" si="244"/>
        <v>Nov</v>
      </c>
      <c r="M3932">
        <f t="shared" si="245"/>
        <v>2025</v>
      </c>
      <c r="N3932">
        <f t="shared" si="246"/>
        <v>58995.72</v>
      </c>
      <c r="O3932" t="str">
        <f t="shared" si="247"/>
        <v>Moderate Delay</v>
      </c>
    </row>
    <row r="3933" spans="1:15" x14ac:dyDescent="0.25">
      <c r="A3933">
        <v>3932</v>
      </c>
      <c r="B3933" s="2">
        <v>45944</v>
      </c>
      <c r="C3933" t="s">
        <v>26</v>
      </c>
      <c r="D3933" t="s">
        <v>23</v>
      </c>
      <c r="E3933" t="s">
        <v>22</v>
      </c>
      <c r="F3933" t="s">
        <v>14</v>
      </c>
      <c r="G3933">
        <v>228</v>
      </c>
      <c r="H3933">
        <v>741.54</v>
      </c>
      <c r="I3933">
        <v>38</v>
      </c>
      <c r="J3933" t="s">
        <v>15</v>
      </c>
      <c r="K3933">
        <v>169071.12</v>
      </c>
      <c r="L3933" t="str">
        <f t="shared" si="244"/>
        <v>Oct</v>
      </c>
      <c r="M3933">
        <f t="shared" si="245"/>
        <v>2025</v>
      </c>
      <c r="N3933">
        <f t="shared" si="246"/>
        <v>169071.12</v>
      </c>
      <c r="O3933" t="str">
        <f t="shared" si="247"/>
        <v>Moderate Delay</v>
      </c>
    </row>
    <row r="3934" spans="1:15" x14ac:dyDescent="0.25">
      <c r="A3934">
        <v>3933</v>
      </c>
      <c r="B3934" s="2">
        <v>45837</v>
      </c>
      <c r="C3934" t="s">
        <v>11</v>
      </c>
      <c r="D3934" t="s">
        <v>19</v>
      </c>
      <c r="E3934" t="s">
        <v>17</v>
      </c>
      <c r="F3934" t="s">
        <v>21</v>
      </c>
      <c r="G3934">
        <v>101</v>
      </c>
      <c r="H3934">
        <v>533.53</v>
      </c>
      <c r="I3934">
        <v>0</v>
      </c>
      <c r="J3934" t="s">
        <v>30</v>
      </c>
      <c r="K3934">
        <v>53886.53</v>
      </c>
      <c r="L3934" t="str">
        <f t="shared" si="244"/>
        <v>Jun</v>
      </c>
      <c r="M3934">
        <f t="shared" si="245"/>
        <v>2025</v>
      </c>
      <c r="N3934">
        <f t="shared" si="246"/>
        <v>53886.53</v>
      </c>
      <c r="O3934" t="str">
        <f t="shared" si="247"/>
        <v>On Time</v>
      </c>
    </row>
    <row r="3935" spans="1:15" x14ac:dyDescent="0.25">
      <c r="A3935">
        <v>3934</v>
      </c>
      <c r="B3935" s="2">
        <v>45995</v>
      </c>
      <c r="C3935" t="s">
        <v>18</v>
      </c>
      <c r="D3935" t="s">
        <v>22</v>
      </c>
      <c r="E3935" t="s">
        <v>20</v>
      </c>
      <c r="F3935" t="s">
        <v>21</v>
      </c>
      <c r="G3935">
        <v>192</v>
      </c>
      <c r="H3935">
        <v>152.27000000000001</v>
      </c>
      <c r="I3935">
        <v>23</v>
      </c>
      <c r="J3935" t="s">
        <v>15</v>
      </c>
      <c r="K3935">
        <v>29235.84</v>
      </c>
      <c r="L3935" t="str">
        <f t="shared" si="244"/>
        <v>Dec</v>
      </c>
      <c r="M3935">
        <f t="shared" si="245"/>
        <v>2025</v>
      </c>
      <c r="N3935">
        <f t="shared" si="246"/>
        <v>29235.840000000004</v>
      </c>
      <c r="O3935" t="str">
        <f t="shared" si="247"/>
        <v>Minor Delay</v>
      </c>
    </row>
    <row r="3936" spans="1:15" x14ac:dyDescent="0.25">
      <c r="A3936">
        <v>3935</v>
      </c>
      <c r="B3936" s="2">
        <v>45824</v>
      </c>
      <c r="C3936" t="s">
        <v>18</v>
      </c>
      <c r="D3936" t="s">
        <v>29</v>
      </c>
      <c r="E3936" t="s">
        <v>20</v>
      </c>
      <c r="F3936" t="s">
        <v>24</v>
      </c>
      <c r="G3936">
        <v>213</v>
      </c>
      <c r="H3936">
        <v>397.7</v>
      </c>
      <c r="I3936">
        <v>17</v>
      </c>
      <c r="J3936" t="s">
        <v>15</v>
      </c>
      <c r="K3936">
        <v>84710.1</v>
      </c>
      <c r="L3936" t="str">
        <f t="shared" si="244"/>
        <v>Jun</v>
      </c>
      <c r="M3936">
        <f t="shared" si="245"/>
        <v>2025</v>
      </c>
      <c r="N3936">
        <f t="shared" si="246"/>
        <v>84710.099999999991</v>
      </c>
      <c r="O3936" t="str">
        <f t="shared" si="247"/>
        <v>Minor Delay</v>
      </c>
    </row>
    <row r="3937" spans="1:15" x14ac:dyDescent="0.25">
      <c r="A3937">
        <v>3936</v>
      </c>
      <c r="B3937" s="2">
        <v>45691</v>
      </c>
      <c r="C3937" t="s">
        <v>31</v>
      </c>
      <c r="D3937" t="s">
        <v>27</v>
      </c>
      <c r="E3937" t="s">
        <v>29</v>
      </c>
      <c r="F3937" t="s">
        <v>24</v>
      </c>
      <c r="G3937">
        <v>295</v>
      </c>
      <c r="H3937">
        <v>87.76</v>
      </c>
      <c r="I3937">
        <v>9</v>
      </c>
      <c r="J3937" t="s">
        <v>30</v>
      </c>
      <c r="K3937">
        <v>25889.200000000001</v>
      </c>
      <c r="L3937" t="str">
        <f t="shared" si="244"/>
        <v>Feb</v>
      </c>
      <c r="M3937">
        <f t="shared" si="245"/>
        <v>2025</v>
      </c>
      <c r="N3937">
        <f t="shared" si="246"/>
        <v>25889.200000000001</v>
      </c>
      <c r="O3937" t="str">
        <f t="shared" si="247"/>
        <v>Minor Delay</v>
      </c>
    </row>
    <row r="3938" spans="1:15" x14ac:dyDescent="0.25">
      <c r="A3938">
        <v>3937</v>
      </c>
      <c r="B3938" s="2">
        <v>45659</v>
      </c>
      <c r="C3938" t="s">
        <v>18</v>
      </c>
      <c r="D3938" t="s">
        <v>23</v>
      </c>
      <c r="E3938" t="s">
        <v>12</v>
      </c>
      <c r="F3938" t="s">
        <v>21</v>
      </c>
      <c r="G3938">
        <v>197</v>
      </c>
      <c r="H3938">
        <v>149.41</v>
      </c>
      <c r="I3938">
        <v>32</v>
      </c>
      <c r="J3938" t="s">
        <v>15</v>
      </c>
      <c r="K3938">
        <v>29433.77</v>
      </c>
      <c r="L3938" t="str">
        <f t="shared" si="244"/>
        <v>Jan</v>
      </c>
      <c r="M3938">
        <f t="shared" si="245"/>
        <v>2025</v>
      </c>
      <c r="N3938">
        <f t="shared" si="246"/>
        <v>29433.77</v>
      </c>
      <c r="O3938" t="str">
        <f t="shared" si="247"/>
        <v>Moderate Delay</v>
      </c>
    </row>
    <row r="3939" spans="1:15" x14ac:dyDescent="0.25">
      <c r="A3939">
        <v>3938</v>
      </c>
      <c r="B3939" s="2">
        <v>45788</v>
      </c>
      <c r="C3939" t="s">
        <v>18</v>
      </c>
      <c r="D3939" t="s">
        <v>17</v>
      </c>
      <c r="E3939" t="s">
        <v>23</v>
      </c>
      <c r="F3939" t="s">
        <v>21</v>
      </c>
      <c r="G3939">
        <v>216</v>
      </c>
      <c r="H3939">
        <v>120.48</v>
      </c>
      <c r="I3939">
        <v>19</v>
      </c>
      <c r="J3939" t="s">
        <v>15</v>
      </c>
      <c r="K3939">
        <v>26023.68</v>
      </c>
      <c r="L3939" t="str">
        <f t="shared" si="244"/>
        <v>May</v>
      </c>
      <c r="M3939">
        <f t="shared" si="245"/>
        <v>2025</v>
      </c>
      <c r="N3939">
        <f t="shared" si="246"/>
        <v>26023.68</v>
      </c>
      <c r="O3939" t="str">
        <f t="shared" si="247"/>
        <v>Minor Delay</v>
      </c>
    </row>
    <row r="3940" spans="1:15" x14ac:dyDescent="0.25">
      <c r="A3940">
        <v>3939</v>
      </c>
      <c r="B3940" s="2">
        <v>45688</v>
      </c>
      <c r="C3940" t="s">
        <v>31</v>
      </c>
      <c r="D3940" t="s">
        <v>27</v>
      </c>
      <c r="E3940" t="s">
        <v>19</v>
      </c>
      <c r="F3940" t="s">
        <v>24</v>
      </c>
      <c r="G3940">
        <v>142</v>
      </c>
      <c r="H3940">
        <v>652.17999999999995</v>
      </c>
      <c r="I3940">
        <v>39</v>
      </c>
      <c r="J3940" t="s">
        <v>30</v>
      </c>
      <c r="K3940">
        <v>92609.56</v>
      </c>
      <c r="L3940" t="str">
        <f t="shared" si="244"/>
        <v>Jan</v>
      </c>
      <c r="M3940">
        <f t="shared" si="245"/>
        <v>2025</v>
      </c>
      <c r="N3940">
        <f t="shared" si="246"/>
        <v>92609.56</v>
      </c>
      <c r="O3940" t="str">
        <f t="shared" si="247"/>
        <v>Moderate Delay</v>
      </c>
    </row>
    <row r="3941" spans="1:15" x14ac:dyDescent="0.25">
      <c r="A3941">
        <v>3940</v>
      </c>
      <c r="B3941" s="2">
        <v>46001</v>
      </c>
      <c r="C3941" t="s">
        <v>31</v>
      </c>
      <c r="D3941" t="s">
        <v>20</v>
      </c>
      <c r="E3941" t="s">
        <v>19</v>
      </c>
      <c r="F3941" t="s">
        <v>21</v>
      </c>
      <c r="G3941">
        <v>269</v>
      </c>
      <c r="H3941">
        <v>542.14</v>
      </c>
      <c r="I3941">
        <v>57</v>
      </c>
      <c r="J3941" t="s">
        <v>15</v>
      </c>
      <c r="K3941">
        <v>145835.66</v>
      </c>
      <c r="L3941" t="str">
        <f t="shared" si="244"/>
        <v>Dec</v>
      </c>
      <c r="M3941">
        <f t="shared" si="245"/>
        <v>2025</v>
      </c>
      <c r="N3941">
        <f t="shared" si="246"/>
        <v>145835.66</v>
      </c>
      <c r="O3941" t="str">
        <f t="shared" si="247"/>
        <v>Moderate Delay</v>
      </c>
    </row>
    <row r="3942" spans="1:15" x14ac:dyDescent="0.25">
      <c r="A3942">
        <v>3941</v>
      </c>
      <c r="B3942" s="2">
        <v>45912</v>
      </c>
      <c r="C3942" t="s">
        <v>25</v>
      </c>
      <c r="D3942" t="s">
        <v>29</v>
      </c>
      <c r="E3942" t="s">
        <v>23</v>
      </c>
      <c r="F3942" t="s">
        <v>21</v>
      </c>
      <c r="G3942">
        <v>173</v>
      </c>
      <c r="H3942">
        <v>778.16</v>
      </c>
      <c r="I3942">
        <v>0</v>
      </c>
      <c r="J3942" t="s">
        <v>15</v>
      </c>
      <c r="K3942">
        <v>134621.68</v>
      </c>
      <c r="L3942" t="str">
        <f t="shared" si="244"/>
        <v>Sep</v>
      </c>
      <c r="M3942">
        <f t="shared" si="245"/>
        <v>2025</v>
      </c>
      <c r="N3942">
        <f t="shared" si="246"/>
        <v>134621.68</v>
      </c>
      <c r="O3942" t="str">
        <f t="shared" si="247"/>
        <v>On Time</v>
      </c>
    </row>
    <row r="3943" spans="1:15" x14ac:dyDescent="0.25">
      <c r="A3943">
        <v>3942</v>
      </c>
      <c r="B3943" s="2">
        <v>45686</v>
      </c>
      <c r="C3943" t="s">
        <v>18</v>
      </c>
      <c r="D3943" t="s">
        <v>20</v>
      </c>
      <c r="E3943" t="s">
        <v>13</v>
      </c>
      <c r="F3943" t="s">
        <v>21</v>
      </c>
      <c r="G3943">
        <v>193</v>
      </c>
      <c r="H3943">
        <v>716.64</v>
      </c>
      <c r="I3943">
        <v>2</v>
      </c>
      <c r="J3943" t="s">
        <v>15</v>
      </c>
      <c r="K3943">
        <v>138311.51999999999</v>
      </c>
      <c r="L3943" t="str">
        <f t="shared" si="244"/>
        <v>Jan</v>
      </c>
      <c r="M3943">
        <f t="shared" si="245"/>
        <v>2025</v>
      </c>
      <c r="N3943">
        <f t="shared" si="246"/>
        <v>138311.51999999999</v>
      </c>
      <c r="O3943" t="str">
        <f t="shared" si="247"/>
        <v>Minor Delay</v>
      </c>
    </row>
    <row r="3944" spans="1:15" x14ac:dyDescent="0.25">
      <c r="A3944">
        <v>3943</v>
      </c>
      <c r="B3944" s="2">
        <v>45746</v>
      </c>
      <c r="C3944" t="s">
        <v>26</v>
      </c>
      <c r="D3944" t="s">
        <v>22</v>
      </c>
      <c r="E3944" t="s">
        <v>19</v>
      </c>
      <c r="F3944" t="s">
        <v>14</v>
      </c>
      <c r="G3944">
        <v>90</v>
      </c>
      <c r="H3944">
        <v>124.04</v>
      </c>
      <c r="I3944">
        <v>0</v>
      </c>
      <c r="J3944" t="s">
        <v>30</v>
      </c>
      <c r="K3944">
        <v>11163.6</v>
      </c>
      <c r="L3944" t="str">
        <f t="shared" si="244"/>
        <v>Mar</v>
      </c>
      <c r="M3944">
        <f t="shared" si="245"/>
        <v>2025</v>
      </c>
      <c r="N3944">
        <f t="shared" si="246"/>
        <v>11163.6</v>
      </c>
      <c r="O3944" t="str">
        <f t="shared" si="247"/>
        <v>On Time</v>
      </c>
    </row>
    <row r="3945" spans="1:15" x14ac:dyDescent="0.25">
      <c r="A3945">
        <v>3944</v>
      </c>
      <c r="B3945" s="2">
        <v>45742</v>
      </c>
      <c r="C3945" t="s">
        <v>18</v>
      </c>
      <c r="D3945" t="s">
        <v>27</v>
      </c>
      <c r="E3945" t="s">
        <v>29</v>
      </c>
      <c r="F3945" t="s">
        <v>24</v>
      </c>
      <c r="G3945">
        <v>196</v>
      </c>
      <c r="H3945">
        <v>778.98</v>
      </c>
      <c r="I3945">
        <v>0</v>
      </c>
      <c r="J3945" t="s">
        <v>15</v>
      </c>
      <c r="K3945">
        <v>152680.07999999999</v>
      </c>
      <c r="L3945" t="str">
        <f t="shared" si="244"/>
        <v>Mar</v>
      </c>
      <c r="M3945">
        <f t="shared" si="245"/>
        <v>2025</v>
      </c>
      <c r="N3945">
        <f t="shared" si="246"/>
        <v>152680.08000000002</v>
      </c>
      <c r="O3945" t="str">
        <f t="shared" si="247"/>
        <v>On Time</v>
      </c>
    </row>
    <row r="3946" spans="1:15" x14ac:dyDescent="0.25">
      <c r="A3946">
        <v>3945</v>
      </c>
      <c r="B3946" s="2">
        <v>45868</v>
      </c>
      <c r="C3946" t="s">
        <v>25</v>
      </c>
      <c r="D3946" t="s">
        <v>17</v>
      </c>
      <c r="E3946" t="s">
        <v>20</v>
      </c>
      <c r="F3946" t="s">
        <v>14</v>
      </c>
      <c r="G3946">
        <v>87</v>
      </c>
      <c r="H3946">
        <v>460.45</v>
      </c>
      <c r="I3946">
        <v>0</v>
      </c>
      <c r="J3946" t="s">
        <v>15</v>
      </c>
      <c r="K3946">
        <v>40059.15</v>
      </c>
      <c r="L3946" t="str">
        <f t="shared" si="244"/>
        <v>Jul</v>
      </c>
      <c r="M3946">
        <f t="shared" si="245"/>
        <v>2025</v>
      </c>
      <c r="N3946">
        <f t="shared" si="246"/>
        <v>40059.15</v>
      </c>
      <c r="O3946" t="str">
        <f t="shared" si="247"/>
        <v>On Time</v>
      </c>
    </row>
    <row r="3947" spans="1:15" x14ac:dyDescent="0.25">
      <c r="A3947">
        <v>3946</v>
      </c>
      <c r="B3947" s="2">
        <v>45893</v>
      </c>
      <c r="C3947" t="s">
        <v>16</v>
      </c>
      <c r="D3947" t="s">
        <v>19</v>
      </c>
      <c r="E3947" t="s">
        <v>17</v>
      </c>
      <c r="F3947" t="s">
        <v>24</v>
      </c>
      <c r="G3947">
        <v>128</v>
      </c>
      <c r="H3947">
        <v>357.86</v>
      </c>
      <c r="I3947">
        <v>50</v>
      </c>
      <c r="J3947" t="s">
        <v>30</v>
      </c>
      <c r="K3947">
        <v>45806.080000000002</v>
      </c>
      <c r="L3947" t="str">
        <f t="shared" si="244"/>
        <v>Aug</v>
      </c>
      <c r="M3947">
        <f t="shared" si="245"/>
        <v>2025</v>
      </c>
      <c r="N3947">
        <f t="shared" si="246"/>
        <v>45806.080000000002</v>
      </c>
      <c r="O3947" t="str">
        <f t="shared" si="247"/>
        <v>Moderate Delay</v>
      </c>
    </row>
    <row r="3948" spans="1:15" x14ac:dyDescent="0.25">
      <c r="A3948">
        <v>3947</v>
      </c>
      <c r="B3948" s="2">
        <v>45713</v>
      </c>
      <c r="C3948" t="s">
        <v>25</v>
      </c>
      <c r="D3948" t="s">
        <v>27</v>
      </c>
      <c r="E3948" t="s">
        <v>29</v>
      </c>
      <c r="F3948" t="s">
        <v>14</v>
      </c>
      <c r="G3948">
        <v>262</v>
      </c>
      <c r="H3948">
        <v>70.27</v>
      </c>
      <c r="I3948">
        <v>3</v>
      </c>
      <c r="J3948" t="s">
        <v>15</v>
      </c>
      <c r="K3948">
        <v>18410.740000000002</v>
      </c>
      <c r="L3948" t="str">
        <f t="shared" si="244"/>
        <v>Feb</v>
      </c>
      <c r="M3948">
        <f t="shared" si="245"/>
        <v>2025</v>
      </c>
      <c r="N3948">
        <f t="shared" si="246"/>
        <v>18410.739999999998</v>
      </c>
      <c r="O3948" t="str">
        <f t="shared" si="247"/>
        <v>Minor Delay</v>
      </c>
    </row>
    <row r="3949" spans="1:15" x14ac:dyDescent="0.25">
      <c r="A3949">
        <v>3948</v>
      </c>
      <c r="B3949" s="2">
        <v>45681</v>
      </c>
      <c r="C3949" t="s">
        <v>11</v>
      </c>
      <c r="D3949" t="s">
        <v>13</v>
      </c>
      <c r="E3949" t="s">
        <v>27</v>
      </c>
      <c r="F3949" t="s">
        <v>24</v>
      </c>
      <c r="G3949">
        <v>183</v>
      </c>
      <c r="H3949">
        <v>634.77</v>
      </c>
      <c r="I3949">
        <v>0</v>
      </c>
      <c r="J3949" t="s">
        <v>15</v>
      </c>
      <c r="K3949">
        <v>116162.91</v>
      </c>
      <c r="L3949" t="str">
        <f t="shared" si="244"/>
        <v>Jan</v>
      </c>
      <c r="M3949">
        <f t="shared" si="245"/>
        <v>2025</v>
      </c>
      <c r="N3949">
        <f t="shared" si="246"/>
        <v>116162.91</v>
      </c>
      <c r="O3949" t="str">
        <f t="shared" si="247"/>
        <v>On Time</v>
      </c>
    </row>
    <row r="3950" spans="1:15" x14ac:dyDescent="0.25">
      <c r="A3950">
        <v>3949</v>
      </c>
      <c r="B3950" s="2">
        <v>46018</v>
      </c>
      <c r="C3950" t="s">
        <v>18</v>
      </c>
      <c r="D3950" t="s">
        <v>27</v>
      </c>
      <c r="E3950" t="s">
        <v>17</v>
      </c>
      <c r="F3950" t="s">
        <v>21</v>
      </c>
      <c r="G3950">
        <v>107</v>
      </c>
      <c r="H3950">
        <v>181.52</v>
      </c>
      <c r="I3950">
        <v>0</v>
      </c>
      <c r="J3950" t="s">
        <v>15</v>
      </c>
      <c r="K3950">
        <v>19422.64</v>
      </c>
      <c r="L3950" t="str">
        <f t="shared" si="244"/>
        <v>Dec</v>
      </c>
      <c r="M3950">
        <f t="shared" si="245"/>
        <v>2025</v>
      </c>
      <c r="N3950">
        <f t="shared" si="246"/>
        <v>19422.64</v>
      </c>
      <c r="O3950" t="str">
        <f t="shared" si="247"/>
        <v>On Time</v>
      </c>
    </row>
    <row r="3951" spans="1:15" x14ac:dyDescent="0.25">
      <c r="A3951">
        <v>3950</v>
      </c>
      <c r="B3951" s="2">
        <v>45797</v>
      </c>
      <c r="C3951" t="s">
        <v>31</v>
      </c>
      <c r="D3951" t="s">
        <v>13</v>
      </c>
      <c r="E3951" t="s">
        <v>23</v>
      </c>
      <c r="F3951" t="s">
        <v>24</v>
      </c>
      <c r="G3951">
        <v>202</v>
      </c>
      <c r="H3951">
        <v>174.37</v>
      </c>
      <c r="I3951">
        <v>20</v>
      </c>
      <c r="J3951" t="s">
        <v>15</v>
      </c>
      <c r="K3951">
        <v>35222.74</v>
      </c>
      <c r="L3951" t="str">
        <f t="shared" si="244"/>
        <v>May</v>
      </c>
      <c r="M3951">
        <f t="shared" si="245"/>
        <v>2025</v>
      </c>
      <c r="N3951">
        <f t="shared" si="246"/>
        <v>35222.74</v>
      </c>
      <c r="O3951" t="str">
        <f t="shared" si="247"/>
        <v>Minor Delay</v>
      </c>
    </row>
    <row r="3952" spans="1:15" x14ac:dyDescent="0.25">
      <c r="A3952">
        <v>3951</v>
      </c>
      <c r="B3952" s="2">
        <v>45813</v>
      </c>
      <c r="C3952" t="s">
        <v>31</v>
      </c>
      <c r="D3952" t="s">
        <v>17</v>
      </c>
      <c r="E3952" t="s">
        <v>27</v>
      </c>
      <c r="F3952" t="s">
        <v>24</v>
      </c>
      <c r="G3952">
        <v>271</v>
      </c>
      <c r="H3952">
        <v>362.93</v>
      </c>
      <c r="I3952">
        <v>6</v>
      </c>
      <c r="J3952" t="s">
        <v>15</v>
      </c>
      <c r="K3952">
        <v>98354.03</v>
      </c>
      <c r="L3952" t="str">
        <f t="shared" si="244"/>
        <v>Jun</v>
      </c>
      <c r="M3952">
        <f t="shared" si="245"/>
        <v>2025</v>
      </c>
      <c r="N3952">
        <f t="shared" si="246"/>
        <v>98354.03</v>
      </c>
      <c r="O3952" t="str">
        <f t="shared" si="247"/>
        <v>Minor Delay</v>
      </c>
    </row>
    <row r="3953" spans="1:15" x14ac:dyDescent="0.25">
      <c r="A3953">
        <v>3952</v>
      </c>
      <c r="B3953" s="2">
        <v>46002</v>
      </c>
      <c r="C3953" t="s">
        <v>26</v>
      </c>
      <c r="D3953" t="s">
        <v>20</v>
      </c>
      <c r="E3953" t="s">
        <v>23</v>
      </c>
      <c r="F3953" t="s">
        <v>24</v>
      </c>
      <c r="G3953">
        <v>151</v>
      </c>
      <c r="H3953">
        <v>294.33</v>
      </c>
      <c r="I3953">
        <v>0</v>
      </c>
      <c r="J3953" t="s">
        <v>15</v>
      </c>
      <c r="K3953">
        <v>44443.83</v>
      </c>
      <c r="L3953" t="str">
        <f t="shared" si="244"/>
        <v>Dec</v>
      </c>
      <c r="M3953">
        <f t="shared" si="245"/>
        <v>2025</v>
      </c>
      <c r="N3953">
        <f t="shared" si="246"/>
        <v>44443.829999999994</v>
      </c>
      <c r="O3953" t="str">
        <f t="shared" si="247"/>
        <v>On Time</v>
      </c>
    </row>
    <row r="3954" spans="1:15" x14ac:dyDescent="0.25">
      <c r="A3954">
        <v>3953</v>
      </c>
      <c r="B3954" s="2">
        <v>45842</v>
      </c>
      <c r="C3954" t="s">
        <v>25</v>
      </c>
      <c r="D3954" t="s">
        <v>20</v>
      </c>
      <c r="E3954" t="s">
        <v>17</v>
      </c>
      <c r="F3954" t="s">
        <v>24</v>
      </c>
      <c r="G3954">
        <v>72</v>
      </c>
      <c r="H3954">
        <v>632.33000000000004</v>
      </c>
      <c r="I3954">
        <v>0</v>
      </c>
      <c r="J3954" t="s">
        <v>15</v>
      </c>
      <c r="K3954">
        <v>45527.76</v>
      </c>
      <c r="L3954" t="str">
        <f t="shared" si="244"/>
        <v>Jul</v>
      </c>
      <c r="M3954">
        <f t="shared" si="245"/>
        <v>2025</v>
      </c>
      <c r="N3954">
        <f t="shared" si="246"/>
        <v>45527.76</v>
      </c>
      <c r="O3954" t="str">
        <f t="shared" si="247"/>
        <v>On Time</v>
      </c>
    </row>
    <row r="3955" spans="1:15" x14ac:dyDescent="0.25">
      <c r="A3955">
        <v>3954</v>
      </c>
      <c r="B3955" s="2">
        <v>45902</v>
      </c>
      <c r="C3955" t="s">
        <v>31</v>
      </c>
      <c r="D3955" t="s">
        <v>23</v>
      </c>
      <c r="E3955" t="s">
        <v>27</v>
      </c>
      <c r="F3955" t="s">
        <v>24</v>
      </c>
      <c r="G3955">
        <v>50</v>
      </c>
      <c r="H3955">
        <v>695.74</v>
      </c>
      <c r="I3955">
        <v>18</v>
      </c>
      <c r="J3955" t="s">
        <v>30</v>
      </c>
      <c r="K3955">
        <v>34787</v>
      </c>
      <c r="L3955" t="str">
        <f t="shared" si="244"/>
        <v>Sep</v>
      </c>
      <c r="M3955">
        <f t="shared" si="245"/>
        <v>2025</v>
      </c>
      <c r="N3955">
        <f t="shared" si="246"/>
        <v>34787</v>
      </c>
      <c r="O3955" t="str">
        <f t="shared" si="247"/>
        <v>Minor Delay</v>
      </c>
    </row>
    <row r="3956" spans="1:15" x14ac:dyDescent="0.25">
      <c r="A3956">
        <v>3955</v>
      </c>
      <c r="B3956" s="2">
        <v>45828</v>
      </c>
      <c r="C3956" t="s">
        <v>11</v>
      </c>
      <c r="D3956" t="s">
        <v>19</v>
      </c>
      <c r="E3956" t="s">
        <v>22</v>
      </c>
      <c r="F3956" t="s">
        <v>14</v>
      </c>
      <c r="G3956">
        <v>65</v>
      </c>
      <c r="H3956">
        <v>197.57</v>
      </c>
      <c r="I3956">
        <v>44</v>
      </c>
      <c r="J3956" t="s">
        <v>28</v>
      </c>
      <c r="K3956">
        <v>12842.05</v>
      </c>
      <c r="L3956" t="str">
        <f t="shared" si="244"/>
        <v>Jun</v>
      </c>
      <c r="M3956">
        <f t="shared" si="245"/>
        <v>2025</v>
      </c>
      <c r="N3956">
        <f t="shared" si="246"/>
        <v>12842.05</v>
      </c>
      <c r="O3956" t="str">
        <f t="shared" si="247"/>
        <v>Moderate Delay</v>
      </c>
    </row>
    <row r="3957" spans="1:15" x14ac:dyDescent="0.25">
      <c r="A3957">
        <v>3956</v>
      </c>
      <c r="B3957" s="2">
        <v>45768</v>
      </c>
      <c r="C3957" t="s">
        <v>11</v>
      </c>
      <c r="D3957" t="s">
        <v>19</v>
      </c>
      <c r="E3957" t="s">
        <v>13</v>
      </c>
      <c r="F3957" t="s">
        <v>21</v>
      </c>
      <c r="G3957">
        <v>149</v>
      </c>
      <c r="H3957">
        <v>550.84</v>
      </c>
      <c r="I3957">
        <v>16</v>
      </c>
      <c r="J3957" t="s">
        <v>30</v>
      </c>
      <c r="K3957">
        <v>82075.16</v>
      </c>
      <c r="L3957" t="str">
        <f t="shared" si="244"/>
        <v>Apr</v>
      </c>
      <c r="M3957">
        <f t="shared" si="245"/>
        <v>2025</v>
      </c>
      <c r="N3957">
        <f t="shared" si="246"/>
        <v>82075.16</v>
      </c>
      <c r="O3957" t="str">
        <f t="shared" si="247"/>
        <v>Minor Delay</v>
      </c>
    </row>
    <row r="3958" spans="1:15" x14ac:dyDescent="0.25">
      <c r="A3958">
        <v>3957</v>
      </c>
      <c r="B3958" s="2">
        <v>45848</v>
      </c>
      <c r="C3958" t="s">
        <v>18</v>
      </c>
      <c r="D3958" t="s">
        <v>22</v>
      </c>
      <c r="E3958" t="s">
        <v>29</v>
      </c>
      <c r="F3958" t="s">
        <v>14</v>
      </c>
      <c r="G3958">
        <v>111</v>
      </c>
      <c r="H3958">
        <v>67.48</v>
      </c>
      <c r="I3958">
        <v>55</v>
      </c>
      <c r="J3958" t="s">
        <v>28</v>
      </c>
      <c r="K3958">
        <v>7490.28</v>
      </c>
      <c r="L3958" t="str">
        <f t="shared" si="244"/>
        <v>Jul</v>
      </c>
      <c r="M3958">
        <f t="shared" si="245"/>
        <v>2025</v>
      </c>
      <c r="N3958">
        <f t="shared" si="246"/>
        <v>7490.2800000000007</v>
      </c>
      <c r="O3958" t="str">
        <f t="shared" si="247"/>
        <v>Moderate Delay</v>
      </c>
    </row>
    <row r="3959" spans="1:15" x14ac:dyDescent="0.25">
      <c r="A3959">
        <v>3958</v>
      </c>
      <c r="B3959" s="2">
        <v>45678</v>
      </c>
      <c r="C3959" t="s">
        <v>25</v>
      </c>
      <c r="D3959" t="s">
        <v>20</v>
      </c>
      <c r="E3959" t="s">
        <v>23</v>
      </c>
      <c r="F3959" t="s">
        <v>24</v>
      </c>
      <c r="G3959">
        <v>108</v>
      </c>
      <c r="H3959">
        <v>307.91000000000003</v>
      </c>
      <c r="I3959">
        <v>0</v>
      </c>
      <c r="J3959" t="s">
        <v>15</v>
      </c>
      <c r="K3959">
        <v>33254.28</v>
      </c>
      <c r="L3959" t="str">
        <f t="shared" si="244"/>
        <v>Jan</v>
      </c>
      <c r="M3959">
        <f t="shared" si="245"/>
        <v>2025</v>
      </c>
      <c r="N3959">
        <f t="shared" si="246"/>
        <v>33254.280000000006</v>
      </c>
      <c r="O3959" t="str">
        <f t="shared" si="247"/>
        <v>On Time</v>
      </c>
    </row>
    <row r="3960" spans="1:15" x14ac:dyDescent="0.25">
      <c r="A3960">
        <v>3959</v>
      </c>
      <c r="B3960" s="2">
        <v>45989</v>
      </c>
      <c r="C3960" t="s">
        <v>11</v>
      </c>
      <c r="D3960" t="s">
        <v>22</v>
      </c>
      <c r="E3960" t="s">
        <v>29</v>
      </c>
      <c r="F3960" t="s">
        <v>24</v>
      </c>
      <c r="G3960">
        <v>169</v>
      </c>
      <c r="H3960">
        <v>355.79</v>
      </c>
      <c r="I3960">
        <v>7</v>
      </c>
      <c r="J3960" t="s">
        <v>15</v>
      </c>
      <c r="K3960">
        <v>60128.51</v>
      </c>
      <c r="L3960" t="str">
        <f t="shared" si="244"/>
        <v>Nov</v>
      </c>
      <c r="M3960">
        <f t="shared" si="245"/>
        <v>2025</v>
      </c>
      <c r="N3960">
        <f t="shared" si="246"/>
        <v>60128.51</v>
      </c>
      <c r="O3960" t="str">
        <f t="shared" si="247"/>
        <v>Minor Delay</v>
      </c>
    </row>
    <row r="3961" spans="1:15" x14ac:dyDescent="0.25">
      <c r="A3961">
        <v>3960</v>
      </c>
      <c r="B3961" s="2">
        <v>45904</v>
      </c>
      <c r="C3961" t="s">
        <v>25</v>
      </c>
      <c r="D3961" t="s">
        <v>27</v>
      </c>
      <c r="E3961" t="s">
        <v>19</v>
      </c>
      <c r="F3961" t="s">
        <v>21</v>
      </c>
      <c r="G3961">
        <v>201</v>
      </c>
      <c r="H3961">
        <v>787.75</v>
      </c>
      <c r="I3961">
        <v>21</v>
      </c>
      <c r="J3961" t="s">
        <v>15</v>
      </c>
      <c r="K3961">
        <v>158337.75</v>
      </c>
      <c r="L3961" t="str">
        <f t="shared" si="244"/>
        <v>Sep</v>
      </c>
      <c r="M3961">
        <f t="shared" si="245"/>
        <v>2025</v>
      </c>
      <c r="N3961">
        <f t="shared" si="246"/>
        <v>158337.75</v>
      </c>
      <c r="O3961" t="str">
        <f t="shared" si="247"/>
        <v>Minor Delay</v>
      </c>
    </row>
    <row r="3962" spans="1:15" x14ac:dyDescent="0.25">
      <c r="A3962">
        <v>3961</v>
      </c>
      <c r="B3962" s="2">
        <v>45862</v>
      </c>
      <c r="C3962" t="s">
        <v>25</v>
      </c>
      <c r="D3962" t="s">
        <v>22</v>
      </c>
      <c r="E3962" t="s">
        <v>19</v>
      </c>
      <c r="F3962" t="s">
        <v>24</v>
      </c>
      <c r="G3962">
        <v>203</v>
      </c>
      <c r="H3962">
        <v>748.72</v>
      </c>
      <c r="I3962">
        <v>30</v>
      </c>
      <c r="J3962" t="s">
        <v>15</v>
      </c>
      <c r="K3962">
        <v>151990.16</v>
      </c>
      <c r="L3962" t="str">
        <f t="shared" si="244"/>
        <v>Jul</v>
      </c>
      <c r="M3962">
        <f t="shared" si="245"/>
        <v>2025</v>
      </c>
      <c r="N3962">
        <f t="shared" si="246"/>
        <v>151990.16</v>
      </c>
      <c r="O3962" t="str">
        <f t="shared" si="247"/>
        <v>Minor Delay</v>
      </c>
    </row>
    <row r="3963" spans="1:15" x14ac:dyDescent="0.25">
      <c r="A3963">
        <v>3962</v>
      </c>
      <c r="B3963" s="2">
        <v>45734</v>
      </c>
      <c r="C3963" t="s">
        <v>31</v>
      </c>
      <c r="D3963" t="s">
        <v>23</v>
      </c>
      <c r="E3963" t="s">
        <v>29</v>
      </c>
      <c r="F3963" t="s">
        <v>24</v>
      </c>
      <c r="G3963">
        <v>228</v>
      </c>
      <c r="H3963">
        <v>356.18</v>
      </c>
      <c r="I3963">
        <v>47</v>
      </c>
      <c r="J3963" t="s">
        <v>15</v>
      </c>
      <c r="K3963">
        <v>81209.039999999994</v>
      </c>
      <c r="L3963" t="str">
        <f t="shared" si="244"/>
        <v>Mar</v>
      </c>
      <c r="M3963">
        <f t="shared" si="245"/>
        <v>2025</v>
      </c>
      <c r="N3963">
        <f t="shared" si="246"/>
        <v>81209.040000000008</v>
      </c>
      <c r="O3963" t="str">
        <f t="shared" si="247"/>
        <v>Moderate Delay</v>
      </c>
    </row>
    <row r="3964" spans="1:15" x14ac:dyDescent="0.25">
      <c r="A3964">
        <v>3963</v>
      </c>
      <c r="B3964" s="2">
        <v>45896</v>
      </c>
      <c r="C3964" t="s">
        <v>11</v>
      </c>
      <c r="D3964" t="s">
        <v>27</v>
      </c>
      <c r="E3964" t="s">
        <v>19</v>
      </c>
      <c r="F3964" t="s">
        <v>14</v>
      </c>
      <c r="G3964">
        <v>177</v>
      </c>
      <c r="H3964">
        <v>558.89</v>
      </c>
      <c r="I3964">
        <v>36</v>
      </c>
      <c r="J3964" t="s">
        <v>15</v>
      </c>
      <c r="K3964">
        <v>98923.53</v>
      </c>
      <c r="L3964" t="str">
        <f t="shared" si="244"/>
        <v>Aug</v>
      </c>
      <c r="M3964">
        <f t="shared" si="245"/>
        <v>2025</v>
      </c>
      <c r="N3964">
        <f t="shared" si="246"/>
        <v>98923.53</v>
      </c>
      <c r="O3964" t="str">
        <f t="shared" si="247"/>
        <v>Moderate Delay</v>
      </c>
    </row>
    <row r="3965" spans="1:15" x14ac:dyDescent="0.25">
      <c r="A3965">
        <v>3964</v>
      </c>
      <c r="B3965" s="2">
        <v>45775</v>
      </c>
      <c r="C3965" t="s">
        <v>25</v>
      </c>
      <c r="D3965" t="s">
        <v>13</v>
      </c>
      <c r="E3965" t="s">
        <v>23</v>
      </c>
      <c r="F3965" t="s">
        <v>24</v>
      </c>
      <c r="G3965">
        <v>261</v>
      </c>
      <c r="H3965">
        <v>627.45000000000005</v>
      </c>
      <c r="I3965">
        <v>58</v>
      </c>
      <c r="J3965" t="s">
        <v>15</v>
      </c>
      <c r="K3965">
        <v>163764.45000000001</v>
      </c>
      <c r="L3965" t="str">
        <f t="shared" si="244"/>
        <v>Apr</v>
      </c>
      <c r="M3965">
        <f t="shared" si="245"/>
        <v>2025</v>
      </c>
      <c r="N3965">
        <f t="shared" si="246"/>
        <v>163764.45000000001</v>
      </c>
      <c r="O3965" t="str">
        <f t="shared" si="247"/>
        <v>Moderate Delay</v>
      </c>
    </row>
    <row r="3966" spans="1:15" x14ac:dyDescent="0.25">
      <c r="A3966">
        <v>3965</v>
      </c>
      <c r="B3966" s="2">
        <v>45936</v>
      </c>
      <c r="C3966" t="s">
        <v>25</v>
      </c>
      <c r="D3966" t="s">
        <v>13</v>
      </c>
      <c r="E3966" t="s">
        <v>12</v>
      </c>
      <c r="F3966" t="s">
        <v>21</v>
      </c>
      <c r="G3966">
        <v>129</v>
      </c>
      <c r="H3966">
        <v>165.51</v>
      </c>
      <c r="I3966">
        <v>35</v>
      </c>
      <c r="J3966" t="s">
        <v>15</v>
      </c>
      <c r="K3966">
        <v>21350.79</v>
      </c>
      <c r="L3966" t="str">
        <f t="shared" si="244"/>
        <v>Oct</v>
      </c>
      <c r="M3966">
        <f t="shared" si="245"/>
        <v>2025</v>
      </c>
      <c r="N3966">
        <f t="shared" si="246"/>
        <v>21350.789999999997</v>
      </c>
      <c r="O3966" t="str">
        <f t="shared" si="247"/>
        <v>Moderate Delay</v>
      </c>
    </row>
    <row r="3967" spans="1:15" x14ac:dyDescent="0.25">
      <c r="A3967">
        <v>3966</v>
      </c>
      <c r="B3967" s="2">
        <v>45794</v>
      </c>
      <c r="C3967" t="s">
        <v>11</v>
      </c>
      <c r="D3967" t="s">
        <v>20</v>
      </c>
      <c r="E3967" t="s">
        <v>13</v>
      </c>
      <c r="F3967" t="s">
        <v>14</v>
      </c>
      <c r="G3967">
        <v>109</v>
      </c>
      <c r="H3967">
        <v>716.3</v>
      </c>
      <c r="I3967">
        <v>76</v>
      </c>
      <c r="J3967" t="s">
        <v>15</v>
      </c>
      <c r="K3967">
        <v>78076.7</v>
      </c>
      <c r="L3967" t="str">
        <f t="shared" si="244"/>
        <v>May</v>
      </c>
      <c r="M3967">
        <f t="shared" si="245"/>
        <v>2025</v>
      </c>
      <c r="N3967">
        <f t="shared" si="246"/>
        <v>78076.7</v>
      </c>
      <c r="O3967" t="str">
        <f t="shared" si="247"/>
        <v>Major Delay</v>
      </c>
    </row>
    <row r="3968" spans="1:15" x14ac:dyDescent="0.25">
      <c r="A3968">
        <v>3967</v>
      </c>
      <c r="B3968" s="2">
        <v>45931</v>
      </c>
      <c r="C3968" t="s">
        <v>26</v>
      </c>
      <c r="D3968" t="s">
        <v>12</v>
      </c>
      <c r="E3968" t="s">
        <v>23</v>
      </c>
      <c r="F3968" t="s">
        <v>24</v>
      </c>
      <c r="G3968">
        <v>152</v>
      </c>
      <c r="H3968">
        <v>529.62</v>
      </c>
      <c r="I3968">
        <v>32</v>
      </c>
      <c r="J3968" t="s">
        <v>15</v>
      </c>
      <c r="K3968">
        <v>80502.240000000005</v>
      </c>
      <c r="L3968" t="str">
        <f t="shared" si="244"/>
        <v>Oct</v>
      </c>
      <c r="M3968">
        <f t="shared" si="245"/>
        <v>2025</v>
      </c>
      <c r="N3968">
        <f t="shared" si="246"/>
        <v>80502.240000000005</v>
      </c>
      <c r="O3968" t="str">
        <f t="shared" si="247"/>
        <v>Moderate Delay</v>
      </c>
    </row>
    <row r="3969" spans="1:15" x14ac:dyDescent="0.25">
      <c r="A3969">
        <v>3968</v>
      </c>
      <c r="B3969" s="2">
        <v>45795</v>
      </c>
      <c r="C3969" t="s">
        <v>18</v>
      </c>
      <c r="D3969" t="s">
        <v>27</v>
      </c>
      <c r="E3969" t="s">
        <v>13</v>
      </c>
      <c r="F3969" t="s">
        <v>14</v>
      </c>
      <c r="G3969">
        <v>162</v>
      </c>
      <c r="H3969">
        <v>134.76</v>
      </c>
      <c r="I3969">
        <v>17</v>
      </c>
      <c r="J3969" t="s">
        <v>15</v>
      </c>
      <c r="K3969">
        <v>21831.119999999999</v>
      </c>
      <c r="L3969" t="str">
        <f t="shared" si="244"/>
        <v>May</v>
      </c>
      <c r="M3969">
        <f t="shared" si="245"/>
        <v>2025</v>
      </c>
      <c r="N3969">
        <f t="shared" si="246"/>
        <v>21831.119999999999</v>
      </c>
      <c r="O3969" t="str">
        <f t="shared" si="247"/>
        <v>Minor Delay</v>
      </c>
    </row>
    <row r="3970" spans="1:15" x14ac:dyDescent="0.25">
      <c r="A3970">
        <v>3969</v>
      </c>
      <c r="B3970" s="2">
        <v>45902</v>
      </c>
      <c r="C3970" t="s">
        <v>18</v>
      </c>
      <c r="D3970" t="s">
        <v>22</v>
      </c>
      <c r="E3970" t="s">
        <v>12</v>
      </c>
      <c r="F3970" t="s">
        <v>21</v>
      </c>
      <c r="G3970">
        <v>218</v>
      </c>
      <c r="H3970">
        <v>345.38</v>
      </c>
      <c r="I3970">
        <v>88</v>
      </c>
      <c r="J3970" t="s">
        <v>15</v>
      </c>
      <c r="K3970">
        <v>75292.84</v>
      </c>
      <c r="L3970" t="str">
        <f t="shared" si="244"/>
        <v>Sep</v>
      </c>
      <c r="M3970">
        <f t="shared" si="245"/>
        <v>2025</v>
      </c>
      <c r="N3970">
        <f t="shared" si="246"/>
        <v>75292.84</v>
      </c>
      <c r="O3970" t="str">
        <f t="shared" si="247"/>
        <v>Major Delay</v>
      </c>
    </row>
    <row r="3971" spans="1:15" x14ac:dyDescent="0.25">
      <c r="A3971">
        <v>3970</v>
      </c>
      <c r="B3971" s="2">
        <v>46019</v>
      </c>
      <c r="C3971" t="s">
        <v>26</v>
      </c>
      <c r="D3971" t="s">
        <v>23</v>
      </c>
      <c r="E3971" t="s">
        <v>17</v>
      </c>
      <c r="F3971" t="s">
        <v>24</v>
      </c>
      <c r="G3971">
        <v>127</v>
      </c>
      <c r="H3971">
        <v>598.65</v>
      </c>
      <c r="I3971">
        <v>27</v>
      </c>
      <c r="J3971" t="s">
        <v>15</v>
      </c>
      <c r="K3971">
        <v>76028.55</v>
      </c>
      <c r="L3971" t="str">
        <f t="shared" ref="L3971:L4034" si="248">TEXT(B3971,"MMM")</f>
        <v>Dec</v>
      </c>
      <c r="M3971">
        <f t="shared" ref="M3971:M4034" si="249">YEAR(B3971)</f>
        <v>2025</v>
      </c>
      <c r="N3971">
        <f t="shared" ref="N3971:N4034" si="250">G3971*H3971</f>
        <v>76028.55</v>
      </c>
      <c r="O3971" t="str">
        <f t="shared" ref="O3971:O4034" si="251">IF(I3971=0,"On Time",IF(I3971&lt;=30,"Minor Delay",IF(I3971&lt;=60,"Moderate Delay","Major Delay")))</f>
        <v>Minor Delay</v>
      </c>
    </row>
    <row r="3972" spans="1:15" x14ac:dyDescent="0.25">
      <c r="A3972">
        <v>3971</v>
      </c>
      <c r="B3972" s="2">
        <v>45908</v>
      </c>
      <c r="C3972" t="s">
        <v>25</v>
      </c>
      <c r="D3972" t="s">
        <v>12</v>
      </c>
      <c r="E3972" t="s">
        <v>17</v>
      </c>
      <c r="F3972" t="s">
        <v>21</v>
      </c>
      <c r="G3972">
        <v>188</v>
      </c>
      <c r="H3972">
        <v>645.75</v>
      </c>
      <c r="I3972">
        <v>0</v>
      </c>
      <c r="J3972" t="s">
        <v>15</v>
      </c>
      <c r="K3972">
        <v>121401</v>
      </c>
      <c r="L3972" t="str">
        <f t="shared" si="248"/>
        <v>Sep</v>
      </c>
      <c r="M3972">
        <f t="shared" si="249"/>
        <v>2025</v>
      </c>
      <c r="N3972">
        <f t="shared" si="250"/>
        <v>121401</v>
      </c>
      <c r="O3972" t="str">
        <f t="shared" si="251"/>
        <v>On Time</v>
      </c>
    </row>
    <row r="3973" spans="1:15" x14ac:dyDescent="0.25">
      <c r="A3973">
        <v>3972</v>
      </c>
      <c r="B3973" s="2">
        <v>45763</v>
      </c>
      <c r="C3973" t="s">
        <v>25</v>
      </c>
      <c r="D3973" t="s">
        <v>13</v>
      </c>
      <c r="E3973" t="s">
        <v>17</v>
      </c>
      <c r="F3973" t="s">
        <v>14</v>
      </c>
      <c r="G3973">
        <v>211</v>
      </c>
      <c r="H3973">
        <v>669.69</v>
      </c>
      <c r="I3973">
        <v>28</v>
      </c>
      <c r="J3973" t="s">
        <v>15</v>
      </c>
      <c r="K3973">
        <v>141304.59</v>
      </c>
      <c r="L3973" t="str">
        <f t="shared" si="248"/>
        <v>Apr</v>
      </c>
      <c r="M3973">
        <f t="shared" si="249"/>
        <v>2025</v>
      </c>
      <c r="N3973">
        <f t="shared" si="250"/>
        <v>141304.59000000003</v>
      </c>
      <c r="O3973" t="str">
        <f t="shared" si="251"/>
        <v>Minor Delay</v>
      </c>
    </row>
    <row r="3974" spans="1:15" x14ac:dyDescent="0.25">
      <c r="A3974">
        <v>3973</v>
      </c>
      <c r="B3974" s="2">
        <v>45973</v>
      </c>
      <c r="C3974" t="s">
        <v>11</v>
      </c>
      <c r="D3974" t="s">
        <v>17</v>
      </c>
      <c r="E3974" t="s">
        <v>22</v>
      </c>
      <c r="F3974" t="s">
        <v>24</v>
      </c>
      <c r="G3974">
        <v>235</v>
      </c>
      <c r="H3974">
        <v>771.55</v>
      </c>
      <c r="I3974">
        <v>0</v>
      </c>
      <c r="J3974" t="s">
        <v>15</v>
      </c>
      <c r="K3974">
        <v>181314.25</v>
      </c>
      <c r="L3974" t="str">
        <f t="shared" si="248"/>
        <v>Nov</v>
      </c>
      <c r="M3974">
        <f t="shared" si="249"/>
        <v>2025</v>
      </c>
      <c r="N3974">
        <f t="shared" si="250"/>
        <v>181314.25</v>
      </c>
      <c r="O3974" t="str">
        <f t="shared" si="251"/>
        <v>On Time</v>
      </c>
    </row>
    <row r="3975" spans="1:15" x14ac:dyDescent="0.25">
      <c r="A3975">
        <v>3974</v>
      </c>
      <c r="B3975" s="2">
        <v>45966</v>
      </c>
      <c r="C3975" t="s">
        <v>18</v>
      </c>
      <c r="D3975" t="s">
        <v>13</v>
      </c>
      <c r="E3975" t="s">
        <v>23</v>
      </c>
      <c r="F3975" t="s">
        <v>21</v>
      </c>
      <c r="G3975">
        <v>283</v>
      </c>
      <c r="H3975">
        <v>509.32</v>
      </c>
      <c r="I3975">
        <v>14</v>
      </c>
      <c r="J3975" t="s">
        <v>30</v>
      </c>
      <c r="K3975">
        <v>144137.56</v>
      </c>
      <c r="L3975" t="str">
        <f t="shared" si="248"/>
        <v>Nov</v>
      </c>
      <c r="M3975">
        <f t="shared" si="249"/>
        <v>2025</v>
      </c>
      <c r="N3975">
        <f t="shared" si="250"/>
        <v>144137.56</v>
      </c>
      <c r="O3975" t="str">
        <f t="shared" si="251"/>
        <v>Minor Delay</v>
      </c>
    </row>
    <row r="3976" spans="1:15" x14ac:dyDescent="0.25">
      <c r="A3976">
        <v>3975</v>
      </c>
      <c r="B3976" s="2">
        <v>46004</v>
      </c>
      <c r="C3976" t="s">
        <v>11</v>
      </c>
      <c r="D3976" t="s">
        <v>27</v>
      </c>
      <c r="E3976" t="s">
        <v>19</v>
      </c>
      <c r="F3976" t="s">
        <v>14</v>
      </c>
      <c r="G3976">
        <v>227</v>
      </c>
      <c r="H3976">
        <v>335.5</v>
      </c>
      <c r="I3976">
        <v>20</v>
      </c>
      <c r="J3976" t="s">
        <v>15</v>
      </c>
      <c r="K3976">
        <v>76158.5</v>
      </c>
      <c r="L3976" t="str">
        <f t="shared" si="248"/>
        <v>Dec</v>
      </c>
      <c r="M3976">
        <f t="shared" si="249"/>
        <v>2025</v>
      </c>
      <c r="N3976">
        <f t="shared" si="250"/>
        <v>76158.5</v>
      </c>
      <c r="O3976" t="str">
        <f t="shared" si="251"/>
        <v>Minor Delay</v>
      </c>
    </row>
    <row r="3977" spans="1:15" x14ac:dyDescent="0.25">
      <c r="A3977">
        <v>3976</v>
      </c>
      <c r="B3977" s="2">
        <v>45843</v>
      </c>
      <c r="C3977" t="s">
        <v>16</v>
      </c>
      <c r="D3977" t="s">
        <v>17</v>
      </c>
      <c r="E3977" t="s">
        <v>22</v>
      </c>
      <c r="F3977" t="s">
        <v>21</v>
      </c>
      <c r="G3977">
        <v>225</v>
      </c>
      <c r="H3977">
        <v>598.34</v>
      </c>
      <c r="I3977">
        <v>31</v>
      </c>
      <c r="J3977" t="s">
        <v>15</v>
      </c>
      <c r="K3977">
        <v>134626.5</v>
      </c>
      <c r="L3977" t="str">
        <f t="shared" si="248"/>
        <v>Jul</v>
      </c>
      <c r="M3977">
        <f t="shared" si="249"/>
        <v>2025</v>
      </c>
      <c r="N3977">
        <f t="shared" si="250"/>
        <v>134626.5</v>
      </c>
      <c r="O3977" t="str">
        <f t="shared" si="251"/>
        <v>Moderate Delay</v>
      </c>
    </row>
    <row r="3978" spans="1:15" x14ac:dyDescent="0.25">
      <c r="A3978">
        <v>3977</v>
      </c>
      <c r="B3978" s="2">
        <v>45881</v>
      </c>
      <c r="C3978" t="s">
        <v>18</v>
      </c>
      <c r="D3978" t="s">
        <v>13</v>
      </c>
      <c r="E3978" t="s">
        <v>20</v>
      </c>
      <c r="F3978" t="s">
        <v>21</v>
      </c>
      <c r="G3978">
        <v>216</v>
      </c>
      <c r="H3978">
        <v>447.77</v>
      </c>
      <c r="I3978">
        <v>0</v>
      </c>
      <c r="J3978" t="s">
        <v>15</v>
      </c>
      <c r="K3978">
        <v>96718.32</v>
      </c>
      <c r="L3978" t="str">
        <f t="shared" si="248"/>
        <v>Aug</v>
      </c>
      <c r="M3978">
        <f t="shared" si="249"/>
        <v>2025</v>
      </c>
      <c r="N3978">
        <f t="shared" si="250"/>
        <v>96718.319999999992</v>
      </c>
      <c r="O3978" t="str">
        <f t="shared" si="251"/>
        <v>On Time</v>
      </c>
    </row>
    <row r="3979" spans="1:15" x14ac:dyDescent="0.25">
      <c r="A3979">
        <v>3978</v>
      </c>
      <c r="B3979" s="2">
        <v>45810</v>
      </c>
      <c r="C3979" t="s">
        <v>18</v>
      </c>
      <c r="D3979" t="s">
        <v>20</v>
      </c>
      <c r="E3979" t="s">
        <v>19</v>
      </c>
      <c r="F3979" t="s">
        <v>24</v>
      </c>
      <c r="G3979">
        <v>170</v>
      </c>
      <c r="H3979">
        <v>129.28</v>
      </c>
      <c r="I3979">
        <v>0</v>
      </c>
      <c r="J3979" t="s">
        <v>15</v>
      </c>
      <c r="K3979">
        <v>21977.599999999999</v>
      </c>
      <c r="L3979" t="str">
        <f t="shared" si="248"/>
        <v>Jun</v>
      </c>
      <c r="M3979">
        <f t="shared" si="249"/>
        <v>2025</v>
      </c>
      <c r="N3979">
        <f t="shared" si="250"/>
        <v>21977.599999999999</v>
      </c>
      <c r="O3979" t="str">
        <f t="shared" si="251"/>
        <v>On Time</v>
      </c>
    </row>
    <row r="3980" spans="1:15" x14ac:dyDescent="0.25">
      <c r="A3980">
        <v>3979</v>
      </c>
      <c r="B3980" s="2">
        <v>45784</v>
      </c>
      <c r="C3980" t="s">
        <v>11</v>
      </c>
      <c r="D3980" t="s">
        <v>27</v>
      </c>
      <c r="E3980" t="s">
        <v>17</v>
      </c>
      <c r="F3980" t="s">
        <v>21</v>
      </c>
      <c r="G3980">
        <v>199</v>
      </c>
      <c r="H3980">
        <v>325.2</v>
      </c>
      <c r="I3980">
        <v>0</v>
      </c>
      <c r="J3980" t="s">
        <v>15</v>
      </c>
      <c r="K3980">
        <v>64714.8</v>
      </c>
      <c r="L3980" t="str">
        <f t="shared" si="248"/>
        <v>May</v>
      </c>
      <c r="M3980">
        <f t="shared" si="249"/>
        <v>2025</v>
      </c>
      <c r="N3980">
        <f t="shared" si="250"/>
        <v>64714.799999999996</v>
      </c>
      <c r="O3980" t="str">
        <f t="shared" si="251"/>
        <v>On Time</v>
      </c>
    </row>
    <row r="3981" spans="1:15" x14ac:dyDescent="0.25">
      <c r="A3981">
        <v>3980</v>
      </c>
      <c r="B3981" s="2">
        <v>45752</v>
      </c>
      <c r="C3981" t="s">
        <v>26</v>
      </c>
      <c r="D3981" t="s">
        <v>27</v>
      </c>
      <c r="E3981" t="s">
        <v>22</v>
      </c>
      <c r="F3981" t="s">
        <v>14</v>
      </c>
      <c r="G3981">
        <v>269</v>
      </c>
      <c r="H3981">
        <v>407.58</v>
      </c>
      <c r="I3981">
        <v>0</v>
      </c>
      <c r="J3981" t="s">
        <v>15</v>
      </c>
      <c r="K3981">
        <v>109639.02</v>
      </c>
      <c r="L3981" t="str">
        <f t="shared" si="248"/>
        <v>Apr</v>
      </c>
      <c r="M3981">
        <f t="shared" si="249"/>
        <v>2025</v>
      </c>
      <c r="N3981">
        <f t="shared" si="250"/>
        <v>109639.01999999999</v>
      </c>
      <c r="O3981" t="str">
        <f t="shared" si="251"/>
        <v>On Time</v>
      </c>
    </row>
    <row r="3982" spans="1:15" x14ac:dyDescent="0.25">
      <c r="A3982">
        <v>3981</v>
      </c>
      <c r="B3982" s="2">
        <v>45838</v>
      </c>
      <c r="C3982" t="s">
        <v>31</v>
      </c>
      <c r="D3982" t="s">
        <v>12</v>
      </c>
      <c r="E3982" t="s">
        <v>17</v>
      </c>
      <c r="F3982" t="s">
        <v>24</v>
      </c>
      <c r="G3982">
        <v>111</v>
      </c>
      <c r="H3982">
        <v>731.58</v>
      </c>
      <c r="I3982">
        <v>4</v>
      </c>
      <c r="J3982" t="s">
        <v>15</v>
      </c>
      <c r="K3982">
        <v>81205.38</v>
      </c>
      <c r="L3982" t="str">
        <f t="shared" si="248"/>
        <v>Jun</v>
      </c>
      <c r="M3982">
        <f t="shared" si="249"/>
        <v>2025</v>
      </c>
      <c r="N3982">
        <f t="shared" si="250"/>
        <v>81205.38</v>
      </c>
      <c r="O3982" t="str">
        <f t="shared" si="251"/>
        <v>Minor Delay</v>
      </c>
    </row>
    <row r="3983" spans="1:15" x14ac:dyDescent="0.25">
      <c r="A3983">
        <v>3982</v>
      </c>
      <c r="B3983" s="2">
        <v>45963</v>
      </c>
      <c r="C3983" t="s">
        <v>31</v>
      </c>
      <c r="D3983" t="s">
        <v>17</v>
      </c>
      <c r="E3983" t="s">
        <v>19</v>
      </c>
      <c r="F3983" t="s">
        <v>24</v>
      </c>
      <c r="G3983">
        <v>207</v>
      </c>
      <c r="H3983">
        <v>309.24</v>
      </c>
      <c r="I3983">
        <v>26</v>
      </c>
      <c r="J3983" t="s">
        <v>15</v>
      </c>
      <c r="K3983">
        <v>64012.68</v>
      </c>
      <c r="L3983" t="str">
        <f t="shared" si="248"/>
        <v>Nov</v>
      </c>
      <c r="M3983">
        <f t="shared" si="249"/>
        <v>2025</v>
      </c>
      <c r="N3983">
        <f t="shared" si="250"/>
        <v>64012.68</v>
      </c>
      <c r="O3983" t="str">
        <f t="shared" si="251"/>
        <v>Minor Delay</v>
      </c>
    </row>
    <row r="3984" spans="1:15" x14ac:dyDescent="0.25">
      <c r="A3984">
        <v>3983</v>
      </c>
      <c r="B3984" s="2">
        <v>45942</v>
      </c>
      <c r="C3984" t="s">
        <v>31</v>
      </c>
      <c r="D3984" t="s">
        <v>13</v>
      </c>
      <c r="E3984" t="s">
        <v>23</v>
      </c>
      <c r="F3984" t="s">
        <v>24</v>
      </c>
      <c r="G3984">
        <v>132</v>
      </c>
      <c r="H3984">
        <v>643.03</v>
      </c>
      <c r="I3984">
        <v>14</v>
      </c>
      <c r="J3984" t="s">
        <v>15</v>
      </c>
      <c r="K3984">
        <v>84879.96</v>
      </c>
      <c r="L3984" t="str">
        <f t="shared" si="248"/>
        <v>Oct</v>
      </c>
      <c r="M3984">
        <f t="shared" si="249"/>
        <v>2025</v>
      </c>
      <c r="N3984">
        <f t="shared" si="250"/>
        <v>84879.959999999992</v>
      </c>
      <c r="O3984" t="str">
        <f t="shared" si="251"/>
        <v>Minor Delay</v>
      </c>
    </row>
    <row r="3985" spans="1:15" x14ac:dyDescent="0.25">
      <c r="A3985">
        <v>3984</v>
      </c>
      <c r="B3985" s="2">
        <v>45696</v>
      </c>
      <c r="C3985" t="s">
        <v>18</v>
      </c>
      <c r="D3985" t="s">
        <v>22</v>
      </c>
      <c r="E3985" t="s">
        <v>19</v>
      </c>
      <c r="F3985" t="s">
        <v>14</v>
      </c>
      <c r="G3985">
        <v>181</v>
      </c>
      <c r="H3985">
        <v>423.04</v>
      </c>
      <c r="I3985">
        <v>43</v>
      </c>
      <c r="J3985" t="s">
        <v>15</v>
      </c>
      <c r="K3985">
        <v>76570.240000000005</v>
      </c>
      <c r="L3985" t="str">
        <f t="shared" si="248"/>
        <v>Feb</v>
      </c>
      <c r="M3985">
        <f t="shared" si="249"/>
        <v>2025</v>
      </c>
      <c r="N3985">
        <f t="shared" si="250"/>
        <v>76570.240000000005</v>
      </c>
      <c r="O3985" t="str">
        <f t="shared" si="251"/>
        <v>Moderate Delay</v>
      </c>
    </row>
    <row r="3986" spans="1:15" x14ac:dyDescent="0.25">
      <c r="A3986">
        <v>3985</v>
      </c>
      <c r="B3986" s="2">
        <v>45666</v>
      </c>
      <c r="C3986" t="s">
        <v>25</v>
      </c>
      <c r="D3986" t="s">
        <v>29</v>
      </c>
      <c r="E3986" t="s">
        <v>12</v>
      </c>
      <c r="F3986" t="s">
        <v>14</v>
      </c>
      <c r="G3986">
        <v>238</v>
      </c>
      <c r="H3986">
        <v>656.93</v>
      </c>
      <c r="I3986">
        <v>3</v>
      </c>
      <c r="J3986" t="s">
        <v>15</v>
      </c>
      <c r="K3986">
        <v>156349.34</v>
      </c>
      <c r="L3986" t="str">
        <f t="shared" si="248"/>
        <v>Jan</v>
      </c>
      <c r="M3986">
        <f t="shared" si="249"/>
        <v>2025</v>
      </c>
      <c r="N3986">
        <f t="shared" si="250"/>
        <v>156349.34</v>
      </c>
      <c r="O3986" t="str">
        <f t="shared" si="251"/>
        <v>Minor Delay</v>
      </c>
    </row>
    <row r="3987" spans="1:15" x14ac:dyDescent="0.25">
      <c r="A3987">
        <v>3986</v>
      </c>
      <c r="B3987" s="2">
        <v>45837</v>
      </c>
      <c r="C3987" t="s">
        <v>25</v>
      </c>
      <c r="D3987" t="s">
        <v>19</v>
      </c>
      <c r="E3987" t="s">
        <v>29</v>
      </c>
      <c r="F3987" t="s">
        <v>24</v>
      </c>
      <c r="G3987">
        <v>218</v>
      </c>
      <c r="H3987">
        <v>648.1</v>
      </c>
      <c r="I3987">
        <v>23</v>
      </c>
      <c r="J3987" t="s">
        <v>15</v>
      </c>
      <c r="K3987">
        <v>141285.79999999999</v>
      </c>
      <c r="L3987" t="str">
        <f t="shared" si="248"/>
        <v>Jun</v>
      </c>
      <c r="M3987">
        <f t="shared" si="249"/>
        <v>2025</v>
      </c>
      <c r="N3987">
        <f t="shared" si="250"/>
        <v>141285.80000000002</v>
      </c>
      <c r="O3987" t="str">
        <f t="shared" si="251"/>
        <v>Minor Delay</v>
      </c>
    </row>
    <row r="3988" spans="1:15" x14ac:dyDescent="0.25">
      <c r="A3988">
        <v>3987</v>
      </c>
      <c r="B3988" s="2">
        <v>45762</v>
      </c>
      <c r="C3988" t="s">
        <v>26</v>
      </c>
      <c r="D3988" t="s">
        <v>29</v>
      </c>
      <c r="E3988" t="s">
        <v>19</v>
      </c>
      <c r="F3988" t="s">
        <v>21</v>
      </c>
      <c r="G3988">
        <v>165</v>
      </c>
      <c r="H3988">
        <v>258.25</v>
      </c>
      <c r="I3988">
        <v>35</v>
      </c>
      <c r="J3988" t="s">
        <v>15</v>
      </c>
      <c r="K3988">
        <v>42611.25</v>
      </c>
      <c r="L3988" t="str">
        <f t="shared" si="248"/>
        <v>Apr</v>
      </c>
      <c r="M3988">
        <f t="shared" si="249"/>
        <v>2025</v>
      </c>
      <c r="N3988">
        <f t="shared" si="250"/>
        <v>42611.25</v>
      </c>
      <c r="O3988" t="str">
        <f t="shared" si="251"/>
        <v>Moderate Delay</v>
      </c>
    </row>
    <row r="3989" spans="1:15" x14ac:dyDescent="0.25">
      <c r="A3989">
        <v>3988</v>
      </c>
      <c r="B3989" s="2">
        <v>45707</v>
      </c>
      <c r="C3989" t="s">
        <v>31</v>
      </c>
      <c r="D3989" t="s">
        <v>17</v>
      </c>
      <c r="E3989" t="s">
        <v>13</v>
      </c>
      <c r="F3989" t="s">
        <v>14</v>
      </c>
      <c r="G3989">
        <v>58</v>
      </c>
      <c r="H3989">
        <v>506.37</v>
      </c>
      <c r="I3989">
        <v>87</v>
      </c>
      <c r="J3989" t="s">
        <v>15</v>
      </c>
      <c r="K3989">
        <v>29369.46</v>
      </c>
      <c r="L3989" t="str">
        <f t="shared" si="248"/>
        <v>Feb</v>
      </c>
      <c r="M3989">
        <f t="shared" si="249"/>
        <v>2025</v>
      </c>
      <c r="N3989">
        <f t="shared" si="250"/>
        <v>29369.46</v>
      </c>
      <c r="O3989" t="str">
        <f t="shared" si="251"/>
        <v>Major Delay</v>
      </c>
    </row>
    <row r="3990" spans="1:15" x14ac:dyDescent="0.25">
      <c r="A3990">
        <v>3989</v>
      </c>
      <c r="B3990" s="2">
        <v>45860</v>
      </c>
      <c r="C3990" t="s">
        <v>25</v>
      </c>
      <c r="D3990" t="s">
        <v>27</v>
      </c>
      <c r="E3990" t="s">
        <v>17</v>
      </c>
      <c r="F3990" t="s">
        <v>21</v>
      </c>
      <c r="G3990">
        <v>55</v>
      </c>
      <c r="H3990">
        <v>613.36</v>
      </c>
      <c r="I3990">
        <v>32</v>
      </c>
      <c r="J3990" t="s">
        <v>15</v>
      </c>
      <c r="K3990">
        <v>33734.800000000003</v>
      </c>
      <c r="L3990" t="str">
        <f t="shared" si="248"/>
        <v>Jul</v>
      </c>
      <c r="M3990">
        <f t="shared" si="249"/>
        <v>2025</v>
      </c>
      <c r="N3990">
        <f t="shared" si="250"/>
        <v>33734.800000000003</v>
      </c>
      <c r="O3990" t="str">
        <f t="shared" si="251"/>
        <v>Moderate Delay</v>
      </c>
    </row>
    <row r="3991" spans="1:15" x14ac:dyDescent="0.25">
      <c r="A3991">
        <v>3990</v>
      </c>
      <c r="B3991" s="2">
        <v>45887</v>
      </c>
      <c r="C3991" t="s">
        <v>31</v>
      </c>
      <c r="D3991" t="s">
        <v>23</v>
      </c>
      <c r="E3991" t="s">
        <v>22</v>
      </c>
      <c r="F3991" t="s">
        <v>21</v>
      </c>
      <c r="G3991">
        <v>210</v>
      </c>
      <c r="H3991">
        <v>571.23</v>
      </c>
      <c r="I3991">
        <v>67</v>
      </c>
      <c r="J3991" t="s">
        <v>15</v>
      </c>
      <c r="K3991">
        <v>119958.3</v>
      </c>
      <c r="L3991" t="str">
        <f t="shared" si="248"/>
        <v>Aug</v>
      </c>
      <c r="M3991">
        <f t="shared" si="249"/>
        <v>2025</v>
      </c>
      <c r="N3991">
        <f t="shared" si="250"/>
        <v>119958.3</v>
      </c>
      <c r="O3991" t="str">
        <f t="shared" si="251"/>
        <v>Major Delay</v>
      </c>
    </row>
    <row r="3992" spans="1:15" x14ac:dyDescent="0.25">
      <c r="A3992">
        <v>3991</v>
      </c>
      <c r="B3992" s="2">
        <v>45972</v>
      </c>
      <c r="C3992" t="s">
        <v>26</v>
      </c>
      <c r="D3992" t="s">
        <v>27</v>
      </c>
      <c r="E3992" t="s">
        <v>22</v>
      </c>
      <c r="F3992" t="s">
        <v>21</v>
      </c>
      <c r="G3992">
        <v>290</v>
      </c>
      <c r="H3992">
        <v>266.75</v>
      </c>
      <c r="I3992">
        <v>0</v>
      </c>
      <c r="J3992" t="s">
        <v>15</v>
      </c>
      <c r="K3992">
        <v>77357.5</v>
      </c>
      <c r="L3992" t="str">
        <f t="shared" si="248"/>
        <v>Nov</v>
      </c>
      <c r="M3992">
        <f t="shared" si="249"/>
        <v>2025</v>
      </c>
      <c r="N3992">
        <f t="shared" si="250"/>
        <v>77357.5</v>
      </c>
      <c r="O3992" t="str">
        <f t="shared" si="251"/>
        <v>On Time</v>
      </c>
    </row>
    <row r="3993" spans="1:15" x14ac:dyDescent="0.25">
      <c r="A3993">
        <v>3992</v>
      </c>
      <c r="B3993" s="2">
        <v>45911</v>
      </c>
      <c r="C3993" t="s">
        <v>16</v>
      </c>
      <c r="D3993" t="s">
        <v>13</v>
      </c>
      <c r="E3993" t="s">
        <v>23</v>
      </c>
      <c r="F3993" t="s">
        <v>24</v>
      </c>
      <c r="G3993">
        <v>124</v>
      </c>
      <c r="H3993">
        <v>737.32</v>
      </c>
      <c r="I3993">
        <v>22</v>
      </c>
      <c r="J3993" t="s">
        <v>15</v>
      </c>
      <c r="K3993">
        <v>91427.68</v>
      </c>
      <c r="L3993" t="str">
        <f t="shared" si="248"/>
        <v>Sep</v>
      </c>
      <c r="M3993">
        <f t="shared" si="249"/>
        <v>2025</v>
      </c>
      <c r="N3993">
        <f t="shared" si="250"/>
        <v>91427.680000000008</v>
      </c>
      <c r="O3993" t="str">
        <f t="shared" si="251"/>
        <v>Minor Delay</v>
      </c>
    </row>
    <row r="3994" spans="1:15" x14ac:dyDescent="0.25">
      <c r="A3994">
        <v>3993</v>
      </c>
      <c r="B3994" s="2">
        <v>45665</v>
      </c>
      <c r="C3994" t="s">
        <v>26</v>
      </c>
      <c r="D3994" t="s">
        <v>22</v>
      </c>
      <c r="E3994" t="s">
        <v>12</v>
      </c>
      <c r="F3994" t="s">
        <v>24</v>
      </c>
      <c r="G3994">
        <v>242</v>
      </c>
      <c r="H3994">
        <v>423.22</v>
      </c>
      <c r="I3994">
        <v>20</v>
      </c>
      <c r="J3994" t="s">
        <v>15</v>
      </c>
      <c r="K3994">
        <v>102419.24</v>
      </c>
      <c r="L3994" t="str">
        <f t="shared" si="248"/>
        <v>Jan</v>
      </c>
      <c r="M3994">
        <f t="shared" si="249"/>
        <v>2025</v>
      </c>
      <c r="N3994">
        <f t="shared" si="250"/>
        <v>102419.24</v>
      </c>
      <c r="O3994" t="str">
        <f t="shared" si="251"/>
        <v>Minor Delay</v>
      </c>
    </row>
    <row r="3995" spans="1:15" x14ac:dyDescent="0.25">
      <c r="A3995">
        <v>3994</v>
      </c>
      <c r="B3995" s="2">
        <v>45910</v>
      </c>
      <c r="C3995" t="s">
        <v>11</v>
      </c>
      <c r="D3995" t="s">
        <v>23</v>
      </c>
      <c r="E3995" t="s">
        <v>22</v>
      </c>
      <c r="F3995" t="s">
        <v>21</v>
      </c>
      <c r="G3995">
        <v>295</v>
      </c>
      <c r="H3995">
        <v>776.71</v>
      </c>
      <c r="I3995">
        <v>39</v>
      </c>
      <c r="J3995" t="s">
        <v>15</v>
      </c>
      <c r="K3995">
        <v>229129.45</v>
      </c>
      <c r="L3995" t="str">
        <f t="shared" si="248"/>
        <v>Sep</v>
      </c>
      <c r="M3995">
        <f t="shared" si="249"/>
        <v>2025</v>
      </c>
      <c r="N3995">
        <f t="shared" si="250"/>
        <v>229129.45</v>
      </c>
      <c r="O3995" t="str">
        <f t="shared" si="251"/>
        <v>Moderate Delay</v>
      </c>
    </row>
    <row r="3996" spans="1:15" x14ac:dyDescent="0.25">
      <c r="A3996">
        <v>3995</v>
      </c>
      <c r="B3996" s="2">
        <v>46022</v>
      </c>
      <c r="C3996" t="s">
        <v>26</v>
      </c>
      <c r="D3996" t="s">
        <v>27</v>
      </c>
      <c r="E3996" t="s">
        <v>13</v>
      </c>
      <c r="F3996" t="s">
        <v>14</v>
      </c>
      <c r="G3996">
        <v>178</v>
      </c>
      <c r="H3996">
        <v>758.1</v>
      </c>
      <c r="I3996">
        <v>42</v>
      </c>
      <c r="J3996" t="s">
        <v>15</v>
      </c>
      <c r="K3996">
        <v>134941.79999999999</v>
      </c>
      <c r="L3996" t="str">
        <f t="shared" si="248"/>
        <v>Dec</v>
      </c>
      <c r="M3996">
        <f t="shared" si="249"/>
        <v>2025</v>
      </c>
      <c r="N3996">
        <f t="shared" si="250"/>
        <v>134941.80000000002</v>
      </c>
      <c r="O3996" t="str">
        <f t="shared" si="251"/>
        <v>Moderate Delay</v>
      </c>
    </row>
    <row r="3997" spans="1:15" x14ac:dyDescent="0.25">
      <c r="A3997">
        <v>3996</v>
      </c>
      <c r="B3997" s="2">
        <v>45884</v>
      </c>
      <c r="C3997" t="s">
        <v>31</v>
      </c>
      <c r="D3997" t="s">
        <v>12</v>
      </c>
      <c r="E3997" t="s">
        <v>23</v>
      </c>
      <c r="F3997" t="s">
        <v>24</v>
      </c>
      <c r="G3997">
        <v>239</v>
      </c>
      <c r="H3997">
        <v>392.53</v>
      </c>
      <c r="I3997">
        <v>24</v>
      </c>
      <c r="J3997" t="s">
        <v>15</v>
      </c>
      <c r="K3997">
        <v>93814.67</v>
      </c>
      <c r="L3997" t="str">
        <f t="shared" si="248"/>
        <v>Aug</v>
      </c>
      <c r="M3997">
        <f t="shared" si="249"/>
        <v>2025</v>
      </c>
      <c r="N3997">
        <f t="shared" si="250"/>
        <v>93814.67</v>
      </c>
      <c r="O3997" t="str">
        <f t="shared" si="251"/>
        <v>Minor Delay</v>
      </c>
    </row>
    <row r="3998" spans="1:15" x14ac:dyDescent="0.25">
      <c r="A3998">
        <v>3997</v>
      </c>
      <c r="B3998" s="2">
        <v>45885</v>
      </c>
      <c r="C3998" t="s">
        <v>26</v>
      </c>
      <c r="D3998" t="s">
        <v>27</v>
      </c>
      <c r="E3998" t="s">
        <v>19</v>
      </c>
      <c r="F3998" t="s">
        <v>14</v>
      </c>
      <c r="G3998">
        <v>258</v>
      </c>
      <c r="H3998">
        <v>255.38</v>
      </c>
      <c r="I3998">
        <v>64</v>
      </c>
      <c r="J3998" t="s">
        <v>15</v>
      </c>
      <c r="K3998">
        <v>65888.039999999994</v>
      </c>
      <c r="L3998" t="str">
        <f t="shared" si="248"/>
        <v>Aug</v>
      </c>
      <c r="M3998">
        <f t="shared" si="249"/>
        <v>2025</v>
      </c>
      <c r="N3998">
        <f t="shared" si="250"/>
        <v>65888.039999999994</v>
      </c>
      <c r="O3998" t="str">
        <f t="shared" si="251"/>
        <v>Major Delay</v>
      </c>
    </row>
    <row r="3999" spans="1:15" x14ac:dyDescent="0.25">
      <c r="A3999">
        <v>3998</v>
      </c>
      <c r="B3999" s="2">
        <v>45860</v>
      </c>
      <c r="C3999" t="s">
        <v>11</v>
      </c>
      <c r="D3999" t="s">
        <v>19</v>
      </c>
      <c r="E3999" t="s">
        <v>13</v>
      </c>
      <c r="F3999" t="s">
        <v>21</v>
      </c>
      <c r="G3999">
        <v>132</v>
      </c>
      <c r="H3999">
        <v>102.74</v>
      </c>
      <c r="I3999">
        <v>32</v>
      </c>
      <c r="J3999" t="s">
        <v>15</v>
      </c>
      <c r="K3999">
        <v>13561.68</v>
      </c>
      <c r="L3999" t="str">
        <f t="shared" si="248"/>
        <v>Jul</v>
      </c>
      <c r="M3999">
        <f t="shared" si="249"/>
        <v>2025</v>
      </c>
      <c r="N3999">
        <f t="shared" si="250"/>
        <v>13561.679999999998</v>
      </c>
      <c r="O3999" t="str">
        <f t="shared" si="251"/>
        <v>Moderate Delay</v>
      </c>
    </row>
    <row r="4000" spans="1:15" x14ac:dyDescent="0.25">
      <c r="A4000">
        <v>3999</v>
      </c>
      <c r="B4000" s="2">
        <v>45801</v>
      </c>
      <c r="C4000" t="s">
        <v>18</v>
      </c>
      <c r="D4000" t="s">
        <v>27</v>
      </c>
      <c r="E4000" t="s">
        <v>17</v>
      </c>
      <c r="F4000" t="s">
        <v>21</v>
      </c>
      <c r="G4000">
        <v>293</v>
      </c>
      <c r="H4000">
        <v>533.44000000000005</v>
      </c>
      <c r="I4000">
        <v>18</v>
      </c>
      <c r="J4000" t="s">
        <v>15</v>
      </c>
      <c r="K4000">
        <v>156297.92000000001</v>
      </c>
      <c r="L4000" t="str">
        <f t="shared" si="248"/>
        <v>May</v>
      </c>
      <c r="M4000">
        <f t="shared" si="249"/>
        <v>2025</v>
      </c>
      <c r="N4000">
        <f t="shared" si="250"/>
        <v>156297.92000000001</v>
      </c>
      <c r="O4000" t="str">
        <f t="shared" si="251"/>
        <v>Minor Delay</v>
      </c>
    </row>
    <row r="4001" spans="1:15" x14ac:dyDescent="0.25">
      <c r="A4001">
        <v>4000</v>
      </c>
      <c r="B4001" s="2">
        <v>45786</v>
      </c>
      <c r="C4001" t="s">
        <v>31</v>
      </c>
      <c r="D4001" t="s">
        <v>19</v>
      </c>
      <c r="E4001" t="s">
        <v>17</v>
      </c>
      <c r="F4001" t="s">
        <v>24</v>
      </c>
      <c r="G4001">
        <v>202</v>
      </c>
      <c r="H4001">
        <v>304.18</v>
      </c>
      <c r="I4001">
        <v>37</v>
      </c>
      <c r="J4001" t="s">
        <v>28</v>
      </c>
      <c r="K4001">
        <v>61444.36</v>
      </c>
      <c r="L4001" t="str">
        <f t="shared" si="248"/>
        <v>May</v>
      </c>
      <c r="M4001">
        <f t="shared" si="249"/>
        <v>2025</v>
      </c>
      <c r="N4001">
        <f t="shared" si="250"/>
        <v>61444.36</v>
      </c>
      <c r="O4001" t="str">
        <f t="shared" si="251"/>
        <v>Moderate Delay</v>
      </c>
    </row>
    <row r="4002" spans="1:15" x14ac:dyDescent="0.25">
      <c r="A4002">
        <v>4001</v>
      </c>
      <c r="B4002" s="2">
        <v>46009</v>
      </c>
      <c r="C4002" t="s">
        <v>26</v>
      </c>
      <c r="D4002" t="s">
        <v>29</v>
      </c>
      <c r="E4002" t="s">
        <v>12</v>
      </c>
      <c r="F4002" t="s">
        <v>24</v>
      </c>
      <c r="G4002">
        <v>58</v>
      </c>
      <c r="H4002">
        <v>668.68</v>
      </c>
      <c r="I4002">
        <v>10</v>
      </c>
      <c r="J4002" t="s">
        <v>15</v>
      </c>
      <c r="K4002">
        <v>38783.440000000002</v>
      </c>
      <c r="L4002" t="str">
        <f t="shared" si="248"/>
        <v>Dec</v>
      </c>
      <c r="M4002">
        <f t="shared" si="249"/>
        <v>2025</v>
      </c>
      <c r="N4002">
        <f t="shared" si="250"/>
        <v>38783.439999999995</v>
      </c>
      <c r="O4002" t="str">
        <f t="shared" si="251"/>
        <v>Minor Delay</v>
      </c>
    </row>
    <row r="4003" spans="1:15" x14ac:dyDescent="0.25">
      <c r="A4003">
        <v>4002</v>
      </c>
      <c r="B4003" s="2">
        <v>45827</v>
      </c>
      <c r="C4003" t="s">
        <v>26</v>
      </c>
      <c r="D4003" t="s">
        <v>13</v>
      </c>
      <c r="E4003" t="s">
        <v>23</v>
      </c>
      <c r="F4003" t="s">
        <v>24</v>
      </c>
      <c r="G4003">
        <v>209</v>
      </c>
      <c r="H4003">
        <v>275.14999999999998</v>
      </c>
      <c r="I4003">
        <v>19</v>
      </c>
      <c r="J4003" t="s">
        <v>15</v>
      </c>
      <c r="K4003">
        <v>57506.35</v>
      </c>
      <c r="L4003" t="str">
        <f t="shared" si="248"/>
        <v>Jun</v>
      </c>
      <c r="M4003">
        <f t="shared" si="249"/>
        <v>2025</v>
      </c>
      <c r="N4003">
        <f t="shared" si="250"/>
        <v>57506.35</v>
      </c>
      <c r="O4003" t="str">
        <f t="shared" si="251"/>
        <v>Minor Delay</v>
      </c>
    </row>
    <row r="4004" spans="1:15" x14ac:dyDescent="0.25">
      <c r="A4004">
        <v>4003</v>
      </c>
      <c r="B4004" s="2">
        <v>45766</v>
      </c>
      <c r="C4004" t="s">
        <v>18</v>
      </c>
      <c r="D4004" t="s">
        <v>23</v>
      </c>
      <c r="E4004" t="s">
        <v>13</v>
      </c>
      <c r="F4004" t="s">
        <v>24</v>
      </c>
      <c r="G4004">
        <v>116</v>
      </c>
      <c r="H4004">
        <v>386.56</v>
      </c>
      <c r="I4004">
        <v>0</v>
      </c>
      <c r="J4004" t="s">
        <v>15</v>
      </c>
      <c r="K4004">
        <v>44840.959999999999</v>
      </c>
      <c r="L4004" t="str">
        <f t="shared" si="248"/>
        <v>Apr</v>
      </c>
      <c r="M4004">
        <f t="shared" si="249"/>
        <v>2025</v>
      </c>
      <c r="N4004">
        <f t="shared" si="250"/>
        <v>44840.959999999999</v>
      </c>
      <c r="O4004" t="str">
        <f t="shared" si="251"/>
        <v>On Time</v>
      </c>
    </row>
    <row r="4005" spans="1:15" x14ac:dyDescent="0.25">
      <c r="A4005">
        <v>4004</v>
      </c>
      <c r="B4005" s="2">
        <v>45699</v>
      </c>
      <c r="C4005" t="s">
        <v>11</v>
      </c>
      <c r="D4005" t="s">
        <v>12</v>
      </c>
      <c r="E4005" t="s">
        <v>20</v>
      </c>
      <c r="F4005" t="s">
        <v>14</v>
      </c>
      <c r="G4005">
        <v>79</v>
      </c>
      <c r="H4005">
        <v>661.24</v>
      </c>
      <c r="I4005">
        <v>30</v>
      </c>
      <c r="J4005" t="s">
        <v>15</v>
      </c>
      <c r="K4005">
        <v>52237.96</v>
      </c>
      <c r="L4005" t="str">
        <f t="shared" si="248"/>
        <v>Feb</v>
      </c>
      <c r="M4005">
        <f t="shared" si="249"/>
        <v>2025</v>
      </c>
      <c r="N4005">
        <f t="shared" si="250"/>
        <v>52237.96</v>
      </c>
      <c r="O4005" t="str">
        <f t="shared" si="251"/>
        <v>Minor Delay</v>
      </c>
    </row>
    <row r="4006" spans="1:15" x14ac:dyDescent="0.25">
      <c r="A4006">
        <v>4005</v>
      </c>
      <c r="B4006" s="2">
        <v>46015</v>
      </c>
      <c r="C4006" t="s">
        <v>26</v>
      </c>
      <c r="D4006" t="s">
        <v>19</v>
      </c>
      <c r="E4006" t="s">
        <v>20</v>
      </c>
      <c r="F4006" t="s">
        <v>24</v>
      </c>
      <c r="G4006">
        <v>191</v>
      </c>
      <c r="H4006">
        <v>643.6</v>
      </c>
      <c r="I4006">
        <v>10</v>
      </c>
      <c r="J4006" t="s">
        <v>15</v>
      </c>
      <c r="K4006">
        <v>122927.6</v>
      </c>
      <c r="L4006" t="str">
        <f t="shared" si="248"/>
        <v>Dec</v>
      </c>
      <c r="M4006">
        <f t="shared" si="249"/>
        <v>2025</v>
      </c>
      <c r="N4006">
        <f t="shared" si="250"/>
        <v>122927.6</v>
      </c>
      <c r="O4006" t="str">
        <f t="shared" si="251"/>
        <v>Minor Delay</v>
      </c>
    </row>
    <row r="4007" spans="1:15" x14ac:dyDescent="0.25">
      <c r="A4007">
        <v>4006</v>
      </c>
      <c r="B4007" s="2">
        <v>45812</v>
      </c>
      <c r="C4007" t="s">
        <v>16</v>
      </c>
      <c r="D4007" t="s">
        <v>13</v>
      </c>
      <c r="E4007" t="s">
        <v>12</v>
      </c>
      <c r="F4007" t="s">
        <v>24</v>
      </c>
      <c r="G4007">
        <v>183</v>
      </c>
      <c r="H4007">
        <v>505.61</v>
      </c>
      <c r="I4007">
        <v>0</v>
      </c>
      <c r="J4007" t="s">
        <v>15</v>
      </c>
      <c r="K4007">
        <v>92526.63</v>
      </c>
      <c r="L4007" t="str">
        <f t="shared" si="248"/>
        <v>Jun</v>
      </c>
      <c r="M4007">
        <f t="shared" si="249"/>
        <v>2025</v>
      </c>
      <c r="N4007">
        <f t="shared" si="250"/>
        <v>92526.63</v>
      </c>
      <c r="O4007" t="str">
        <f t="shared" si="251"/>
        <v>On Time</v>
      </c>
    </row>
    <row r="4008" spans="1:15" x14ac:dyDescent="0.25">
      <c r="A4008">
        <v>4007</v>
      </c>
      <c r="B4008" s="2">
        <v>45936</v>
      </c>
      <c r="C4008" t="s">
        <v>18</v>
      </c>
      <c r="D4008" t="s">
        <v>22</v>
      </c>
      <c r="E4008" t="s">
        <v>29</v>
      </c>
      <c r="F4008" t="s">
        <v>21</v>
      </c>
      <c r="G4008">
        <v>233</v>
      </c>
      <c r="H4008">
        <v>549.52</v>
      </c>
      <c r="I4008">
        <v>65</v>
      </c>
      <c r="J4008" t="s">
        <v>15</v>
      </c>
      <c r="K4008">
        <v>128038.16</v>
      </c>
      <c r="L4008" t="str">
        <f t="shared" si="248"/>
        <v>Oct</v>
      </c>
      <c r="M4008">
        <f t="shared" si="249"/>
        <v>2025</v>
      </c>
      <c r="N4008">
        <f t="shared" si="250"/>
        <v>128038.15999999999</v>
      </c>
      <c r="O4008" t="str">
        <f t="shared" si="251"/>
        <v>Major Delay</v>
      </c>
    </row>
    <row r="4009" spans="1:15" x14ac:dyDescent="0.25">
      <c r="A4009">
        <v>4008</v>
      </c>
      <c r="B4009" s="2">
        <v>45671</v>
      </c>
      <c r="C4009" t="s">
        <v>11</v>
      </c>
      <c r="D4009" t="s">
        <v>22</v>
      </c>
      <c r="E4009" t="s">
        <v>13</v>
      </c>
      <c r="F4009" t="s">
        <v>21</v>
      </c>
      <c r="G4009">
        <v>136</v>
      </c>
      <c r="H4009">
        <v>641.20000000000005</v>
      </c>
      <c r="I4009">
        <v>20</v>
      </c>
      <c r="J4009" t="s">
        <v>15</v>
      </c>
      <c r="K4009">
        <v>87203.199999999997</v>
      </c>
      <c r="L4009" t="str">
        <f t="shared" si="248"/>
        <v>Jan</v>
      </c>
      <c r="M4009">
        <f t="shared" si="249"/>
        <v>2025</v>
      </c>
      <c r="N4009">
        <f t="shared" si="250"/>
        <v>87203.200000000012</v>
      </c>
      <c r="O4009" t="str">
        <f t="shared" si="251"/>
        <v>Minor Delay</v>
      </c>
    </row>
    <row r="4010" spans="1:15" x14ac:dyDescent="0.25">
      <c r="A4010">
        <v>4009</v>
      </c>
      <c r="B4010" s="2">
        <v>45712</v>
      </c>
      <c r="C4010" t="s">
        <v>16</v>
      </c>
      <c r="D4010" t="s">
        <v>27</v>
      </c>
      <c r="E4010" t="s">
        <v>13</v>
      </c>
      <c r="F4010" t="s">
        <v>14</v>
      </c>
      <c r="G4010">
        <v>97</v>
      </c>
      <c r="H4010">
        <v>693.12</v>
      </c>
      <c r="I4010">
        <v>38</v>
      </c>
      <c r="J4010" t="s">
        <v>15</v>
      </c>
      <c r="K4010">
        <v>67232.639999999999</v>
      </c>
      <c r="L4010" t="str">
        <f t="shared" si="248"/>
        <v>Feb</v>
      </c>
      <c r="M4010">
        <f t="shared" si="249"/>
        <v>2025</v>
      </c>
      <c r="N4010">
        <f t="shared" si="250"/>
        <v>67232.639999999999</v>
      </c>
      <c r="O4010" t="str">
        <f t="shared" si="251"/>
        <v>Moderate Delay</v>
      </c>
    </row>
    <row r="4011" spans="1:15" x14ac:dyDescent="0.25">
      <c r="A4011">
        <v>4010</v>
      </c>
      <c r="B4011" s="2">
        <v>45849</v>
      </c>
      <c r="C4011" t="s">
        <v>31</v>
      </c>
      <c r="D4011" t="s">
        <v>27</v>
      </c>
      <c r="E4011" t="s">
        <v>12</v>
      </c>
      <c r="F4011" t="s">
        <v>14</v>
      </c>
      <c r="G4011">
        <v>148</v>
      </c>
      <c r="H4011">
        <v>613.28</v>
      </c>
      <c r="I4011">
        <v>0</v>
      </c>
      <c r="J4011" t="s">
        <v>15</v>
      </c>
      <c r="K4011">
        <v>90765.440000000002</v>
      </c>
      <c r="L4011" t="str">
        <f t="shared" si="248"/>
        <v>Jul</v>
      </c>
      <c r="M4011">
        <f t="shared" si="249"/>
        <v>2025</v>
      </c>
      <c r="N4011">
        <f t="shared" si="250"/>
        <v>90765.440000000002</v>
      </c>
      <c r="O4011" t="str">
        <f t="shared" si="251"/>
        <v>On Time</v>
      </c>
    </row>
    <row r="4012" spans="1:15" x14ac:dyDescent="0.25">
      <c r="A4012">
        <v>4011</v>
      </c>
      <c r="B4012" s="2">
        <v>45969</v>
      </c>
      <c r="C4012" t="s">
        <v>31</v>
      </c>
      <c r="D4012" t="s">
        <v>12</v>
      </c>
      <c r="E4012" t="s">
        <v>22</v>
      </c>
      <c r="F4012" t="s">
        <v>21</v>
      </c>
      <c r="G4012">
        <v>79</v>
      </c>
      <c r="H4012">
        <v>200.37</v>
      </c>
      <c r="I4012">
        <v>0</v>
      </c>
      <c r="J4012" t="s">
        <v>15</v>
      </c>
      <c r="K4012">
        <v>15829.23</v>
      </c>
      <c r="L4012" t="str">
        <f t="shared" si="248"/>
        <v>Nov</v>
      </c>
      <c r="M4012">
        <f t="shared" si="249"/>
        <v>2025</v>
      </c>
      <c r="N4012">
        <f t="shared" si="250"/>
        <v>15829.23</v>
      </c>
      <c r="O4012" t="str">
        <f t="shared" si="251"/>
        <v>On Time</v>
      </c>
    </row>
    <row r="4013" spans="1:15" x14ac:dyDescent="0.25">
      <c r="A4013">
        <v>4012</v>
      </c>
      <c r="B4013" s="2">
        <v>45719</v>
      </c>
      <c r="C4013" t="s">
        <v>31</v>
      </c>
      <c r="D4013" t="s">
        <v>22</v>
      </c>
      <c r="E4013" t="s">
        <v>17</v>
      </c>
      <c r="F4013" t="s">
        <v>14</v>
      </c>
      <c r="G4013">
        <v>221</v>
      </c>
      <c r="H4013">
        <v>661.6</v>
      </c>
      <c r="I4013">
        <v>45</v>
      </c>
      <c r="J4013" t="s">
        <v>30</v>
      </c>
      <c r="K4013">
        <v>146213.6</v>
      </c>
      <c r="L4013" t="str">
        <f t="shared" si="248"/>
        <v>Mar</v>
      </c>
      <c r="M4013">
        <f t="shared" si="249"/>
        <v>2025</v>
      </c>
      <c r="N4013">
        <f t="shared" si="250"/>
        <v>146213.6</v>
      </c>
      <c r="O4013" t="str">
        <f t="shared" si="251"/>
        <v>Moderate Delay</v>
      </c>
    </row>
    <row r="4014" spans="1:15" x14ac:dyDescent="0.25">
      <c r="A4014">
        <v>4013</v>
      </c>
      <c r="B4014" s="2">
        <v>45930</v>
      </c>
      <c r="C4014" t="s">
        <v>18</v>
      </c>
      <c r="D4014" t="s">
        <v>19</v>
      </c>
      <c r="E4014" t="s">
        <v>20</v>
      </c>
      <c r="F4014" t="s">
        <v>14</v>
      </c>
      <c r="G4014">
        <v>178</v>
      </c>
      <c r="H4014">
        <v>380.49</v>
      </c>
      <c r="I4014">
        <v>14</v>
      </c>
      <c r="J4014" t="s">
        <v>15</v>
      </c>
      <c r="K4014">
        <v>67727.22</v>
      </c>
      <c r="L4014" t="str">
        <f t="shared" si="248"/>
        <v>Sep</v>
      </c>
      <c r="M4014">
        <f t="shared" si="249"/>
        <v>2025</v>
      </c>
      <c r="N4014">
        <f t="shared" si="250"/>
        <v>67727.22</v>
      </c>
      <c r="O4014" t="str">
        <f t="shared" si="251"/>
        <v>Minor Delay</v>
      </c>
    </row>
    <row r="4015" spans="1:15" x14ac:dyDescent="0.25">
      <c r="A4015">
        <v>4014</v>
      </c>
      <c r="B4015" s="2">
        <v>45970</v>
      </c>
      <c r="C4015" t="s">
        <v>11</v>
      </c>
      <c r="D4015" t="s">
        <v>13</v>
      </c>
      <c r="E4015" t="s">
        <v>22</v>
      </c>
      <c r="F4015" t="s">
        <v>21</v>
      </c>
      <c r="G4015">
        <v>267</v>
      </c>
      <c r="H4015">
        <v>210.97</v>
      </c>
      <c r="I4015">
        <v>11</v>
      </c>
      <c r="J4015" t="s">
        <v>15</v>
      </c>
      <c r="K4015">
        <v>56328.99</v>
      </c>
      <c r="L4015" t="str">
        <f t="shared" si="248"/>
        <v>Nov</v>
      </c>
      <c r="M4015">
        <f t="shared" si="249"/>
        <v>2025</v>
      </c>
      <c r="N4015">
        <f t="shared" si="250"/>
        <v>56328.99</v>
      </c>
      <c r="O4015" t="str">
        <f t="shared" si="251"/>
        <v>Minor Delay</v>
      </c>
    </row>
    <row r="4016" spans="1:15" x14ac:dyDescent="0.25">
      <c r="A4016">
        <v>4015</v>
      </c>
      <c r="B4016" s="2">
        <v>45666</v>
      </c>
      <c r="C4016" t="s">
        <v>18</v>
      </c>
      <c r="D4016" t="s">
        <v>27</v>
      </c>
      <c r="E4016" t="s">
        <v>22</v>
      </c>
      <c r="F4016" t="s">
        <v>21</v>
      </c>
      <c r="G4016">
        <v>75</v>
      </c>
      <c r="H4016">
        <v>504.12</v>
      </c>
      <c r="I4016">
        <v>75</v>
      </c>
      <c r="J4016" t="s">
        <v>15</v>
      </c>
      <c r="K4016">
        <v>37809</v>
      </c>
      <c r="L4016" t="str">
        <f t="shared" si="248"/>
        <v>Jan</v>
      </c>
      <c r="M4016">
        <f t="shared" si="249"/>
        <v>2025</v>
      </c>
      <c r="N4016">
        <f t="shared" si="250"/>
        <v>37809</v>
      </c>
      <c r="O4016" t="str">
        <f t="shared" si="251"/>
        <v>Major Delay</v>
      </c>
    </row>
    <row r="4017" spans="1:15" x14ac:dyDescent="0.25">
      <c r="A4017">
        <v>4016</v>
      </c>
      <c r="B4017" s="2">
        <v>45757</v>
      </c>
      <c r="C4017" t="s">
        <v>26</v>
      </c>
      <c r="D4017" t="s">
        <v>29</v>
      </c>
      <c r="E4017" t="s">
        <v>12</v>
      </c>
      <c r="F4017" t="s">
        <v>21</v>
      </c>
      <c r="G4017">
        <v>140</v>
      </c>
      <c r="H4017">
        <v>180.76</v>
      </c>
      <c r="I4017">
        <v>52</v>
      </c>
      <c r="J4017" t="s">
        <v>15</v>
      </c>
      <c r="K4017">
        <v>25306.400000000001</v>
      </c>
      <c r="L4017" t="str">
        <f t="shared" si="248"/>
        <v>Apr</v>
      </c>
      <c r="M4017">
        <f t="shared" si="249"/>
        <v>2025</v>
      </c>
      <c r="N4017">
        <f t="shared" si="250"/>
        <v>25306.399999999998</v>
      </c>
      <c r="O4017" t="str">
        <f t="shared" si="251"/>
        <v>Moderate Delay</v>
      </c>
    </row>
    <row r="4018" spans="1:15" x14ac:dyDescent="0.25">
      <c r="A4018">
        <v>4017</v>
      </c>
      <c r="B4018" s="2">
        <v>45998</v>
      </c>
      <c r="C4018" t="s">
        <v>16</v>
      </c>
      <c r="D4018" t="s">
        <v>23</v>
      </c>
      <c r="E4018" t="s">
        <v>13</v>
      </c>
      <c r="F4018" t="s">
        <v>14</v>
      </c>
      <c r="G4018">
        <v>172</v>
      </c>
      <c r="H4018">
        <v>705.86</v>
      </c>
      <c r="I4018">
        <v>71</v>
      </c>
      <c r="J4018" t="s">
        <v>15</v>
      </c>
      <c r="K4018">
        <v>121407.92</v>
      </c>
      <c r="L4018" t="str">
        <f t="shared" si="248"/>
        <v>Dec</v>
      </c>
      <c r="M4018">
        <f t="shared" si="249"/>
        <v>2025</v>
      </c>
      <c r="N4018">
        <f t="shared" si="250"/>
        <v>121407.92</v>
      </c>
      <c r="O4018" t="str">
        <f t="shared" si="251"/>
        <v>Major Delay</v>
      </c>
    </row>
    <row r="4019" spans="1:15" x14ac:dyDescent="0.25">
      <c r="A4019">
        <v>4018</v>
      </c>
      <c r="B4019" s="2">
        <v>45855</v>
      </c>
      <c r="C4019" t="s">
        <v>11</v>
      </c>
      <c r="D4019" t="s">
        <v>27</v>
      </c>
      <c r="E4019" t="s">
        <v>22</v>
      </c>
      <c r="F4019" t="s">
        <v>21</v>
      </c>
      <c r="G4019">
        <v>164</v>
      </c>
      <c r="H4019">
        <v>248.62</v>
      </c>
      <c r="I4019">
        <v>45</v>
      </c>
      <c r="J4019" t="s">
        <v>15</v>
      </c>
      <c r="K4019">
        <v>40773.68</v>
      </c>
      <c r="L4019" t="str">
        <f t="shared" si="248"/>
        <v>Jul</v>
      </c>
      <c r="M4019">
        <f t="shared" si="249"/>
        <v>2025</v>
      </c>
      <c r="N4019">
        <f t="shared" si="250"/>
        <v>40773.68</v>
      </c>
      <c r="O4019" t="str">
        <f t="shared" si="251"/>
        <v>Moderate Delay</v>
      </c>
    </row>
    <row r="4020" spans="1:15" x14ac:dyDescent="0.25">
      <c r="A4020">
        <v>4019</v>
      </c>
      <c r="B4020" s="2">
        <v>45692</v>
      </c>
      <c r="C4020" t="s">
        <v>25</v>
      </c>
      <c r="D4020" t="s">
        <v>17</v>
      </c>
      <c r="E4020" t="s">
        <v>12</v>
      </c>
      <c r="F4020" t="s">
        <v>14</v>
      </c>
      <c r="G4020">
        <v>281</v>
      </c>
      <c r="H4020">
        <v>366.74</v>
      </c>
      <c r="I4020">
        <v>33</v>
      </c>
      <c r="J4020" t="s">
        <v>15</v>
      </c>
      <c r="K4020">
        <v>103053.94</v>
      </c>
      <c r="L4020" t="str">
        <f t="shared" si="248"/>
        <v>Feb</v>
      </c>
      <c r="M4020">
        <f t="shared" si="249"/>
        <v>2025</v>
      </c>
      <c r="N4020">
        <f t="shared" si="250"/>
        <v>103053.94</v>
      </c>
      <c r="O4020" t="str">
        <f t="shared" si="251"/>
        <v>Moderate Delay</v>
      </c>
    </row>
    <row r="4021" spans="1:15" x14ac:dyDescent="0.25">
      <c r="A4021">
        <v>4020</v>
      </c>
      <c r="B4021" s="2">
        <v>45856</v>
      </c>
      <c r="C4021" t="s">
        <v>31</v>
      </c>
      <c r="D4021" t="s">
        <v>19</v>
      </c>
      <c r="E4021" t="s">
        <v>13</v>
      </c>
      <c r="F4021" t="s">
        <v>24</v>
      </c>
      <c r="G4021">
        <v>291</v>
      </c>
      <c r="H4021">
        <v>114.34</v>
      </c>
      <c r="I4021">
        <v>18</v>
      </c>
      <c r="J4021" t="s">
        <v>15</v>
      </c>
      <c r="K4021">
        <v>33272.94</v>
      </c>
      <c r="L4021" t="str">
        <f t="shared" si="248"/>
        <v>Jul</v>
      </c>
      <c r="M4021">
        <f t="shared" si="249"/>
        <v>2025</v>
      </c>
      <c r="N4021">
        <f t="shared" si="250"/>
        <v>33272.94</v>
      </c>
      <c r="O4021" t="str">
        <f t="shared" si="251"/>
        <v>Minor Delay</v>
      </c>
    </row>
    <row r="4022" spans="1:15" x14ac:dyDescent="0.25">
      <c r="A4022">
        <v>4021</v>
      </c>
      <c r="B4022" s="2">
        <v>45714</v>
      </c>
      <c r="C4022" t="s">
        <v>16</v>
      </c>
      <c r="D4022" t="s">
        <v>12</v>
      </c>
      <c r="E4022" t="s">
        <v>19</v>
      </c>
      <c r="F4022" t="s">
        <v>21</v>
      </c>
      <c r="G4022">
        <v>160</v>
      </c>
      <c r="H4022">
        <v>95.57</v>
      </c>
      <c r="I4022">
        <v>0</v>
      </c>
      <c r="J4022" t="s">
        <v>30</v>
      </c>
      <c r="K4022">
        <v>15291.2</v>
      </c>
      <c r="L4022" t="str">
        <f t="shared" si="248"/>
        <v>Feb</v>
      </c>
      <c r="M4022">
        <f t="shared" si="249"/>
        <v>2025</v>
      </c>
      <c r="N4022">
        <f t="shared" si="250"/>
        <v>15291.199999999999</v>
      </c>
      <c r="O4022" t="str">
        <f t="shared" si="251"/>
        <v>On Time</v>
      </c>
    </row>
    <row r="4023" spans="1:15" x14ac:dyDescent="0.25">
      <c r="A4023">
        <v>4022</v>
      </c>
      <c r="B4023" s="2">
        <v>46005</v>
      </c>
      <c r="C4023" t="s">
        <v>31</v>
      </c>
      <c r="D4023" t="s">
        <v>29</v>
      </c>
      <c r="E4023" t="s">
        <v>23</v>
      </c>
      <c r="F4023" t="s">
        <v>21</v>
      </c>
      <c r="G4023">
        <v>287</v>
      </c>
      <c r="H4023">
        <v>224.02</v>
      </c>
      <c r="I4023">
        <v>0</v>
      </c>
      <c r="J4023" t="s">
        <v>15</v>
      </c>
      <c r="K4023">
        <v>64293.74</v>
      </c>
      <c r="L4023" t="str">
        <f t="shared" si="248"/>
        <v>Dec</v>
      </c>
      <c r="M4023">
        <f t="shared" si="249"/>
        <v>2025</v>
      </c>
      <c r="N4023">
        <f t="shared" si="250"/>
        <v>64293.740000000005</v>
      </c>
      <c r="O4023" t="str">
        <f t="shared" si="251"/>
        <v>On Time</v>
      </c>
    </row>
    <row r="4024" spans="1:15" x14ac:dyDescent="0.25">
      <c r="A4024">
        <v>4023</v>
      </c>
      <c r="B4024" s="2">
        <v>45956</v>
      </c>
      <c r="C4024" t="s">
        <v>25</v>
      </c>
      <c r="D4024" t="s">
        <v>22</v>
      </c>
      <c r="E4024" t="s">
        <v>17</v>
      </c>
      <c r="F4024" t="s">
        <v>21</v>
      </c>
      <c r="G4024">
        <v>246</v>
      </c>
      <c r="H4024">
        <v>426.54</v>
      </c>
      <c r="I4024">
        <v>17</v>
      </c>
      <c r="J4024" t="s">
        <v>15</v>
      </c>
      <c r="K4024">
        <v>104928.84</v>
      </c>
      <c r="L4024" t="str">
        <f t="shared" si="248"/>
        <v>Oct</v>
      </c>
      <c r="M4024">
        <f t="shared" si="249"/>
        <v>2025</v>
      </c>
      <c r="N4024">
        <f t="shared" si="250"/>
        <v>104928.84000000001</v>
      </c>
      <c r="O4024" t="str">
        <f t="shared" si="251"/>
        <v>Minor Delay</v>
      </c>
    </row>
    <row r="4025" spans="1:15" x14ac:dyDescent="0.25">
      <c r="A4025">
        <v>4024</v>
      </c>
      <c r="B4025" s="2">
        <v>45716</v>
      </c>
      <c r="C4025" t="s">
        <v>26</v>
      </c>
      <c r="D4025" t="s">
        <v>29</v>
      </c>
      <c r="E4025" t="s">
        <v>23</v>
      </c>
      <c r="F4025" t="s">
        <v>21</v>
      </c>
      <c r="G4025">
        <v>137</v>
      </c>
      <c r="H4025">
        <v>504.02</v>
      </c>
      <c r="I4025">
        <v>6</v>
      </c>
      <c r="J4025" t="s">
        <v>15</v>
      </c>
      <c r="K4025">
        <v>69050.740000000005</v>
      </c>
      <c r="L4025" t="str">
        <f t="shared" si="248"/>
        <v>Feb</v>
      </c>
      <c r="M4025">
        <f t="shared" si="249"/>
        <v>2025</v>
      </c>
      <c r="N4025">
        <f t="shared" si="250"/>
        <v>69050.739999999991</v>
      </c>
      <c r="O4025" t="str">
        <f t="shared" si="251"/>
        <v>Minor Delay</v>
      </c>
    </row>
    <row r="4026" spans="1:15" x14ac:dyDescent="0.25">
      <c r="A4026">
        <v>4025</v>
      </c>
      <c r="B4026" s="2">
        <v>45668</v>
      </c>
      <c r="C4026" t="s">
        <v>31</v>
      </c>
      <c r="D4026" t="s">
        <v>27</v>
      </c>
      <c r="E4026" t="s">
        <v>12</v>
      </c>
      <c r="F4026" t="s">
        <v>21</v>
      </c>
      <c r="G4026">
        <v>149</v>
      </c>
      <c r="H4026">
        <v>528.62</v>
      </c>
      <c r="I4026">
        <v>0</v>
      </c>
      <c r="J4026" t="s">
        <v>15</v>
      </c>
      <c r="K4026">
        <v>78764.38</v>
      </c>
      <c r="L4026" t="str">
        <f t="shared" si="248"/>
        <v>Jan</v>
      </c>
      <c r="M4026">
        <f t="shared" si="249"/>
        <v>2025</v>
      </c>
      <c r="N4026">
        <f t="shared" si="250"/>
        <v>78764.38</v>
      </c>
      <c r="O4026" t="str">
        <f t="shared" si="251"/>
        <v>On Time</v>
      </c>
    </row>
    <row r="4027" spans="1:15" x14ac:dyDescent="0.25">
      <c r="A4027">
        <v>4026</v>
      </c>
      <c r="B4027" s="2">
        <v>45673</v>
      </c>
      <c r="C4027" t="s">
        <v>26</v>
      </c>
      <c r="D4027" t="s">
        <v>23</v>
      </c>
      <c r="E4027" t="s">
        <v>17</v>
      </c>
      <c r="F4027" t="s">
        <v>14</v>
      </c>
      <c r="G4027">
        <v>72</v>
      </c>
      <c r="H4027">
        <v>108.18</v>
      </c>
      <c r="I4027">
        <v>9</v>
      </c>
      <c r="J4027" t="s">
        <v>15</v>
      </c>
      <c r="K4027">
        <v>7788.96</v>
      </c>
      <c r="L4027" t="str">
        <f t="shared" si="248"/>
        <v>Jan</v>
      </c>
      <c r="M4027">
        <f t="shared" si="249"/>
        <v>2025</v>
      </c>
      <c r="N4027">
        <f t="shared" si="250"/>
        <v>7788.9600000000009</v>
      </c>
      <c r="O4027" t="str">
        <f t="shared" si="251"/>
        <v>Minor Delay</v>
      </c>
    </row>
    <row r="4028" spans="1:15" x14ac:dyDescent="0.25">
      <c r="A4028">
        <v>4027</v>
      </c>
      <c r="B4028" s="2">
        <v>45661</v>
      </c>
      <c r="C4028" t="s">
        <v>31</v>
      </c>
      <c r="D4028" t="s">
        <v>19</v>
      </c>
      <c r="E4028" t="s">
        <v>20</v>
      </c>
      <c r="F4028" t="s">
        <v>14</v>
      </c>
      <c r="G4028">
        <v>153</v>
      </c>
      <c r="H4028">
        <v>641.66</v>
      </c>
      <c r="I4028">
        <v>29</v>
      </c>
      <c r="J4028" t="s">
        <v>30</v>
      </c>
      <c r="K4028">
        <v>98173.98</v>
      </c>
      <c r="L4028" t="str">
        <f t="shared" si="248"/>
        <v>Jan</v>
      </c>
      <c r="M4028">
        <f t="shared" si="249"/>
        <v>2025</v>
      </c>
      <c r="N4028">
        <f t="shared" si="250"/>
        <v>98173.98</v>
      </c>
      <c r="O4028" t="str">
        <f t="shared" si="251"/>
        <v>Minor Delay</v>
      </c>
    </row>
    <row r="4029" spans="1:15" x14ac:dyDescent="0.25">
      <c r="A4029">
        <v>4028</v>
      </c>
      <c r="B4029" s="2">
        <v>45788</v>
      </c>
      <c r="C4029" t="s">
        <v>25</v>
      </c>
      <c r="D4029" t="s">
        <v>13</v>
      </c>
      <c r="E4029" t="s">
        <v>22</v>
      </c>
      <c r="F4029" t="s">
        <v>24</v>
      </c>
      <c r="G4029">
        <v>264</v>
      </c>
      <c r="H4029">
        <v>91.45</v>
      </c>
      <c r="I4029">
        <v>0</v>
      </c>
      <c r="J4029" t="s">
        <v>15</v>
      </c>
      <c r="K4029">
        <v>24142.799999999999</v>
      </c>
      <c r="L4029" t="str">
        <f t="shared" si="248"/>
        <v>May</v>
      </c>
      <c r="M4029">
        <f t="shared" si="249"/>
        <v>2025</v>
      </c>
      <c r="N4029">
        <f t="shared" si="250"/>
        <v>24142.799999999999</v>
      </c>
      <c r="O4029" t="str">
        <f t="shared" si="251"/>
        <v>On Time</v>
      </c>
    </row>
    <row r="4030" spans="1:15" x14ac:dyDescent="0.25">
      <c r="A4030">
        <v>4029</v>
      </c>
      <c r="B4030" s="2">
        <v>45710</v>
      </c>
      <c r="C4030" t="s">
        <v>26</v>
      </c>
      <c r="D4030" t="s">
        <v>12</v>
      </c>
      <c r="E4030" t="s">
        <v>27</v>
      </c>
      <c r="F4030" t="s">
        <v>14</v>
      </c>
      <c r="G4030">
        <v>255</v>
      </c>
      <c r="H4030">
        <v>633.07000000000005</v>
      </c>
      <c r="I4030">
        <v>30</v>
      </c>
      <c r="J4030" t="s">
        <v>15</v>
      </c>
      <c r="K4030">
        <v>161432.85</v>
      </c>
      <c r="L4030" t="str">
        <f t="shared" si="248"/>
        <v>Feb</v>
      </c>
      <c r="M4030">
        <f t="shared" si="249"/>
        <v>2025</v>
      </c>
      <c r="N4030">
        <f t="shared" si="250"/>
        <v>161432.85</v>
      </c>
      <c r="O4030" t="str">
        <f t="shared" si="251"/>
        <v>Minor Delay</v>
      </c>
    </row>
    <row r="4031" spans="1:15" x14ac:dyDescent="0.25">
      <c r="A4031">
        <v>4030</v>
      </c>
      <c r="B4031" s="2">
        <v>45947</v>
      </c>
      <c r="C4031" t="s">
        <v>26</v>
      </c>
      <c r="D4031" t="s">
        <v>23</v>
      </c>
      <c r="E4031" t="s">
        <v>22</v>
      </c>
      <c r="F4031" t="s">
        <v>14</v>
      </c>
      <c r="G4031">
        <v>259</v>
      </c>
      <c r="H4031">
        <v>358.92</v>
      </c>
      <c r="I4031">
        <v>3</v>
      </c>
      <c r="J4031" t="s">
        <v>15</v>
      </c>
      <c r="K4031">
        <v>92960.28</v>
      </c>
      <c r="L4031" t="str">
        <f t="shared" si="248"/>
        <v>Oct</v>
      </c>
      <c r="M4031">
        <f t="shared" si="249"/>
        <v>2025</v>
      </c>
      <c r="N4031">
        <f t="shared" si="250"/>
        <v>92960.28</v>
      </c>
      <c r="O4031" t="str">
        <f t="shared" si="251"/>
        <v>Minor Delay</v>
      </c>
    </row>
    <row r="4032" spans="1:15" x14ac:dyDescent="0.25">
      <c r="A4032">
        <v>4031</v>
      </c>
      <c r="B4032" s="2">
        <v>45869</v>
      </c>
      <c r="C4032" t="s">
        <v>11</v>
      </c>
      <c r="D4032" t="s">
        <v>22</v>
      </c>
      <c r="E4032" t="s">
        <v>13</v>
      </c>
      <c r="F4032" t="s">
        <v>21</v>
      </c>
      <c r="G4032">
        <v>291</v>
      </c>
      <c r="H4032">
        <v>397.98</v>
      </c>
      <c r="I4032">
        <v>5</v>
      </c>
      <c r="J4032" t="s">
        <v>15</v>
      </c>
      <c r="K4032">
        <v>115812.18</v>
      </c>
      <c r="L4032" t="str">
        <f t="shared" si="248"/>
        <v>Jul</v>
      </c>
      <c r="M4032">
        <f t="shared" si="249"/>
        <v>2025</v>
      </c>
      <c r="N4032">
        <f t="shared" si="250"/>
        <v>115812.18000000001</v>
      </c>
      <c r="O4032" t="str">
        <f t="shared" si="251"/>
        <v>Minor Delay</v>
      </c>
    </row>
    <row r="4033" spans="1:15" x14ac:dyDescent="0.25">
      <c r="A4033">
        <v>4032</v>
      </c>
      <c r="B4033" s="2">
        <v>45950</v>
      </c>
      <c r="C4033" t="s">
        <v>25</v>
      </c>
      <c r="D4033" t="s">
        <v>27</v>
      </c>
      <c r="E4033" t="s">
        <v>22</v>
      </c>
      <c r="F4033" t="s">
        <v>14</v>
      </c>
      <c r="G4033">
        <v>174</v>
      </c>
      <c r="H4033">
        <v>250.84</v>
      </c>
      <c r="I4033">
        <v>42</v>
      </c>
      <c r="J4033" t="s">
        <v>15</v>
      </c>
      <c r="K4033">
        <v>43646.16</v>
      </c>
      <c r="L4033" t="str">
        <f t="shared" si="248"/>
        <v>Oct</v>
      </c>
      <c r="M4033">
        <f t="shared" si="249"/>
        <v>2025</v>
      </c>
      <c r="N4033">
        <f t="shared" si="250"/>
        <v>43646.16</v>
      </c>
      <c r="O4033" t="str">
        <f t="shared" si="251"/>
        <v>Moderate Delay</v>
      </c>
    </row>
    <row r="4034" spans="1:15" x14ac:dyDescent="0.25">
      <c r="A4034">
        <v>4033</v>
      </c>
      <c r="B4034" s="2">
        <v>45814</v>
      </c>
      <c r="C4034" t="s">
        <v>11</v>
      </c>
      <c r="D4034" t="s">
        <v>23</v>
      </c>
      <c r="E4034" t="s">
        <v>12</v>
      </c>
      <c r="F4034" t="s">
        <v>21</v>
      </c>
      <c r="G4034">
        <v>208</v>
      </c>
      <c r="H4034">
        <v>546.86</v>
      </c>
      <c r="I4034">
        <v>14</v>
      </c>
      <c r="J4034" t="s">
        <v>30</v>
      </c>
      <c r="K4034">
        <v>113746.88</v>
      </c>
      <c r="L4034" t="str">
        <f t="shared" si="248"/>
        <v>Jun</v>
      </c>
      <c r="M4034">
        <f t="shared" si="249"/>
        <v>2025</v>
      </c>
      <c r="N4034">
        <f t="shared" si="250"/>
        <v>113746.88</v>
      </c>
      <c r="O4034" t="str">
        <f t="shared" si="251"/>
        <v>Minor Delay</v>
      </c>
    </row>
    <row r="4035" spans="1:15" x14ac:dyDescent="0.25">
      <c r="A4035">
        <v>4034</v>
      </c>
      <c r="B4035" s="2">
        <v>45749</v>
      </c>
      <c r="C4035" t="s">
        <v>26</v>
      </c>
      <c r="D4035" t="s">
        <v>20</v>
      </c>
      <c r="E4035" t="s">
        <v>17</v>
      </c>
      <c r="F4035" t="s">
        <v>14</v>
      </c>
      <c r="G4035">
        <v>222</v>
      </c>
      <c r="H4035">
        <v>623.21</v>
      </c>
      <c r="I4035">
        <v>42</v>
      </c>
      <c r="J4035" t="s">
        <v>15</v>
      </c>
      <c r="K4035">
        <v>138352.62</v>
      </c>
      <c r="L4035" t="str">
        <f t="shared" ref="L4035:L4098" si="252">TEXT(B4035,"MMM")</f>
        <v>Apr</v>
      </c>
      <c r="M4035">
        <f t="shared" ref="M4035:M4098" si="253">YEAR(B4035)</f>
        <v>2025</v>
      </c>
      <c r="N4035">
        <f t="shared" ref="N4035:N4098" si="254">G4035*H4035</f>
        <v>138352.62</v>
      </c>
      <c r="O4035" t="str">
        <f t="shared" ref="O4035:O4098" si="255">IF(I4035=0,"On Time",IF(I4035&lt;=30,"Minor Delay",IF(I4035&lt;=60,"Moderate Delay","Major Delay")))</f>
        <v>Moderate Delay</v>
      </c>
    </row>
    <row r="4036" spans="1:15" x14ac:dyDescent="0.25">
      <c r="A4036">
        <v>4035</v>
      </c>
      <c r="B4036" s="2">
        <v>45857</v>
      </c>
      <c r="C4036" t="s">
        <v>31</v>
      </c>
      <c r="D4036" t="s">
        <v>20</v>
      </c>
      <c r="E4036" t="s">
        <v>17</v>
      </c>
      <c r="F4036" t="s">
        <v>14</v>
      </c>
      <c r="G4036">
        <v>274</v>
      </c>
      <c r="H4036">
        <v>504.42</v>
      </c>
      <c r="I4036">
        <v>15</v>
      </c>
      <c r="J4036" t="s">
        <v>15</v>
      </c>
      <c r="K4036">
        <v>138211.07999999999</v>
      </c>
      <c r="L4036" t="str">
        <f t="shared" si="252"/>
        <v>Jul</v>
      </c>
      <c r="M4036">
        <f t="shared" si="253"/>
        <v>2025</v>
      </c>
      <c r="N4036">
        <f t="shared" si="254"/>
        <v>138211.08000000002</v>
      </c>
      <c r="O4036" t="str">
        <f t="shared" si="255"/>
        <v>Minor Delay</v>
      </c>
    </row>
    <row r="4037" spans="1:15" x14ac:dyDescent="0.25">
      <c r="A4037">
        <v>4036</v>
      </c>
      <c r="B4037" s="2">
        <v>45729</v>
      </c>
      <c r="C4037" t="s">
        <v>31</v>
      </c>
      <c r="D4037" t="s">
        <v>23</v>
      </c>
      <c r="E4037" t="s">
        <v>27</v>
      </c>
      <c r="F4037" t="s">
        <v>21</v>
      </c>
      <c r="G4037">
        <v>152</v>
      </c>
      <c r="H4037">
        <v>151.36000000000001</v>
      </c>
      <c r="I4037">
        <v>26</v>
      </c>
      <c r="J4037" t="s">
        <v>28</v>
      </c>
      <c r="K4037">
        <v>23006.720000000001</v>
      </c>
      <c r="L4037" t="str">
        <f t="shared" si="252"/>
        <v>Mar</v>
      </c>
      <c r="M4037">
        <f t="shared" si="253"/>
        <v>2025</v>
      </c>
      <c r="N4037">
        <f t="shared" si="254"/>
        <v>23006.720000000001</v>
      </c>
      <c r="O4037" t="str">
        <f t="shared" si="255"/>
        <v>Minor Delay</v>
      </c>
    </row>
    <row r="4038" spans="1:15" x14ac:dyDescent="0.25">
      <c r="A4038">
        <v>4037</v>
      </c>
      <c r="B4038" s="2">
        <v>45956</v>
      </c>
      <c r="C4038" t="s">
        <v>16</v>
      </c>
      <c r="D4038" t="s">
        <v>17</v>
      </c>
      <c r="E4038" t="s">
        <v>22</v>
      </c>
      <c r="F4038" t="s">
        <v>14</v>
      </c>
      <c r="G4038">
        <v>297</v>
      </c>
      <c r="H4038">
        <v>638.91999999999996</v>
      </c>
      <c r="I4038">
        <v>14</v>
      </c>
      <c r="J4038" t="s">
        <v>30</v>
      </c>
      <c r="K4038">
        <v>189759.24</v>
      </c>
      <c r="L4038" t="str">
        <f t="shared" si="252"/>
        <v>Oct</v>
      </c>
      <c r="M4038">
        <f t="shared" si="253"/>
        <v>2025</v>
      </c>
      <c r="N4038">
        <f t="shared" si="254"/>
        <v>189759.24</v>
      </c>
      <c r="O4038" t="str">
        <f t="shared" si="255"/>
        <v>Minor Delay</v>
      </c>
    </row>
    <row r="4039" spans="1:15" x14ac:dyDescent="0.25">
      <c r="A4039">
        <v>4038</v>
      </c>
      <c r="B4039" s="2">
        <v>45719</v>
      </c>
      <c r="C4039" t="s">
        <v>18</v>
      </c>
      <c r="D4039" t="s">
        <v>17</v>
      </c>
      <c r="E4039" t="s">
        <v>12</v>
      </c>
      <c r="F4039" t="s">
        <v>24</v>
      </c>
      <c r="G4039">
        <v>85</v>
      </c>
      <c r="H4039">
        <v>628.86</v>
      </c>
      <c r="I4039">
        <v>7</v>
      </c>
      <c r="J4039" t="s">
        <v>15</v>
      </c>
      <c r="K4039">
        <v>53453.1</v>
      </c>
      <c r="L4039" t="str">
        <f t="shared" si="252"/>
        <v>Mar</v>
      </c>
      <c r="M4039">
        <f t="shared" si="253"/>
        <v>2025</v>
      </c>
      <c r="N4039">
        <f t="shared" si="254"/>
        <v>53453.1</v>
      </c>
      <c r="O4039" t="str">
        <f t="shared" si="255"/>
        <v>Minor Delay</v>
      </c>
    </row>
    <row r="4040" spans="1:15" x14ac:dyDescent="0.25">
      <c r="A4040">
        <v>4039</v>
      </c>
      <c r="B4040" s="2">
        <v>45755</v>
      </c>
      <c r="C4040" t="s">
        <v>26</v>
      </c>
      <c r="D4040" t="s">
        <v>17</v>
      </c>
      <c r="E4040" t="s">
        <v>13</v>
      </c>
      <c r="F4040" t="s">
        <v>21</v>
      </c>
      <c r="G4040">
        <v>183</v>
      </c>
      <c r="H4040">
        <v>154.33000000000001</v>
      </c>
      <c r="I4040">
        <v>28</v>
      </c>
      <c r="J4040" t="s">
        <v>15</v>
      </c>
      <c r="K4040">
        <v>28242.39</v>
      </c>
      <c r="L4040" t="str">
        <f t="shared" si="252"/>
        <v>Apr</v>
      </c>
      <c r="M4040">
        <f t="shared" si="253"/>
        <v>2025</v>
      </c>
      <c r="N4040">
        <f t="shared" si="254"/>
        <v>28242.390000000003</v>
      </c>
      <c r="O4040" t="str">
        <f t="shared" si="255"/>
        <v>Minor Delay</v>
      </c>
    </row>
    <row r="4041" spans="1:15" x14ac:dyDescent="0.25">
      <c r="A4041">
        <v>4040</v>
      </c>
      <c r="B4041" s="2">
        <v>45991</v>
      </c>
      <c r="C4041" t="s">
        <v>16</v>
      </c>
      <c r="D4041" t="s">
        <v>17</v>
      </c>
      <c r="E4041" t="s">
        <v>27</v>
      </c>
      <c r="F4041" t="s">
        <v>14</v>
      </c>
      <c r="G4041">
        <v>151</v>
      </c>
      <c r="H4041">
        <v>333.49</v>
      </c>
      <c r="I4041">
        <v>0</v>
      </c>
      <c r="J4041" t="s">
        <v>15</v>
      </c>
      <c r="K4041">
        <v>50356.99</v>
      </c>
      <c r="L4041" t="str">
        <f t="shared" si="252"/>
        <v>Nov</v>
      </c>
      <c r="M4041">
        <f t="shared" si="253"/>
        <v>2025</v>
      </c>
      <c r="N4041">
        <f t="shared" si="254"/>
        <v>50356.99</v>
      </c>
      <c r="O4041" t="str">
        <f t="shared" si="255"/>
        <v>On Time</v>
      </c>
    </row>
    <row r="4042" spans="1:15" x14ac:dyDescent="0.25">
      <c r="A4042">
        <v>4041</v>
      </c>
      <c r="B4042" s="2">
        <v>46008</v>
      </c>
      <c r="C4042" t="s">
        <v>26</v>
      </c>
      <c r="D4042" t="s">
        <v>20</v>
      </c>
      <c r="E4042" t="s">
        <v>27</v>
      </c>
      <c r="F4042" t="s">
        <v>14</v>
      </c>
      <c r="G4042">
        <v>90</v>
      </c>
      <c r="H4042">
        <v>106.55</v>
      </c>
      <c r="I4042">
        <v>0</v>
      </c>
      <c r="J4042" t="s">
        <v>30</v>
      </c>
      <c r="K4042">
        <v>9589.5</v>
      </c>
      <c r="L4042" t="str">
        <f t="shared" si="252"/>
        <v>Dec</v>
      </c>
      <c r="M4042">
        <f t="shared" si="253"/>
        <v>2025</v>
      </c>
      <c r="N4042">
        <f t="shared" si="254"/>
        <v>9589.5</v>
      </c>
      <c r="O4042" t="str">
        <f t="shared" si="255"/>
        <v>On Time</v>
      </c>
    </row>
    <row r="4043" spans="1:15" x14ac:dyDescent="0.25">
      <c r="A4043">
        <v>4042</v>
      </c>
      <c r="B4043" s="2">
        <v>45733</v>
      </c>
      <c r="C4043" t="s">
        <v>26</v>
      </c>
      <c r="D4043" t="s">
        <v>19</v>
      </c>
      <c r="E4043" t="s">
        <v>12</v>
      </c>
      <c r="F4043" t="s">
        <v>14</v>
      </c>
      <c r="G4043">
        <v>120</v>
      </c>
      <c r="H4043">
        <v>192.69</v>
      </c>
      <c r="I4043">
        <v>64</v>
      </c>
      <c r="J4043" t="s">
        <v>15</v>
      </c>
      <c r="K4043">
        <v>23122.799999999999</v>
      </c>
      <c r="L4043" t="str">
        <f t="shared" si="252"/>
        <v>Mar</v>
      </c>
      <c r="M4043">
        <f t="shared" si="253"/>
        <v>2025</v>
      </c>
      <c r="N4043">
        <f t="shared" si="254"/>
        <v>23122.799999999999</v>
      </c>
      <c r="O4043" t="str">
        <f t="shared" si="255"/>
        <v>Major Delay</v>
      </c>
    </row>
    <row r="4044" spans="1:15" x14ac:dyDescent="0.25">
      <c r="A4044">
        <v>4043</v>
      </c>
      <c r="B4044" s="2">
        <v>45857</v>
      </c>
      <c r="C4044" t="s">
        <v>16</v>
      </c>
      <c r="D4044" t="s">
        <v>29</v>
      </c>
      <c r="E4044" t="s">
        <v>17</v>
      </c>
      <c r="F4044" t="s">
        <v>14</v>
      </c>
      <c r="G4044">
        <v>183</v>
      </c>
      <c r="H4044">
        <v>297.56</v>
      </c>
      <c r="I4044">
        <v>44</v>
      </c>
      <c r="J4044" t="s">
        <v>15</v>
      </c>
      <c r="K4044">
        <v>54453.48</v>
      </c>
      <c r="L4044" t="str">
        <f t="shared" si="252"/>
        <v>Jul</v>
      </c>
      <c r="M4044">
        <f t="shared" si="253"/>
        <v>2025</v>
      </c>
      <c r="N4044">
        <f t="shared" si="254"/>
        <v>54453.48</v>
      </c>
      <c r="O4044" t="str">
        <f t="shared" si="255"/>
        <v>Moderate Delay</v>
      </c>
    </row>
    <row r="4045" spans="1:15" x14ac:dyDescent="0.25">
      <c r="A4045">
        <v>4044</v>
      </c>
      <c r="B4045" s="2">
        <v>45889</v>
      </c>
      <c r="C4045" t="s">
        <v>11</v>
      </c>
      <c r="D4045" t="s">
        <v>17</v>
      </c>
      <c r="E4045" t="s">
        <v>12</v>
      </c>
      <c r="F4045" t="s">
        <v>14</v>
      </c>
      <c r="G4045">
        <v>142</v>
      </c>
      <c r="H4045">
        <v>767.28</v>
      </c>
      <c r="I4045">
        <v>0</v>
      </c>
      <c r="J4045" t="s">
        <v>15</v>
      </c>
      <c r="K4045">
        <v>108953.76</v>
      </c>
      <c r="L4045" t="str">
        <f t="shared" si="252"/>
        <v>Aug</v>
      </c>
      <c r="M4045">
        <f t="shared" si="253"/>
        <v>2025</v>
      </c>
      <c r="N4045">
        <f t="shared" si="254"/>
        <v>108953.76</v>
      </c>
      <c r="O4045" t="str">
        <f t="shared" si="255"/>
        <v>On Time</v>
      </c>
    </row>
    <row r="4046" spans="1:15" x14ac:dyDescent="0.25">
      <c r="A4046">
        <v>4045</v>
      </c>
      <c r="B4046" s="2">
        <v>45978</v>
      </c>
      <c r="C4046" t="s">
        <v>26</v>
      </c>
      <c r="D4046" t="s">
        <v>29</v>
      </c>
      <c r="E4046" t="s">
        <v>13</v>
      </c>
      <c r="F4046" t="s">
        <v>21</v>
      </c>
      <c r="G4046">
        <v>279</v>
      </c>
      <c r="H4046">
        <v>228.47</v>
      </c>
      <c r="I4046">
        <v>23</v>
      </c>
      <c r="J4046" t="s">
        <v>15</v>
      </c>
      <c r="K4046">
        <v>63743.13</v>
      </c>
      <c r="L4046" t="str">
        <f t="shared" si="252"/>
        <v>Nov</v>
      </c>
      <c r="M4046">
        <f t="shared" si="253"/>
        <v>2025</v>
      </c>
      <c r="N4046">
        <f t="shared" si="254"/>
        <v>63743.13</v>
      </c>
      <c r="O4046" t="str">
        <f t="shared" si="255"/>
        <v>Minor Delay</v>
      </c>
    </row>
    <row r="4047" spans="1:15" x14ac:dyDescent="0.25">
      <c r="A4047">
        <v>4046</v>
      </c>
      <c r="B4047" s="2">
        <v>45848</v>
      </c>
      <c r="C4047" t="s">
        <v>18</v>
      </c>
      <c r="D4047" t="s">
        <v>27</v>
      </c>
      <c r="E4047" t="s">
        <v>23</v>
      </c>
      <c r="F4047" t="s">
        <v>14</v>
      </c>
      <c r="G4047">
        <v>134</v>
      </c>
      <c r="H4047">
        <v>513.34</v>
      </c>
      <c r="I4047">
        <v>30</v>
      </c>
      <c r="J4047" t="s">
        <v>30</v>
      </c>
      <c r="K4047">
        <v>68787.56</v>
      </c>
      <c r="L4047" t="str">
        <f t="shared" si="252"/>
        <v>Jul</v>
      </c>
      <c r="M4047">
        <f t="shared" si="253"/>
        <v>2025</v>
      </c>
      <c r="N4047">
        <f t="shared" si="254"/>
        <v>68787.56</v>
      </c>
      <c r="O4047" t="str">
        <f t="shared" si="255"/>
        <v>Minor Delay</v>
      </c>
    </row>
    <row r="4048" spans="1:15" x14ac:dyDescent="0.25">
      <c r="A4048">
        <v>4047</v>
      </c>
      <c r="B4048" s="2">
        <v>45997</v>
      </c>
      <c r="C4048" t="s">
        <v>11</v>
      </c>
      <c r="D4048" t="s">
        <v>19</v>
      </c>
      <c r="E4048" t="s">
        <v>22</v>
      </c>
      <c r="F4048" t="s">
        <v>14</v>
      </c>
      <c r="G4048">
        <v>88</v>
      </c>
      <c r="H4048">
        <v>153.88999999999999</v>
      </c>
      <c r="I4048">
        <v>17</v>
      </c>
      <c r="J4048" t="s">
        <v>15</v>
      </c>
      <c r="K4048">
        <v>13542.32</v>
      </c>
      <c r="L4048" t="str">
        <f t="shared" si="252"/>
        <v>Dec</v>
      </c>
      <c r="M4048">
        <f t="shared" si="253"/>
        <v>2025</v>
      </c>
      <c r="N4048">
        <f t="shared" si="254"/>
        <v>13542.32</v>
      </c>
      <c r="O4048" t="str">
        <f t="shared" si="255"/>
        <v>Minor Delay</v>
      </c>
    </row>
    <row r="4049" spans="1:15" x14ac:dyDescent="0.25">
      <c r="A4049">
        <v>4048</v>
      </c>
      <c r="B4049" s="2">
        <v>45790</v>
      </c>
      <c r="C4049" t="s">
        <v>25</v>
      </c>
      <c r="D4049" t="s">
        <v>29</v>
      </c>
      <c r="E4049" t="s">
        <v>22</v>
      </c>
      <c r="F4049" t="s">
        <v>14</v>
      </c>
      <c r="G4049">
        <v>235</v>
      </c>
      <c r="H4049">
        <v>140.66</v>
      </c>
      <c r="I4049">
        <v>7</v>
      </c>
      <c r="J4049" t="s">
        <v>30</v>
      </c>
      <c r="K4049">
        <v>33055.1</v>
      </c>
      <c r="L4049" t="str">
        <f t="shared" si="252"/>
        <v>May</v>
      </c>
      <c r="M4049">
        <f t="shared" si="253"/>
        <v>2025</v>
      </c>
      <c r="N4049">
        <f t="shared" si="254"/>
        <v>33055.1</v>
      </c>
      <c r="O4049" t="str">
        <f t="shared" si="255"/>
        <v>Minor Delay</v>
      </c>
    </row>
    <row r="4050" spans="1:15" x14ac:dyDescent="0.25">
      <c r="A4050">
        <v>4049</v>
      </c>
      <c r="B4050" s="2">
        <v>45673</v>
      </c>
      <c r="C4050" t="s">
        <v>31</v>
      </c>
      <c r="D4050" t="s">
        <v>12</v>
      </c>
      <c r="E4050" t="s">
        <v>22</v>
      </c>
      <c r="F4050" t="s">
        <v>24</v>
      </c>
      <c r="G4050">
        <v>181</v>
      </c>
      <c r="H4050">
        <v>224.61</v>
      </c>
      <c r="I4050">
        <v>4</v>
      </c>
      <c r="J4050" t="s">
        <v>15</v>
      </c>
      <c r="K4050">
        <v>40654.410000000003</v>
      </c>
      <c r="L4050" t="str">
        <f t="shared" si="252"/>
        <v>Jan</v>
      </c>
      <c r="M4050">
        <f t="shared" si="253"/>
        <v>2025</v>
      </c>
      <c r="N4050">
        <f t="shared" si="254"/>
        <v>40654.410000000003</v>
      </c>
      <c r="O4050" t="str">
        <f t="shared" si="255"/>
        <v>Minor Delay</v>
      </c>
    </row>
    <row r="4051" spans="1:15" x14ac:dyDescent="0.25">
      <c r="A4051">
        <v>4050</v>
      </c>
      <c r="B4051" s="2">
        <v>45960</v>
      </c>
      <c r="C4051" t="s">
        <v>31</v>
      </c>
      <c r="D4051" t="s">
        <v>20</v>
      </c>
      <c r="E4051" t="s">
        <v>27</v>
      </c>
      <c r="F4051" t="s">
        <v>14</v>
      </c>
      <c r="G4051">
        <v>226</v>
      </c>
      <c r="H4051">
        <v>706.66</v>
      </c>
      <c r="I4051">
        <v>0</v>
      </c>
      <c r="J4051" t="s">
        <v>15</v>
      </c>
      <c r="K4051">
        <v>159705.16</v>
      </c>
      <c r="L4051" t="str">
        <f t="shared" si="252"/>
        <v>Oct</v>
      </c>
      <c r="M4051">
        <f t="shared" si="253"/>
        <v>2025</v>
      </c>
      <c r="N4051">
        <f t="shared" si="254"/>
        <v>159705.16</v>
      </c>
      <c r="O4051" t="str">
        <f t="shared" si="255"/>
        <v>On Time</v>
      </c>
    </row>
    <row r="4052" spans="1:15" x14ac:dyDescent="0.25">
      <c r="A4052">
        <v>4051</v>
      </c>
      <c r="B4052" s="2">
        <v>45716</v>
      </c>
      <c r="C4052" t="s">
        <v>18</v>
      </c>
      <c r="D4052" t="s">
        <v>29</v>
      </c>
      <c r="E4052" t="s">
        <v>12</v>
      </c>
      <c r="F4052" t="s">
        <v>21</v>
      </c>
      <c r="G4052">
        <v>87</v>
      </c>
      <c r="H4052">
        <v>228.78</v>
      </c>
      <c r="I4052">
        <v>27</v>
      </c>
      <c r="J4052" t="s">
        <v>15</v>
      </c>
      <c r="K4052">
        <v>19903.86</v>
      </c>
      <c r="L4052" t="str">
        <f t="shared" si="252"/>
        <v>Feb</v>
      </c>
      <c r="M4052">
        <f t="shared" si="253"/>
        <v>2025</v>
      </c>
      <c r="N4052">
        <f t="shared" si="254"/>
        <v>19903.86</v>
      </c>
      <c r="O4052" t="str">
        <f t="shared" si="255"/>
        <v>Minor Delay</v>
      </c>
    </row>
    <row r="4053" spans="1:15" x14ac:dyDescent="0.25">
      <c r="A4053">
        <v>4052</v>
      </c>
      <c r="B4053" s="2">
        <v>45915</v>
      </c>
      <c r="C4053" t="s">
        <v>16</v>
      </c>
      <c r="D4053" t="s">
        <v>27</v>
      </c>
      <c r="E4053" t="s">
        <v>12</v>
      </c>
      <c r="F4053" t="s">
        <v>21</v>
      </c>
      <c r="G4053">
        <v>53</v>
      </c>
      <c r="H4053">
        <v>770.48</v>
      </c>
      <c r="I4053">
        <v>54</v>
      </c>
      <c r="J4053" t="s">
        <v>30</v>
      </c>
      <c r="K4053">
        <v>40835.440000000002</v>
      </c>
      <c r="L4053" t="str">
        <f t="shared" si="252"/>
        <v>Sep</v>
      </c>
      <c r="M4053">
        <f t="shared" si="253"/>
        <v>2025</v>
      </c>
      <c r="N4053">
        <f t="shared" si="254"/>
        <v>40835.440000000002</v>
      </c>
      <c r="O4053" t="str">
        <f t="shared" si="255"/>
        <v>Moderate Delay</v>
      </c>
    </row>
    <row r="4054" spans="1:15" x14ac:dyDescent="0.25">
      <c r="A4054">
        <v>4053</v>
      </c>
      <c r="B4054" s="2">
        <v>45817</v>
      </c>
      <c r="C4054" t="s">
        <v>11</v>
      </c>
      <c r="D4054" t="s">
        <v>17</v>
      </c>
      <c r="E4054" t="s">
        <v>29</v>
      </c>
      <c r="F4054" t="s">
        <v>24</v>
      </c>
      <c r="G4054">
        <v>138</v>
      </c>
      <c r="H4054">
        <v>795.1</v>
      </c>
      <c r="I4054">
        <v>0</v>
      </c>
      <c r="J4054" t="s">
        <v>30</v>
      </c>
      <c r="K4054">
        <v>109723.8</v>
      </c>
      <c r="L4054" t="str">
        <f t="shared" si="252"/>
        <v>Jun</v>
      </c>
      <c r="M4054">
        <f t="shared" si="253"/>
        <v>2025</v>
      </c>
      <c r="N4054">
        <f t="shared" si="254"/>
        <v>109723.8</v>
      </c>
      <c r="O4054" t="str">
        <f t="shared" si="255"/>
        <v>On Time</v>
      </c>
    </row>
    <row r="4055" spans="1:15" x14ac:dyDescent="0.25">
      <c r="A4055">
        <v>4054</v>
      </c>
      <c r="B4055" s="2">
        <v>45843</v>
      </c>
      <c r="C4055" t="s">
        <v>31</v>
      </c>
      <c r="D4055" t="s">
        <v>19</v>
      </c>
      <c r="E4055" t="s">
        <v>17</v>
      </c>
      <c r="F4055" t="s">
        <v>24</v>
      </c>
      <c r="G4055">
        <v>165</v>
      </c>
      <c r="H4055">
        <v>779.58</v>
      </c>
      <c r="I4055">
        <v>15</v>
      </c>
      <c r="J4055" t="s">
        <v>15</v>
      </c>
      <c r="K4055">
        <v>128630.7</v>
      </c>
      <c r="L4055" t="str">
        <f t="shared" si="252"/>
        <v>Jul</v>
      </c>
      <c r="M4055">
        <f t="shared" si="253"/>
        <v>2025</v>
      </c>
      <c r="N4055">
        <f t="shared" si="254"/>
        <v>128630.70000000001</v>
      </c>
      <c r="O4055" t="str">
        <f t="shared" si="255"/>
        <v>Minor Delay</v>
      </c>
    </row>
    <row r="4056" spans="1:15" x14ac:dyDescent="0.25">
      <c r="A4056">
        <v>4055</v>
      </c>
      <c r="B4056" s="2">
        <v>45871</v>
      </c>
      <c r="C4056" t="s">
        <v>11</v>
      </c>
      <c r="D4056" t="s">
        <v>22</v>
      </c>
      <c r="E4056" t="s">
        <v>29</v>
      </c>
      <c r="F4056" t="s">
        <v>21</v>
      </c>
      <c r="G4056">
        <v>126</v>
      </c>
      <c r="H4056">
        <v>431.68</v>
      </c>
      <c r="I4056">
        <v>33</v>
      </c>
      <c r="J4056" t="s">
        <v>15</v>
      </c>
      <c r="K4056">
        <v>54391.68</v>
      </c>
      <c r="L4056" t="str">
        <f t="shared" si="252"/>
        <v>Aug</v>
      </c>
      <c r="M4056">
        <f t="shared" si="253"/>
        <v>2025</v>
      </c>
      <c r="N4056">
        <f t="shared" si="254"/>
        <v>54391.68</v>
      </c>
      <c r="O4056" t="str">
        <f t="shared" si="255"/>
        <v>Moderate Delay</v>
      </c>
    </row>
    <row r="4057" spans="1:15" x14ac:dyDescent="0.25">
      <c r="A4057">
        <v>4056</v>
      </c>
      <c r="B4057" s="2">
        <v>45819</v>
      </c>
      <c r="C4057" t="s">
        <v>26</v>
      </c>
      <c r="D4057" t="s">
        <v>20</v>
      </c>
      <c r="E4057" t="s">
        <v>29</v>
      </c>
      <c r="F4057" t="s">
        <v>24</v>
      </c>
      <c r="G4057">
        <v>241</v>
      </c>
      <c r="H4057">
        <v>197.4</v>
      </c>
      <c r="I4057">
        <v>15</v>
      </c>
      <c r="J4057" t="s">
        <v>15</v>
      </c>
      <c r="K4057">
        <v>47573.4</v>
      </c>
      <c r="L4057" t="str">
        <f t="shared" si="252"/>
        <v>Jun</v>
      </c>
      <c r="M4057">
        <f t="shared" si="253"/>
        <v>2025</v>
      </c>
      <c r="N4057">
        <f t="shared" si="254"/>
        <v>47573.4</v>
      </c>
      <c r="O4057" t="str">
        <f t="shared" si="255"/>
        <v>Minor Delay</v>
      </c>
    </row>
    <row r="4058" spans="1:15" x14ac:dyDescent="0.25">
      <c r="A4058">
        <v>4057</v>
      </c>
      <c r="B4058" s="2">
        <v>45717</v>
      </c>
      <c r="C4058" t="s">
        <v>16</v>
      </c>
      <c r="D4058" t="s">
        <v>19</v>
      </c>
      <c r="E4058" t="s">
        <v>17</v>
      </c>
      <c r="F4058" t="s">
        <v>24</v>
      </c>
      <c r="G4058">
        <v>298</v>
      </c>
      <c r="H4058">
        <v>449.53</v>
      </c>
      <c r="I4058">
        <v>4</v>
      </c>
      <c r="J4058" t="s">
        <v>15</v>
      </c>
      <c r="K4058">
        <v>133959.94</v>
      </c>
      <c r="L4058" t="str">
        <f t="shared" si="252"/>
        <v>Mar</v>
      </c>
      <c r="M4058">
        <f t="shared" si="253"/>
        <v>2025</v>
      </c>
      <c r="N4058">
        <f t="shared" si="254"/>
        <v>133959.94</v>
      </c>
      <c r="O4058" t="str">
        <f t="shared" si="255"/>
        <v>Minor Delay</v>
      </c>
    </row>
    <row r="4059" spans="1:15" x14ac:dyDescent="0.25">
      <c r="A4059">
        <v>4058</v>
      </c>
      <c r="B4059" s="2">
        <v>45786</v>
      </c>
      <c r="C4059" t="s">
        <v>26</v>
      </c>
      <c r="D4059" t="s">
        <v>13</v>
      </c>
      <c r="E4059" t="s">
        <v>23</v>
      </c>
      <c r="F4059" t="s">
        <v>24</v>
      </c>
      <c r="G4059">
        <v>108</v>
      </c>
      <c r="H4059">
        <v>469.97</v>
      </c>
      <c r="I4059">
        <v>14</v>
      </c>
      <c r="J4059" t="s">
        <v>15</v>
      </c>
      <c r="K4059">
        <v>50756.76</v>
      </c>
      <c r="L4059" t="str">
        <f t="shared" si="252"/>
        <v>May</v>
      </c>
      <c r="M4059">
        <f t="shared" si="253"/>
        <v>2025</v>
      </c>
      <c r="N4059">
        <f t="shared" si="254"/>
        <v>50756.76</v>
      </c>
      <c r="O4059" t="str">
        <f t="shared" si="255"/>
        <v>Minor Delay</v>
      </c>
    </row>
    <row r="4060" spans="1:15" x14ac:dyDescent="0.25">
      <c r="A4060">
        <v>4059</v>
      </c>
      <c r="B4060" s="2">
        <v>45739</v>
      </c>
      <c r="C4060" t="s">
        <v>16</v>
      </c>
      <c r="D4060" t="s">
        <v>27</v>
      </c>
      <c r="E4060" t="s">
        <v>20</v>
      </c>
      <c r="F4060" t="s">
        <v>24</v>
      </c>
      <c r="G4060">
        <v>162</v>
      </c>
      <c r="H4060">
        <v>353.57</v>
      </c>
      <c r="I4060">
        <v>0</v>
      </c>
      <c r="J4060" t="s">
        <v>15</v>
      </c>
      <c r="K4060">
        <v>57278.34</v>
      </c>
      <c r="L4060" t="str">
        <f t="shared" si="252"/>
        <v>Mar</v>
      </c>
      <c r="M4060">
        <f t="shared" si="253"/>
        <v>2025</v>
      </c>
      <c r="N4060">
        <f t="shared" si="254"/>
        <v>57278.34</v>
      </c>
      <c r="O4060" t="str">
        <f t="shared" si="255"/>
        <v>On Time</v>
      </c>
    </row>
    <row r="4061" spans="1:15" x14ac:dyDescent="0.25">
      <c r="A4061">
        <v>4060</v>
      </c>
      <c r="B4061" s="2">
        <v>45934</v>
      </c>
      <c r="C4061" t="s">
        <v>31</v>
      </c>
      <c r="D4061" t="s">
        <v>27</v>
      </c>
      <c r="E4061" t="s">
        <v>29</v>
      </c>
      <c r="F4061" t="s">
        <v>24</v>
      </c>
      <c r="G4061">
        <v>126</v>
      </c>
      <c r="H4061">
        <v>297.51</v>
      </c>
      <c r="I4061">
        <v>42</v>
      </c>
      <c r="J4061" t="s">
        <v>15</v>
      </c>
      <c r="K4061">
        <v>37486.26</v>
      </c>
      <c r="L4061" t="str">
        <f t="shared" si="252"/>
        <v>Oct</v>
      </c>
      <c r="M4061">
        <f t="shared" si="253"/>
        <v>2025</v>
      </c>
      <c r="N4061">
        <f t="shared" si="254"/>
        <v>37486.26</v>
      </c>
      <c r="O4061" t="str">
        <f t="shared" si="255"/>
        <v>Moderate Delay</v>
      </c>
    </row>
    <row r="4062" spans="1:15" x14ac:dyDescent="0.25">
      <c r="A4062">
        <v>4061</v>
      </c>
      <c r="B4062" s="2">
        <v>45698</v>
      </c>
      <c r="C4062" t="s">
        <v>25</v>
      </c>
      <c r="D4062" t="s">
        <v>27</v>
      </c>
      <c r="E4062" t="s">
        <v>20</v>
      </c>
      <c r="F4062" t="s">
        <v>21</v>
      </c>
      <c r="G4062">
        <v>83</v>
      </c>
      <c r="H4062">
        <v>101.16</v>
      </c>
      <c r="I4062">
        <v>3</v>
      </c>
      <c r="J4062" t="s">
        <v>15</v>
      </c>
      <c r="K4062">
        <v>8396.2800000000007</v>
      </c>
      <c r="L4062" t="str">
        <f t="shared" si="252"/>
        <v>Feb</v>
      </c>
      <c r="M4062">
        <f t="shared" si="253"/>
        <v>2025</v>
      </c>
      <c r="N4062">
        <f t="shared" si="254"/>
        <v>8396.2799999999988</v>
      </c>
      <c r="O4062" t="str">
        <f t="shared" si="255"/>
        <v>Minor Delay</v>
      </c>
    </row>
    <row r="4063" spans="1:15" x14ac:dyDescent="0.25">
      <c r="A4063">
        <v>4062</v>
      </c>
      <c r="B4063" s="2">
        <v>45942</v>
      </c>
      <c r="C4063" t="s">
        <v>26</v>
      </c>
      <c r="D4063" t="s">
        <v>19</v>
      </c>
      <c r="E4063" t="s">
        <v>20</v>
      </c>
      <c r="F4063" t="s">
        <v>21</v>
      </c>
      <c r="G4063">
        <v>98</v>
      </c>
      <c r="H4063">
        <v>136.01</v>
      </c>
      <c r="I4063">
        <v>22</v>
      </c>
      <c r="J4063" t="s">
        <v>15</v>
      </c>
      <c r="K4063">
        <v>13328.98</v>
      </c>
      <c r="L4063" t="str">
        <f t="shared" si="252"/>
        <v>Oct</v>
      </c>
      <c r="M4063">
        <f t="shared" si="253"/>
        <v>2025</v>
      </c>
      <c r="N4063">
        <f t="shared" si="254"/>
        <v>13328.98</v>
      </c>
      <c r="O4063" t="str">
        <f t="shared" si="255"/>
        <v>Minor Delay</v>
      </c>
    </row>
    <row r="4064" spans="1:15" x14ac:dyDescent="0.25">
      <c r="A4064">
        <v>4063</v>
      </c>
      <c r="B4064" s="2">
        <v>45723</v>
      </c>
      <c r="C4064" t="s">
        <v>16</v>
      </c>
      <c r="D4064" t="s">
        <v>29</v>
      </c>
      <c r="E4064" t="s">
        <v>20</v>
      </c>
      <c r="F4064" t="s">
        <v>21</v>
      </c>
      <c r="G4064">
        <v>217</v>
      </c>
      <c r="H4064">
        <v>85.51</v>
      </c>
      <c r="I4064">
        <v>41</v>
      </c>
      <c r="J4064" t="s">
        <v>30</v>
      </c>
      <c r="K4064">
        <v>18555.669999999998</v>
      </c>
      <c r="L4064" t="str">
        <f t="shared" si="252"/>
        <v>Mar</v>
      </c>
      <c r="M4064">
        <f t="shared" si="253"/>
        <v>2025</v>
      </c>
      <c r="N4064">
        <f t="shared" si="254"/>
        <v>18555.670000000002</v>
      </c>
      <c r="O4064" t="str">
        <f t="shared" si="255"/>
        <v>Moderate Delay</v>
      </c>
    </row>
    <row r="4065" spans="1:15" x14ac:dyDescent="0.25">
      <c r="A4065">
        <v>4064</v>
      </c>
      <c r="B4065" s="2">
        <v>45770</v>
      </c>
      <c r="C4065" t="s">
        <v>16</v>
      </c>
      <c r="D4065" t="s">
        <v>23</v>
      </c>
      <c r="E4065" t="s">
        <v>22</v>
      </c>
      <c r="F4065" t="s">
        <v>21</v>
      </c>
      <c r="G4065">
        <v>259</v>
      </c>
      <c r="H4065">
        <v>150.12</v>
      </c>
      <c r="I4065">
        <v>0</v>
      </c>
      <c r="J4065" t="s">
        <v>30</v>
      </c>
      <c r="K4065">
        <v>38881.08</v>
      </c>
      <c r="L4065" t="str">
        <f t="shared" si="252"/>
        <v>Apr</v>
      </c>
      <c r="M4065">
        <f t="shared" si="253"/>
        <v>2025</v>
      </c>
      <c r="N4065">
        <f t="shared" si="254"/>
        <v>38881.08</v>
      </c>
      <c r="O4065" t="str">
        <f t="shared" si="255"/>
        <v>On Time</v>
      </c>
    </row>
    <row r="4066" spans="1:15" x14ac:dyDescent="0.25">
      <c r="A4066">
        <v>4065</v>
      </c>
      <c r="B4066" s="2">
        <v>45804</v>
      </c>
      <c r="C4066" t="s">
        <v>26</v>
      </c>
      <c r="D4066" t="s">
        <v>12</v>
      </c>
      <c r="E4066" t="s">
        <v>22</v>
      </c>
      <c r="F4066" t="s">
        <v>14</v>
      </c>
      <c r="G4066">
        <v>201</v>
      </c>
      <c r="H4066">
        <v>643.46</v>
      </c>
      <c r="I4066">
        <v>0</v>
      </c>
      <c r="J4066" t="s">
        <v>15</v>
      </c>
      <c r="K4066">
        <v>129335.46</v>
      </c>
      <c r="L4066" t="str">
        <f t="shared" si="252"/>
        <v>May</v>
      </c>
      <c r="M4066">
        <f t="shared" si="253"/>
        <v>2025</v>
      </c>
      <c r="N4066">
        <f t="shared" si="254"/>
        <v>129335.46</v>
      </c>
      <c r="O4066" t="str">
        <f t="shared" si="255"/>
        <v>On Time</v>
      </c>
    </row>
    <row r="4067" spans="1:15" x14ac:dyDescent="0.25">
      <c r="A4067">
        <v>4066</v>
      </c>
      <c r="B4067" s="2">
        <v>45796</v>
      </c>
      <c r="C4067" t="s">
        <v>11</v>
      </c>
      <c r="D4067" t="s">
        <v>20</v>
      </c>
      <c r="E4067" t="s">
        <v>23</v>
      </c>
      <c r="F4067" t="s">
        <v>14</v>
      </c>
      <c r="G4067">
        <v>67</v>
      </c>
      <c r="H4067">
        <v>500.42</v>
      </c>
      <c r="I4067">
        <v>0</v>
      </c>
      <c r="J4067" t="s">
        <v>15</v>
      </c>
      <c r="K4067">
        <v>33528.14</v>
      </c>
      <c r="L4067" t="str">
        <f t="shared" si="252"/>
        <v>May</v>
      </c>
      <c r="M4067">
        <f t="shared" si="253"/>
        <v>2025</v>
      </c>
      <c r="N4067">
        <f t="shared" si="254"/>
        <v>33528.14</v>
      </c>
      <c r="O4067" t="str">
        <f t="shared" si="255"/>
        <v>On Time</v>
      </c>
    </row>
    <row r="4068" spans="1:15" x14ac:dyDescent="0.25">
      <c r="A4068">
        <v>4067</v>
      </c>
      <c r="B4068" s="2">
        <v>45720</v>
      </c>
      <c r="C4068" t="s">
        <v>25</v>
      </c>
      <c r="D4068" t="s">
        <v>20</v>
      </c>
      <c r="E4068" t="s">
        <v>12</v>
      </c>
      <c r="F4068" t="s">
        <v>24</v>
      </c>
      <c r="G4068">
        <v>108</v>
      </c>
      <c r="H4068">
        <v>228.04</v>
      </c>
      <c r="I4068">
        <v>20</v>
      </c>
      <c r="J4068" t="s">
        <v>15</v>
      </c>
      <c r="K4068">
        <v>24628.32</v>
      </c>
      <c r="L4068" t="str">
        <f t="shared" si="252"/>
        <v>Mar</v>
      </c>
      <c r="M4068">
        <f t="shared" si="253"/>
        <v>2025</v>
      </c>
      <c r="N4068">
        <f t="shared" si="254"/>
        <v>24628.32</v>
      </c>
      <c r="O4068" t="str">
        <f t="shared" si="255"/>
        <v>Minor Delay</v>
      </c>
    </row>
    <row r="4069" spans="1:15" x14ac:dyDescent="0.25">
      <c r="A4069">
        <v>4068</v>
      </c>
      <c r="B4069" s="2">
        <v>45976</v>
      </c>
      <c r="C4069" t="s">
        <v>18</v>
      </c>
      <c r="D4069" t="s">
        <v>20</v>
      </c>
      <c r="E4069" t="s">
        <v>29</v>
      </c>
      <c r="F4069" t="s">
        <v>21</v>
      </c>
      <c r="G4069">
        <v>169</v>
      </c>
      <c r="H4069">
        <v>81.08</v>
      </c>
      <c r="I4069">
        <v>40</v>
      </c>
      <c r="J4069" t="s">
        <v>15</v>
      </c>
      <c r="K4069">
        <v>13702.52</v>
      </c>
      <c r="L4069" t="str">
        <f t="shared" si="252"/>
        <v>Nov</v>
      </c>
      <c r="M4069">
        <f t="shared" si="253"/>
        <v>2025</v>
      </c>
      <c r="N4069">
        <f t="shared" si="254"/>
        <v>13702.52</v>
      </c>
      <c r="O4069" t="str">
        <f t="shared" si="255"/>
        <v>Moderate Delay</v>
      </c>
    </row>
    <row r="4070" spans="1:15" x14ac:dyDescent="0.25">
      <c r="A4070">
        <v>4069</v>
      </c>
      <c r="B4070" s="2">
        <v>45982</v>
      </c>
      <c r="C4070" t="s">
        <v>26</v>
      </c>
      <c r="D4070" t="s">
        <v>13</v>
      </c>
      <c r="E4070" t="s">
        <v>23</v>
      </c>
      <c r="F4070" t="s">
        <v>14</v>
      </c>
      <c r="G4070">
        <v>125</v>
      </c>
      <c r="H4070">
        <v>283.13</v>
      </c>
      <c r="I4070">
        <v>0</v>
      </c>
      <c r="J4070" t="s">
        <v>15</v>
      </c>
      <c r="K4070">
        <v>35391.25</v>
      </c>
      <c r="L4070" t="str">
        <f t="shared" si="252"/>
        <v>Nov</v>
      </c>
      <c r="M4070">
        <f t="shared" si="253"/>
        <v>2025</v>
      </c>
      <c r="N4070">
        <f t="shared" si="254"/>
        <v>35391.25</v>
      </c>
      <c r="O4070" t="str">
        <f t="shared" si="255"/>
        <v>On Time</v>
      </c>
    </row>
    <row r="4071" spans="1:15" x14ac:dyDescent="0.25">
      <c r="A4071">
        <v>4070</v>
      </c>
      <c r="B4071" s="2">
        <v>45978</v>
      </c>
      <c r="C4071" t="s">
        <v>16</v>
      </c>
      <c r="D4071" t="s">
        <v>22</v>
      </c>
      <c r="E4071" t="s">
        <v>20</v>
      </c>
      <c r="F4071" t="s">
        <v>21</v>
      </c>
      <c r="G4071">
        <v>185</v>
      </c>
      <c r="H4071">
        <v>447.38</v>
      </c>
      <c r="I4071">
        <v>6</v>
      </c>
      <c r="J4071" t="s">
        <v>15</v>
      </c>
      <c r="K4071">
        <v>82765.3</v>
      </c>
      <c r="L4071" t="str">
        <f t="shared" si="252"/>
        <v>Nov</v>
      </c>
      <c r="M4071">
        <f t="shared" si="253"/>
        <v>2025</v>
      </c>
      <c r="N4071">
        <f t="shared" si="254"/>
        <v>82765.3</v>
      </c>
      <c r="O4071" t="str">
        <f t="shared" si="255"/>
        <v>Minor Delay</v>
      </c>
    </row>
    <row r="4072" spans="1:15" x14ac:dyDescent="0.25">
      <c r="A4072">
        <v>4071</v>
      </c>
      <c r="B4072" s="2">
        <v>45685</v>
      </c>
      <c r="C4072" t="s">
        <v>25</v>
      </c>
      <c r="D4072" t="s">
        <v>20</v>
      </c>
      <c r="E4072" t="s">
        <v>17</v>
      </c>
      <c r="F4072" t="s">
        <v>14</v>
      </c>
      <c r="G4072">
        <v>79</v>
      </c>
      <c r="H4072">
        <v>331.1</v>
      </c>
      <c r="I4072">
        <v>0</v>
      </c>
      <c r="J4072" t="s">
        <v>15</v>
      </c>
      <c r="K4072">
        <v>26156.9</v>
      </c>
      <c r="L4072" t="str">
        <f t="shared" si="252"/>
        <v>Jan</v>
      </c>
      <c r="M4072">
        <f t="shared" si="253"/>
        <v>2025</v>
      </c>
      <c r="N4072">
        <f t="shared" si="254"/>
        <v>26156.9</v>
      </c>
      <c r="O4072" t="str">
        <f t="shared" si="255"/>
        <v>On Time</v>
      </c>
    </row>
    <row r="4073" spans="1:15" x14ac:dyDescent="0.25">
      <c r="A4073">
        <v>4072</v>
      </c>
      <c r="B4073" s="2">
        <v>45770</v>
      </c>
      <c r="C4073" t="s">
        <v>31</v>
      </c>
      <c r="D4073" t="s">
        <v>20</v>
      </c>
      <c r="E4073" t="s">
        <v>17</v>
      </c>
      <c r="F4073" t="s">
        <v>14</v>
      </c>
      <c r="G4073">
        <v>175</v>
      </c>
      <c r="H4073">
        <v>728.24</v>
      </c>
      <c r="I4073">
        <v>4</v>
      </c>
      <c r="J4073" t="s">
        <v>15</v>
      </c>
      <c r="K4073">
        <v>127442</v>
      </c>
      <c r="L4073" t="str">
        <f t="shared" si="252"/>
        <v>Apr</v>
      </c>
      <c r="M4073">
        <f t="shared" si="253"/>
        <v>2025</v>
      </c>
      <c r="N4073">
        <f t="shared" si="254"/>
        <v>127442</v>
      </c>
      <c r="O4073" t="str">
        <f t="shared" si="255"/>
        <v>Minor Delay</v>
      </c>
    </row>
    <row r="4074" spans="1:15" x14ac:dyDescent="0.25">
      <c r="A4074">
        <v>4073</v>
      </c>
      <c r="B4074" s="2">
        <v>45767</v>
      </c>
      <c r="C4074" t="s">
        <v>16</v>
      </c>
      <c r="D4074" t="s">
        <v>13</v>
      </c>
      <c r="E4074" t="s">
        <v>23</v>
      </c>
      <c r="F4074" t="s">
        <v>14</v>
      </c>
      <c r="G4074">
        <v>92</v>
      </c>
      <c r="H4074">
        <v>197.8</v>
      </c>
      <c r="I4074">
        <v>35</v>
      </c>
      <c r="J4074" t="s">
        <v>15</v>
      </c>
      <c r="K4074">
        <v>18197.599999999999</v>
      </c>
      <c r="L4074" t="str">
        <f t="shared" si="252"/>
        <v>Apr</v>
      </c>
      <c r="M4074">
        <f t="shared" si="253"/>
        <v>2025</v>
      </c>
      <c r="N4074">
        <f t="shared" si="254"/>
        <v>18197.600000000002</v>
      </c>
      <c r="O4074" t="str">
        <f t="shared" si="255"/>
        <v>Moderate Delay</v>
      </c>
    </row>
    <row r="4075" spans="1:15" x14ac:dyDescent="0.25">
      <c r="A4075">
        <v>4074</v>
      </c>
      <c r="B4075" s="2">
        <v>45806</v>
      </c>
      <c r="C4075" t="s">
        <v>18</v>
      </c>
      <c r="D4075" t="s">
        <v>20</v>
      </c>
      <c r="E4075" t="s">
        <v>13</v>
      </c>
      <c r="F4075" t="s">
        <v>14</v>
      </c>
      <c r="G4075">
        <v>225</v>
      </c>
      <c r="H4075">
        <v>147.07</v>
      </c>
      <c r="I4075">
        <v>4</v>
      </c>
      <c r="J4075" t="s">
        <v>15</v>
      </c>
      <c r="K4075">
        <v>33090.75</v>
      </c>
      <c r="L4075" t="str">
        <f t="shared" si="252"/>
        <v>May</v>
      </c>
      <c r="M4075">
        <f t="shared" si="253"/>
        <v>2025</v>
      </c>
      <c r="N4075">
        <f t="shared" si="254"/>
        <v>33090.75</v>
      </c>
      <c r="O4075" t="str">
        <f t="shared" si="255"/>
        <v>Minor Delay</v>
      </c>
    </row>
    <row r="4076" spans="1:15" x14ac:dyDescent="0.25">
      <c r="A4076">
        <v>4075</v>
      </c>
      <c r="B4076" s="2">
        <v>45860</v>
      </c>
      <c r="C4076" t="s">
        <v>31</v>
      </c>
      <c r="D4076" t="s">
        <v>27</v>
      </c>
      <c r="E4076" t="s">
        <v>19</v>
      </c>
      <c r="F4076" t="s">
        <v>24</v>
      </c>
      <c r="G4076">
        <v>129</v>
      </c>
      <c r="H4076">
        <v>400.28</v>
      </c>
      <c r="I4076">
        <v>15</v>
      </c>
      <c r="J4076" t="s">
        <v>15</v>
      </c>
      <c r="K4076">
        <v>51636.12</v>
      </c>
      <c r="L4076" t="str">
        <f t="shared" si="252"/>
        <v>Jul</v>
      </c>
      <c r="M4076">
        <f t="shared" si="253"/>
        <v>2025</v>
      </c>
      <c r="N4076">
        <f t="shared" si="254"/>
        <v>51636.119999999995</v>
      </c>
      <c r="O4076" t="str">
        <f t="shared" si="255"/>
        <v>Minor Delay</v>
      </c>
    </row>
    <row r="4077" spans="1:15" x14ac:dyDescent="0.25">
      <c r="A4077">
        <v>4076</v>
      </c>
      <c r="B4077" s="2">
        <v>45864</v>
      </c>
      <c r="C4077" t="s">
        <v>18</v>
      </c>
      <c r="D4077" t="s">
        <v>13</v>
      </c>
      <c r="E4077" t="s">
        <v>23</v>
      </c>
      <c r="F4077" t="s">
        <v>24</v>
      </c>
      <c r="G4077">
        <v>270</v>
      </c>
      <c r="H4077">
        <v>798.53</v>
      </c>
      <c r="I4077">
        <v>0</v>
      </c>
      <c r="J4077" t="s">
        <v>15</v>
      </c>
      <c r="K4077">
        <v>215603.1</v>
      </c>
      <c r="L4077" t="str">
        <f t="shared" si="252"/>
        <v>Jul</v>
      </c>
      <c r="M4077">
        <f t="shared" si="253"/>
        <v>2025</v>
      </c>
      <c r="N4077">
        <f t="shared" si="254"/>
        <v>215603.1</v>
      </c>
      <c r="O4077" t="str">
        <f t="shared" si="255"/>
        <v>On Time</v>
      </c>
    </row>
    <row r="4078" spans="1:15" x14ac:dyDescent="0.25">
      <c r="A4078">
        <v>4077</v>
      </c>
      <c r="B4078" s="2">
        <v>45659</v>
      </c>
      <c r="C4078" t="s">
        <v>25</v>
      </c>
      <c r="D4078" t="s">
        <v>17</v>
      </c>
      <c r="E4078" t="s">
        <v>13</v>
      </c>
      <c r="F4078" t="s">
        <v>24</v>
      </c>
      <c r="G4078">
        <v>146</v>
      </c>
      <c r="H4078">
        <v>772.14</v>
      </c>
      <c r="I4078">
        <v>51</v>
      </c>
      <c r="J4078" t="s">
        <v>15</v>
      </c>
      <c r="K4078">
        <v>112732.44</v>
      </c>
      <c r="L4078" t="str">
        <f t="shared" si="252"/>
        <v>Jan</v>
      </c>
      <c r="M4078">
        <f t="shared" si="253"/>
        <v>2025</v>
      </c>
      <c r="N4078">
        <f t="shared" si="254"/>
        <v>112732.44</v>
      </c>
      <c r="O4078" t="str">
        <f t="shared" si="255"/>
        <v>Moderate Delay</v>
      </c>
    </row>
    <row r="4079" spans="1:15" x14ac:dyDescent="0.25">
      <c r="A4079">
        <v>4078</v>
      </c>
      <c r="B4079" s="2">
        <v>45750</v>
      </c>
      <c r="C4079" t="s">
        <v>25</v>
      </c>
      <c r="D4079" t="s">
        <v>29</v>
      </c>
      <c r="E4079" t="s">
        <v>12</v>
      </c>
      <c r="F4079" t="s">
        <v>21</v>
      </c>
      <c r="G4079">
        <v>187</v>
      </c>
      <c r="H4079">
        <v>154.02000000000001</v>
      </c>
      <c r="I4079">
        <v>57</v>
      </c>
      <c r="J4079" t="s">
        <v>15</v>
      </c>
      <c r="K4079">
        <v>28801.74</v>
      </c>
      <c r="L4079" t="str">
        <f t="shared" si="252"/>
        <v>Apr</v>
      </c>
      <c r="M4079">
        <f t="shared" si="253"/>
        <v>2025</v>
      </c>
      <c r="N4079">
        <f t="shared" si="254"/>
        <v>28801.74</v>
      </c>
      <c r="O4079" t="str">
        <f t="shared" si="255"/>
        <v>Moderate Delay</v>
      </c>
    </row>
    <row r="4080" spans="1:15" x14ac:dyDescent="0.25">
      <c r="A4080">
        <v>4079</v>
      </c>
      <c r="B4080" s="2">
        <v>45933</v>
      </c>
      <c r="C4080" t="s">
        <v>11</v>
      </c>
      <c r="D4080" t="s">
        <v>19</v>
      </c>
      <c r="E4080" t="s">
        <v>20</v>
      </c>
      <c r="F4080" t="s">
        <v>24</v>
      </c>
      <c r="G4080">
        <v>192</v>
      </c>
      <c r="H4080">
        <v>644.70000000000005</v>
      </c>
      <c r="I4080">
        <v>21</v>
      </c>
      <c r="J4080" t="s">
        <v>15</v>
      </c>
      <c r="K4080">
        <v>123782.39999999999</v>
      </c>
      <c r="L4080" t="str">
        <f t="shared" si="252"/>
        <v>Oct</v>
      </c>
      <c r="M4080">
        <f t="shared" si="253"/>
        <v>2025</v>
      </c>
      <c r="N4080">
        <f t="shared" si="254"/>
        <v>123782.40000000001</v>
      </c>
      <c r="O4080" t="str">
        <f t="shared" si="255"/>
        <v>Minor Delay</v>
      </c>
    </row>
    <row r="4081" spans="1:15" x14ac:dyDescent="0.25">
      <c r="A4081">
        <v>4080</v>
      </c>
      <c r="B4081" s="2">
        <v>45759</v>
      </c>
      <c r="C4081" t="s">
        <v>16</v>
      </c>
      <c r="D4081" t="s">
        <v>19</v>
      </c>
      <c r="E4081" t="s">
        <v>23</v>
      </c>
      <c r="F4081" t="s">
        <v>24</v>
      </c>
      <c r="G4081">
        <v>234</v>
      </c>
      <c r="H4081">
        <v>636.64</v>
      </c>
      <c r="I4081">
        <v>6</v>
      </c>
      <c r="J4081" t="s">
        <v>15</v>
      </c>
      <c r="K4081">
        <v>148973.76000000001</v>
      </c>
      <c r="L4081" t="str">
        <f t="shared" si="252"/>
        <v>Apr</v>
      </c>
      <c r="M4081">
        <f t="shared" si="253"/>
        <v>2025</v>
      </c>
      <c r="N4081">
        <f t="shared" si="254"/>
        <v>148973.76000000001</v>
      </c>
      <c r="O4081" t="str">
        <f t="shared" si="255"/>
        <v>Minor Delay</v>
      </c>
    </row>
    <row r="4082" spans="1:15" x14ac:dyDescent="0.25">
      <c r="A4082">
        <v>4081</v>
      </c>
      <c r="B4082" s="2">
        <v>45997</v>
      </c>
      <c r="C4082" t="s">
        <v>16</v>
      </c>
      <c r="D4082" t="s">
        <v>17</v>
      </c>
      <c r="E4082" t="s">
        <v>29</v>
      </c>
      <c r="F4082" t="s">
        <v>24</v>
      </c>
      <c r="G4082">
        <v>152</v>
      </c>
      <c r="H4082">
        <v>548.5</v>
      </c>
      <c r="I4082">
        <v>0</v>
      </c>
      <c r="J4082" t="s">
        <v>15</v>
      </c>
      <c r="K4082">
        <v>83372</v>
      </c>
      <c r="L4082" t="str">
        <f t="shared" si="252"/>
        <v>Dec</v>
      </c>
      <c r="M4082">
        <f t="shared" si="253"/>
        <v>2025</v>
      </c>
      <c r="N4082">
        <f t="shared" si="254"/>
        <v>83372</v>
      </c>
      <c r="O4082" t="str">
        <f t="shared" si="255"/>
        <v>On Time</v>
      </c>
    </row>
    <row r="4083" spans="1:15" x14ac:dyDescent="0.25">
      <c r="A4083">
        <v>4082</v>
      </c>
      <c r="B4083" s="2">
        <v>45751</v>
      </c>
      <c r="C4083" t="s">
        <v>11</v>
      </c>
      <c r="D4083" t="s">
        <v>19</v>
      </c>
      <c r="E4083" t="s">
        <v>12</v>
      </c>
      <c r="F4083" t="s">
        <v>24</v>
      </c>
      <c r="G4083">
        <v>217</v>
      </c>
      <c r="H4083">
        <v>736.47</v>
      </c>
      <c r="I4083">
        <v>51</v>
      </c>
      <c r="J4083" t="s">
        <v>15</v>
      </c>
      <c r="K4083">
        <v>159813.99</v>
      </c>
      <c r="L4083" t="str">
        <f t="shared" si="252"/>
        <v>Apr</v>
      </c>
      <c r="M4083">
        <f t="shared" si="253"/>
        <v>2025</v>
      </c>
      <c r="N4083">
        <f t="shared" si="254"/>
        <v>159813.99000000002</v>
      </c>
      <c r="O4083" t="str">
        <f t="shared" si="255"/>
        <v>Moderate Delay</v>
      </c>
    </row>
    <row r="4084" spans="1:15" x14ac:dyDescent="0.25">
      <c r="A4084">
        <v>4083</v>
      </c>
      <c r="B4084" s="2">
        <v>45954</v>
      </c>
      <c r="C4084" t="s">
        <v>31</v>
      </c>
      <c r="D4084" t="s">
        <v>22</v>
      </c>
      <c r="E4084" t="s">
        <v>23</v>
      </c>
      <c r="F4084" t="s">
        <v>14</v>
      </c>
      <c r="G4084">
        <v>78</v>
      </c>
      <c r="H4084">
        <v>775.27</v>
      </c>
      <c r="I4084">
        <v>0</v>
      </c>
      <c r="J4084" t="s">
        <v>15</v>
      </c>
      <c r="K4084">
        <v>60471.06</v>
      </c>
      <c r="L4084" t="str">
        <f t="shared" si="252"/>
        <v>Oct</v>
      </c>
      <c r="M4084">
        <f t="shared" si="253"/>
        <v>2025</v>
      </c>
      <c r="N4084">
        <f t="shared" si="254"/>
        <v>60471.06</v>
      </c>
      <c r="O4084" t="str">
        <f t="shared" si="255"/>
        <v>On Time</v>
      </c>
    </row>
    <row r="4085" spans="1:15" x14ac:dyDescent="0.25">
      <c r="A4085">
        <v>4084</v>
      </c>
      <c r="B4085" s="2">
        <v>45736</v>
      </c>
      <c r="C4085" t="s">
        <v>26</v>
      </c>
      <c r="D4085" t="s">
        <v>22</v>
      </c>
      <c r="E4085" t="s">
        <v>12</v>
      </c>
      <c r="F4085" t="s">
        <v>14</v>
      </c>
      <c r="G4085">
        <v>80</v>
      </c>
      <c r="H4085">
        <v>81.53</v>
      </c>
      <c r="I4085">
        <v>0</v>
      </c>
      <c r="J4085" t="s">
        <v>15</v>
      </c>
      <c r="K4085">
        <v>6522.4</v>
      </c>
      <c r="L4085" t="str">
        <f t="shared" si="252"/>
        <v>Mar</v>
      </c>
      <c r="M4085">
        <f t="shared" si="253"/>
        <v>2025</v>
      </c>
      <c r="N4085">
        <f t="shared" si="254"/>
        <v>6522.4</v>
      </c>
      <c r="O4085" t="str">
        <f t="shared" si="255"/>
        <v>On Time</v>
      </c>
    </row>
    <row r="4086" spans="1:15" x14ac:dyDescent="0.25">
      <c r="A4086">
        <v>4085</v>
      </c>
      <c r="B4086" s="2">
        <v>45943</v>
      </c>
      <c r="C4086" t="s">
        <v>25</v>
      </c>
      <c r="D4086" t="s">
        <v>19</v>
      </c>
      <c r="E4086" t="s">
        <v>27</v>
      </c>
      <c r="F4086" t="s">
        <v>14</v>
      </c>
      <c r="G4086">
        <v>171</v>
      </c>
      <c r="H4086">
        <v>620.29</v>
      </c>
      <c r="I4086">
        <v>51</v>
      </c>
      <c r="J4086" t="s">
        <v>15</v>
      </c>
      <c r="K4086">
        <v>106069.59</v>
      </c>
      <c r="L4086" t="str">
        <f t="shared" si="252"/>
        <v>Oct</v>
      </c>
      <c r="M4086">
        <f t="shared" si="253"/>
        <v>2025</v>
      </c>
      <c r="N4086">
        <f t="shared" si="254"/>
        <v>106069.59</v>
      </c>
      <c r="O4086" t="str">
        <f t="shared" si="255"/>
        <v>Moderate Delay</v>
      </c>
    </row>
    <row r="4087" spans="1:15" x14ac:dyDescent="0.25">
      <c r="A4087">
        <v>4086</v>
      </c>
      <c r="B4087" s="2">
        <v>45787</v>
      </c>
      <c r="C4087" t="s">
        <v>25</v>
      </c>
      <c r="D4087" t="s">
        <v>19</v>
      </c>
      <c r="E4087" t="s">
        <v>20</v>
      </c>
      <c r="F4087" t="s">
        <v>21</v>
      </c>
      <c r="G4087">
        <v>74</v>
      </c>
      <c r="H4087">
        <v>121.54</v>
      </c>
      <c r="I4087">
        <v>23</v>
      </c>
      <c r="J4087" t="s">
        <v>15</v>
      </c>
      <c r="K4087">
        <v>8993.9599999999991</v>
      </c>
      <c r="L4087" t="str">
        <f t="shared" si="252"/>
        <v>May</v>
      </c>
      <c r="M4087">
        <f t="shared" si="253"/>
        <v>2025</v>
      </c>
      <c r="N4087">
        <f t="shared" si="254"/>
        <v>8993.9600000000009</v>
      </c>
      <c r="O4087" t="str">
        <f t="shared" si="255"/>
        <v>Minor Delay</v>
      </c>
    </row>
    <row r="4088" spans="1:15" x14ac:dyDescent="0.25">
      <c r="A4088">
        <v>4087</v>
      </c>
      <c r="B4088" s="2">
        <v>45843</v>
      </c>
      <c r="C4088" t="s">
        <v>25</v>
      </c>
      <c r="D4088" t="s">
        <v>22</v>
      </c>
      <c r="E4088" t="s">
        <v>17</v>
      </c>
      <c r="F4088" t="s">
        <v>21</v>
      </c>
      <c r="G4088">
        <v>256</v>
      </c>
      <c r="H4088">
        <v>522.80999999999995</v>
      </c>
      <c r="I4088">
        <v>0</v>
      </c>
      <c r="J4088" t="s">
        <v>15</v>
      </c>
      <c r="K4088">
        <v>133839.35999999999</v>
      </c>
      <c r="L4088" t="str">
        <f t="shared" si="252"/>
        <v>Jul</v>
      </c>
      <c r="M4088">
        <f t="shared" si="253"/>
        <v>2025</v>
      </c>
      <c r="N4088">
        <f t="shared" si="254"/>
        <v>133839.35999999999</v>
      </c>
      <c r="O4088" t="str">
        <f t="shared" si="255"/>
        <v>On Time</v>
      </c>
    </row>
    <row r="4089" spans="1:15" x14ac:dyDescent="0.25">
      <c r="A4089">
        <v>4088</v>
      </c>
      <c r="B4089" s="2">
        <v>45951</v>
      </c>
      <c r="C4089" t="s">
        <v>11</v>
      </c>
      <c r="D4089" t="s">
        <v>19</v>
      </c>
      <c r="E4089" t="s">
        <v>27</v>
      </c>
      <c r="F4089" t="s">
        <v>14</v>
      </c>
      <c r="G4089">
        <v>103</v>
      </c>
      <c r="H4089">
        <v>624.66999999999996</v>
      </c>
      <c r="I4089">
        <v>61</v>
      </c>
      <c r="J4089" t="s">
        <v>15</v>
      </c>
      <c r="K4089">
        <v>64341.01</v>
      </c>
      <c r="L4089" t="str">
        <f t="shared" si="252"/>
        <v>Oct</v>
      </c>
      <c r="M4089">
        <f t="shared" si="253"/>
        <v>2025</v>
      </c>
      <c r="N4089">
        <f t="shared" si="254"/>
        <v>64341.009999999995</v>
      </c>
      <c r="O4089" t="str">
        <f t="shared" si="255"/>
        <v>Major Delay</v>
      </c>
    </row>
    <row r="4090" spans="1:15" x14ac:dyDescent="0.25">
      <c r="A4090">
        <v>4089</v>
      </c>
      <c r="B4090" s="2">
        <v>45953</v>
      </c>
      <c r="C4090" t="s">
        <v>18</v>
      </c>
      <c r="D4090" t="s">
        <v>17</v>
      </c>
      <c r="E4090" t="s">
        <v>22</v>
      </c>
      <c r="F4090" t="s">
        <v>14</v>
      </c>
      <c r="G4090">
        <v>175</v>
      </c>
      <c r="H4090">
        <v>355.81</v>
      </c>
      <c r="I4090">
        <v>0</v>
      </c>
      <c r="J4090" t="s">
        <v>15</v>
      </c>
      <c r="K4090">
        <v>62266.75</v>
      </c>
      <c r="L4090" t="str">
        <f t="shared" si="252"/>
        <v>Oct</v>
      </c>
      <c r="M4090">
        <f t="shared" si="253"/>
        <v>2025</v>
      </c>
      <c r="N4090">
        <f t="shared" si="254"/>
        <v>62266.75</v>
      </c>
      <c r="O4090" t="str">
        <f t="shared" si="255"/>
        <v>On Time</v>
      </c>
    </row>
    <row r="4091" spans="1:15" x14ac:dyDescent="0.25">
      <c r="A4091">
        <v>4090</v>
      </c>
      <c r="B4091" s="2">
        <v>45944</v>
      </c>
      <c r="C4091" t="s">
        <v>18</v>
      </c>
      <c r="D4091" t="s">
        <v>19</v>
      </c>
      <c r="E4091" t="s">
        <v>17</v>
      </c>
      <c r="F4091" t="s">
        <v>14</v>
      </c>
      <c r="G4091">
        <v>103</v>
      </c>
      <c r="H4091">
        <v>676.75</v>
      </c>
      <c r="I4091">
        <v>32</v>
      </c>
      <c r="J4091" t="s">
        <v>15</v>
      </c>
      <c r="K4091">
        <v>69705.25</v>
      </c>
      <c r="L4091" t="str">
        <f t="shared" si="252"/>
        <v>Oct</v>
      </c>
      <c r="M4091">
        <f t="shared" si="253"/>
        <v>2025</v>
      </c>
      <c r="N4091">
        <f t="shared" si="254"/>
        <v>69705.25</v>
      </c>
      <c r="O4091" t="str">
        <f t="shared" si="255"/>
        <v>Moderate Delay</v>
      </c>
    </row>
    <row r="4092" spans="1:15" x14ac:dyDescent="0.25">
      <c r="A4092">
        <v>4091</v>
      </c>
      <c r="B4092" s="2">
        <v>45962</v>
      </c>
      <c r="C4092" t="s">
        <v>16</v>
      </c>
      <c r="D4092" t="s">
        <v>20</v>
      </c>
      <c r="E4092" t="s">
        <v>23</v>
      </c>
      <c r="F4092" t="s">
        <v>21</v>
      </c>
      <c r="G4092">
        <v>138</v>
      </c>
      <c r="H4092">
        <v>222.84</v>
      </c>
      <c r="I4092">
        <v>32</v>
      </c>
      <c r="J4092" t="s">
        <v>30</v>
      </c>
      <c r="K4092">
        <v>30751.919999999998</v>
      </c>
      <c r="L4092" t="str">
        <f t="shared" si="252"/>
        <v>Nov</v>
      </c>
      <c r="M4092">
        <f t="shared" si="253"/>
        <v>2025</v>
      </c>
      <c r="N4092">
        <f t="shared" si="254"/>
        <v>30751.920000000002</v>
      </c>
      <c r="O4092" t="str">
        <f t="shared" si="255"/>
        <v>Moderate Delay</v>
      </c>
    </row>
    <row r="4093" spans="1:15" x14ac:dyDescent="0.25">
      <c r="A4093">
        <v>4092</v>
      </c>
      <c r="B4093" s="2">
        <v>45749</v>
      </c>
      <c r="C4093" t="s">
        <v>18</v>
      </c>
      <c r="D4093" t="s">
        <v>27</v>
      </c>
      <c r="E4093" t="s">
        <v>23</v>
      </c>
      <c r="F4093" t="s">
        <v>24</v>
      </c>
      <c r="G4093">
        <v>268</v>
      </c>
      <c r="H4093">
        <v>156.41</v>
      </c>
      <c r="I4093">
        <v>0</v>
      </c>
      <c r="J4093" t="s">
        <v>15</v>
      </c>
      <c r="K4093">
        <v>41917.879999999997</v>
      </c>
      <c r="L4093" t="str">
        <f t="shared" si="252"/>
        <v>Apr</v>
      </c>
      <c r="M4093">
        <f t="shared" si="253"/>
        <v>2025</v>
      </c>
      <c r="N4093">
        <f t="shared" si="254"/>
        <v>41917.879999999997</v>
      </c>
      <c r="O4093" t="str">
        <f t="shared" si="255"/>
        <v>On Time</v>
      </c>
    </row>
    <row r="4094" spans="1:15" x14ac:dyDescent="0.25">
      <c r="A4094">
        <v>4093</v>
      </c>
      <c r="B4094" s="2">
        <v>45865</v>
      </c>
      <c r="C4094" t="s">
        <v>16</v>
      </c>
      <c r="D4094" t="s">
        <v>13</v>
      </c>
      <c r="E4094" t="s">
        <v>27</v>
      </c>
      <c r="F4094" t="s">
        <v>24</v>
      </c>
      <c r="G4094">
        <v>271</v>
      </c>
      <c r="H4094">
        <v>80.400000000000006</v>
      </c>
      <c r="I4094">
        <v>28</v>
      </c>
      <c r="J4094" t="s">
        <v>15</v>
      </c>
      <c r="K4094">
        <v>21788.400000000001</v>
      </c>
      <c r="L4094" t="str">
        <f t="shared" si="252"/>
        <v>Jul</v>
      </c>
      <c r="M4094">
        <f t="shared" si="253"/>
        <v>2025</v>
      </c>
      <c r="N4094">
        <f t="shared" si="254"/>
        <v>21788.400000000001</v>
      </c>
      <c r="O4094" t="str">
        <f t="shared" si="255"/>
        <v>Minor Delay</v>
      </c>
    </row>
    <row r="4095" spans="1:15" x14ac:dyDescent="0.25">
      <c r="A4095">
        <v>4094</v>
      </c>
      <c r="B4095" s="2">
        <v>45927</v>
      </c>
      <c r="C4095" t="s">
        <v>16</v>
      </c>
      <c r="D4095" t="s">
        <v>22</v>
      </c>
      <c r="E4095" t="s">
        <v>23</v>
      </c>
      <c r="F4095" t="s">
        <v>24</v>
      </c>
      <c r="G4095">
        <v>122</v>
      </c>
      <c r="H4095">
        <v>195.74</v>
      </c>
      <c r="I4095">
        <v>25</v>
      </c>
      <c r="J4095" t="s">
        <v>15</v>
      </c>
      <c r="K4095">
        <v>23880.28</v>
      </c>
      <c r="L4095" t="str">
        <f t="shared" si="252"/>
        <v>Sep</v>
      </c>
      <c r="M4095">
        <f t="shared" si="253"/>
        <v>2025</v>
      </c>
      <c r="N4095">
        <f t="shared" si="254"/>
        <v>23880.280000000002</v>
      </c>
      <c r="O4095" t="str">
        <f t="shared" si="255"/>
        <v>Minor Delay</v>
      </c>
    </row>
    <row r="4096" spans="1:15" x14ac:dyDescent="0.25">
      <c r="A4096">
        <v>4095</v>
      </c>
      <c r="B4096" s="2">
        <v>45974</v>
      </c>
      <c r="C4096" t="s">
        <v>11</v>
      </c>
      <c r="D4096" t="s">
        <v>23</v>
      </c>
      <c r="E4096" t="s">
        <v>27</v>
      </c>
      <c r="F4096" t="s">
        <v>14</v>
      </c>
      <c r="G4096">
        <v>116</v>
      </c>
      <c r="H4096">
        <v>794.69</v>
      </c>
      <c r="I4096">
        <v>11</v>
      </c>
      <c r="J4096" t="s">
        <v>30</v>
      </c>
      <c r="K4096">
        <v>92184.04</v>
      </c>
      <c r="L4096" t="str">
        <f t="shared" si="252"/>
        <v>Nov</v>
      </c>
      <c r="M4096">
        <f t="shared" si="253"/>
        <v>2025</v>
      </c>
      <c r="N4096">
        <f t="shared" si="254"/>
        <v>92184.040000000008</v>
      </c>
      <c r="O4096" t="str">
        <f t="shared" si="255"/>
        <v>Minor Delay</v>
      </c>
    </row>
    <row r="4097" spans="1:15" x14ac:dyDescent="0.25">
      <c r="A4097">
        <v>4096</v>
      </c>
      <c r="B4097" s="2">
        <v>45707</v>
      </c>
      <c r="C4097" t="s">
        <v>18</v>
      </c>
      <c r="D4097" t="s">
        <v>27</v>
      </c>
      <c r="E4097" t="s">
        <v>17</v>
      </c>
      <c r="F4097" t="s">
        <v>24</v>
      </c>
      <c r="G4097">
        <v>261</v>
      </c>
      <c r="H4097">
        <v>400.6</v>
      </c>
      <c r="I4097">
        <v>13</v>
      </c>
      <c r="J4097" t="s">
        <v>15</v>
      </c>
      <c r="K4097">
        <v>104556.6</v>
      </c>
      <c r="L4097" t="str">
        <f t="shared" si="252"/>
        <v>Feb</v>
      </c>
      <c r="M4097">
        <f t="shared" si="253"/>
        <v>2025</v>
      </c>
      <c r="N4097">
        <f t="shared" si="254"/>
        <v>104556.6</v>
      </c>
      <c r="O4097" t="str">
        <f t="shared" si="255"/>
        <v>Minor Delay</v>
      </c>
    </row>
    <row r="4098" spans="1:15" x14ac:dyDescent="0.25">
      <c r="A4098">
        <v>4097</v>
      </c>
      <c r="B4098" s="2">
        <v>45833</v>
      </c>
      <c r="C4098" t="s">
        <v>18</v>
      </c>
      <c r="D4098" t="s">
        <v>23</v>
      </c>
      <c r="E4098" t="s">
        <v>12</v>
      </c>
      <c r="F4098" t="s">
        <v>14</v>
      </c>
      <c r="G4098">
        <v>185</v>
      </c>
      <c r="H4098">
        <v>549.5</v>
      </c>
      <c r="I4098">
        <v>47</v>
      </c>
      <c r="J4098" t="s">
        <v>30</v>
      </c>
      <c r="K4098">
        <v>101657.5</v>
      </c>
      <c r="L4098" t="str">
        <f t="shared" si="252"/>
        <v>Jun</v>
      </c>
      <c r="M4098">
        <f t="shared" si="253"/>
        <v>2025</v>
      </c>
      <c r="N4098">
        <f t="shared" si="254"/>
        <v>101657.5</v>
      </c>
      <c r="O4098" t="str">
        <f t="shared" si="255"/>
        <v>Moderate Delay</v>
      </c>
    </row>
    <row r="4099" spans="1:15" x14ac:dyDescent="0.25">
      <c r="A4099">
        <v>4098</v>
      </c>
      <c r="B4099" s="2">
        <v>45999</v>
      </c>
      <c r="C4099" t="s">
        <v>11</v>
      </c>
      <c r="D4099" t="s">
        <v>17</v>
      </c>
      <c r="E4099" t="s">
        <v>27</v>
      </c>
      <c r="F4099" t="s">
        <v>24</v>
      </c>
      <c r="G4099">
        <v>165</v>
      </c>
      <c r="H4099">
        <v>194.32</v>
      </c>
      <c r="I4099">
        <v>24</v>
      </c>
      <c r="J4099" t="s">
        <v>15</v>
      </c>
      <c r="K4099">
        <v>32062.799999999999</v>
      </c>
      <c r="L4099" t="str">
        <f t="shared" ref="L4099:L4162" si="256">TEXT(B4099,"MMM")</f>
        <v>Dec</v>
      </c>
      <c r="M4099">
        <f t="shared" ref="M4099:M4162" si="257">YEAR(B4099)</f>
        <v>2025</v>
      </c>
      <c r="N4099">
        <f t="shared" ref="N4099:N4162" si="258">G4099*H4099</f>
        <v>32062.799999999999</v>
      </c>
      <c r="O4099" t="str">
        <f t="shared" ref="O4099:O4162" si="259">IF(I4099=0,"On Time",IF(I4099&lt;=30,"Minor Delay",IF(I4099&lt;=60,"Moderate Delay","Major Delay")))</f>
        <v>Minor Delay</v>
      </c>
    </row>
    <row r="4100" spans="1:15" x14ac:dyDescent="0.25">
      <c r="A4100">
        <v>4099</v>
      </c>
      <c r="B4100" s="2">
        <v>45681</v>
      </c>
      <c r="C4100" t="s">
        <v>11</v>
      </c>
      <c r="D4100" t="s">
        <v>17</v>
      </c>
      <c r="E4100" t="s">
        <v>12</v>
      </c>
      <c r="F4100" t="s">
        <v>14</v>
      </c>
      <c r="G4100">
        <v>167</v>
      </c>
      <c r="H4100">
        <v>194.09</v>
      </c>
      <c r="I4100">
        <v>7</v>
      </c>
      <c r="J4100" t="s">
        <v>15</v>
      </c>
      <c r="K4100">
        <v>32413.03</v>
      </c>
      <c r="L4100" t="str">
        <f t="shared" si="256"/>
        <v>Jan</v>
      </c>
      <c r="M4100">
        <f t="shared" si="257"/>
        <v>2025</v>
      </c>
      <c r="N4100">
        <f t="shared" si="258"/>
        <v>32413.03</v>
      </c>
      <c r="O4100" t="str">
        <f t="shared" si="259"/>
        <v>Minor Delay</v>
      </c>
    </row>
    <row r="4101" spans="1:15" x14ac:dyDescent="0.25">
      <c r="A4101">
        <v>4100</v>
      </c>
      <c r="B4101" s="2">
        <v>45948</v>
      </c>
      <c r="C4101" t="s">
        <v>31</v>
      </c>
      <c r="D4101" t="s">
        <v>27</v>
      </c>
      <c r="E4101" t="s">
        <v>17</v>
      </c>
      <c r="F4101" t="s">
        <v>24</v>
      </c>
      <c r="G4101">
        <v>90</v>
      </c>
      <c r="H4101">
        <v>722.9</v>
      </c>
      <c r="I4101">
        <v>55</v>
      </c>
      <c r="J4101" t="s">
        <v>30</v>
      </c>
      <c r="K4101">
        <v>65061</v>
      </c>
      <c r="L4101" t="str">
        <f t="shared" si="256"/>
        <v>Oct</v>
      </c>
      <c r="M4101">
        <f t="shared" si="257"/>
        <v>2025</v>
      </c>
      <c r="N4101">
        <f t="shared" si="258"/>
        <v>65061</v>
      </c>
      <c r="O4101" t="str">
        <f t="shared" si="259"/>
        <v>Moderate Delay</v>
      </c>
    </row>
    <row r="4102" spans="1:15" x14ac:dyDescent="0.25">
      <c r="A4102">
        <v>4101</v>
      </c>
      <c r="B4102" s="2">
        <v>45998</v>
      </c>
      <c r="C4102" t="s">
        <v>25</v>
      </c>
      <c r="D4102" t="s">
        <v>20</v>
      </c>
      <c r="E4102" t="s">
        <v>12</v>
      </c>
      <c r="F4102" t="s">
        <v>24</v>
      </c>
      <c r="G4102">
        <v>142</v>
      </c>
      <c r="H4102">
        <v>737.1</v>
      </c>
      <c r="I4102">
        <v>4</v>
      </c>
      <c r="J4102" t="s">
        <v>15</v>
      </c>
      <c r="K4102">
        <v>104668.2</v>
      </c>
      <c r="L4102" t="str">
        <f t="shared" si="256"/>
        <v>Dec</v>
      </c>
      <c r="M4102">
        <f t="shared" si="257"/>
        <v>2025</v>
      </c>
      <c r="N4102">
        <f t="shared" si="258"/>
        <v>104668.2</v>
      </c>
      <c r="O4102" t="str">
        <f t="shared" si="259"/>
        <v>Minor Delay</v>
      </c>
    </row>
    <row r="4103" spans="1:15" x14ac:dyDescent="0.25">
      <c r="A4103">
        <v>4102</v>
      </c>
      <c r="B4103" s="2">
        <v>45661</v>
      </c>
      <c r="C4103" t="s">
        <v>16</v>
      </c>
      <c r="D4103" t="s">
        <v>20</v>
      </c>
      <c r="E4103" t="s">
        <v>27</v>
      </c>
      <c r="F4103" t="s">
        <v>14</v>
      </c>
      <c r="G4103">
        <v>224</v>
      </c>
      <c r="H4103">
        <v>308.38</v>
      </c>
      <c r="I4103">
        <v>25</v>
      </c>
      <c r="J4103" t="s">
        <v>15</v>
      </c>
      <c r="K4103">
        <v>69077.119999999995</v>
      </c>
      <c r="L4103" t="str">
        <f t="shared" si="256"/>
        <v>Jan</v>
      </c>
      <c r="M4103">
        <f t="shared" si="257"/>
        <v>2025</v>
      </c>
      <c r="N4103">
        <f t="shared" si="258"/>
        <v>69077.119999999995</v>
      </c>
      <c r="O4103" t="str">
        <f t="shared" si="259"/>
        <v>Minor Delay</v>
      </c>
    </row>
    <row r="4104" spans="1:15" x14ac:dyDescent="0.25">
      <c r="A4104">
        <v>4103</v>
      </c>
      <c r="B4104" s="2">
        <v>46004</v>
      </c>
      <c r="C4104" t="s">
        <v>18</v>
      </c>
      <c r="D4104" t="s">
        <v>12</v>
      </c>
      <c r="E4104" t="s">
        <v>27</v>
      </c>
      <c r="F4104" t="s">
        <v>14</v>
      </c>
      <c r="G4104">
        <v>210</v>
      </c>
      <c r="H4104">
        <v>658.2</v>
      </c>
      <c r="I4104">
        <v>13</v>
      </c>
      <c r="J4104" t="s">
        <v>15</v>
      </c>
      <c r="K4104">
        <v>138222</v>
      </c>
      <c r="L4104" t="str">
        <f t="shared" si="256"/>
        <v>Dec</v>
      </c>
      <c r="M4104">
        <f t="shared" si="257"/>
        <v>2025</v>
      </c>
      <c r="N4104">
        <f t="shared" si="258"/>
        <v>138222</v>
      </c>
      <c r="O4104" t="str">
        <f t="shared" si="259"/>
        <v>Minor Delay</v>
      </c>
    </row>
    <row r="4105" spans="1:15" x14ac:dyDescent="0.25">
      <c r="A4105">
        <v>4104</v>
      </c>
      <c r="B4105" s="2">
        <v>45866</v>
      </c>
      <c r="C4105" t="s">
        <v>31</v>
      </c>
      <c r="D4105" t="s">
        <v>17</v>
      </c>
      <c r="E4105" t="s">
        <v>22</v>
      </c>
      <c r="F4105" t="s">
        <v>21</v>
      </c>
      <c r="G4105">
        <v>226</v>
      </c>
      <c r="H4105">
        <v>456.67</v>
      </c>
      <c r="I4105">
        <v>0</v>
      </c>
      <c r="J4105" t="s">
        <v>15</v>
      </c>
      <c r="K4105">
        <v>103207.42</v>
      </c>
      <c r="L4105" t="str">
        <f t="shared" si="256"/>
        <v>Jul</v>
      </c>
      <c r="M4105">
        <f t="shared" si="257"/>
        <v>2025</v>
      </c>
      <c r="N4105">
        <f t="shared" si="258"/>
        <v>103207.42</v>
      </c>
      <c r="O4105" t="str">
        <f t="shared" si="259"/>
        <v>On Time</v>
      </c>
    </row>
    <row r="4106" spans="1:15" x14ac:dyDescent="0.25">
      <c r="A4106">
        <v>4105</v>
      </c>
      <c r="B4106" s="2">
        <v>45690</v>
      </c>
      <c r="C4106" t="s">
        <v>16</v>
      </c>
      <c r="D4106" t="s">
        <v>27</v>
      </c>
      <c r="E4106" t="s">
        <v>17</v>
      </c>
      <c r="F4106" t="s">
        <v>21</v>
      </c>
      <c r="G4106">
        <v>137</v>
      </c>
      <c r="H4106">
        <v>558.42999999999995</v>
      </c>
      <c r="I4106">
        <v>0</v>
      </c>
      <c r="J4106" t="s">
        <v>15</v>
      </c>
      <c r="K4106">
        <v>76504.91</v>
      </c>
      <c r="L4106" t="str">
        <f t="shared" si="256"/>
        <v>Feb</v>
      </c>
      <c r="M4106">
        <f t="shared" si="257"/>
        <v>2025</v>
      </c>
      <c r="N4106">
        <f t="shared" si="258"/>
        <v>76504.909999999989</v>
      </c>
      <c r="O4106" t="str">
        <f t="shared" si="259"/>
        <v>On Time</v>
      </c>
    </row>
    <row r="4107" spans="1:15" x14ac:dyDescent="0.25">
      <c r="A4107">
        <v>4106</v>
      </c>
      <c r="B4107" s="2">
        <v>45766</v>
      </c>
      <c r="C4107" t="s">
        <v>25</v>
      </c>
      <c r="D4107" t="s">
        <v>20</v>
      </c>
      <c r="E4107" t="s">
        <v>23</v>
      </c>
      <c r="F4107" t="s">
        <v>14</v>
      </c>
      <c r="G4107">
        <v>268</v>
      </c>
      <c r="H4107">
        <v>363.93</v>
      </c>
      <c r="I4107">
        <v>29</v>
      </c>
      <c r="J4107" t="s">
        <v>15</v>
      </c>
      <c r="K4107">
        <v>97533.24</v>
      </c>
      <c r="L4107" t="str">
        <f t="shared" si="256"/>
        <v>Apr</v>
      </c>
      <c r="M4107">
        <f t="shared" si="257"/>
        <v>2025</v>
      </c>
      <c r="N4107">
        <f t="shared" si="258"/>
        <v>97533.24</v>
      </c>
      <c r="O4107" t="str">
        <f t="shared" si="259"/>
        <v>Minor Delay</v>
      </c>
    </row>
    <row r="4108" spans="1:15" x14ac:dyDescent="0.25">
      <c r="A4108">
        <v>4107</v>
      </c>
      <c r="B4108" s="2">
        <v>45744</v>
      </c>
      <c r="C4108" t="s">
        <v>18</v>
      </c>
      <c r="D4108" t="s">
        <v>20</v>
      </c>
      <c r="E4108" t="s">
        <v>13</v>
      </c>
      <c r="F4108" t="s">
        <v>14</v>
      </c>
      <c r="G4108">
        <v>88</v>
      </c>
      <c r="H4108">
        <v>422.6</v>
      </c>
      <c r="I4108">
        <v>39</v>
      </c>
      <c r="J4108" t="s">
        <v>30</v>
      </c>
      <c r="K4108">
        <v>37188.800000000003</v>
      </c>
      <c r="L4108" t="str">
        <f t="shared" si="256"/>
        <v>Mar</v>
      </c>
      <c r="M4108">
        <f t="shared" si="257"/>
        <v>2025</v>
      </c>
      <c r="N4108">
        <f t="shared" si="258"/>
        <v>37188.800000000003</v>
      </c>
      <c r="O4108" t="str">
        <f t="shared" si="259"/>
        <v>Moderate Delay</v>
      </c>
    </row>
    <row r="4109" spans="1:15" x14ac:dyDescent="0.25">
      <c r="A4109">
        <v>4108</v>
      </c>
      <c r="B4109" s="2">
        <v>45793</v>
      </c>
      <c r="C4109" t="s">
        <v>25</v>
      </c>
      <c r="D4109" t="s">
        <v>22</v>
      </c>
      <c r="E4109" t="s">
        <v>20</v>
      </c>
      <c r="F4109" t="s">
        <v>24</v>
      </c>
      <c r="G4109">
        <v>182</v>
      </c>
      <c r="H4109">
        <v>388.89</v>
      </c>
      <c r="I4109">
        <v>0</v>
      </c>
      <c r="J4109" t="s">
        <v>15</v>
      </c>
      <c r="K4109">
        <v>70777.98</v>
      </c>
      <c r="L4109" t="str">
        <f t="shared" si="256"/>
        <v>May</v>
      </c>
      <c r="M4109">
        <f t="shared" si="257"/>
        <v>2025</v>
      </c>
      <c r="N4109">
        <f t="shared" si="258"/>
        <v>70777.98</v>
      </c>
      <c r="O4109" t="str">
        <f t="shared" si="259"/>
        <v>On Time</v>
      </c>
    </row>
    <row r="4110" spans="1:15" x14ac:dyDescent="0.25">
      <c r="A4110">
        <v>4109</v>
      </c>
      <c r="B4110" s="2">
        <v>45956</v>
      </c>
      <c r="C4110" t="s">
        <v>25</v>
      </c>
      <c r="D4110" t="s">
        <v>17</v>
      </c>
      <c r="E4110" t="s">
        <v>23</v>
      </c>
      <c r="F4110" t="s">
        <v>24</v>
      </c>
      <c r="G4110">
        <v>298</v>
      </c>
      <c r="H4110">
        <v>387.54</v>
      </c>
      <c r="I4110">
        <v>40</v>
      </c>
      <c r="J4110" t="s">
        <v>15</v>
      </c>
      <c r="K4110">
        <v>115486.92</v>
      </c>
      <c r="L4110" t="str">
        <f t="shared" si="256"/>
        <v>Oct</v>
      </c>
      <c r="M4110">
        <f t="shared" si="257"/>
        <v>2025</v>
      </c>
      <c r="N4110">
        <f t="shared" si="258"/>
        <v>115486.92000000001</v>
      </c>
      <c r="O4110" t="str">
        <f t="shared" si="259"/>
        <v>Moderate Delay</v>
      </c>
    </row>
    <row r="4111" spans="1:15" x14ac:dyDescent="0.25">
      <c r="A4111">
        <v>4110</v>
      </c>
      <c r="B4111" s="2">
        <v>45884</v>
      </c>
      <c r="C4111" t="s">
        <v>26</v>
      </c>
      <c r="D4111" t="s">
        <v>19</v>
      </c>
      <c r="E4111" t="s">
        <v>22</v>
      </c>
      <c r="F4111" t="s">
        <v>24</v>
      </c>
      <c r="G4111">
        <v>215</v>
      </c>
      <c r="H4111">
        <v>86.7</v>
      </c>
      <c r="I4111">
        <v>31</v>
      </c>
      <c r="J4111" t="s">
        <v>15</v>
      </c>
      <c r="K4111">
        <v>18640.5</v>
      </c>
      <c r="L4111" t="str">
        <f t="shared" si="256"/>
        <v>Aug</v>
      </c>
      <c r="M4111">
        <f t="shared" si="257"/>
        <v>2025</v>
      </c>
      <c r="N4111">
        <f t="shared" si="258"/>
        <v>18640.5</v>
      </c>
      <c r="O4111" t="str">
        <f t="shared" si="259"/>
        <v>Moderate Delay</v>
      </c>
    </row>
    <row r="4112" spans="1:15" x14ac:dyDescent="0.25">
      <c r="A4112">
        <v>4111</v>
      </c>
      <c r="B4112" s="2">
        <v>45844</v>
      </c>
      <c r="C4112" t="s">
        <v>11</v>
      </c>
      <c r="D4112" t="s">
        <v>23</v>
      </c>
      <c r="E4112" t="s">
        <v>13</v>
      </c>
      <c r="F4112" t="s">
        <v>24</v>
      </c>
      <c r="G4112">
        <v>176</v>
      </c>
      <c r="H4112">
        <v>185.54</v>
      </c>
      <c r="I4112">
        <v>0</v>
      </c>
      <c r="J4112" t="s">
        <v>15</v>
      </c>
      <c r="K4112">
        <v>32655.040000000001</v>
      </c>
      <c r="L4112" t="str">
        <f t="shared" si="256"/>
        <v>Jul</v>
      </c>
      <c r="M4112">
        <f t="shared" si="257"/>
        <v>2025</v>
      </c>
      <c r="N4112">
        <f t="shared" si="258"/>
        <v>32655.039999999997</v>
      </c>
      <c r="O4112" t="str">
        <f t="shared" si="259"/>
        <v>On Time</v>
      </c>
    </row>
    <row r="4113" spans="1:15" x14ac:dyDescent="0.25">
      <c r="A4113">
        <v>4112</v>
      </c>
      <c r="B4113" s="2">
        <v>45819</v>
      </c>
      <c r="C4113" t="s">
        <v>11</v>
      </c>
      <c r="D4113" t="s">
        <v>27</v>
      </c>
      <c r="E4113" t="s">
        <v>17</v>
      </c>
      <c r="F4113" t="s">
        <v>21</v>
      </c>
      <c r="G4113">
        <v>209</v>
      </c>
      <c r="H4113">
        <v>251.44</v>
      </c>
      <c r="I4113">
        <v>0</v>
      </c>
      <c r="J4113" t="s">
        <v>30</v>
      </c>
      <c r="K4113">
        <v>52550.96</v>
      </c>
      <c r="L4113" t="str">
        <f t="shared" si="256"/>
        <v>Jun</v>
      </c>
      <c r="M4113">
        <f t="shared" si="257"/>
        <v>2025</v>
      </c>
      <c r="N4113">
        <f t="shared" si="258"/>
        <v>52550.96</v>
      </c>
      <c r="O4113" t="str">
        <f t="shared" si="259"/>
        <v>On Time</v>
      </c>
    </row>
    <row r="4114" spans="1:15" x14ac:dyDescent="0.25">
      <c r="A4114">
        <v>4113</v>
      </c>
      <c r="B4114" s="2">
        <v>45836</v>
      </c>
      <c r="C4114" t="s">
        <v>26</v>
      </c>
      <c r="D4114" t="s">
        <v>19</v>
      </c>
      <c r="E4114" t="s">
        <v>27</v>
      </c>
      <c r="F4114" t="s">
        <v>21</v>
      </c>
      <c r="G4114">
        <v>271</v>
      </c>
      <c r="H4114">
        <v>756.97</v>
      </c>
      <c r="I4114">
        <v>24</v>
      </c>
      <c r="J4114" t="s">
        <v>15</v>
      </c>
      <c r="K4114">
        <v>205138.87</v>
      </c>
      <c r="L4114" t="str">
        <f t="shared" si="256"/>
        <v>Jun</v>
      </c>
      <c r="M4114">
        <f t="shared" si="257"/>
        <v>2025</v>
      </c>
      <c r="N4114">
        <f t="shared" si="258"/>
        <v>205138.87</v>
      </c>
      <c r="O4114" t="str">
        <f t="shared" si="259"/>
        <v>Minor Delay</v>
      </c>
    </row>
    <row r="4115" spans="1:15" x14ac:dyDescent="0.25">
      <c r="A4115">
        <v>4114</v>
      </c>
      <c r="B4115" s="2">
        <v>45759</v>
      </c>
      <c r="C4115" t="s">
        <v>25</v>
      </c>
      <c r="D4115" t="s">
        <v>19</v>
      </c>
      <c r="E4115" t="s">
        <v>23</v>
      </c>
      <c r="F4115" t="s">
        <v>21</v>
      </c>
      <c r="G4115">
        <v>145</v>
      </c>
      <c r="H4115">
        <v>744.44</v>
      </c>
      <c r="I4115">
        <v>0</v>
      </c>
      <c r="J4115" t="s">
        <v>15</v>
      </c>
      <c r="K4115">
        <v>107943.8</v>
      </c>
      <c r="L4115" t="str">
        <f t="shared" si="256"/>
        <v>Apr</v>
      </c>
      <c r="M4115">
        <f t="shared" si="257"/>
        <v>2025</v>
      </c>
      <c r="N4115">
        <f t="shared" si="258"/>
        <v>107943.8</v>
      </c>
      <c r="O4115" t="str">
        <f t="shared" si="259"/>
        <v>On Time</v>
      </c>
    </row>
    <row r="4116" spans="1:15" x14ac:dyDescent="0.25">
      <c r="A4116">
        <v>4115</v>
      </c>
      <c r="B4116" s="2">
        <v>45784</v>
      </c>
      <c r="C4116" t="s">
        <v>18</v>
      </c>
      <c r="D4116" t="s">
        <v>29</v>
      </c>
      <c r="E4116" t="s">
        <v>12</v>
      </c>
      <c r="F4116" t="s">
        <v>21</v>
      </c>
      <c r="G4116">
        <v>147</v>
      </c>
      <c r="H4116">
        <v>284.18</v>
      </c>
      <c r="I4116">
        <v>19</v>
      </c>
      <c r="J4116" t="s">
        <v>30</v>
      </c>
      <c r="K4116">
        <v>41774.46</v>
      </c>
      <c r="L4116" t="str">
        <f t="shared" si="256"/>
        <v>May</v>
      </c>
      <c r="M4116">
        <f t="shared" si="257"/>
        <v>2025</v>
      </c>
      <c r="N4116">
        <f t="shared" si="258"/>
        <v>41774.46</v>
      </c>
      <c r="O4116" t="str">
        <f t="shared" si="259"/>
        <v>Minor Delay</v>
      </c>
    </row>
    <row r="4117" spans="1:15" x14ac:dyDescent="0.25">
      <c r="A4117">
        <v>4116</v>
      </c>
      <c r="B4117" s="2">
        <v>45771</v>
      </c>
      <c r="C4117" t="s">
        <v>18</v>
      </c>
      <c r="D4117" t="s">
        <v>13</v>
      </c>
      <c r="E4117" t="s">
        <v>27</v>
      </c>
      <c r="F4117" t="s">
        <v>14</v>
      </c>
      <c r="G4117">
        <v>64</v>
      </c>
      <c r="H4117">
        <v>776.02</v>
      </c>
      <c r="I4117">
        <v>12</v>
      </c>
      <c r="J4117" t="s">
        <v>30</v>
      </c>
      <c r="K4117">
        <v>49665.279999999999</v>
      </c>
      <c r="L4117" t="str">
        <f t="shared" si="256"/>
        <v>Apr</v>
      </c>
      <c r="M4117">
        <f t="shared" si="257"/>
        <v>2025</v>
      </c>
      <c r="N4117">
        <f t="shared" si="258"/>
        <v>49665.279999999999</v>
      </c>
      <c r="O4117" t="str">
        <f t="shared" si="259"/>
        <v>Minor Delay</v>
      </c>
    </row>
    <row r="4118" spans="1:15" x14ac:dyDescent="0.25">
      <c r="A4118">
        <v>4117</v>
      </c>
      <c r="B4118" s="2">
        <v>45658</v>
      </c>
      <c r="C4118" t="s">
        <v>25</v>
      </c>
      <c r="D4118" t="s">
        <v>12</v>
      </c>
      <c r="E4118" t="s">
        <v>17</v>
      </c>
      <c r="F4118" t="s">
        <v>24</v>
      </c>
      <c r="G4118">
        <v>105</v>
      </c>
      <c r="H4118">
        <v>190.74</v>
      </c>
      <c r="I4118">
        <v>39</v>
      </c>
      <c r="J4118" t="s">
        <v>15</v>
      </c>
      <c r="K4118">
        <v>20027.7</v>
      </c>
      <c r="L4118" t="str">
        <f t="shared" si="256"/>
        <v>Jan</v>
      </c>
      <c r="M4118">
        <f t="shared" si="257"/>
        <v>2025</v>
      </c>
      <c r="N4118">
        <f t="shared" si="258"/>
        <v>20027.7</v>
      </c>
      <c r="O4118" t="str">
        <f t="shared" si="259"/>
        <v>Moderate Delay</v>
      </c>
    </row>
    <row r="4119" spans="1:15" x14ac:dyDescent="0.25">
      <c r="A4119">
        <v>4118</v>
      </c>
      <c r="B4119" s="2">
        <v>45730</v>
      </c>
      <c r="C4119" t="s">
        <v>18</v>
      </c>
      <c r="D4119" t="s">
        <v>12</v>
      </c>
      <c r="E4119" t="s">
        <v>13</v>
      </c>
      <c r="F4119" t="s">
        <v>24</v>
      </c>
      <c r="G4119">
        <v>182</v>
      </c>
      <c r="H4119">
        <v>230.54</v>
      </c>
      <c r="I4119">
        <v>18</v>
      </c>
      <c r="J4119" t="s">
        <v>15</v>
      </c>
      <c r="K4119">
        <v>41958.28</v>
      </c>
      <c r="L4119" t="str">
        <f t="shared" si="256"/>
        <v>Mar</v>
      </c>
      <c r="M4119">
        <f t="shared" si="257"/>
        <v>2025</v>
      </c>
      <c r="N4119">
        <f t="shared" si="258"/>
        <v>41958.28</v>
      </c>
      <c r="O4119" t="str">
        <f t="shared" si="259"/>
        <v>Minor Delay</v>
      </c>
    </row>
    <row r="4120" spans="1:15" x14ac:dyDescent="0.25">
      <c r="A4120">
        <v>4119</v>
      </c>
      <c r="B4120" s="2">
        <v>45761</v>
      </c>
      <c r="C4120" t="s">
        <v>26</v>
      </c>
      <c r="D4120" t="s">
        <v>17</v>
      </c>
      <c r="E4120" t="s">
        <v>19</v>
      </c>
      <c r="F4120" t="s">
        <v>24</v>
      </c>
      <c r="G4120">
        <v>169</v>
      </c>
      <c r="H4120">
        <v>268.04000000000002</v>
      </c>
      <c r="I4120">
        <v>0</v>
      </c>
      <c r="J4120" t="s">
        <v>28</v>
      </c>
      <c r="K4120">
        <v>45298.76</v>
      </c>
      <c r="L4120" t="str">
        <f t="shared" si="256"/>
        <v>Apr</v>
      </c>
      <c r="M4120">
        <f t="shared" si="257"/>
        <v>2025</v>
      </c>
      <c r="N4120">
        <f t="shared" si="258"/>
        <v>45298.76</v>
      </c>
      <c r="O4120" t="str">
        <f t="shared" si="259"/>
        <v>On Time</v>
      </c>
    </row>
    <row r="4121" spans="1:15" x14ac:dyDescent="0.25">
      <c r="A4121">
        <v>4120</v>
      </c>
      <c r="B4121" s="2">
        <v>45677</v>
      </c>
      <c r="C4121" t="s">
        <v>11</v>
      </c>
      <c r="D4121" t="s">
        <v>17</v>
      </c>
      <c r="E4121" t="s">
        <v>20</v>
      </c>
      <c r="F4121" t="s">
        <v>14</v>
      </c>
      <c r="G4121">
        <v>267</v>
      </c>
      <c r="H4121">
        <v>694.26</v>
      </c>
      <c r="I4121">
        <v>36</v>
      </c>
      <c r="J4121" t="s">
        <v>15</v>
      </c>
      <c r="K4121">
        <v>185367.42</v>
      </c>
      <c r="L4121" t="str">
        <f t="shared" si="256"/>
        <v>Jan</v>
      </c>
      <c r="M4121">
        <f t="shared" si="257"/>
        <v>2025</v>
      </c>
      <c r="N4121">
        <f t="shared" si="258"/>
        <v>185367.41999999998</v>
      </c>
      <c r="O4121" t="str">
        <f t="shared" si="259"/>
        <v>Moderate Delay</v>
      </c>
    </row>
    <row r="4122" spans="1:15" x14ac:dyDescent="0.25">
      <c r="A4122">
        <v>4121</v>
      </c>
      <c r="B4122" s="2">
        <v>45950</v>
      </c>
      <c r="C4122" t="s">
        <v>31</v>
      </c>
      <c r="D4122" t="s">
        <v>20</v>
      </c>
      <c r="E4122" t="s">
        <v>19</v>
      </c>
      <c r="F4122" t="s">
        <v>24</v>
      </c>
      <c r="G4122">
        <v>117</v>
      </c>
      <c r="H4122">
        <v>142.47999999999999</v>
      </c>
      <c r="I4122">
        <v>0</v>
      </c>
      <c r="J4122" t="s">
        <v>15</v>
      </c>
      <c r="K4122">
        <v>16670.16</v>
      </c>
      <c r="L4122" t="str">
        <f t="shared" si="256"/>
        <v>Oct</v>
      </c>
      <c r="M4122">
        <f t="shared" si="257"/>
        <v>2025</v>
      </c>
      <c r="N4122">
        <f t="shared" si="258"/>
        <v>16670.16</v>
      </c>
      <c r="O4122" t="str">
        <f t="shared" si="259"/>
        <v>On Time</v>
      </c>
    </row>
    <row r="4123" spans="1:15" x14ac:dyDescent="0.25">
      <c r="A4123">
        <v>4122</v>
      </c>
      <c r="B4123" s="2">
        <v>45685</v>
      </c>
      <c r="C4123" t="s">
        <v>16</v>
      </c>
      <c r="D4123" t="s">
        <v>23</v>
      </c>
      <c r="E4123" t="s">
        <v>12</v>
      </c>
      <c r="F4123" t="s">
        <v>14</v>
      </c>
      <c r="G4123">
        <v>95</v>
      </c>
      <c r="H4123">
        <v>524.92999999999995</v>
      </c>
      <c r="I4123">
        <v>0</v>
      </c>
      <c r="J4123" t="s">
        <v>15</v>
      </c>
      <c r="K4123">
        <v>49868.35</v>
      </c>
      <c r="L4123" t="str">
        <f t="shared" si="256"/>
        <v>Jan</v>
      </c>
      <c r="M4123">
        <f t="shared" si="257"/>
        <v>2025</v>
      </c>
      <c r="N4123">
        <f t="shared" si="258"/>
        <v>49868.35</v>
      </c>
      <c r="O4123" t="str">
        <f t="shared" si="259"/>
        <v>On Time</v>
      </c>
    </row>
    <row r="4124" spans="1:15" x14ac:dyDescent="0.25">
      <c r="A4124">
        <v>4123</v>
      </c>
      <c r="B4124" s="2">
        <v>46007</v>
      </c>
      <c r="C4124" t="s">
        <v>31</v>
      </c>
      <c r="D4124" t="s">
        <v>20</v>
      </c>
      <c r="E4124" t="s">
        <v>12</v>
      </c>
      <c r="F4124" t="s">
        <v>24</v>
      </c>
      <c r="G4124">
        <v>79</v>
      </c>
      <c r="H4124">
        <v>349.89</v>
      </c>
      <c r="I4124">
        <v>39</v>
      </c>
      <c r="J4124" t="s">
        <v>30</v>
      </c>
      <c r="K4124">
        <v>27641.31</v>
      </c>
      <c r="L4124" t="str">
        <f t="shared" si="256"/>
        <v>Dec</v>
      </c>
      <c r="M4124">
        <f t="shared" si="257"/>
        <v>2025</v>
      </c>
      <c r="N4124">
        <f t="shared" si="258"/>
        <v>27641.309999999998</v>
      </c>
      <c r="O4124" t="str">
        <f t="shared" si="259"/>
        <v>Moderate Delay</v>
      </c>
    </row>
    <row r="4125" spans="1:15" x14ac:dyDescent="0.25">
      <c r="A4125">
        <v>4124</v>
      </c>
      <c r="B4125" s="2">
        <v>45761</v>
      </c>
      <c r="C4125" t="s">
        <v>31</v>
      </c>
      <c r="D4125" t="s">
        <v>20</v>
      </c>
      <c r="E4125" t="s">
        <v>27</v>
      </c>
      <c r="F4125" t="s">
        <v>14</v>
      </c>
      <c r="G4125">
        <v>110</v>
      </c>
      <c r="H4125">
        <v>698.65</v>
      </c>
      <c r="I4125">
        <v>17</v>
      </c>
      <c r="J4125" t="s">
        <v>15</v>
      </c>
      <c r="K4125">
        <v>76851.5</v>
      </c>
      <c r="L4125" t="str">
        <f t="shared" si="256"/>
        <v>Apr</v>
      </c>
      <c r="M4125">
        <f t="shared" si="257"/>
        <v>2025</v>
      </c>
      <c r="N4125">
        <f t="shared" si="258"/>
        <v>76851.5</v>
      </c>
      <c r="O4125" t="str">
        <f t="shared" si="259"/>
        <v>Minor Delay</v>
      </c>
    </row>
    <row r="4126" spans="1:15" x14ac:dyDescent="0.25">
      <c r="A4126">
        <v>4125</v>
      </c>
      <c r="B4126" s="2">
        <v>45786</v>
      </c>
      <c r="C4126" t="s">
        <v>11</v>
      </c>
      <c r="D4126" t="s">
        <v>12</v>
      </c>
      <c r="E4126" t="s">
        <v>22</v>
      </c>
      <c r="F4126" t="s">
        <v>24</v>
      </c>
      <c r="G4126">
        <v>164</v>
      </c>
      <c r="H4126">
        <v>698.04</v>
      </c>
      <c r="I4126">
        <v>0</v>
      </c>
      <c r="J4126" t="s">
        <v>15</v>
      </c>
      <c r="K4126">
        <v>114478.56</v>
      </c>
      <c r="L4126" t="str">
        <f t="shared" si="256"/>
        <v>May</v>
      </c>
      <c r="M4126">
        <f t="shared" si="257"/>
        <v>2025</v>
      </c>
      <c r="N4126">
        <f t="shared" si="258"/>
        <v>114478.56</v>
      </c>
      <c r="O4126" t="str">
        <f t="shared" si="259"/>
        <v>On Time</v>
      </c>
    </row>
    <row r="4127" spans="1:15" x14ac:dyDescent="0.25">
      <c r="A4127">
        <v>4126</v>
      </c>
      <c r="B4127" s="2">
        <v>45669</v>
      </c>
      <c r="C4127" t="s">
        <v>26</v>
      </c>
      <c r="D4127" t="s">
        <v>19</v>
      </c>
      <c r="E4127" t="s">
        <v>17</v>
      </c>
      <c r="F4127" t="s">
        <v>21</v>
      </c>
      <c r="G4127">
        <v>243</v>
      </c>
      <c r="H4127">
        <v>628.72</v>
      </c>
      <c r="I4127">
        <v>48</v>
      </c>
      <c r="J4127" t="s">
        <v>15</v>
      </c>
      <c r="K4127">
        <v>152778.96</v>
      </c>
      <c r="L4127" t="str">
        <f t="shared" si="256"/>
        <v>Jan</v>
      </c>
      <c r="M4127">
        <f t="shared" si="257"/>
        <v>2025</v>
      </c>
      <c r="N4127">
        <f t="shared" si="258"/>
        <v>152778.96000000002</v>
      </c>
      <c r="O4127" t="str">
        <f t="shared" si="259"/>
        <v>Moderate Delay</v>
      </c>
    </row>
    <row r="4128" spans="1:15" x14ac:dyDescent="0.25">
      <c r="A4128">
        <v>4127</v>
      </c>
      <c r="B4128" s="2">
        <v>45753</v>
      </c>
      <c r="C4128" t="s">
        <v>18</v>
      </c>
      <c r="D4128" t="s">
        <v>17</v>
      </c>
      <c r="E4128" t="s">
        <v>13</v>
      </c>
      <c r="F4128" t="s">
        <v>14</v>
      </c>
      <c r="G4128">
        <v>235</v>
      </c>
      <c r="H4128">
        <v>358.58</v>
      </c>
      <c r="I4128">
        <v>0</v>
      </c>
      <c r="J4128" t="s">
        <v>15</v>
      </c>
      <c r="K4128">
        <v>84266.3</v>
      </c>
      <c r="L4128" t="str">
        <f t="shared" si="256"/>
        <v>Apr</v>
      </c>
      <c r="M4128">
        <f t="shared" si="257"/>
        <v>2025</v>
      </c>
      <c r="N4128">
        <f t="shared" si="258"/>
        <v>84266.3</v>
      </c>
      <c r="O4128" t="str">
        <f t="shared" si="259"/>
        <v>On Time</v>
      </c>
    </row>
    <row r="4129" spans="1:15" x14ac:dyDescent="0.25">
      <c r="A4129">
        <v>4128</v>
      </c>
      <c r="B4129" s="2">
        <v>45701</v>
      </c>
      <c r="C4129" t="s">
        <v>25</v>
      </c>
      <c r="D4129" t="s">
        <v>13</v>
      </c>
      <c r="E4129" t="s">
        <v>27</v>
      </c>
      <c r="F4129" t="s">
        <v>21</v>
      </c>
      <c r="G4129">
        <v>188</v>
      </c>
      <c r="H4129">
        <v>563.35</v>
      </c>
      <c r="I4129">
        <v>16</v>
      </c>
      <c r="J4129" t="s">
        <v>15</v>
      </c>
      <c r="K4129">
        <v>105909.8</v>
      </c>
      <c r="L4129" t="str">
        <f t="shared" si="256"/>
        <v>Feb</v>
      </c>
      <c r="M4129">
        <f t="shared" si="257"/>
        <v>2025</v>
      </c>
      <c r="N4129">
        <f t="shared" si="258"/>
        <v>105909.8</v>
      </c>
      <c r="O4129" t="str">
        <f t="shared" si="259"/>
        <v>Minor Delay</v>
      </c>
    </row>
    <row r="4130" spans="1:15" x14ac:dyDescent="0.25">
      <c r="A4130">
        <v>4129</v>
      </c>
      <c r="B4130" s="2">
        <v>45780</v>
      </c>
      <c r="C4130" t="s">
        <v>25</v>
      </c>
      <c r="D4130" t="s">
        <v>29</v>
      </c>
      <c r="E4130" t="s">
        <v>19</v>
      </c>
      <c r="F4130" t="s">
        <v>24</v>
      </c>
      <c r="G4130">
        <v>286</v>
      </c>
      <c r="H4130">
        <v>130.19</v>
      </c>
      <c r="I4130">
        <v>22</v>
      </c>
      <c r="J4130" t="s">
        <v>15</v>
      </c>
      <c r="K4130">
        <v>37234.339999999997</v>
      </c>
      <c r="L4130" t="str">
        <f t="shared" si="256"/>
        <v>May</v>
      </c>
      <c r="M4130">
        <f t="shared" si="257"/>
        <v>2025</v>
      </c>
      <c r="N4130">
        <f t="shared" si="258"/>
        <v>37234.339999999997</v>
      </c>
      <c r="O4130" t="str">
        <f t="shared" si="259"/>
        <v>Minor Delay</v>
      </c>
    </row>
    <row r="4131" spans="1:15" x14ac:dyDescent="0.25">
      <c r="A4131">
        <v>4130</v>
      </c>
      <c r="B4131" s="2">
        <v>45844</v>
      </c>
      <c r="C4131" t="s">
        <v>31</v>
      </c>
      <c r="D4131" t="s">
        <v>20</v>
      </c>
      <c r="E4131" t="s">
        <v>23</v>
      </c>
      <c r="F4131" t="s">
        <v>21</v>
      </c>
      <c r="G4131">
        <v>200</v>
      </c>
      <c r="H4131">
        <v>445.48</v>
      </c>
      <c r="I4131">
        <v>31</v>
      </c>
      <c r="J4131" t="s">
        <v>15</v>
      </c>
      <c r="K4131">
        <v>89096</v>
      </c>
      <c r="L4131" t="str">
        <f t="shared" si="256"/>
        <v>Jul</v>
      </c>
      <c r="M4131">
        <f t="shared" si="257"/>
        <v>2025</v>
      </c>
      <c r="N4131">
        <f t="shared" si="258"/>
        <v>89096</v>
      </c>
      <c r="O4131" t="str">
        <f t="shared" si="259"/>
        <v>Moderate Delay</v>
      </c>
    </row>
    <row r="4132" spans="1:15" x14ac:dyDescent="0.25">
      <c r="A4132">
        <v>4131</v>
      </c>
      <c r="B4132" s="2">
        <v>45785</v>
      </c>
      <c r="C4132" t="s">
        <v>18</v>
      </c>
      <c r="D4132" t="s">
        <v>12</v>
      </c>
      <c r="E4132" t="s">
        <v>23</v>
      </c>
      <c r="F4132" t="s">
        <v>24</v>
      </c>
      <c r="G4132">
        <v>289</v>
      </c>
      <c r="H4132">
        <v>430.41</v>
      </c>
      <c r="I4132">
        <v>75</v>
      </c>
      <c r="J4132" t="s">
        <v>15</v>
      </c>
      <c r="K4132">
        <v>124388.49</v>
      </c>
      <c r="L4132" t="str">
        <f t="shared" si="256"/>
        <v>May</v>
      </c>
      <c r="M4132">
        <f t="shared" si="257"/>
        <v>2025</v>
      </c>
      <c r="N4132">
        <f t="shared" si="258"/>
        <v>124388.49</v>
      </c>
      <c r="O4132" t="str">
        <f t="shared" si="259"/>
        <v>Major Delay</v>
      </c>
    </row>
    <row r="4133" spans="1:15" x14ac:dyDescent="0.25">
      <c r="A4133">
        <v>4132</v>
      </c>
      <c r="B4133" s="2">
        <v>45954</v>
      </c>
      <c r="C4133" t="s">
        <v>16</v>
      </c>
      <c r="D4133" t="s">
        <v>13</v>
      </c>
      <c r="E4133" t="s">
        <v>27</v>
      </c>
      <c r="F4133" t="s">
        <v>14</v>
      </c>
      <c r="G4133">
        <v>210</v>
      </c>
      <c r="H4133">
        <v>653.96</v>
      </c>
      <c r="I4133">
        <v>23</v>
      </c>
      <c r="J4133" t="s">
        <v>15</v>
      </c>
      <c r="K4133">
        <v>137331.6</v>
      </c>
      <c r="L4133" t="str">
        <f t="shared" si="256"/>
        <v>Oct</v>
      </c>
      <c r="M4133">
        <f t="shared" si="257"/>
        <v>2025</v>
      </c>
      <c r="N4133">
        <f t="shared" si="258"/>
        <v>137331.6</v>
      </c>
      <c r="O4133" t="str">
        <f t="shared" si="259"/>
        <v>Minor Delay</v>
      </c>
    </row>
    <row r="4134" spans="1:15" x14ac:dyDescent="0.25">
      <c r="A4134">
        <v>4133</v>
      </c>
      <c r="B4134" s="2">
        <v>45673</v>
      </c>
      <c r="C4134" t="s">
        <v>18</v>
      </c>
      <c r="D4134" t="s">
        <v>22</v>
      </c>
      <c r="E4134" t="s">
        <v>12</v>
      </c>
      <c r="F4134" t="s">
        <v>24</v>
      </c>
      <c r="G4134">
        <v>60</v>
      </c>
      <c r="H4134">
        <v>427.01</v>
      </c>
      <c r="I4134">
        <v>49</v>
      </c>
      <c r="J4134" t="s">
        <v>15</v>
      </c>
      <c r="K4134">
        <v>25620.6</v>
      </c>
      <c r="L4134" t="str">
        <f t="shared" si="256"/>
        <v>Jan</v>
      </c>
      <c r="M4134">
        <f t="shared" si="257"/>
        <v>2025</v>
      </c>
      <c r="N4134">
        <f t="shared" si="258"/>
        <v>25620.6</v>
      </c>
      <c r="O4134" t="str">
        <f t="shared" si="259"/>
        <v>Moderate Delay</v>
      </c>
    </row>
    <row r="4135" spans="1:15" x14ac:dyDescent="0.25">
      <c r="A4135">
        <v>4134</v>
      </c>
      <c r="B4135" s="2">
        <v>45929</v>
      </c>
      <c r="C4135" t="s">
        <v>25</v>
      </c>
      <c r="D4135" t="s">
        <v>23</v>
      </c>
      <c r="E4135" t="s">
        <v>27</v>
      </c>
      <c r="F4135" t="s">
        <v>24</v>
      </c>
      <c r="G4135">
        <v>181</v>
      </c>
      <c r="H4135">
        <v>777.05</v>
      </c>
      <c r="I4135">
        <v>13</v>
      </c>
      <c r="J4135" t="s">
        <v>30</v>
      </c>
      <c r="K4135">
        <v>140646.04999999999</v>
      </c>
      <c r="L4135" t="str">
        <f t="shared" si="256"/>
        <v>Sep</v>
      </c>
      <c r="M4135">
        <f t="shared" si="257"/>
        <v>2025</v>
      </c>
      <c r="N4135">
        <f t="shared" si="258"/>
        <v>140646.04999999999</v>
      </c>
      <c r="O4135" t="str">
        <f t="shared" si="259"/>
        <v>Minor Delay</v>
      </c>
    </row>
    <row r="4136" spans="1:15" x14ac:dyDescent="0.25">
      <c r="A4136">
        <v>4135</v>
      </c>
      <c r="B4136" s="2">
        <v>45922</v>
      </c>
      <c r="C4136" t="s">
        <v>26</v>
      </c>
      <c r="D4136" t="s">
        <v>19</v>
      </c>
      <c r="E4136" t="s">
        <v>22</v>
      </c>
      <c r="F4136" t="s">
        <v>24</v>
      </c>
      <c r="G4136">
        <v>104</v>
      </c>
      <c r="H4136">
        <v>380.32</v>
      </c>
      <c r="I4136">
        <v>44</v>
      </c>
      <c r="J4136" t="s">
        <v>15</v>
      </c>
      <c r="K4136">
        <v>39553.279999999999</v>
      </c>
      <c r="L4136" t="str">
        <f t="shared" si="256"/>
        <v>Sep</v>
      </c>
      <c r="M4136">
        <f t="shared" si="257"/>
        <v>2025</v>
      </c>
      <c r="N4136">
        <f t="shared" si="258"/>
        <v>39553.279999999999</v>
      </c>
      <c r="O4136" t="str">
        <f t="shared" si="259"/>
        <v>Moderate Delay</v>
      </c>
    </row>
    <row r="4137" spans="1:15" x14ac:dyDescent="0.25">
      <c r="A4137">
        <v>4136</v>
      </c>
      <c r="B4137" s="2">
        <v>45792</v>
      </c>
      <c r="C4137" t="s">
        <v>31</v>
      </c>
      <c r="D4137" t="s">
        <v>13</v>
      </c>
      <c r="E4137" t="s">
        <v>22</v>
      </c>
      <c r="F4137" t="s">
        <v>14</v>
      </c>
      <c r="G4137">
        <v>172</v>
      </c>
      <c r="H4137">
        <v>196.68</v>
      </c>
      <c r="I4137">
        <v>0</v>
      </c>
      <c r="J4137" t="s">
        <v>15</v>
      </c>
      <c r="K4137">
        <v>33828.959999999999</v>
      </c>
      <c r="L4137" t="str">
        <f t="shared" si="256"/>
        <v>May</v>
      </c>
      <c r="M4137">
        <f t="shared" si="257"/>
        <v>2025</v>
      </c>
      <c r="N4137">
        <f t="shared" si="258"/>
        <v>33828.959999999999</v>
      </c>
      <c r="O4137" t="str">
        <f t="shared" si="259"/>
        <v>On Time</v>
      </c>
    </row>
    <row r="4138" spans="1:15" x14ac:dyDescent="0.25">
      <c r="A4138">
        <v>4137</v>
      </c>
      <c r="B4138" s="2">
        <v>45718</v>
      </c>
      <c r="C4138" t="s">
        <v>18</v>
      </c>
      <c r="D4138" t="s">
        <v>13</v>
      </c>
      <c r="E4138" t="s">
        <v>23</v>
      </c>
      <c r="F4138" t="s">
        <v>21</v>
      </c>
      <c r="G4138">
        <v>272</v>
      </c>
      <c r="H4138">
        <v>666.18</v>
      </c>
      <c r="I4138">
        <v>21</v>
      </c>
      <c r="J4138" t="s">
        <v>15</v>
      </c>
      <c r="K4138">
        <v>181200.96</v>
      </c>
      <c r="L4138" t="str">
        <f t="shared" si="256"/>
        <v>Mar</v>
      </c>
      <c r="M4138">
        <f t="shared" si="257"/>
        <v>2025</v>
      </c>
      <c r="N4138">
        <f t="shared" si="258"/>
        <v>181200.96</v>
      </c>
      <c r="O4138" t="str">
        <f t="shared" si="259"/>
        <v>Minor Delay</v>
      </c>
    </row>
    <row r="4139" spans="1:15" x14ac:dyDescent="0.25">
      <c r="A4139">
        <v>4138</v>
      </c>
      <c r="B4139" s="2">
        <v>45700</v>
      </c>
      <c r="C4139" t="s">
        <v>18</v>
      </c>
      <c r="D4139" t="s">
        <v>23</v>
      </c>
      <c r="E4139" t="s">
        <v>19</v>
      </c>
      <c r="F4139" t="s">
        <v>24</v>
      </c>
      <c r="G4139">
        <v>240</v>
      </c>
      <c r="H4139">
        <v>444.25</v>
      </c>
      <c r="I4139">
        <v>56</v>
      </c>
      <c r="J4139" t="s">
        <v>15</v>
      </c>
      <c r="K4139">
        <v>106620</v>
      </c>
      <c r="L4139" t="str">
        <f t="shared" si="256"/>
        <v>Feb</v>
      </c>
      <c r="M4139">
        <f t="shared" si="257"/>
        <v>2025</v>
      </c>
      <c r="N4139">
        <f t="shared" si="258"/>
        <v>106620</v>
      </c>
      <c r="O4139" t="str">
        <f t="shared" si="259"/>
        <v>Moderate Delay</v>
      </c>
    </row>
    <row r="4140" spans="1:15" x14ac:dyDescent="0.25">
      <c r="A4140">
        <v>4139</v>
      </c>
      <c r="B4140" s="2">
        <v>45791</v>
      </c>
      <c r="C4140" t="s">
        <v>26</v>
      </c>
      <c r="D4140" t="s">
        <v>27</v>
      </c>
      <c r="E4140" t="s">
        <v>23</v>
      </c>
      <c r="F4140" t="s">
        <v>14</v>
      </c>
      <c r="G4140">
        <v>191</v>
      </c>
      <c r="H4140">
        <v>475.86</v>
      </c>
      <c r="I4140">
        <v>0</v>
      </c>
      <c r="J4140" t="s">
        <v>15</v>
      </c>
      <c r="K4140">
        <v>90889.26</v>
      </c>
      <c r="L4140" t="str">
        <f t="shared" si="256"/>
        <v>May</v>
      </c>
      <c r="M4140">
        <f t="shared" si="257"/>
        <v>2025</v>
      </c>
      <c r="N4140">
        <f t="shared" si="258"/>
        <v>90889.260000000009</v>
      </c>
      <c r="O4140" t="str">
        <f t="shared" si="259"/>
        <v>On Time</v>
      </c>
    </row>
    <row r="4141" spans="1:15" x14ac:dyDescent="0.25">
      <c r="A4141">
        <v>4140</v>
      </c>
      <c r="B4141" s="2">
        <v>45760</v>
      </c>
      <c r="C4141" t="s">
        <v>11</v>
      </c>
      <c r="D4141" t="s">
        <v>19</v>
      </c>
      <c r="E4141" t="s">
        <v>13</v>
      </c>
      <c r="F4141" t="s">
        <v>21</v>
      </c>
      <c r="G4141">
        <v>58</v>
      </c>
      <c r="H4141">
        <v>401.26</v>
      </c>
      <c r="I4141">
        <v>10</v>
      </c>
      <c r="J4141" t="s">
        <v>30</v>
      </c>
      <c r="K4141">
        <v>23273.08</v>
      </c>
      <c r="L4141" t="str">
        <f t="shared" si="256"/>
        <v>Apr</v>
      </c>
      <c r="M4141">
        <f t="shared" si="257"/>
        <v>2025</v>
      </c>
      <c r="N4141">
        <f t="shared" si="258"/>
        <v>23273.079999999998</v>
      </c>
      <c r="O4141" t="str">
        <f t="shared" si="259"/>
        <v>Minor Delay</v>
      </c>
    </row>
    <row r="4142" spans="1:15" x14ac:dyDescent="0.25">
      <c r="A4142">
        <v>4141</v>
      </c>
      <c r="B4142" s="2">
        <v>45833</v>
      </c>
      <c r="C4142" t="s">
        <v>11</v>
      </c>
      <c r="D4142" t="s">
        <v>17</v>
      </c>
      <c r="E4142" t="s">
        <v>13</v>
      </c>
      <c r="F4142" t="s">
        <v>24</v>
      </c>
      <c r="G4142">
        <v>208</v>
      </c>
      <c r="H4142">
        <v>522.5</v>
      </c>
      <c r="I4142">
        <v>58</v>
      </c>
      <c r="J4142" t="s">
        <v>15</v>
      </c>
      <c r="K4142">
        <v>108680</v>
      </c>
      <c r="L4142" t="str">
        <f t="shared" si="256"/>
        <v>Jun</v>
      </c>
      <c r="M4142">
        <f t="shared" si="257"/>
        <v>2025</v>
      </c>
      <c r="N4142">
        <f t="shared" si="258"/>
        <v>108680</v>
      </c>
      <c r="O4142" t="str">
        <f t="shared" si="259"/>
        <v>Moderate Delay</v>
      </c>
    </row>
    <row r="4143" spans="1:15" x14ac:dyDescent="0.25">
      <c r="A4143">
        <v>4142</v>
      </c>
      <c r="B4143" s="2">
        <v>45968</v>
      </c>
      <c r="C4143" t="s">
        <v>31</v>
      </c>
      <c r="D4143" t="s">
        <v>13</v>
      </c>
      <c r="E4143" t="s">
        <v>19</v>
      </c>
      <c r="F4143" t="s">
        <v>21</v>
      </c>
      <c r="G4143">
        <v>209</v>
      </c>
      <c r="H4143">
        <v>357.63</v>
      </c>
      <c r="I4143">
        <v>33</v>
      </c>
      <c r="J4143" t="s">
        <v>15</v>
      </c>
      <c r="K4143">
        <v>74744.67</v>
      </c>
      <c r="L4143" t="str">
        <f t="shared" si="256"/>
        <v>Nov</v>
      </c>
      <c r="M4143">
        <f t="shared" si="257"/>
        <v>2025</v>
      </c>
      <c r="N4143">
        <f t="shared" si="258"/>
        <v>74744.67</v>
      </c>
      <c r="O4143" t="str">
        <f t="shared" si="259"/>
        <v>Moderate Delay</v>
      </c>
    </row>
    <row r="4144" spans="1:15" x14ac:dyDescent="0.25">
      <c r="A4144">
        <v>4143</v>
      </c>
      <c r="B4144" s="2">
        <v>45783</v>
      </c>
      <c r="C4144" t="s">
        <v>26</v>
      </c>
      <c r="D4144" t="s">
        <v>13</v>
      </c>
      <c r="E4144" t="s">
        <v>19</v>
      </c>
      <c r="F4144" t="s">
        <v>24</v>
      </c>
      <c r="G4144">
        <v>140</v>
      </c>
      <c r="H4144">
        <v>255.91</v>
      </c>
      <c r="I4144">
        <v>38</v>
      </c>
      <c r="J4144" t="s">
        <v>15</v>
      </c>
      <c r="K4144">
        <v>35827.4</v>
      </c>
      <c r="L4144" t="str">
        <f t="shared" si="256"/>
        <v>May</v>
      </c>
      <c r="M4144">
        <f t="shared" si="257"/>
        <v>2025</v>
      </c>
      <c r="N4144">
        <f t="shared" si="258"/>
        <v>35827.4</v>
      </c>
      <c r="O4144" t="str">
        <f t="shared" si="259"/>
        <v>Moderate Delay</v>
      </c>
    </row>
    <row r="4145" spans="1:15" x14ac:dyDescent="0.25">
      <c r="A4145">
        <v>4144</v>
      </c>
      <c r="B4145" s="2">
        <v>45798</v>
      </c>
      <c r="C4145" t="s">
        <v>16</v>
      </c>
      <c r="D4145" t="s">
        <v>12</v>
      </c>
      <c r="E4145" t="s">
        <v>17</v>
      </c>
      <c r="F4145" t="s">
        <v>14</v>
      </c>
      <c r="G4145">
        <v>224</v>
      </c>
      <c r="H4145">
        <v>402.55</v>
      </c>
      <c r="I4145">
        <v>20</v>
      </c>
      <c r="J4145" t="s">
        <v>30</v>
      </c>
      <c r="K4145">
        <v>90171.199999999997</v>
      </c>
      <c r="L4145" t="str">
        <f t="shared" si="256"/>
        <v>May</v>
      </c>
      <c r="M4145">
        <f t="shared" si="257"/>
        <v>2025</v>
      </c>
      <c r="N4145">
        <f t="shared" si="258"/>
        <v>90171.199999999997</v>
      </c>
      <c r="O4145" t="str">
        <f t="shared" si="259"/>
        <v>Minor Delay</v>
      </c>
    </row>
    <row r="4146" spans="1:15" x14ac:dyDescent="0.25">
      <c r="A4146">
        <v>4145</v>
      </c>
      <c r="B4146" s="2">
        <v>45732</v>
      </c>
      <c r="C4146" t="s">
        <v>25</v>
      </c>
      <c r="D4146" t="s">
        <v>13</v>
      </c>
      <c r="E4146" t="s">
        <v>29</v>
      </c>
      <c r="F4146" t="s">
        <v>21</v>
      </c>
      <c r="G4146">
        <v>141</v>
      </c>
      <c r="H4146">
        <v>219.1</v>
      </c>
      <c r="I4146">
        <v>0</v>
      </c>
      <c r="J4146" t="s">
        <v>15</v>
      </c>
      <c r="K4146">
        <v>30893.1</v>
      </c>
      <c r="L4146" t="str">
        <f t="shared" si="256"/>
        <v>Mar</v>
      </c>
      <c r="M4146">
        <f t="shared" si="257"/>
        <v>2025</v>
      </c>
      <c r="N4146">
        <f t="shared" si="258"/>
        <v>30893.1</v>
      </c>
      <c r="O4146" t="str">
        <f t="shared" si="259"/>
        <v>On Time</v>
      </c>
    </row>
    <row r="4147" spans="1:15" x14ac:dyDescent="0.25">
      <c r="A4147">
        <v>4146</v>
      </c>
      <c r="B4147" s="2">
        <v>45760</v>
      </c>
      <c r="C4147" t="s">
        <v>16</v>
      </c>
      <c r="D4147" t="s">
        <v>23</v>
      </c>
      <c r="E4147" t="s">
        <v>29</v>
      </c>
      <c r="F4147" t="s">
        <v>21</v>
      </c>
      <c r="G4147">
        <v>292</v>
      </c>
      <c r="H4147">
        <v>453.46</v>
      </c>
      <c r="I4147">
        <v>0</v>
      </c>
      <c r="J4147" t="s">
        <v>15</v>
      </c>
      <c r="K4147">
        <v>132410.32</v>
      </c>
      <c r="L4147" t="str">
        <f t="shared" si="256"/>
        <v>Apr</v>
      </c>
      <c r="M4147">
        <f t="shared" si="257"/>
        <v>2025</v>
      </c>
      <c r="N4147">
        <f t="shared" si="258"/>
        <v>132410.32</v>
      </c>
      <c r="O4147" t="str">
        <f t="shared" si="259"/>
        <v>On Time</v>
      </c>
    </row>
    <row r="4148" spans="1:15" x14ac:dyDescent="0.25">
      <c r="A4148">
        <v>4147</v>
      </c>
      <c r="B4148" s="2">
        <v>45686</v>
      </c>
      <c r="C4148" t="s">
        <v>26</v>
      </c>
      <c r="D4148" t="s">
        <v>17</v>
      </c>
      <c r="E4148" t="s">
        <v>29</v>
      </c>
      <c r="F4148" t="s">
        <v>21</v>
      </c>
      <c r="G4148">
        <v>273</v>
      </c>
      <c r="H4148">
        <v>152.09</v>
      </c>
      <c r="I4148">
        <v>8</v>
      </c>
      <c r="J4148" t="s">
        <v>30</v>
      </c>
      <c r="K4148">
        <v>41520.57</v>
      </c>
      <c r="L4148" t="str">
        <f t="shared" si="256"/>
        <v>Jan</v>
      </c>
      <c r="M4148">
        <f t="shared" si="257"/>
        <v>2025</v>
      </c>
      <c r="N4148">
        <f t="shared" si="258"/>
        <v>41520.57</v>
      </c>
      <c r="O4148" t="str">
        <f t="shared" si="259"/>
        <v>Minor Delay</v>
      </c>
    </row>
    <row r="4149" spans="1:15" x14ac:dyDescent="0.25">
      <c r="A4149">
        <v>4148</v>
      </c>
      <c r="B4149" s="2">
        <v>45810</v>
      </c>
      <c r="C4149" t="s">
        <v>31</v>
      </c>
      <c r="D4149" t="s">
        <v>13</v>
      </c>
      <c r="E4149" t="s">
        <v>17</v>
      </c>
      <c r="F4149" t="s">
        <v>24</v>
      </c>
      <c r="G4149">
        <v>231</v>
      </c>
      <c r="H4149">
        <v>391.73</v>
      </c>
      <c r="I4149">
        <v>0</v>
      </c>
      <c r="J4149" t="s">
        <v>30</v>
      </c>
      <c r="K4149">
        <v>90489.63</v>
      </c>
      <c r="L4149" t="str">
        <f t="shared" si="256"/>
        <v>Jun</v>
      </c>
      <c r="M4149">
        <f t="shared" si="257"/>
        <v>2025</v>
      </c>
      <c r="N4149">
        <f t="shared" si="258"/>
        <v>90489.63</v>
      </c>
      <c r="O4149" t="str">
        <f t="shared" si="259"/>
        <v>On Time</v>
      </c>
    </row>
    <row r="4150" spans="1:15" x14ac:dyDescent="0.25">
      <c r="A4150">
        <v>4149</v>
      </c>
      <c r="B4150" s="2">
        <v>45906</v>
      </c>
      <c r="C4150" t="s">
        <v>31</v>
      </c>
      <c r="D4150" t="s">
        <v>22</v>
      </c>
      <c r="E4150" t="s">
        <v>27</v>
      </c>
      <c r="F4150" t="s">
        <v>24</v>
      </c>
      <c r="G4150">
        <v>276</v>
      </c>
      <c r="H4150">
        <v>211.38</v>
      </c>
      <c r="I4150">
        <v>42</v>
      </c>
      <c r="J4150" t="s">
        <v>15</v>
      </c>
      <c r="K4150">
        <v>58340.88</v>
      </c>
      <c r="L4150" t="str">
        <f t="shared" si="256"/>
        <v>Sep</v>
      </c>
      <c r="M4150">
        <f t="shared" si="257"/>
        <v>2025</v>
      </c>
      <c r="N4150">
        <f t="shared" si="258"/>
        <v>58340.88</v>
      </c>
      <c r="O4150" t="str">
        <f t="shared" si="259"/>
        <v>Moderate Delay</v>
      </c>
    </row>
    <row r="4151" spans="1:15" x14ac:dyDescent="0.25">
      <c r="A4151">
        <v>4150</v>
      </c>
      <c r="B4151" s="2">
        <v>45779</v>
      </c>
      <c r="C4151" t="s">
        <v>31</v>
      </c>
      <c r="D4151" t="s">
        <v>22</v>
      </c>
      <c r="E4151" t="s">
        <v>17</v>
      </c>
      <c r="F4151" t="s">
        <v>14</v>
      </c>
      <c r="G4151">
        <v>145</v>
      </c>
      <c r="H4151">
        <v>694.94</v>
      </c>
      <c r="I4151">
        <v>0</v>
      </c>
      <c r="J4151" t="s">
        <v>15</v>
      </c>
      <c r="K4151">
        <v>100766.3</v>
      </c>
      <c r="L4151" t="str">
        <f t="shared" si="256"/>
        <v>May</v>
      </c>
      <c r="M4151">
        <f t="shared" si="257"/>
        <v>2025</v>
      </c>
      <c r="N4151">
        <f t="shared" si="258"/>
        <v>100766.3</v>
      </c>
      <c r="O4151" t="str">
        <f t="shared" si="259"/>
        <v>On Time</v>
      </c>
    </row>
    <row r="4152" spans="1:15" x14ac:dyDescent="0.25">
      <c r="A4152">
        <v>4151</v>
      </c>
      <c r="B4152" s="2">
        <v>46005</v>
      </c>
      <c r="C4152" t="s">
        <v>11</v>
      </c>
      <c r="D4152" t="s">
        <v>20</v>
      </c>
      <c r="E4152" t="s">
        <v>29</v>
      </c>
      <c r="F4152" t="s">
        <v>21</v>
      </c>
      <c r="G4152">
        <v>272</v>
      </c>
      <c r="H4152">
        <v>162.18</v>
      </c>
      <c r="I4152">
        <v>64</v>
      </c>
      <c r="J4152" t="s">
        <v>15</v>
      </c>
      <c r="K4152">
        <v>44112.959999999999</v>
      </c>
      <c r="L4152" t="str">
        <f t="shared" si="256"/>
        <v>Dec</v>
      </c>
      <c r="M4152">
        <f t="shared" si="257"/>
        <v>2025</v>
      </c>
      <c r="N4152">
        <f t="shared" si="258"/>
        <v>44112.959999999999</v>
      </c>
      <c r="O4152" t="str">
        <f t="shared" si="259"/>
        <v>Major Delay</v>
      </c>
    </row>
    <row r="4153" spans="1:15" x14ac:dyDescent="0.25">
      <c r="A4153">
        <v>4152</v>
      </c>
      <c r="B4153" s="2">
        <v>45752</v>
      </c>
      <c r="C4153" t="s">
        <v>26</v>
      </c>
      <c r="D4153" t="s">
        <v>12</v>
      </c>
      <c r="E4153" t="s">
        <v>17</v>
      </c>
      <c r="F4153" t="s">
        <v>24</v>
      </c>
      <c r="G4153">
        <v>215</v>
      </c>
      <c r="H4153">
        <v>405.61</v>
      </c>
      <c r="I4153">
        <v>0</v>
      </c>
      <c r="J4153" t="s">
        <v>15</v>
      </c>
      <c r="K4153">
        <v>87206.15</v>
      </c>
      <c r="L4153" t="str">
        <f t="shared" si="256"/>
        <v>Apr</v>
      </c>
      <c r="M4153">
        <f t="shared" si="257"/>
        <v>2025</v>
      </c>
      <c r="N4153">
        <f t="shared" si="258"/>
        <v>87206.150000000009</v>
      </c>
      <c r="O4153" t="str">
        <f t="shared" si="259"/>
        <v>On Time</v>
      </c>
    </row>
    <row r="4154" spans="1:15" x14ac:dyDescent="0.25">
      <c r="A4154">
        <v>4153</v>
      </c>
      <c r="B4154" s="2">
        <v>45830</v>
      </c>
      <c r="C4154" t="s">
        <v>26</v>
      </c>
      <c r="D4154" t="s">
        <v>27</v>
      </c>
      <c r="E4154" t="s">
        <v>12</v>
      </c>
      <c r="F4154" t="s">
        <v>21</v>
      </c>
      <c r="G4154">
        <v>60</v>
      </c>
      <c r="H4154">
        <v>240.32</v>
      </c>
      <c r="I4154">
        <v>31</v>
      </c>
      <c r="J4154" t="s">
        <v>15</v>
      </c>
      <c r="K4154">
        <v>14419.2</v>
      </c>
      <c r="L4154" t="str">
        <f t="shared" si="256"/>
        <v>Jun</v>
      </c>
      <c r="M4154">
        <f t="shared" si="257"/>
        <v>2025</v>
      </c>
      <c r="N4154">
        <f t="shared" si="258"/>
        <v>14419.199999999999</v>
      </c>
      <c r="O4154" t="str">
        <f t="shared" si="259"/>
        <v>Moderate Delay</v>
      </c>
    </row>
    <row r="4155" spans="1:15" x14ac:dyDescent="0.25">
      <c r="A4155">
        <v>4154</v>
      </c>
      <c r="B4155" s="2">
        <v>45792</v>
      </c>
      <c r="C4155" t="s">
        <v>25</v>
      </c>
      <c r="D4155" t="s">
        <v>22</v>
      </c>
      <c r="E4155" t="s">
        <v>23</v>
      </c>
      <c r="F4155" t="s">
        <v>21</v>
      </c>
      <c r="G4155">
        <v>166</v>
      </c>
      <c r="H4155">
        <v>346.88</v>
      </c>
      <c r="I4155">
        <v>15</v>
      </c>
      <c r="J4155" t="s">
        <v>15</v>
      </c>
      <c r="K4155">
        <v>57582.080000000002</v>
      </c>
      <c r="L4155" t="str">
        <f t="shared" si="256"/>
        <v>May</v>
      </c>
      <c r="M4155">
        <f t="shared" si="257"/>
        <v>2025</v>
      </c>
      <c r="N4155">
        <f t="shared" si="258"/>
        <v>57582.080000000002</v>
      </c>
      <c r="O4155" t="str">
        <f t="shared" si="259"/>
        <v>Minor Delay</v>
      </c>
    </row>
    <row r="4156" spans="1:15" x14ac:dyDescent="0.25">
      <c r="A4156">
        <v>4155</v>
      </c>
      <c r="B4156" s="2">
        <v>46020</v>
      </c>
      <c r="C4156" t="s">
        <v>26</v>
      </c>
      <c r="D4156" t="s">
        <v>22</v>
      </c>
      <c r="E4156" t="s">
        <v>13</v>
      </c>
      <c r="F4156" t="s">
        <v>21</v>
      </c>
      <c r="G4156">
        <v>191</v>
      </c>
      <c r="H4156">
        <v>268.48</v>
      </c>
      <c r="I4156">
        <v>16</v>
      </c>
      <c r="J4156" t="s">
        <v>30</v>
      </c>
      <c r="K4156">
        <v>51279.68</v>
      </c>
      <c r="L4156" t="str">
        <f t="shared" si="256"/>
        <v>Dec</v>
      </c>
      <c r="M4156">
        <f t="shared" si="257"/>
        <v>2025</v>
      </c>
      <c r="N4156">
        <f t="shared" si="258"/>
        <v>51279.68</v>
      </c>
      <c r="O4156" t="str">
        <f t="shared" si="259"/>
        <v>Minor Delay</v>
      </c>
    </row>
    <row r="4157" spans="1:15" x14ac:dyDescent="0.25">
      <c r="A4157">
        <v>4156</v>
      </c>
      <c r="B4157" s="2">
        <v>45993</v>
      </c>
      <c r="C4157" t="s">
        <v>26</v>
      </c>
      <c r="D4157" t="s">
        <v>13</v>
      </c>
      <c r="E4157" t="s">
        <v>19</v>
      </c>
      <c r="F4157" t="s">
        <v>24</v>
      </c>
      <c r="G4157">
        <v>154</v>
      </c>
      <c r="H4157">
        <v>586.77</v>
      </c>
      <c r="I4157">
        <v>0</v>
      </c>
      <c r="J4157" t="s">
        <v>15</v>
      </c>
      <c r="K4157">
        <v>90362.58</v>
      </c>
      <c r="L4157" t="str">
        <f t="shared" si="256"/>
        <v>Dec</v>
      </c>
      <c r="M4157">
        <f t="shared" si="257"/>
        <v>2025</v>
      </c>
      <c r="N4157">
        <f t="shared" si="258"/>
        <v>90362.58</v>
      </c>
      <c r="O4157" t="str">
        <f t="shared" si="259"/>
        <v>On Time</v>
      </c>
    </row>
    <row r="4158" spans="1:15" x14ac:dyDescent="0.25">
      <c r="A4158">
        <v>4157</v>
      </c>
      <c r="B4158" s="2">
        <v>45885</v>
      </c>
      <c r="C4158" t="s">
        <v>18</v>
      </c>
      <c r="D4158" t="s">
        <v>22</v>
      </c>
      <c r="E4158" t="s">
        <v>13</v>
      </c>
      <c r="F4158" t="s">
        <v>21</v>
      </c>
      <c r="G4158">
        <v>288</v>
      </c>
      <c r="H4158">
        <v>327.22000000000003</v>
      </c>
      <c r="I4158">
        <v>27</v>
      </c>
      <c r="J4158" t="s">
        <v>15</v>
      </c>
      <c r="K4158">
        <v>94239.360000000001</v>
      </c>
      <c r="L4158" t="str">
        <f t="shared" si="256"/>
        <v>Aug</v>
      </c>
      <c r="M4158">
        <f t="shared" si="257"/>
        <v>2025</v>
      </c>
      <c r="N4158">
        <f t="shared" si="258"/>
        <v>94239.360000000015</v>
      </c>
      <c r="O4158" t="str">
        <f t="shared" si="259"/>
        <v>Minor Delay</v>
      </c>
    </row>
    <row r="4159" spans="1:15" x14ac:dyDescent="0.25">
      <c r="A4159">
        <v>4158</v>
      </c>
      <c r="B4159" s="2">
        <v>45828</v>
      </c>
      <c r="C4159" t="s">
        <v>31</v>
      </c>
      <c r="D4159" t="s">
        <v>19</v>
      </c>
      <c r="E4159" t="s">
        <v>17</v>
      </c>
      <c r="F4159" t="s">
        <v>21</v>
      </c>
      <c r="G4159">
        <v>69</v>
      </c>
      <c r="H4159">
        <v>695.51</v>
      </c>
      <c r="I4159">
        <v>0</v>
      </c>
      <c r="J4159" t="s">
        <v>15</v>
      </c>
      <c r="K4159">
        <v>47990.19</v>
      </c>
      <c r="L4159" t="str">
        <f t="shared" si="256"/>
        <v>Jun</v>
      </c>
      <c r="M4159">
        <f t="shared" si="257"/>
        <v>2025</v>
      </c>
      <c r="N4159">
        <f t="shared" si="258"/>
        <v>47990.19</v>
      </c>
      <c r="O4159" t="str">
        <f t="shared" si="259"/>
        <v>On Time</v>
      </c>
    </row>
    <row r="4160" spans="1:15" x14ac:dyDescent="0.25">
      <c r="A4160">
        <v>4159</v>
      </c>
      <c r="B4160" s="2">
        <v>45886</v>
      </c>
      <c r="C4160" t="s">
        <v>18</v>
      </c>
      <c r="D4160" t="s">
        <v>29</v>
      </c>
      <c r="E4160" t="s">
        <v>19</v>
      </c>
      <c r="F4160" t="s">
        <v>24</v>
      </c>
      <c r="G4160">
        <v>126</v>
      </c>
      <c r="H4160">
        <v>390.8</v>
      </c>
      <c r="I4160">
        <v>38</v>
      </c>
      <c r="J4160" t="s">
        <v>30</v>
      </c>
      <c r="K4160">
        <v>49240.800000000003</v>
      </c>
      <c r="L4160" t="str">
        <f t="shared" si="256"/>
        <v>Aug</v>
      </c>
      <c r="M4160">
        <f t="shared" si="257"/>
        <v>2025</v>
      </c>
      <c r="N4160">
        <f t="shared" si="258"/>
        <v>49240.800000000003</v>
      </c>
      <c r="O4160" t="str">
        <f t="shared" si="259"/>
        <v>Moderate Delay</v>
      </c>
    </row>
    <row r="4161" spans="1:15" x14ac:dyDescent="0.25">
      <c r="A4161">
        <v>4160</v>
      </c>
      <c r="B4161" s="2">
        <v>45952</v>
      </c>
      <c r="C4161" t="s">
        <v>11</v>
      </c>
      <c r="D4161" t="s">
        <v>23</v>
      </c>
      <c r="E4161" t="s">
        <v>17</v>
      </c>
      <c r="F4161" t="s">
        <v>24</v>
      </c>
      <c r="G4161">
        <v>122</v>
      </c>
      <c r="H4161">
        <v>710.74</v>
      </c>
      <c r="I4161">
        <v>0</v>
      </c>
      <c r="J4161" t="s">
        <v>15</v>
      </c>
      <c r="K4161">
        <v>86710.28</v>
      </c>
      <c r="L4161" t="str">
        <f t="shared" si="256"/>
        <v>Oct</v>
      </c>
      <c r="M4161">
        <f t="shared" si="257"/>
        <v>2025</v>
      </c>
      <c r="N4161">
        <f t="shared" si="258"/>
        <v>86710.28</v>
      </c>
      <c r="O4161" t="str">
        <f t="shared" si="259"/>
        <v>On Time</v>
      </c>
    </row>
    <row r="4162" spans="1:15" x14ac:dyDescent="0.25">
      <c r="A4162">
        <v>4161</v>
      </c>
      <c r="B4162" s="2">
        <v>45733</v>
      </c>
      <c r="C4162" t="s">
        <v>26</v>
      </c>
      <c r="D4162" t="s">
        <v>19</v>
      </c>
      <c r="E4162" t="s">
        <v>27</v>
      </c>
      <c r="F4162" t="s">
        <v>21</v>
      </c>
      <c r="G4162">
        <v>200</v>
      </c>
      <c r="H4162">
        <v>661.05</v>
      </c>
      <c r="I4162">
        <v>20</v>
      </c>
      <c r="J4162" t="s">
        <v>15</v>
      </c>
      <c r="K4162">
        <v>132210</v>
      </c>
      <c r="L4162" t="str">
        <f t="shared" si="256"/>
        <v>Mar</v>
      </c>
      <c r="M4162">
        <f t="shared" si="257"/>
        <v>2025</v>
      </c>
      <c r="N4162">
        <f t="shared" si="258"/>
        <v>132210</v>
      </c>
      <c r="O4162" t="str">
        <f t="shared" si="259"/>
        <v>Minor Delay</v>
      </c>
    </row>
    <row r="4163" spans="1:15" x14ac:dyDescent="0.25">
      <c r="A4163">
        <v>4162</v>
      </c>
      <c r="B4163" s="2">
        <v>45689</v>
      </c>
      <c r="C4163" t="s">
        <v>25</v>
      </c>
      <c r="D4163" t="s">
        <v>13</v>
      </c>
      <c r="E4163" t="s">
        <v>27</v>
      </c>
      <c r="F4163" t="s">
        <v>24</v>
      </c>
      <c r="G4163">
        <v>273</v>
      </c>
      <c r="H4163">
        <v>304.89</v>
      </c>
      <c r="I4163">
        <v>53</v>
      </c>
      <c r="J4163" t="s">
        <v>15</v>
      </c>
      <c r="K4163">
        <v>83234.97</v>
      </c>
      <c r="L4163" t="str">
        <f t="shared" ref="L4163:L4226" si="260">TEXT(B4163,"MMM")</f>
        <v>Feb</v>
      </c>
      <c r="M4163">
        <f t="shared" ref="M4163:M4226" si="261">YEAR(B4163)</f>
        <v>2025</v>
      </c>
      <c r="N4163">
        <f t="shared" ref="N4163:N4226" si="262">G4163*H4163</f>
        <v>83234.97</v>
      </c>
      <c r="O4163" t="str">
        <f t="shared" ref="O4163:O4226" si="263">IF(I4163=0,"On Time",IF(I4163&lt;=30,"Minor Delay",IF(I4163&lt;=60,"Moderate Delay","Major Delay")))</f>
        <v>Moderate Delay</v>
      </c>
    </row>
    <row r="4164" spans="1:15" x14ac:dyDescent="0.25">
      <c r="A4164">
        <v>4163</v>
      </c>
      <c r="B4164" s="2">
        <v>45949</v>
      </c>
      <c r="C4164" t="s">
        <v>25</v>
      </c>
      <c r="D4164" t="s">
        <v>23</v>
      </c>
      <c r="E4164" t="s">
        <v>22</v>
      </c>
      <c r="F4164" t="s">
        <v>21</v>
      </c>
      <c r="G4164">
        <v>156</v>
      </c>
      <c r="H4164">
        <v>401.77</v>
      </c>
      <c r="I4164">
        <v>16</v>
      </c>
      <c r="J4164" t="s">
        <v>30</v>
      </c>
      <c r="K4164">
        <v>62676.12</v>
      </c>
      <c r="L4164" t="str">
        <f t="shared" si="260"/>
        <v>Oct</v>
      </c>
      <c r="M4164">
        <f t="shared" si="261"/>
        <v>2025</v>
      </c>
      <c r="N4164">
        <f t="shared" si="262"/>
        <v>62676.119999999995</v>
      </c>
      <c r="O4164" t="str">
        <f t="shared" si="263"/>
        <v>Minor Delay</v>
      </c>
    </row>
    <row r="4165" spans="1:15" x14ac:dyDescent="0.25">
      <c r="A4165">
        <v>4164</v>
      </c>
      <c r="B4165" s="2">
        <v>45725</v>
      </c>
      <c r="C4165" t="s">
        <v>11</v>
      </c>
      <c r="D4165" t="s">
        <v>17</v>
      </c>
      <c r="E4165" t="s">
        <v>20</v>
      </c>
      <c r="F4165" t="s">
        <v>21</v>
      </c>
      <c r="G4165">
        <v>194</v>
      </c>
      <c r="H4165">
        <v>312.27999999999997</v>
      </c>
      <c r="I4165">
        <v>59</v>
      </c>
      <c r="J4165" t="s">
        <v>15</v>
      </c>
      <c r="K4165">
        <v>60582.32</v>
      </c>
      <c r="L4165" t="str">
        <f t="shared" si="260"/>
        <v>Mar</v>
      </c>
      <c r="M4165">
        <f t="shared" si="261"/>
        <v>2025</v>
      </c>
      <c r="N4165">
        <f t="shared" si="262"/>
        <v>60582.319999999992</v>
      </c>
      <c r="O4165" t="str">
        <f t="shared" si="263"/>
        <v>Moderate Delay</v>
      </c>
    </row>
    <row r="4166" spans="1:15" x14ac:dyDescent="0.25">
      <c r="A4166">
        <v>4165</v>
      </c>
      <c r="B4166" s="2">
        <v>45736</v>
      </c>
      <c r="C4166" t="s">
        <v>26</v>
      </c>
      <c r="D4166" t="s">
        <v>20</v>
      </c>
      <c r="E4166" t="s">
        <v>12</v>
      </c>
      <c r="F4166" t="s">
        <v>24</v>
      </c>
      <c r="G4166">
        <v>200</v>
      </c>
      <c r="H4166">
        <v>223.54</v>
      </c>
      <c r="I4166">
        <v>67</v>
      </c>
      <c r="J4166" t="s">
        <v>15</v>
      </c>
      <c r="K4166">
        <v>44708</v>
      </c>
      <c r="L4166" t="str">
        <f t="shared" si="260"/>
        <v>Mar</v>
      </c>
      <c r="M4166">
        <f t="shared" si="261"/>
        <v>2025</v>
      </c>
      <c r="N4166">
        <f t="shared" si="262"/>
        <v>44708</v>
      </c>
      <c r="O4166" t="str">
        <f t="shared" si="263"/>
        <v>Major Delay</v>
      </c>
    </row>
    <row r="4167" spans="1:15" x14ac:dyDescent="0.25">
      <c r="A4167">
        <v>4166</v>
      </c>
      <c r="B4167" s="2">
        <v>45792</v>
      </c>
      <c r="C4167" t="s">
        <v>31</v>
      </c>
      <c r="D4167" t="s">
        <v>17</v>
      </c>
      <c r="E4167" t="s">
        <v>27</v>
      </c>
      <c r="F4167" t="s">
        <v>21</v>
      </c>
      <c r="G4167">
        <v>252</v>
      </c>
      <c r="H4167">
        <v>75.41</v>
      </c>
      <c r="I4167">
        <v>0</v>
      </c>
      <c r="J4167" t="s">
        <v>15</v>
      </c>
      <c r="K4167">
        <v>19003.32</v>
      </c>
      <c r="L4167" t="str">
        <f t="shared" si="260"/>
        <v>May</v>
      </c>
      <c r="M4167">
        <f t="shared" si="261"/>
        <v>2025</v>
      </c>
      <c r="N4167">
        <f t="shared" si="262"/>
        <v>19003.32</v>
      </c>
      <c r="O4167" t="str">
        <f t="shared" si="263"/>
        <v>On Time</v>
      </c>
    </row>
    <row r="4168" spans="1:15" x14ac:dyDescent="0.25">
      <c r="A4168">
        <v>4167</v>
      </c>
      <c r="B4168" s="2">
        <v>45909</v>
      </c>
      <c r="C4168" t="s">
        <v>11</v>
      </c>
      <c r="D4168" t="s">
        <v>29</v>
      </c>
      <c r="E4168" t="s">
        <v>19</v>
      </c>
      <c r="F4168" t="s">
        <v>21</v>
      </c>
      <c r="G4168">
        <v>173</v>
      </c>
      <c r="H4168">
        <v>354</v>
      </c>
      <c r="I4168">
        <v>22</v>
      </c>
      <c r="J4168" t="s">
        <v>15</v>
      </c>
      <c r="K4168">
        <v>61242</v>
      </c>
      <c r="L4168" t="str">
        <f t="shared" si="260"/>
        <v>Sep</v>
      </c>
      <c r="M4168">
        <f t="shared" si="261"/>
        <v>2025</v>
      </c>
      <c r="N4168">
        <f t="shared" si="262"/>
        <v>61242</v>
      </c>
      <c r="O4168" t="str">
        <f t="shared" si="263"/>
        <v>Minor Delay</v>
      </c>
    </row>
    <row r="4169" spans="1:15" x14ac:dyDescent="0.25">
      <c r="A4169">
        <v>4168</v>
      </c>
      <c r="B4169" s="2">
        <v>46013</v>
      </c>
      <c r="C4169" t="s">
        <v>25</v>
      </c>
      <c r="D4169" t="s">
        <v>22</v>
      </c>
      <c r="E4169" t="s">
        <v>12</v>
      </c>
      <c r="F4169" t="s">
        <v>14</v>
      </c>
      <c r="G4169">
        <v>120</v>
      </c>
      <c r="H4169">
        <v>136.38</v>
      </c>
      <c r="I4169">
        <v>28</v>
      </c>
      <c r="J4169" t="s">
        <v>30</v>
      </c>
      <c r="K4169">
        <v>16365.6</v>
      </c>
      <c r="L4169" t="str">
        <f t="shared" si="260"/>
        <v>Dec</v>
      </c>
      <c r="M4169">
        <f t="shared" si="261"/>
        <v>2025</v>
      </c>
      <c r="N4169">
        <f t="shared" si="262"/>
        <v>16365.599999999999</v>
      </c>
      <c r="O4169" t="str">
        <f t="shared" si="263"/>
        <v>Minor Delay</v>
      </c>
    </row>
    <row r="4170" spans="1:15" x14ac:dyDescent="0.25">
      <c r="A4170">
        <v>4169</v>
      </c>
      <c r="B4170" s="2">
        <v>45831</v>
      </c>
      <c r="C4170" t="s">
        <v>26</v>
      </c>
      <c r="D4170" t="s">
        <v>13</v>
      </c>
      <c r="E4170" t="s">
        <v>12</v>
      </c>
      <c r="F4170" t="s">
        <v>24</v>
      </c>
      <c r="G4170">
        <v>136</v>
      </c>
      <c r="H4170">
        <v>471.21</v>
      </c>
      <c r="I4170">
        <v>25</v>
      </c>
      <c r="J4170" t="s">
        <v>15</v>
      </c>
      <c r="K4170">
        <v>64084.56</v>
      </c>
      <c r="L4170" t="str">
        <f t="shared" si="260"/>
        <v>Jun</v>
      </c>
      <c r="M4170">
        <f t="shared" si="261"/>
        <v>2025</v>
      </c>
      <c r="N4170">
        <f t="shared" si="262"/>
        <v>64084.56</v>
      </c>
      <c r="O4170" t="str">
        <f t="shared" si="263"/>
        <v>Minor Delay</v>
      </c>
    </row>
    <row r="4171" spans="1:15" x14ac:dyDescent="0.25">
      <c r="A4171">
        <v>4170</v>
      </c>
      <c r="B4171" s="2">
        <v>45880</v>
      </c>
      <c r="C4171" t="s">
        <v>11</v>
      </c>
      <c r="D4171" t="s">
        <v>22</v>
      </c>
      <c r="E4171" t="s">
        <v>17</v>
      </c>
      <c r="F4171" t="s">
        <v>14</v>
      </c>
      <c r="G4171">
        <v>158</v>
      </c>
      <c r="H4171">
        <v>794.16</v>
      </c>
      <c r="I4171">
        <v>0</v>
      </c>
      <c r="J4171" t="s">
        <v>30</v>
      </c>
      <c r="K4171">
        <v>125477.28</v>
      </c>
      <c r="L4171" t="str">
        <f t="shared" si="260"/>
        <v>Aug</v>
      </c>
      <c r="M4171">
        <f t="shared" si="261"/>
        <v>2025</v>
      </c>
      <c r="N4171">
        <f t="shared" si="262"/>
        <v>125477.28</v>
      </c>
      <c r="O4171" t="str">
        <f t="shared" si="263"/>
        <v>On Time</v>
      </c>
    </row>
    <row r="4172" spans="1:15" x14ac:dyDescent="0.25">
      <c r="A4172">
        <v>4171</v>
      </c>
      <c r="B4172" s="2">
        <v>45848</v>
      </c>
      <c r="C4172" t="s">
        <v>25</v>
      </c>
      <c r="D4172" t="s">
        <v>19</v>
      </c>
      <c r="E4172" t="s">
        <v>23</v>
      </c>
      <c r="F4172" t="s">
        <v>24</v>
      </c>
      <c r="G4172">
        <v>229</v>
      </c>
      <c r="H4172">
        <v>778.2</v>
      </c>
      <c r="I4172">
        <v>22</v>
      </c>
      <c r="J4172" t="s">
        <v>15</v>
      </c>
      <c r="K4172">
        <v>178207.8</v>
      </c>
      <c r="L4172" t="str">
        <f t="shared" si="260"/>
        <v>Jul</v>
      </c>
      <c r="M4172">
        <f t="shared" si="261"/>
        <v>2025</v>
      </c>
      <c r="N4172">
        <f t="shared" si="262"/>
        <v>178207.80000000002</v>
      </c>
      <c r="O4172" t="str">
        <f t="shared" si="263"/>
        <v>Minor Delay</v>
      </c>
    </row>
    <row r="4173" spans="1:15" x14ac:dyDescent="0.25">
      <c r="A4173">
        <v>4172</v>
      </c>
      <c r="B4173" s="2">
        <v>45812</v>
      </c>
      <c r="C4173" t="s">
        <v>25</v>
      </c>
      <c r="D4173" t="s">
        <v>22</v>
      </c>
      <c r="E4173" t="s">
        <v>13</v>
      </c>
      <c r="F4173" t="s">
        <v>21</v>
      </c>
      <c r="G4173">
        <v>73</v>
      </c>
      <c r="H4173">
        <v>82.18</v>
      </c>
      <c r="I4173">
        <v>0</v>
      </c>
      <c r="J4173" t="s">
        <v>15</v>
      </c>
      <c r="K4173">
        <v>5999.14</v>
      </c>
      <c r="L4173" t="str">
        <f t="shared" si="260"/>
        <v>Jun</v>
      </c>
      <c r="M4173">
        <f t="shared" si="261"/>
        <v>2025</v>
      </c>
      <c r="N4173">
        <f t="shared" si="262"/>
        <v>5999.14</v>
      </c>
      <c r="O4173" t="str">
        <f t="shared" si="263"/>
        <v>On Time</v>
      </c>
    </row>
    <row r="4174" spans="1:15" x14ac:dyDescent="0.25">
      <c r="A4174">
        <v>4173</v>
      </c>
      <c r="B4174" s="2">
        <v>45760</v>
      </c>
      <c r="C4174" t="s">
        <v>16</v>
      </c>
      <c r="D4174" t="s">
        <v>13</v>
      </c>
      <c r="E4174" t="s">
        <v>22</v>
      </c>
      <c r="F4174" t="s">
        <v>24</v>
      </c>
      <c r="G4174">
        <v>72</v>
      </c>
      <c r="H4174">
        <v>334.21</v>
      </c>
      <c r="I4174">
        <v>6</v>
      </c>
      <c r="J4174" t="s">
        <v>15</v>
      </c>
      <c r="K4174">
        <v>24063.119999999999</v>
      </c>
      <c r="L4174" t="str">
        <f t="shared" si="260"/>
        <v>Apr</v>
      </c>
      <c r="M4174">
        <f t="shared" si="261"/>
        <v>2025</v>
      </c>
      <c r="N4174">
        <f t="shared" si="262"/>
        <v>24063.119999999999</v>
      </c>
      <c r="O4174" t="str">
        <f t="shared" si="263"/>
        <v>Minor Delay</v>
      </c>
    </row>
    <row r="4175" spans="1:15" x14ac:dyDescent="0.25">
      <c r="A4175">
        <v>4174</v>
      </c>
      <c r="B4175" s="2">
        <v>45978</v>
      </c>
      <c r="C4175" t="s">
        <v>25</v>
      </c>
      <c r="D4175" t="s">
        <v>29</v>
      </c>
      <c r="E4175" t="s">
        <v>12</v>
      </c>
      <c r="F4175" t="s">
        <v>21</v>
      </c>
      <c r="G4175">
        <v>166</v>
      </c>
      <c r="H4175">
        <v>491.47</v>
      </c>
      <c r="I4175">
        <v>44</v>
      </c>
      <c r="J4175" t="s">
        <v>15</v>
      </c>
      <c r="K4175">
        <v>81584.02</v>
      </c>
      <c r="L4175" t="str">
        <f t="shared" si="260"/>
        <v>Nov</v>
      </c>
      <c r="M4175">
        <f t="shared" si="261"/>
        <v>2025</v>
      </c>
      <c r="N4175">
        <f t="shared" si="262"/>
        <v>81584.02</v>
      </c>
      <c r="O4175" t="str">
        <f t="shared" si="263"/>
        <v>Moderate Delay</v>
      </c>
    </row>
    <row r="4176" spans="1:15" x14ac:dyDescent="0.25">
      <c r="A4176">
        <v>4175</v>
      </c>
      <c r="B4176" s="2">
        <v>45681</v>
      </c>
      <c r="C4176" t="s">
        <v>31</v>
      </c>
      <c r="D4176" t="s">
        <v>27</v>
      </c>
      <c r="E4176" t="s">
        <v>17</v>
      </c>
      <c r="F4176" t="s">
        <v>21</v>
      </c>
      <c r="G4176">
        <v>297</v>
      </c>
      <c r="H4176">
        <v>239.5</v>
      </c>
      <c r="I4176">
        <v>54</v>
      </c>
      <c r="J4176" t="s">
        <v>15</v>
      </c>
      <c r="K4176">
        <v>71131.5</v>
      </c>
      <c r="L4176" t="str">
        <f t="shared" si="260"/>
        <v>Jan</v>
      </c>
      <c r="M4176">
        <f t="shared" si="261"/>
        <v>2025</v>
      </c>
      <c r="N4176">
        <f t="shared" si="262"/>
        <v>71131.5</v>
      </c>
      <c r="O4176" t="str">
        <f t="shared" si="263"/>
        <v>Moderate Delay</v>
      </c>
    </row>
    <row r="4177" spans="1:15" x14ac:dyDescent="0.25">
      <c r="A4177">
        <v>4176</v>
      </c>
      <c r="B4177" s="2">
        <v>45988</v>
      </c>
      <c r="C4177" t="s">
        <v>25</v>
      </c>
      <c r="D4177" t="s">
        <v>27</v>
      </c>
      <c r="E4177" t="s">
        <v>22</v>
      </c>
      <c r="F4177" t="s">
        <v>14</v>
      </c>
      <c r="G4177">
        <v>300</v>
      </c>
      <c r="H4177">
        <v>125.12</v>
      </c>
      <c r="I4177">
        <v>35</v>
      </c>
      <c r="J4177" t="s">
        <v>15</v>
      </c>
      <c r="K4177">
        <v>37536</v>
      </c>
      <c r="L4177" t="str">
        <f t="shared" si="260"/>
        <v>Nov</v>
      </c>
      <c r="M4177">
        <f t="shared" si="261"/>
        <v>2025</v>
      </c>
      <c r="N4177">
        <f t="shared" si="262"/>
        <v>37536</v>
      </c>
      <c r="O4177" t="str">
        <f t="shared" si="263"/>
        <v>Moderate Delay</v>
      </c>
    </row>
    <row r="4178" spans="1:15" x14ac:dyDescent="0.25">
      <c r="A4178">
        <v>4177</v>
      </c>
      <c r="B4178" s="2">
        <v>45963</v>
      </c>
      <c r="C4178" t="s">
        <v>16</v>
      </c>
      <c r="D4178" t="s">
        <v>27</v>
      </c>
      <c r="E4178" t="s">
        <v>19</v>
      </c>
      <c r="F4178" t="s">
        <v>14</v>
      </c>
      <c r="G4178">
        <v>77</v>
      </c>
      <c r="H4178">
        <v>333.37</v>
      </c>
      <c r="I4178">
        <v>22</v>
      </c>
      <c r="J4178" t="s">
        <v>15</v>
      </c>
      <c r="K4178">
        <v>25669.49</v>
      </c>
      <c r="L4178" t="str">
        <f t="shared" si="260"/>
        <v>Nov</v>
      </c>
      <c r="M4178">
        <f t="shared" si="261"/>
        <v>2025</v>
      </c>
      <c r="N4178">
        <f t="shared" si="262"/>
        <v>25669.49</v>
      </c>
      <c r="O4178" t="str">
        <f t="shared" si="263"/>
        <v>Minor Delay</v>
      </c>
    </row>
    <row r="4179" spans="1:15" x14ac:dyDescent="0.25">
      <c r="A4179">
        <v>4178</v>
      </c>
      <c r="B4179" s="2">
        <v>45970</v>
      </c>
      <c r="C4179" t="s">
        <v>25</v>
      </c>
      <c r="D4179" t="s">
        <v>13</v>
      </c>
      <c r="E4179" t="s">
        <v>12</v>
      </c>
      <c r="F4179" t="s">
        <v>14</v>
      </c>
      <c r="G4179">
        <v>225</v>
      </c>
      <c r="H4179">
        <v>561.62</v>
      </c>
      <c r="I4179">
        <v>27</v>
      </c>
      <c r="J4179" t="s">
        <v>15</v>
      </c>
      <c r="K4179">
        <v>126364.5</v>
      </c>
      <c r="L4179" t="str">
        <f t="shared" si="260"/>
        <v>Nov</v>
      </c>
      <c r="M4179">
        <f t="shared" si="261"/>
        <v>2025</v>
      </c>
      <c r="N4179">
        <f t="shared" si="262"/>
        <v>126364.5</v>
      </c>
      <c r="O4179" t="str">
        <f t="shared" si="263"/>
        <v>Minor Delay</v>
      </c>
    </row>
    <row r="4180" spans="1:15" x14ac:dyDescent="0.25">
      <c r="A4180">
        <v>4179</v>
      </c>
      <c r="B4180" s="2">
        <v>45782</v>
      </c>
      <c r="C4180" t="s">
        <v>18</v>
      </c>
      <c r="D4180" t="s">
        <v>19</v>
      </c>
      <c r="E4180" t="s">
        <v>20</v>
      </c>
      <c r="F4180" t="s">
        <v>21</v>
      </c>
      <c r="G4180">
        <v>60</v>
      </c>
      <c r="H4180">
        <v>196.86</v>
      </c>
      <c r="I4180">
        <v>57</v>
      </c>
      <c r="J4180" t="s">
        <v>15</v>
      </c>
      <c r="K4180">
        <v>11811.6</v>
      </c>
      <c r="L4180" t="str">
        <f t="shared" si="260"/>
        <v>May</v>
      </c>
      <c r="M4180">
        <f t="shared" si="261"/>
        <v>2025</v>
      </c>
      <c r="N4180">
        <f t="shared" si="262"/>
        <v>11811.6</v>
      </c>
      <c r="O4180" t="str">
        <f t="shared" si="263"/>
        <v>Moderate Delay</v>
      </c>
    </row>
    <row r="4181" spans="1:15" x14ac:dyDescent="0.25">
      <c r="A4181">
        <v>4180</v>
      </c>
      <c r="B4181" s="2">
        <v>45923</v>
      </c>
      <c r="C4181" t="s">
        <v>11</v>
      </c>
      <c r="D4181" t="s">
        <v>27</v>
      </c>
      <c r="E4181" t="s">
        <v>20</v>
      </c>
      <c r="F4181" t="s">
        <v>21</v>
      </c>
      <c r="G4181">
        <v>293</v>
      </c>
      <c r="H4181">
        <v>106.46</v>
      </c>
      <c r="I4181">
        <v>20</v>
      </c>
      <c r="J4181" t="s">
        <v>15</v>
      </c>
      <c r="K4181">
        <v>31192.78</v>
      </c>
      <c r="L4181" t="str">
        <f t="shared" si="260"/>
        <v>Sep</v>
      </c>
      <c r="M4181">
        <f t="shared" si="261"/>
        <v>2025</v>
      </c>
      <c r="N4181">
        <f t="shared" si="262"/>
        <v>31192.78</v>
      </c>
      <c r="O4181" t="str">
        <f t="shared" si="263"/>
        <v>Minor Delay</v>
      </c>
    </row>
    <row r="4182" spans="1:15" x14ac:dyDescent="0.25">
      <c r="A4182">
        <v>4181</v>
      </c>
      <c r="B4182" s="2">
        <v>45803</v>
      </c>
      <c r="C4182" t="s">
        <v>18</v>
      </c>
      <c r="D4182" t="s">
        <v>19</v>
      </c>
      <c r="E4182" t="s">
        <v>22</v>
      </c>
      <c r="F4182" t="s">
        <v>21</v>
      </c>
      <c r="G4182">
        <v>75</v>
      </c>
      <c r="H4182">
        <v>616.99</v>
      </c>
      <c r="I4182">
        <v>0</v>
      </c>
      <c r="J4182" t="s">
        <v>15</v>
      </c>
      <c r="K4182">
        <v>46274.25</v>
      </c>
      <c r="L4182" t="str">
        <f t="shared" si="260"/>
        <v>May</v>
      </c>
      <c r="M4182">
        <f t="shared" si="261"/>
        <v>2025</v>
      </c>
      <c r="N4182">
        <f t="shared" si="262"/>
        <v>46274.25</v>
      </c>
      <c r="O4182" t="str">
        <f t="shared" si="263"/>
        <v>On Time</v>
      </c>
    </row>
    <row r="4183" spans="1:15" x14ac:dyDescent="0.25">
      <c r="A4183">
        <v>4182</v>
      </c>
      <c r="B4183" s="2">
        <v>45662</v>
      </c>
      <c r="C4183" t="s">
        <v>31</v>
      </c>
      <c r="D4183" t="s">
        <v>23</v>
      </c>
      <c r="E4183" t="s">
        <v>29</v>
      </c>
      <c r="F4183" t="s">
        <v>14</v>
      </c>
      <c r="G4183">
        <v>126</v>
      </c>
      <c r="H4183">
        <v>439.25</v>
      </c>
      <c r="I4183">
        <v>34</v>
      </c>
      <c r="J4183" t="s">
        <v>15</v>
      </c>
      <c r="K4183">
        <v>55345.5</v>
      </c>
      <c r="L4183" t="str">
        <f t="shared" si="260"/>
        <v>Jan</v>
      </c>
      <c r="M4183">
        <f t="shared" si="261"/>
        <v>2025</v>
      </c>
      <c r="N4183">
        <f t="shared" si="262"/>
        <v>55345.5</v>
      </c>
      <c r="O4183" t="str">
        <f t="shared" si="263"/>
        <v>Moderate Delay</v>
      </c>
    </row>
    <row r="4184" spans="1:15" x14ac:dyDescent="0.25">
      <c r="A4184">
        <v>4183</v>
      </c>
      <c r="B4184" s="2">
        <v>45865</v>
      </c>
      <c r="C4184" t="s">
        <v>18</v>
      </c>
      <c r="D4184" t="s">
        <v>23</v>
      </c>
      <c r="E4184" t="s">
        <v>29</v>
      </c>
      <c r="F4184" t="s">
        <v>24</v>
      </c>
      <c r="G4184">
        <v>173</v>
      </c>
      <c r="H4184">
        <v>265.79000000000002</v>
      </c>
      <c r="I4184">
        <v>16</v>
      </c>
      <c r="J4184" t="s">
        <v>15</v>
      </c>
      <c r="K4184">
        <v>45981.67</v>
      </c>
      <c r="L4184" t="str">
        <f t="shared" si="260"/>
        <v>Jul</v>
      </c>
      <c r="M4184">
        <f t="shared" si="261"/>
        <v>2025</v>
      </c>
      <c r="N4184">
        <f t="shared" si="262"/>
        <v>45981.670000000006</v>
      </c>
      <c r="O4184" t="str">
        <f t="shared" si="263"/>
        <v>Minor Delay</v>
      </c>
    </row>
    <row r="4185" spans="1:15" x14ac:dyDescent="0.25">
      <c r="A4185">
        <v>4184</v>
      </c>
      <c r="B4185" s="2">
        <v>45895</v>
      </c>
      <c r="C4185" t="s">
        <v>25</v>
      </c>
      <c r="D4185" t="s">
        <v>13</v>
      </c>
      <c r="E4185" t="s">
        <v>22</v>
      </c>
      <c r="F4185" t="s">
        <v>21</v>
      </c>
      <c r="G4185">
        <v>99</v>
      </c>
      <c r="H4185">
        <v>627.21</v>
      </c>
      <c r="I4185">
        <v>0</v>
      </c>
      <c r="J4185" t="s">
        <v>15</v>
      </c>
      <c r="K4185">
        <v>62093.79</v>
      </c>
      <c r="L4185" t="str">
        <f t="shared" si="260"/>
        <v>Aug</v>
      </c>
      <c r="M4185">
        <f t="shared" si="261"/>
        <v>2025</v>
      </c>
      <c r="N4185">
        <f t="shared" si="262"/>
        <v>62093.79</v>
      </c>
      <c r="O4185" t="str">
        <f t="shared" si="263"/>
        <v>On Time</v>
      </c>
    </row>
    <row r="4186" spans="1:15" x14ac:dyDescent="0.25">
      <c r="A4186">
        <v>4185</v>
      </c>
      <c r="B4186" s="2">
        <v>45866</v>
      </c>
      <c r="C4186" t="s">
        <v>11</v>
      </c>
      <c r="D4186" t="s">
        <v>20</v>
      </c>
      <c r="E4186" t="s">
        <v>17</v>
      </c>
      <c r="F4186" t="s">
        <v>24</v>
      </c>
      <c r="G4186">
        <v>202</v>
      </c>
      <c r="H4186">
        <v>640.82000000000005</v>
      </c>
      <c r="I4186">
        <v>14</v>
      </c>
      <c r="J4186" t="s">
        <v>15</v>
      </c>
      <c r="K4186">
        <v>129445.64</v>
      </c>
      <c r="L4186" t="str">
        <f t="shared" si="260"/>
        <v>Jul</v>
      </c>
      <c r="M4186">
        <f t="shared" si="261"/>
        <v>2025</v>
      </c>
      <c r="N4186">
        <f t="shared" si="262"/>
        <v>129445.64000000001</v>
      </c>
      <c r="O4186" t="str">
        <f t="shared" si="263"/>
        <v>Minor Delay</v>
      </c>
    </row>
    <row r="4187" spans="1:15" x14ac:dyDescent="0.25">
      <c r="A4187">
        <v>4186</v>
      </c>
      <c r="B4187" s="2">
        <v>45812</v>
      </c>
      <c r="C4187" t="s">
        <v>26</v>
      </c>
      <c r="D4187" t="s">
        <v>20</v>
      </c>
      <c r="E4187" t="s">
        <v>27</v>
      </c>
      <c r="F4187" t="s">
        <v>21</v>
      </c>
      <c r="G4187">
        <v>195</v>
      </c>
      <c r="H4187">
        <v>184.89</v>
      </c>
      <c r="I4187">
        <v>29</v>
      </c>
      <c r="J4187" t="s">
        <v>15</v>
      </c>
      <c r="K4187">
        <v>36053.550000000003</v>
      </c>
      <c r="L4187" t="str">
        <f t="shared" si="260"/>
        <v>Jun</v>
      </c>
      <c r="M4187">
        <f t="shared" si="261"/>
        <v>2025</v>
      </c>
      <c r="N4187">
        <f t="shared" si="262"/>
        <v>36053.549999999996</v>
      </c>
      <c r="O4187" t="str">
        <f t="shared" si="263"/>
        <v>Minor Delay</v>
      </c>
    </row>
    <row r="4188" spans="1:15" x14ac:dyDescent="0.25">
      <c r="A4188">
        <v>4187</v>
      </c>
      <c r="B4188" s="2">
        <v>45814</v>
      </c>
      <c r="C4188" t="s">
        <v>26</v>
      </c>
      <c r="D4188" t="s">
        <v>20</v>
      </c>
      <c r="E4188" t="s">
        <v>12</v>
      </c>
      <c r="F4188" t="s">
        <v>24</v>
      </c>
      <c r="G4188">
        <v>258</v>
      </c>
      <c r="H4188">
        <v>511.3</v>
      </c>
      <c r="I4188">
        <v>52</v>
      </c>
      <c r="J4188" t="s">
        <v>15</v>
      </c>
      <c r="K4188">
        <v>131915.4</v>
      </c>
      <c r="L4188" t="str">
        <f t="shared" si="260"/>
        <v>Jun</v>
      </c>
      <c r="M4188">
        <f t="shared" si="261"/>
        <v>2025</v>
      </c>
      <c r="N4188">
        <f t="shared" si="262"/>
        <v>131915.4</v>
      </c>
      <c r="O4188" t="str">
        <f t="shared" si="263"/>
        <v>Moderate Delay</v>
      </c>
    </row>
    <row r="4189" spans="1:15" x14ac:dyDescent="0.25">
      <c r="A4189">
        <v>4188</v>
      </c>
      <c r="B4189" s="2">
        <v>45825</v>
      </c>
      <c r="C4189" t="s">
        <v>26</v>
      </c>
      <c r="D4189" t="s">
        <v>19</v>
      </c>
      <c r="E4189" t="s">
        <v>12</v>
      </c>
      <c r="F4189" t="s">
        <v>24</v>
      </c>
      <c r="G4189">
        <v>153</v>
      </c>
      <c r="H4189">
        <v>290.10000000000002</v>
      </c>
      <c r="I4189">
        <v>16</v>
      </c>
      <c r="J4189" t="s">
        <v>15</v>
      </c>
      <c r="K4189">
        <v>44385.3</v>
      </c>
      <c r="L4189" t="str">
        <f t="shared" si="260"/>
        <v>Jun</v>
      </c>
      <c r="M4189">
        <f t="shared" si="261"/>
        <v>2025</v>
      </c>
      <c r="N4189">
        <f t="shared" si="262"/>
        <v>44385.3</v>
      </c>
      <c r="O4189" t="str">
        <f t="shared" si="263"/>
        <v>Minor Delay</v>
      </c>
    </row>
    <row r="4190" spans="1:15" x14ac:dyDescent="0.25">
      <c r="A4190">
        <v>4189</v>
      </c>
      <c r="B4190" s="2">
        <v>45736</v>
      </c>
      <c r="C4190" t="s">
        <v>25</v>
      </c>
      <c r="D4190" t="s">
        <v>23</v>
      </c>
      <c r="E4190" t="s">
        <v>13</v>
      </c>
      <c r="F4190" t="s">
        <v>24</v>
      </c>
      <c r="G4190">
        <v>252</v>
      </c>
      <c r="H4190">
        <v>647.51</v>
      </c>
      <c r="I4190">
        <v>22</v>
      </c>
      <c r="J4190" t="s">
        <v>30</v>
      </c>
      <c r="K4190">
        <v>163172.51999999999</v>
      </c>
      <c r="L4190" t="str">
        <f t="shared" si="260"/>
        <v>Mar</v>
      </c>
      <c r="M4190">
        <f t="shared" si="261"/>
        <v>2025</v>
      </c>
      <c r="N4190">
        <f t="shared" si="262"/>
        <v>163172.51999999999</v>
      </c>
      <c r="O4190" t="str">
        <f t="shared" si="263"/>
        <v>Minor Delay</v>
      </c>
    </row>
    <row r="4191" spans="1:15" x14ac:dyDescent="0.25">
      <c r="A4191">
        <v>4190</v>
      </c>
      <c r="B4191" s="2">
        <v>45959</v>
      </c>
      <c r="C4191" t="s">
        <v>18</v>
      </c>
      <c r="D4191" t="s">
        <v>17</v>
      </c>
      <c r="E4191" t="s">
        <v>23</v>
      </c>
      <c r="F4191" t="s">
        <v>24</v>
      </c>
      <c r="G4191">
        <v>157</v>
      </c>
      <c r="H4191">
        <v>554.08000000000004</v>
      </c>
      <c r="I4191">
        <v>0</v>
      </c>
      <c r="J4191" t="s">
        <v>30</v>
      </c>
      <c r="K4191">
        <v>86990.56</v>
      </c>
      <c r="L4191" t="str">
        <f t="shared" si="260"/>
        <v>Oct</v>
      </c>
      <c r="M4191">
        <f t="shared" si="261"/>
        <v>2025</v>
      </c>
      <c r="N4191">
        <f t="shared" si="262"/>
        <v>86990.560000000012</v>
      </c>
      <c r="O4191" t="str">
        <f t="shared" si="263"/>
        <v>On Time</v>
      </c>
    </row>
    <row r="4192" spans="1:15" x14ac:dyDescent="0.25">
      <c r="A4192">
        <v>4191</v>
      </c>
      <c r="B4192" s="2">
        <v>45996</v>
      </c>
      <c r="C4192" t="s">
        <v>31</v>
      </c>
      <c r="D4192" t="s">
        <v>12</v>
      </c>
      <c r="E4192" t="s">
        <v>29</v>
      </c>
      <c r="F4192" t="s">
        <v>14</v>
      </c>
      <c r="G4192">
        <v>264</v>
      </c>
      <c r="H4192">
        <v>162.94</v>
      </c>
      <c r="I4192">
        <v>22</v>
      </c>
      <c r="J4192" t="s">
        <v>15</v>
      </c>
      <c r="K4192">
        <v>43016.160000000003</v>
      </c>
      <c r="L4192" t="str">
        <f t="shared" si="260"/>
        <v>Dec</v>
      </c>
      <c r="M4192">
        <f t="shared" si="261"/>
        <v>2025</v>
      </c>
      <c r="N4192">
        <f t="shared" si="262"/>
        <v>43016.159999999996</v>
      </c>
      <c r="O4192" t="str">
        <f t="shared" si="263"/>
        <v>Minor Delay</v>
      </c>
    </row>
    <row r="4193" spans="1:15" x14ac:dyDescent="0.25">
      <c r="A4193">
        <v>4192</v>
      </c>
      <c r="B4193" s="2">
        <v>45854</v>
      </c>
      <c r="C4193" t="s">
        <v>31</v>
      </c>
      <c r="D4193" t="s">
        <v>29</v>
      </c>
      <c r="E4193" t="s">
        <v>22</v>
      </c>
      <c r="F4193" t="s">
        <v>24</v>
      </c>
      <c r="G4193">
        <v>85</v>
      </c>
      <c r="H4193">
        <v>197.45</v>
      </c>
      <c r="I4193">
        <v>6</v>
      </c>
      <c r="J4193" t="s">
        <v>15</v>
      </c>
      <c r="K4193">
        <v>16783.25</v>
      </c>
      <c r="L4193" t="str">
        <f t="shared" si="260"/>
        <v>Jul</v>
      </c>
      <c r="M4193">
        <f t="shared" si="261"/>
        <v>2025</v>
      </c>
      <c r="N4193">
        <f t="shared" si="262"/>
        <v>16783.25</v>
      </c>
      <c r="O4193" t="str">
        <f t="shared" si="263"/>
        <v>Minor Delay</v>
      </c>
    </row>
    <row r="4194" spans="1:15" x14ac:dyDescent="0.25">
      <c r="A4194">
        <v>4193</v>
      </c>
      <c r="B4194" s="2">
        <v>45775</v>
      </c>
      <c r="C4194" t="s">
        <v>18</v>
      </c>
      <c r="D4194" t="s">
        <v>20</v>
      </c>
      <c r="E4194" t="s">
        <v>19</v>
      </c>
      <c r="F4194" t="s">
        <v>21</v>
      </c>
      <c r="G4194">
        <v>192</v>
      </c>
      <c r="H4194">
        <v>632.41999999999996</v>
      </c>
      <c r="I4194">
        <v>43</v>
      </c>
      <c r="J4194" t="s">
        <v>15</v>
      </c>
      <c r="K4194">
        <v>121424.64</v>
      </c>
      <c r="L4194" t="str">
        <f t="shared" si="260"/>
        <v>Apr</v>
      </c>
      <c r="M4194">
        <f t="shared" si="261"/>
        <v>2025</v>
      </c>
      <c r="N4194">
        <f t="shared" si="262"/>
        <v>121424.63999999998</v>
      </c>
      <c r="O4194" t="str">
        <f t="shared" si="263"/>
        <v>Moderate Delay</v>
      </c>
    </row>
    <row r="4195" spans="1:15" x14ac:dyDescent="0.25">
      <c r="A4195">
        <v>4194</v>
      </c>
      <c r="B4195" s="2">
        <v>45909</v>
      </c>
      <c r="C4195" t="s">
        <v>26</v>
      </c>
      <c r="D4195" t="s">
        <v>19</v>
      </c>
      <c r="E4195" t="s">
        <v>20</v>
      </c>
      <c r="F4195" t="s">
        <v>21</v>
      </c>
      <c r="G4195">
        <v>276</v>
      </c>
      <c r="H4195">
        <v>792.13</v>
      </c>
      <c r="I4195">
        <v>28</v>
      </c>
      <c r="J4195" t="s">
        <v>30</v>
      </c>
      <c r="K4195">
        <v>218627.88</v>
      </c>
      <c r="L4195" t="str">
        <f t="shared" si="260"/>
        <v>Sep</v>
      </c>
      <c r="M4195">
        <f t="shared" si="261"/>
        <v>2025</v>
      </c>
      <c r="N4195">
        <f t="shared" si="262"/>
        <v>218627.88</v>
      </c>
      <c r="O4195" t="str">
        <f t="shared" si="263"/>
        <v>Minor Delay</v>
      </c>
    </row>
    <row r="4196" spans="1:15" x14ac:dyDescent="0.25">
      <c r="A4196">
        <v>4195</v>
      </c>
      <c r="B4196" s="2">
        <v>45684</v>
      </c>
      <c r="C4196" t="s">
        <v>26</v>
      </c>
      <c r="D4196" t="s">
        <v>20</v>
      </c>
      <c r="E4196" t="s">
        <v>19</v>
      </c>
      <c r="F4196" t="s">
        <v>24</v>
      </c>
      <c r="G4196">
        <v>133</v>
      </c>
      <c r="H4196">
        <v>492.25</v>
      </c>
      <c r="I4196">
        <v>0</v>
      </c>
      <c r="J4196" t="s">
        <v>15</v>
      </c>
      <c r="K4196">
        <v>65469.25</v>
      </c>
      <c r="L4196" t="str">
        <f t="shared" si="260"/>
        <v>Jan</v>
      </c>
      <c r="M4196">
        <f t="shared" si="261"/>
        <v>2025</v>
      </c>
      <c r="N4196">
        <f t="shared" si="262"/>
        <v>65469.25</v>
      </c>
      <c r="O4196" t="str">
        <f t="shared" si="263"/>
        <v>On Time</v>
      </c>
    </row>
    <row r="4197" spans="1:15" x14ac:dyDescent="0.25">
      <c r="A4197">
        <v>4196</v>
      </c>
      <c r="B4197" s="2">
        <v>45991</v>
      </c>
      <c r="C4197" t="s">
        <v>25</v>
      </c>
      <c r="D4197" t="s">
        <v>20</v>
      </c>
      <c r="E4197" t="s">
        <v>17</v>
      </c>
      <c r="F4197" t="s">
        <v>24</v>
      </c>
      <c r="G4197">
        <v>261</v>
      </c>
      <c r="H4197">
        <v>652.84</v>
      </c>
      <c r="I4197">
        <v>0</v>
      </c>
      <c r="J4197" t="s">
        <v>15</v>
      </c>
      <c r="K4197">
        <v>170391.24</v>
      </c>
      <c r="L4197" t="str">
        <f t="shared" si="260"/>
        <v>Nov</v>
      </c>
      <c r="M4197">
        <f t="shared" si="261"/>
        <v>2025</v>
      </c>
      <c r="N4197">
        <f t="shared" si="262"/>
        <v>170391.24000000002</v>
      </c>
      <c r="O4197" t="str">
        <f t="shared" si="263"/>
        <v>On Time</v>
      </c>
    </row>
    <row r="4198" spans="1:15" x14ac:dyDescent="0.25">
      <c r="A4198">
        <v>4197</v>
      </c>
      <c r="B4198" s="2">
        <v>45685</v>
      </c>
      <c r="C4198" t="s">
        <v>26</v>
      </c>
      <c r="D4198" t="s">
        <v>27</v>
      </c>
      <c r="E4198" t="s">
        <v>13</v>
      </c>
      <c r="F4198" t="s">
        <v>24</v>
      </c>
      <c r="G4198">
        <v>67</v>
      </c>
      <c r="H4198">
        <v>688.8</v>
      </c>
      <c r="I4198">
        <v>36</v>
      </c>
      <c r="J4198" t="s">
        <v>15</v>
      </c>
      <c r="K4198">
        <v>46149.599999999999</v>
      </c>
      <c r="L4198" t="str">
        <f t="shared" si="260"/>
        <v>Jan</v>
      </c>
      <c r="M4198">
        <f t="shared" si="261"/>
        <v>2025</v>
      </c>
      <c r="N4198">
        <f t="shared" si="262"/>
        <v>46149.599999999999</v>
      </c>
      <c r="O4198" t="str">
        <f t="shared" si="263"/>
        <v>Moderate Delay</v>
      </c>
    </row>
    <row r="4199" spans="1:15" x14ac:dyDescent="0.25">
      <c r="A4199">
        <v>4198</v>
      </c>
      <c r="B4199" s="2">
        <v>45985</v>
      </c>
      <c r="C4199" t="s">
        <v>26</v>
      </c>
      <c r="D4199" t="s">
        <v>17</v>
      </c>
      <c r="E4199" t="s">
        <v>23</v>
      </c>
      <c r="F4199" t="s">
        <v>21</v>
      </c>
      <c r="G4199">
        <v>117</v>
      </c>
      <c r="H4199">
        <v>218.98</v>
      </c>
      <c r="I4199">
        <v>38</v>
      </c>
      <c r="J4199" t="s">
        <v>15</v>
      </c>
      <c r="K4199">
        <v>25620.66</v>
      </c>
      <c r="L4199" t="str">
        <f t="shared" si="260"/>
        <v>Nov</v>
      </c>
      <c r="M4199">
        <f t="shared" si="261"/>
        <v>2025</v>
      </c>
      <c r="N4199">
        <f t="shared" si="262"/>
        <v>25620.66</v>
      </c>
      <c r="O4199" t="str">
        <f t="shared" si="263"/>
        <v>Moderate Delay</v>
      </c>
    </row>
    <row r="4200" spans="1:15" x14ac:dyDescent="0.25">
      <c r="A4200">
        <v>4199</v>
      </c>
      <c r="B4200" s="2">
        <v>45897</v>
      </c>
      <c r="C4200" t="s">
        <v>16</v>
      </c>
      <c r="D4200" t="s">
        <v>19</v>
      </c>
      <c r="E4200" t="s">
        <v>29</v>
      </c>
      <c r="F4200" t="s">
        <v>24</v>
      </c>
      <c r="G4200">
        <v>155</v>
      </c>
      <c r="H4200">
        <v>139.44999999999999</v>
      </c>
      <c r="I4200">
        <v>42</v>
      </c>
      <c r="J4200" t="s">
        <v>30</v>
      </c>
      <c r="K4200">
        <v>21614.75</v>
      </c>
      <c r="L4200" t="str">
        <f t="shared" si="260"/>
        <v>Aug</v>
      </c>
      <c r="M4200">
        <f t="shared" si="261"/>
        <v>2025</v>
      </c>
      <c r="N4200">
        <f t="shared" si="262"/>
        <v>21614.75</v>
      </c>
      <c r="O4200" t="str">
        <f t="shared" si="263"/>
        <v>Moderate Delay</v>
      </c>
    </row>
    <row r="4201" spans="1:15" x14ac:dyDescent="0.25">
      <c r="A4201">
        <v>4200</v>
      </c>
      <c r="B4201" s="2">
        <v>45679</v>
      </c>
      <c r="C4201" t="s">
        <v>16</v>
      </c>
      <c r="D4201" t="s">
        <v>23</v>
      </c>
      <c r="E4201" t="s">
        <v>29</v>
      </c>
      <c r="F4201" t="s">
        <v>24</v>
      </c>
      <c r="G4201">
        <v>88</v>
      </c>
      <c r="H4201">
        <v>124.96</v>
      </c>
      <c r="I4201">
        <v>14</v>
      </c>
      <c r="J4201" t="s">
        <v>15</v>
      </c>
      <c r="K4201">
        <v>10996.48</v>
      </c>
      <c r="L4201" t="str">
        <f t="shared" si="260"/>
        <v>Jan</v>
      </c>
      <c r="M4201">
        <f t="shared" si="261"/>
        <v>2025</v>
      </c>
      <c r="N4201">
        <f t="shared" si="262"/>
        <v>10996.48</v>
      </c>
      <c r="O4201" t="str">
        <f t="shared" si="263"/>
        <v>Minor Delay</v>
      </c>
    </row>
    <row r="4202" spans="1:15" x14ac:dyDescent="0.25">
      <c r="A4202">
        <v>4201</v>
      </c>
      <c r="B4202" s="2">
        <v>45786</v>
      </c>
      <c r="C4202" t="s">
        <v>18</v>
      </c>
      <c r="D4202" t="s">
        <v>17</v>
      </c>
      <c r="E4202" t="s">
        <v>27</v>
      </c>
      <c r="F4202" t="s">
        <v>21</v>
      </c>
      <c r="G4202">
        <v>75</v>
      </c>
      <c r="H4202">
        <v>700.44</v>
      </c>
      <c r="I4202">
        <v>32</v>
      </c>
      <c r="J4202" t="s">
        <v>15</v>
      </c>
      <c r="K4202">
        <v>52533</v>
      </c>
      <c r="L4202" t="str">
        <f t="shared" si="260"/>
        <v>May</v>
      </c>
      <c r="M4202">
        <f t="shared" si="261"/>
        <v>2025</v>
      </c>
      <c r="N4202">
        <f t="shared" si="262"/>
        <v>52533.000000000007</v>
      </c>
      <c r="O4202" t="str">
        <f t="shared" si="263"/>
        <v>Moderate Delay</v>
      </c>
    </row>
    <row r="4203" spans="1:15" x14ac:dyDescent="0.25">
      <c r="A4203">
        <v>4202</v>
      </c>
      <c r="B4203" s="2">
        <v>46001</v>
      </c>
      <c r="C4203" t="s">
        <v>25</v>
      </c>
      <c r="D4203" t="s">
        <v>12</v>
      </c>
      <c r="E4203" t="s">
        <v>17</v>
      </c>
      <c r="F4203" t="s">
        <v>14</v>
      </c>
      <c r="G4203">
        <v>255</v>
      </c>
      <c r="H4203">
        <v>311.85000000000002</v>
      </c>
      <c r="I4203">
        <v>34</v>
      </c>
      <c r="J4203" t="s">
        <v>15</v>
      </c>
      <c r="K4203">
        <v>79521.75</v>
      </c>
      <c r="L4203" t="str">
        <f t="shared" si="260"/>
        <v>Dec</v>
      </c>
      <c r="M4203">
        <f t="shared" si="261"/>
        <v>2025</v>
      </c>
      <c r="N4203">
        <f t="shared" si="262"/>
        <v>79521.75</v>
      </c>
      <c r="O4203" t="str">
        <f t="shared" si="263"/>
        <v>Moderate Delay</v>
      </c>
    </row>
    <row r="4204" spans="1:15" x14ac:dyDescent="0.25">
      <c r="A4204">
        <v>4203</v>
      </c>
      <c r="B4204" s="2">
        <v>45772</v>
      </c>
      <c r="C4204" t="s">
        <v>26</v>
      </c>
      <c r="D4204" t="s">
        <v>12</v>
      </c>
      <c r="E4204" t="s">
        <v>23</v>
      </c>
      <c r="F4204" t="s">
        <v>21</v>
      </c>
      <c r="G4204">
        <v>131</v>
      </c>
      <c r="H4204">
        <v>96.75</v>
      </c>
      <c r="I4204">
        <v>36</v>
      </c>
      <c r="J4204" t="s">
        <v>15</v>
      </c>
      <c r="K4204">
        <v>12674.25</v>
      </c>
      <c r="L4204" t="str">
        <f t="shared" si="260"/>
        <v>Apr</v>
      </c>
      <c r="M4204">
        <f t="shared" si="261"/>
        <v>2025</v>
      </c>
      <c r="N4204">
        <f t="shared" si="262"/>
        <v>12674.25</v>
      </c>
      <c r="O4204" t="str">
        <f t="shared" si="263"/>
        <v>Moderate Delay</v>
      </c>
    </row>
    <row r="4205" spans="1:15" x14ac:dyDescent="0.25">
      <c r="A4205">
        <v>4204</v>
      </c>
      <c r="B4205" s="2">
        <v>46021</v>
      </c>
      <c r="C4205" t="s">
        <v>31</v>
      </c>
      <c r="D4205" t="s">
        <v>29</v>
      </c>
      <c r="E4205" t="s">
        <v>19</v>
      </c>
      <c r="F4205" t="s">
        <v>21</v>
      </c>
      <c r="G4205">
        <v>272</v>
      </c>
      <c r="H4205">
        <v>747.56</v>
      </c>
      <c r="I4205">
        <v>30</v>
      </c>
      <c r="J4205" t="s">
        <v>30</v>
      </c>
      <c r="K4205">
        <v>203336.32000000001</v>
      </c>
      <c r="L4205" t="str">
        <f t="shared" si="260"/>
        <v>Dec</v>
      </c>
      <c r="M4205">
        <f t="shared" si="261"/>
        <v>2025</v>
      </c>
      <c r="N4205">
        <f t="shared" si="262"/>
        <v>203336.31999999998</v>
      </c>
      <c r="O4205" t="str">
        <f t="shared" si="263"/>
        <v>Minor Delay</v>
      </c>
    </row>
    <row r="4206" spans="1:15" x14ac:dyDescent="0.25">
      <c r="A4206">
        <v>4205</v>
      </c>
      <c r="B4206" s="2">
        <v>45753</v>
      </c>
      <c r="C4206" t="s">
        <v>18</v>
      </c>
      <c r="D4206" t="s">
        <v>17</v>
      </c>
      <c r="E4206" t="s">
        <v>19</v>
      </c>
      <c r="F4206" t="s">
        <v>21</v>
      </c>
      <c r="G4206">
        <v>201</v>
      </c>
      <c r="H4206">
        <v>571.96</v>
      </c>
      <c r="I4206">
        <v>39</v>
      </c>
      <c r="J4206" t="s">
        <v>15</v>
      </c>
      <c r="K4206">
        <v>114963.96</v>
      </c>
      <c r="L4206" t="str">
        <f t="shared" si="260"/>
        <v>Apr</v>
      </c>
      <c r="M4206">
        <f t="shared" si="261"/>
        <v>2025</v>
      </c>
      <c r="N4206">
        <f t="shared" si="262"/>
        <v>114963.96</v>
      </c>
      <c r="O4206" t="str">
        <f t="shared" si="263"/>
        <v>Moderate Delay</v>
      </c>
    </row>
    <row r="4207" spans="1:15" x14ac:dyDescent="0.25">
      <c r="A4207">
        <v>4206</v>
      </c>
      <c r="B4207" s="2">
        <v>45658</v>
      </c>
      <c r="C4207" t="s">
        <v>18</v>
      </c>
      <c r="D4207" t="s">
        <v>27</v>
      </c>
      <c r="E4207" t="s">
        <v>12</v>
      </c>
      <c r="F4207" t="s">
        <v>14</v>
      </c>
      <c r="G4207">
        <v>285</v>
      </c>
      <c r="H4207">
        <v>786.46</v>
      </c>
      <c r="I4207">
        <v>25</v>
      </c>
      <c r="J4207" t="s">
        <v>30</v>
      </c>
      <c r="K4207">
        <v>224141.1</v>
      </c>
      <c r="L4207" t="str">
        <f t="shared" si="260"/>
        <v>Jan</v>
      </c>
      <c r="M4207">
        <f t="shared" si="261"/>
        <v>2025</v>
      </c>
      <c r="N4207">
        <f t="shared" si="262"/>
        <v>224141.1</v>
      </c>
      <c r="O4207" t="str">
        <f t="shared" si="263"/>
        <v>Minor Delay</v>
      </c>
    </row>
    <row r="4208" spans="1:15" x14ac:dyDescent="0.25">
      <c r="A4208">
        <v>4207</v>
      </c>
      <c r="B4208" s="2">
        <v>45680</v>
      </c>
      <c r="C4208" t="s">
        <v>16</v>
      </c>
      <c r="D4208" t="s">
        <v>12</v>
      </c>
      <c r="E4208" t="s">
        <v>27</v>
      </c>
      <c r="F4208" t="s">
        <v>24</v>
      </c>
      <c r="G4208">
        <v>88</v>
      </c>
      <c r="H4208">
        <v>153.91</v>
      </c>
      <c r="I4208">
        <v>37</v>
      </c>
      <c r="J4208" t="s">
        <v>15</v>
      </c>
      <c r="K4208">
        <v>13544.08</v>
      </c>
      <c r="L4208" t="str">
        <f t="shared" si="260"/>
        <v>Jan</v>
      </c>
      <c r="M4208">
        <f t="shared" si="261"/>
        <v>2025</v>
      </c>
      <c r="N4208">
        <f t="shared" si="262"/>
        <v>13544.08</v>
      </c>
      <c r="O4208" t="str">
        <f t="shared" si="263"/>
        <v>Moderate Delay</v>
      </c>
    </row>
    <row r="4209" spans="1:15" x14ac:dyDescent="0.25">
      <c r="A4209">
        <v>4208</v>
      </c>
      <c r="B4209" s="2">
        <v>45843</v>
      </c>
      <c r="C4209" t="s">
        <v>31</v>
      </c>
      <c r="D4209" t="s">
        <v>23</v>
      </c>
      <c r="E4209" t="s">
        <v>20</v>
      </c>
      <c r="F4209" t="s">
        <v>21</v>
      </c>
      <c r="G4209">
        <v>55</v>
      </c>
      <c r="H4209">
        <v>306.98</v>
      </c>
      <c r="I4209">
        <v>29</v>
      </c>
      <c r="J4209" t="s">
        <v>15</v>
      </c>
      <c r="K4209">
        <v>16883.900000000001</v>
      </c>
      <c r="L4209" t="str">
        <f t="shared" si="260"/>
        <v>Jul</v>
      </c>
      <c r="M4209">
        <f t="shared" si="261"/>
        <v>2025</v>
      </c>
      <c r="N4209">
        <f t="shared" si="262"/>
        <v>16883.900000000001</v>
      </c>
      <c r="O4209" t="str">
        <f t="shared" si="263"/>
        <v>Minor Delay</v>
      </c>
    </row>
    <row r="4210" spans="1:15" x14ac:dyDescent="0.25">
      <c r="A4210">
        <v>4209</v>
      </c>
      <c r="B4210" s="2">
        <v>45837</v>
      </c>
      <c r="C4210" t="s">
        <v>31</v>
      </c>
      <c r="D4210" t="s">
        <v>13</v>
      </c>
      <c r="E4210" t="s">
        <v>19</v>
      </c>
      <c r="F4210" t="s">
        <v>21</v>
      </c>
      <c r="G4210">
        <v>159</v>
      </c>
      <c r="H4210">
        <v>130.81</v>
      </c>
      <c r="I4210">
        <v>35</v>
      </c>
      <c r="J4210" t="s">
        <v>15</v>
      </c>
      <c r="K4210">
        <v>20798.79</v>
      </c>
      <c r="L4210" t="str">
        <f t="shared" si="260"/>
        <v>Jun</v>
      </c>
      <c r="M4210">
        <f t="shared" si="261"/>
        <v>2025</v>
      </c>
      <c r="N4210">
        <f t="shared" si="262"/>
        <v>20798.79</v>
      </c>
      <c r="O4210" t="str">
        <f t="shared" si="263"/>
        <v>Moderate Delay</v>
      </c>
    </row>
    <row r="4211" spans="1:15" x14ac:dyDescent="0.25">
      <c r="A4211">
        <v>4210</v>
      </c>
      <c r="B4211" s="2">
        <v>45680</v>
      </c>
      <c r="C4211" t="s">
        <v>26</v>
      </c>
      <c r="D4211" t="s">
        <v>27</v>
      </c>
      <c r="E4211" t="s">
        <v>19</v>
      </c>
      <c r="F4211" t="s">
        <v>14</v>
      </c>
      <c r="G4211">
        <v>210</v>
      </c>
      <c r="H4211">
        <v>418.15</v>
      </c>
      <c r="I4211">
        <v>33</v>
      </c>
      <c r="J4211" t="s">
        <v>15</v>
      </c>
      <c r="K4211">
        <v>87811.5</v>
      </c>
      <c r="L4211" t="str">
        <f t="shared" si="260"/>
        <v>Jan</v>
      </c>
      <c r="M4211">
        <f t="shared" si="261"/>
        <v>2025</v>
      </c>
      <c r="N4211">
        <f t="shared" si="262"/>
        <v>87811.5</v>
      </c>
      <c r="O4211" t="str">
        <f t="shared" si="263"/>
        <v>Moderate Delay</v>
      </c>
    </row>
    <row r="4212" spans="1:15" x14ac:dyDescent="0.25">
      <c r="A4212">
        <v>4211</v>
      </c>
      <c r="B4212" s="2">
        <v>45771</v>
      </c>
      <c r="C4212" t="s">
        <v>16</v>
      </c>
      <c r="D4212" t="s">
        <v>22</v>
      </c>
      <c r="E4212" t="s">
        <v>12</v>
      </c>
      <c r="F4212" t="s">
        <v>24</v>
      </c>
      <c r="G4212">
        <v>69</v>
      </c>
      <c r="H4212">
        <v>68.02</v>
      </c>
      <c r="I4212">
        <v>20</v>
      </c>
      <c r="J4212" t="s">
        <v>30</v>
      </c>
      <c r="K4212">
        <v>4693.38</v>
      </c>
      <c r="L4212" t="str">
        <f t="shared" si="260"/>
        <v>Apr</v>
      </c>
      <c r="M4212">
        <f t="shared" si="261"/>
        <v>2025</v>
      </c>
      <c r="N4212">
        <f t="shared" si="262"/>
        <v>4693.38</v>
      </c>
      <c r="O4212" t="str">
        <f t="shared" si="263"/>
        <v>Minor Delay</v>
      </c>
    </row>
    <row r="4213" spans="1:15" x14ac:dyDescent="0.25">
      <c r="A4213">
        <v>4212</v>
      </c>
      <c r="B4213" s="2">
        <v>45939</v>
      </c>
      <c r="C4213" t="s">
        <v>31</v>
      </c>
      <c r="D4213" t="s">
        <v>12</v>
      </c>
      <c r="E4213" t="s">
        <v>20</v>
      </c>
      <c r="F4213" t="s">
        <v>24</v>
      </c>
      <c r="G4213">
        <v>123</v>
      </c>
      <c r="H4213">
        <v>310.97000000000003</v>
      </c>
      <c r="I4213">
        <v>0</v>
      </c>
      <c r="J4213" t="s">
        <v>30</v>
      </c>
      <c r="K4213">
        <v>38249.31</v>
      </c>
      <c r="L4213" t="str">
        <f t="shared" si="260"/>
        <v>Oct</v>
      </c>
      <c r="M4213">
        <f t="shared" si="261"/>
        <v>2025</v>
      </c>
      <c r="N4213">
        <f t="shared" si="262"/>
        <v>38249.310000000005</v>
      </c>
      <c r="O4213" t="str">
        <f t="shared" si="263"/>
        <v>On Time</v>
      </c>
    </row>
    <row r="4214" spans="1:15" x14ac:dyDescent="0.25">
      <c r="A4214">
        <v>4213</v>
      </c>
      <c r="B4214" s="2">
        <v>45802</v>
      </c>
      <c r="C4214" t="s">
        <v>18</v>
      </c>
      <c r="D4214" t="s">
        <v>20</v>
      </c>
      <c r="E4214" t="s">
        <v>12</v>
      </c>
      <c r="F4214" t="s">
        <v>14</v>
      </c>
      <c r="G4214">
        <v>297</v>
      </c>
      <c r="H4214">
        <v>677.44</v>
      </c>
      <c r="I4214">
        <v>38</v>
      </c>
      <c r="J4214" t="s">
        <v>15</v>
      </c>
      <c r="K4214">
        <v>201199.68</v>
      </c>
      <c r="L4214" t="str">
        <f t="shared" si="260"/>
        <v>May</v>
      </c>
      <c r="M4214">
        <f t="shared" si="261"/>
        <v>2025</v>
      </c>
      <c r="N4214">
        <f t="shared" si="262"/>
        <v>201199.68000000002</v>
      </c>
      <c r="O4214" t="str">
        <f t="shared" si="263"/>
        <v>Moderate Delay</v>
      </c>
    </row>
    <row r="4215" spans="1:15" x14ac:dyDescent="0.25">
      <c r="A4215">
        <v>4214</v>
      </c>
      <c r="B4215" s="2">
        <v>45785</v>
      </c>
      <c r="C4215" t="s">
        <v>16</v>
      </c>
      <c r="D4215" t="s">
        <v>20</v>
      </c>
      <c r="E4215" t="s">
        <v>23</v>
      </c>
      <c r="F4215" t="s">
        <v>14</v>
      </c>
      <c r="G4215">
        <v>155</v>
      </c>
      <c r="H4215">
        <v>374.49</v>
      </c>
      <c r="I4215">
        <v>25</v>
      </c>
      <c r="J4215" t="s">
        <v>15</v>
      </c>
      <c r="K4215">
        <v>58045.95</v>
      </c>
      <c r="L4215" t="str">
        <f t="shared" si="260"/>
        <v>May</v>
      </c>
      <c r="M4215">
        <f t="shared" si="261"/>
        <v>2025</v>
      </c>
      <c r="N4215">
        <f t="shared" si="262"/>
        <v>58045.950000000004</v>
      </c>
      <c r="O4215" t="str">
        <f t="shared" si="263"/>
        <v>Minor Delay</v>
      </c>
    </row>
    <row r="4216" spans="1:15" x14ac:dyDescent="0.25">
      <c r="A4216">
        <v>4215</v>
      </c>
      <c r="B4216" s="2">
        <v>45771</v>
      </c>
      <c r="C4216" t="s">
        <v>11</v>
      </c>
      <c r="D4216" t="s">
        <v>13</v>
      </c>
      <c r="E4216" t="s">
        <v>19</v>
      </c>
      <c r="F4216" t="s">
        <v>24</v>
      </c>
      <c r="G4216">
        <v>72</v>
      </c>
      <c r="H4216">
        <v>729.2</v>
      </c>
      <c r="I4216">
        <v>42</v>
      </c>
      <c r="J4216" t="s">
        <v>15</v>
      </c>
      <c r="K4216">
        <v>52502.400000000001</v>
      </c>
      <c r="L4216" t="str">
        <f t="shared" si="260"/>
        <v>Apr</v>
      </c>
      <c r="M4216">
        <f t="shared" si="261"/>
        <v>2025</v>
      </c>
      <c r="N4216">
        <f t="shared" si="262"/>
        <v>52502.400000000001</v>
      </c>
      <c r="O4216" t="str">
        <f t="shared" si="263"/>
        <v>Moderate Delay</v>
      </c>
    </row>
    <row r="4217" spans="1:15" x14ac:dyDescent="0.25">
      <c r="A4217">
        <v>4216</v>
      </c>
      <c r="B4217" s="2">
        <v>45890</v>
      </c>
      <c r="C4217" t="s">
        <v>26</v>
      </c>
      <c r="D4217" t="s">
        <v>29</v>
      </c>
      <c r="E4217" t="s">
        <v>22</v>
      </c>
      <c r="F4217" t="s">
        <v>24</v>
      </c>
      <c r="G4217">
        <v>136</v>
      </c>
      <c r="H4217">
        <v>170.85</v>
      </c>
      <c r="I4217">
        <v>15</v>
      </c>
      <c r="J4217" t="s">
        <v>15</v>
      </c>
      <c r="K4217">
        <v>23235.599999999999</v>
      </c>
      <c r="L4217" t="str">
        <f t="shared" si="260"/>
        <v>Aug</v>
      </c>
      <c r="M4217">
        <f t="shared" si="261"/>
        <v>2025</v>
      </c>
      <c r="N4217">
        <f t="shared" si="262"/>
        <v>23235.599999999999</v>
      </c>
      <c r="O4217" t="str">
        <f t="shared" si="263"/>
        <v>Minor Delay</v>
      </c>
    </row>
    <row r="4218" spans="1:15" x14ac:dyDescent="0.25">
      <c r="A4218">
        <v>4217</v>
      </c>
      <c r="B4218" s="2">
        <v>46003</v>
      </c>
      <c r="C4218" t="s">
        <v>11</v>
      </c>
      <c r="D4218" t="s">
        <v>29</v>
      </c>
      <c r="E4218" t="s">
        <v>13</v>
      </c>
      <c r="F4218" t="s">
        <v>24</v>
      </c>
      <c r="G4218">
        <v>211</v>
      </c>
      <c r="H4218">
        <v>719.82</v>
      </c>
      <c r="I4218">
        <v>19</v>
      </c>
      <c r="J4218" t="s">
        <v>15</v>
      </c>
      <c r="K4218">
        <v>151882.01999999999</v>
      </c>
      <c r="L4218" t="str">
        <f t="shared" si="260"/>
        <v>Dec</v>
      </c>
      <c r="M4218">
        <f t="shared" si="261"/>
        <v>2025</v>
      </c>
      <c r="N4218">
        <f t="shared" si="262"/>
        <v>151882.02000000002</v>
      </c>
      <c r="O4218" t="str">
        <f t="shared" si="263"/>
        <v>Minor Delay</v>
      </c>
    </row>
    <row r="4219" spans="1:15" x14ac:dyDescent="0.25">
      <c r="A4219">
        <v>4218</v>
      </c>
      <c r="B4219" s="2">
        <v>45661</v>
      </c>
      <c r="C4219" t="s">
        <v>26</v>
      </c>
      <c r="D4219" t="s">
        <v>12</v>
      </c>
      <c r="E4219" t="s">
        <v>13</v>
      </c>
      <c r="F4219" t="s">
        <v>21</v>
      </c>
      <c r="G4219">
        <v>266</v>
      </c>
      <c r="H4219">
        <v>683.06</v>
      </c>
      <c r="I4219">
        <v>6</v>
      </c>
      <c r="J4219" t="s">
        <v>15</v>
      </c>
      <c r="K4219">
        <v>181693.96</v>
      </c>
      <c r="L4219" t="str">
        <f t="shared" si="260"/>
        <v>Jan</v>
      </c>
      <c r="M4219">
        <f t="shared" si="261"/>
        <v>2025</v>
      </c>
      <c r="N4219">
        <f t="shared" si="262"/>
        <v>181693.96</v>
      </c>
      <c r="O4219" t="str">
        <f t="shared" si="263"/>
        <v>Minor Delay</v>
      </c>
    </row>
    <row r="4220" spans="1:15" x14ac:dyDescent="0.25">
      <c r="A4220">
        <v>4219</v>
      </c>
      <c r="B4220" s="2">
        <v>45679</v>
      </c>
      <c r="C4220" t="s">
        <v>18</v>
      </c>
      <c r="D4220" t="s">
        <v>17</v>
      </c>
      <c r="E4220" t="s">
        <v>27</v>
      </c>
      <c r="F4220" t="s">
        <v>21</v>
      </c>
      <c r="G4220">
        <v>50</v>
      </c>
      <c r="H4220">
        <v>296.20999999999998</v>
      </c>
      <c r="I4220">
        <v>61</v>
      </c>
      <c r="J4220" t="s">
        <v>30</v>
      </c>
      <c r="K4220">
        <v>14810.5</v>
      </c>
      <c r="L4220" t="str">
        <f t="shared" si="260"/>
        <v>Jan</v>
      </c>
      <c r="M4220">
        <f t="shared" si="261"/>
        <v>2025</v>
      </c>
      <c r="N4220">
        <f t="shared" si="262"/>
        <v>14810.499999999998</v>
      </c>
      <c r="O4220" t="str">
        <f t="shared" si="263"/>
        <v>Major Delay</v>
      </c>
    </row>
    <row r="4221" spans="1:15" x14ac:dyDescent="0.25">
      <c r="A4221">
        <v>4220</v>
      </c>
      <c r="B4221" s="2">
        <v>45854</v>
      </c>
      <c r="C4221" t="s">
        <v>18</v>
      </c>
      <c r="D4221" t="s">
        <v>12</v>
      </c>
      <c r="E4221" t="s">
        <v>29</v>
      </c>
      <c r="F4221" t="s">
        <v>21</v>
      </c>
      <c r="G4221">
        <v>203</v>
      </c>
      <c r="H4221">
        <v>209.93</v>
      </c>
      <c r="I4221">
        <v>8</v>
      </c>
      <c r="J4221" t="s">
        <v>15</v>
      </c>
      <c r="K4221">
        <v>42615.79</v>
      </c>
      <c r="L4221" t="str">
        <f t="shared" si="260"/>
        <v>Jul</v>
      </c>
      <c r="M4221">
        <f t="shared" si="261"/>
        <v>2025</v>
      </c>
      <c r="N4221">
        <f t="shared" si="262"/>
        <v>42615.79</v>
      </c>
      <c r="O4221" t="str">
        <f t="shared" si="263"/>
        <v>Minor Delay</v>
      </c>
    </row>
    <row r="4222" spans="1:15" x14ac:dyDescent="0.25">
      <c r="A4222">
        <v>4221</v>
      </c>
      <c r="B4222" s="2">
        <v>45754</v>
      </c>
      <c r="C4222" t="s">
        <v>31</v>
      </c>
      <c r="D4222" t="s">
        <v>19</v>
      </c>
      <c r="E4222" t="s">
        <v>17</v>
      </c>
      <c r="F4222" t="s">
        <v>14</v>
      </c>
      <c r="G4222">
        <v>244</v>
      </c>
      <c r="H4222">
        <v>575.23</v>
      </c>
      <c r="I4222">
        <v>24</v>
      </c>
      <c r="J4222" t="s">
        <v>15</v>
      </c>
      <c r="K4222">
        <v>140356.12</v>
      </c>
      <c r="L4222" t="str">
        <f t="shared" si="260"/>
        <v>Apr</v>
      </c>
      <c r="M4222">
        <f t="shared" si="261"/>
        <v>2025</v>
      </c>
      <c r="N4222">
        <f t="shared" si="262"/>
        <v>140356.12</v>
      </c>
      <c r="O4222" t="str">
        <f t="shared" si="263"/>
        <v>Minor Delay</v>
      </c>
    </row>
    <row r="4223" spans="1:15" x14ac:dyDescent="0.25">
      <c r="A4223">
        <v>4222</v>
      </c>
      <c r="B4223" s="2">
        <v>45956</v>
      </c>
      <c r="C4223" t="s">
        <v>25</v>
      </c>
      <c r="D4223" t="s">
        <v>27</v>
      </c>
      <c r="E4223" t="s">
        <v>23</v>
      </c>
      <c r="F4223" t="s">
        <v>24</v>
      </c>
      <c r="G4223">
        <v>297</v>
      </c>
      <c r="H4223">
        <v>120.61</v>
      </c>
      <c r="I4223">
        <v>54</v>
      </c>
      <c r="J4223" t="s">
        <v>30</v>
      </c>
      <c r="K4223">
        <v>35821.17</v>
      </c>
      <c r="L4223" t="str">
        <f t="shared" si="260"/>
        <v>Oct</v>
      </c>
      <c r="M4223">
        <f t="shared" si="261"/>
        <v>2025</v>
      </c>
      <c r="N4223">
        <f t="shared" si="262"/>
        <v>35821.17</v>
      </c>
      <c r="O4223" t="str">
        <f t="shared" si="263"/>
        <v>Moderate Delay</v>
      </c>
    </row>
    <row r="4224" spans="1:15" x14ac:dyDescent="0.25">
      <c r="A4224">
        <v>4223</v>
      </c>
      <c r="B4224" s="2">
        <v>45686</v>
      </c>
      <c r="C4224" t="s">
        <v>18</v>
      </c>
      <c r="D4224" t="s">
        <v>22</v>
      </c>
      <c r="E4224" t="s">
        <v>27</v>
      </c>
      <c r="F4224" t="s">
        <v>21</v>
      </c>
      <c r="G4224">
        <v>125</v>
      </c>
      <c r="H4224">
        <v>199.38</v>
      </c>
      <c r="I4224">
        <v>45</v>
      </c>
      <c r="J4224" t="s">
        <v>15</v>
      </c>
      <c r="K4224">
        <v>24922.5</v>
      </c>
      <c r="L4224" t="str">
        <f t="shared" si="260"/>
        <v>Jan</v>
      </c>
      <c r="M4224">
        <f t="shared" si="261"/>
        <v>2025</v>
      </c>
      <c r="N4224">
        <f t="shared" si="262"/>
        <v>24922.5</v>
      </c>
      <c r="O4224" t="str">
        <f t="shared" si="263"/>
        <v>Moderate Delay</v>
      </c>
    </row>
    <row r="4225" spans="1:15" x14ac:dyDescent="0.25">
      <c r="A4225">
        <v>4224</v>
      </c>
      <c r="B4225" s="2">
        <v>45748</v>
      </c>
      <c r="C4225" t="s">
        <v>18</v>
      </c>
      <c r="D4225" t="s">
        <v>29</v>
      </c>
      <c r="E4225" t="s">
        <v>22</v>
      </c>
      <c r="F4225" t="s">
        <v>21</v>
      </c>
      <c r="G4225">
        <v>117</v>
      </c>
      <c r="H4225">
        <v>365.08</v>
      </c>
      <c r="I4225">
        <v>0</v>
      </c>
      <c r="J4225" t="s">
        <v>15</v>
      </c>
      <c r="K4225">
        <v>42714.36</v>
      </c>
      <c r="L4225" t="str">
        <f t="shared" si="260"/>
        <v>Apr</v>
      </c>
      <c r="M4225">
        <f t="shared" si="261"/>
        <v>2025</v>
      </c>
      <c r="N4225">
        <f t="shared" si="262"/>
        <v>42714.36</v>
      </c>
      <c r="O4225" t="str">
        <f t="shared" si="263"/>
        <v>On Time</v>
      </c>
    </row>
    <row r="4226" spans="1:15" x14ac:dyDescent="0.25">
      <c r="A4226">
        <v>4225</v>
      </c>
      <c r="B4226" s="2">
        <v>45714</v>
      </c>
      <c r="C4226" t="s">
        <v>31</v>
      </c>
      <c r="D4226" t="s">
        <v>22</v>
      </c>
      <c r="E4226" t="s">
        <v>17</v>
      </c>
      <c r="F4226" t="s">
        <v>14</v>
      </c>
      <c r="G4226">
        <v>86</v>
      </c>
      <c r="H4226">
        <v>593.35</v>
      </c>
      <c r="I4226">
        <v>3</v>
      </c>
      <c r="J4226" t="s">
        <v>15</v>
      </c>
      <c r="K4226">
        <v>51028.1</v>
      </c>
      <c r="L4226" t="str">
        <f t="shared" si="260"/>
        <v>Feb</v>
      </c>
      <c r="M4226">
        <f t="shared" si="261"/>
        <v>2025</v>
      </c>
      <c r="N4226">
        <f t="shared" si="262"/>
        <v>51028.1</v>
      </c>
      <c r="O4226" t="str">
        <f t="shared" si="263"/>
        <v>Minor Delay</v>
      </c>
    </row>
    <row r="4227" spans="1:15" x14ac:dyDescent="0.25">
      <c r="A4227">
        <v>4226</v>
      </c>
      <c r="B4227" s="2">
        <v>46021</v>
      </c>
      <c r="C4227" t="s">
        <v>26</v>
      </c>
      <c r="D4227" t="s">
        <v>12</v>
      </c>
      <c r="E4227" t="s">
        <v>17</v>
      </c>
      <c r="F4227" t="s">
        <v>21</v>
      </c>
      <c r="G4227">
        <v>179</v>
      </c>
      <c r="H4227">
        <v>84.26</v>
      </c>
      <c r="I4227">
        <v>66</v>
      </c>
      <c r="J4227" t="s">
        <v>15</v>
      </c>
      <c r="K4227">
        <v>15082.54</v>
      </c>
      <c r="L4227" t="str">
        <f t="shared" ref="L4227:L4290" si="264">TEXT(B4227,"MMM")</f>
        <v>Dec</v>
      </c>
      <c r="M4227">
        <f t="shared" ref="M4227:M4290" si="265">YEAR(B4227)</f>
        <v>2025</v>
      </c>
      <c r="N4227">
        <f t="shared" ref="N4227:N4290" si="266">G4227*H4227</f>
        <v>15082.54</v>
      </c>
      <c r="O4227" t="str">
        <f t="shared" ref="O4227:O4290" si="267">IF(I4227=0,"On Time",IF(I4227&lt;=30,"Minor Delay",IF(I4227&lt;=60,"Moderate Delay","Major Delay")))</f>
        <v>Major Delay</v>
      </c>
    </row>
    <row r="4228" spans="1:15" x14ac:dyDescent="0.25">
      <c r="A4228">
        <v>4227</v>
      </c>
      <c r="B4228" s="2">
        <v>45755</v>
      </c>
      <c r="C4228" t="s">
        <v>26</v>
      </c>
      <c r="D4228" t="s">
        <v>13</v>
      </c>
      <c r="E4228" t="s">
        <v>23</v>
      </c>
      <c r="F4228" t="s">
        <v>24</v>
      </c>
      <c r="G4228">
        <v>248</v>
      </c>
      <c r="H4228">
        <v>330.12</v>
      </c>
      <c r="I4228">
        <v>20</v>
      </c>
      <c r="J4228" t="s">
        <v>15</v>
      </c>
      <c r="K4228">
        <v>81869.759999999995</v>
      </c>
      <c r="L4228" t="str">
        <f t="shared" si="264"/>
        <v>Apr</v>
      </c>
      <c r="M4228">
        <f t="shared" si="265"/>
        <v>2025</v>
      </c>
      <c r="N4228">
        <f t="shared" si="266"/>
        <v>81869.759999999995</v>
      </c>
      <c r="O4228" t="str">
        <f t="shared" si="267"/>
        <v>Minor Delay</v>
      </c>
    </row>
    <row r="4229" spans="1:15" x14ac:dyDescent="0.25">
      <c r="A4229">
        <v>4228</v>
      </c>
      <c r="B4229" s="2">
        <v>45819</v>
      </c>
      <c r="C4229" t="s">
        <v>18</v>
      </c>
      <c r="D4229" t="s">
        <v>19</v>
      </c>
      <c r="E4229" t="s">
        <v>13</v>
      </c>
      <c r="F4229" t="s">
        <v>21</v>
      </c>
      <c r="G4229">
        <v>247</v>
      </c>
      <c r="H4229">
        <v>332.55</v>
      </c>
      <c r="I4229">
        <v>90</v>
      </c>
      <c r="J4229" t="s">
        <v>15</v>
      </c>
      <c r="K4229">
        <v>82139.850000000006</v>
      </c>
      <c r="L4229" t="str">
        <f t="shared" si="264"/>
        <v>Jun</v>
      </c>
      <c r="M4229">
        <f t="shared" si="265"/>
        <v>2025</v>
      </c>
      <c r="N4229">
        <f t="shared" si="266"/>
        <v>82139.850000000006</v>
      </c>
      <c r="O4229" t="str">
        <f t="shared" si="267"/>
        <v>Major Delay</v>
      </c>
    </row>
    <row r="4230" spans="1:15" x14ac:dyDescent="0.25">
      <c r="A4230">
        <v>4229</v>
      </c>
      <c r="B4230" s="2">
        <v>45659</v>
      </c>
      <c r="C4230" t="s">
        <v>31</v>
      </c>
      <c r="D4230" t="s">
        <v>20</v>
      </c>
      <c r="E4230" t="s">
        <v>13</v>
      </c>
      <c r="F4230" t="s">
        <v>21</v>
      </c>
      <c r="G4230">
        <v>280</v>
      </c>
      <c r="H4230">
        <v>268.54000000000002</v>
      </c>
      <c r="I4230">
        <v>0</v>
      </c>
      <c r="J4230" t="s">
        <v>15</v>
      </c>
      <c r="K4230">
        <v>75191.199999999997</v>
      </c>
      <c r="L4230" t="str">
        <f t="shared" si="264"/>
        <v>Jan</v>
      </c>
      <c r="M4230">
        <f t="shared" si="265"/>
        <v>2025</v>
      </c>
      <c r="N4230">
        <f t="shared" si="266"/>
        <v>75191.200000000012</v>
      </c>
      <c r="O4230" t="str">
        <f t="shared" si="267"/>
        <v>On Time</v>
      </c>
    </row>
    <row r="4231" spans="1:15" x14ac:dyDescent="0.25">
      <c r="A4231">
        <v>4230</v>
      </c>
      <c r="B4231" s="2">
        <v>45985</v>
      </c>
      <c r="C4231" t="s">
        <v>25</v>
      </c>
      <c r="D4231" t="s">
        <v>20</v>
      </c>
      <c r="E4231" t="s">
        <v>13</v>
      </c>
      <c r="F4231" t="s">
        <v>14</v>
      </c>
      <c r="G4231">
        <v>74</v>
      </c>
      <c r="H4231">
        <v>641.85</v>
      </c>
      <c r="I4231">
        <v>62</v>
      </c>
      <c r="J4231" t="s">
        <v>15</v>
      </c>
      <c r="K4231">
        <v>47496.9</v>
      </c>
      <c r="L4231" t="str">
        <f t="shared" si="264"/>
        <v>Nov</v>
      </c>
      <c r="M4231">
        <f t="shared" si="265"/>
        <v>2025</v>
      </c>
      <c r="N4231">
        <f t="shared" si="266"/>
        <v>47496.9</v>
      </c>
      <c r="O4231" t="str">
        <f t="shared" si="267"/>
        <v>Major Delay</v>
      </c>
    </row>
    <row r="4232" spans="1:15" x14ac:dyDescent="0.25">
      <c r="A4232">
        <v>4231</v>
      </c>
      <c r="B4232" s="2">
        <v>45689</v>
      </c>
      <c r="C4232" t="s">
        <v>16</v>
      </c>
      <c r="D4232" t="s">
        <v>23</v>
      </c>
      <c r="E4232" t="s">
        <v>27</v>
      </c>
      <c r="F4232" t="s">
        <v>14</v>
      </c>
      <c r="G4232">
        <v>137</v>
      </c>
      <c r="H4232">
        <v>580.79</v>
      </c>
      <c r="I4232">
        <v>30</v>
      </c>
      <c r="J4232" t="s">
        <v>30</v>
      </c>
      <c r="K4232">
        <v>79568.23</v>
      </c>
      <c r="L4232" t="str">
        <f t="shared" si="264"/>
        <v>Feb</v>
      </c>
      <c r="M4232">
        <f t="shared" si="265"/>
        <v>2025</v>
      </c>
      <c r="N4232">
        <f t="shared" si="266"/>
        <v>79568.23</v>
      </c>
      <c r="O4232" t="str">
        <f t="shared" si="267"/>
        <v>Minor Delay</v>
      </c>
    </row>
    <row r="4233" spans="1:15" x14ac:dyDescent="0.25">
      <c r="A4233">
        <v>4232</v>
      </c>
      <c r="B4233" s="2">
        <v>45979</v>
      </c>
      <c r="C4233" t="s">
        <v>31</v>
      </c>
      <c r="D4233" t="s">
        <v>19</v>
      </c>
      <c r="E4233" t="s">
        <v>23</v>
      </c>
      <c r="F4233" t="s">
        <v>21</v>
      </c>
      <c r="G4233">
        <v>170</v>
      </c>
      <c r="H4233">
        <v>128.47999999999999</v>
      </c>
      <c r="I4233">
        <v>9</v>
      </c>
      <c r="J4233" t="s">
        <v>15</v>
      </c>
      <c r="K4233">
        <v>21841.599999999999</v>
      </c>
      <c r="L4233" t="str">
        <f t="shared" si="264"/>
        <v>Nov</v>
      </c>
      <c r="M4233">
        <f t="shared" si="265"/>
        <v>2025</v>
      </c>
      <c r="N4233">
        <f t="shared" si="266"/>
        <v>21841.599999999999</v>
      </c>
      <c r="O4233" t="str">
        <f t="shared" si="267"/>
        <v>Minor Delay</v>
      </c>
    </row>
    <row r="4234" spans="1:15" x14ac:dyDescent="0.25">
      <c r="A4234">
        <v>4233</v>
      </c>
      <c r="B4234" s="2">
        <v>45852</v>
      </c>
      <c r="C4234" t="s">
        <v>31</v>
      </c>
      <c r="D4234" t="s">
        <v>27</v>
      </c>
      <c r="E4234" t="s">
        <v>22</v>
      </c>
      <c r="F4234" t="s">
        <v>14</v>
      </c>
      <c r="G4234">
        <v>166</v>
      </c>
      <c r="H4234">
        <v>340.16</v>
      </c>
      <c r="I4234">
        <v>13</v>
      </c>
      <c r="J4234" t="s">
        <v>15</v>
      </c>
      <c r="K4234">
        <v>56466.559999999998</v>
      </c>
      <c r="L4234" t="str">
        <f t="shared" si="264"/>
        <v>Jul</v>
      </c>
      <c r="M4234">
        <f t="shared" si="265"/>
        <v>2025</v>
      </c>
      <c r="N4234">
        <f t="shared" si="266"/>
        <v>56466.560000000005</v>
      </c>
      <c r="O4234" t="str">
        <f t="shared" si="267"/>
        <v>Minor Delay</v>
      </c>
    </row>
    <row r="4235" spans="1:15" x14ac:dyDescent="0.25">
      <c r="A4235">
        <v>4234</v>
      </c>
      <c r="B4235" s="2">
        <v>46010</v>
      </c>
      <c r="C4235" t="s">
        <v>31</v>
      </c>
      <c r="D4235" t="s">
        <v>20</v>
      </c>
      <c r="E4235" t="s">
        <v>19</v>
      </c>
      <c r="F4235" t="s">
        <v>14</v>
      </c>
      <c r="G4235">
        <v>57</v>
      </c>
      <c r="H4235">
        <v>624.97</v>
      </c>
      <c r="I4235">
        <v>22</v>
      </c>
      <c r="J4235" t="s">
        <v>15</v>
      </c>
      <c r="K4235">
        <v>35623.29</v>
      </c>
      <c r="L4235" t="str">
        <f t="shared" si="264"/>
        <v>Dec</v>
      </c>
      <c r="M4235">
        <f t="shared" si="265"/>
        <v>2025</v>
      </c>
      <c r="N4235">
        <f t="shared" si="266"/>
        <v>35623.29</v>
      </c>
      <c r="O4235" t="str">
        <f t="shared" si="267"/>
        <v>Minor Delay</v>
      </c>
    </row>
    <row r="4236" spans="1:15" x14ac:dyDescent="0.25">
      <c r="A4236">
        <v>4235</v>
      </c>
      <c r="B4236" s="2">
        <v>45843</v>
      </c>
      <c r="C4236" t="s">
        <v>31</v>
      </c>
      <c r="D4236" t="s">
        <v>13</v>
      </c>
      <c r="E4236" t="s">
        <v>17</v>
      </c>
      <c r="F4236" t="s">
        <v>14</v>
      </c>
      <c r="G4236">
        <v>248</v>
      </c>
      <c r="H4236">
        <v>340.03</v>
      </c>
      <c r="I4236">
        <v>21</v>
      </c>
      <c r="J4236" t="s">
        <v>15</v>
      </c>
      <c r="K4236">
        <v>84327.44</v>
      </c>
      <c r="L4236" t="str">
        <f t="shared" si="264"/>
        <v>Jul</v>
      </c>
      <c r="M4236">
        <f t="shared" si="265"/>
        <v>2025</v>
      </c>
      <c r="N4236">
        <f t="shared" si="266"/>
        <v>84327.439999999988</v>
      </c>
      <c r="O4236" t="str">
        <f t="shared" si="267"/>
        <v>Minor Delay</v>
      </c>
    </row>
    <row r="4237" spans="1:15" x14ac:dyDescent="0.25">
      <c r="A4237">
        <v>4236</v>
      </c>
      <c r="B4237" s="2">
        <v>45959</v>
      </c>
      <c r="C4237" t="s">
        <v>11</v>
      </c>
      <c r="D4237" t="s">
        <v>12</v>
      </c>
      <c r="E4237" t="s">
        <v>27</v>
      </c>
      <c r="F4237" t="s">
        <v>24</v>
      </c>
      <c r="G4237">
        <v>123</v>
      </c>
      <c r="H4237">
        <v>536.25</v>
      </c>
      <c r="I4237">
        <v>3</v>
      </c>
      <c r="J4237" t="s">
        <v>15</v>
      </c>
      <c r="K4237">
        <v>65958.75</v>
      </c>
      <c r="L4237" t="str">
        <f t="shared" si="264"/>
        <v>Oct</v>
      </c>
      <c r="M4237">
        <f t="shared" si="265"/>
        <v>2025</v>
      </c>
      <c r="N4237">
        <f t="shared" si="266"/>
        <v>65958.75</v>
      </c>
      <c r="O4237" t="str">
        <f t="shared" si="267"/>
        <v>Minor Delay</v>
      </c>
    </row>
    <row r="4238" spans="1:15" x14ac:dyDescent="0.25">
      <c r="A4238">
        <v>4237</v>
      </c>
      <c r="B4238" s="2">
        <v>45680</v>
      </c>
      <c r="C4238" t="s">
        <v>18</v>
      </c>
      <c r="D4238" t="s">
        <v>23</v>
      </c>
      <c r="E4238" t="s">
        <v>22</v>
      </c>
      <c r="F4238" t="s">
        <v>24</v>
      </c>
      <c r="G4238">
        <v>230</v>
      </c>
      <c r="H4238">
        <v>590.86</v>
      </c>
      <c r="I4238">
        <v>0</v>
      </c>
      <c r="J4238" t="s">
        <v>30</v>
      </c>
      <c r="K4238">
        <v>135897.79999999999</v>
      </c>
      <c r="L4238" t="str">
        <f t="shared" si="264"/>
        <v>Jan</v>
      </c>
      <c r="M4238">
        <f t="shared" si="265"/>
        <v>2025</v>
      </c>
      <c r="N4238">
        <f t="shared" si="266"/>
        <v>135897.80000000002</v>
      </c>
      <c r="O4238" t="str">
        <f t="shared" si="267"/>
        <v>On Time</v>
      </c>
    </row>
    <row r="4239" spans="1:15" x14ac:dyDescent="0.25">
      <c r="A4239">
        <v>4238</v>
      </c>
      <c r="B4239" s="2">
        <v>45950</v>
      </c>
      <c r="C4239" t="s">
        <v>11</v>
      </c>
      <c r="D4239" t="s">
        <v>29</v>
      </c>
      <c r="E4239" t="s">
        <v>17</v>
      </c>
      <c r="F4239" t="s">
        <v>24</v>
      </c>
      <c r="G4239">
        <v>169</v>
      </c>
      <c r="H4239">
        <v>75.88</v>
      </c>
      <c r="I4239">
        <v>0</v>
      </c>
      <c r="J4239" t="s">
        <v>15</v>
      </c>
      <c r="K4239">
        <v>12823.72</v>
      </c>
      <c r="L4239" t="str">
        <f t="shared" si="264"/>
        <v>Oct</v>
      </c>
      <c r="M4239">
        <f t="shared" si="265"/>
        <v>2025</v>
      </c>
      <c r="N4239">
        <f t="shared" si="266"/>
        <v>12823.72</v>
      </c>
      <c r="O4239" t="str">
        <f t="shared" si="267"/>
        <v>On Time</v>
      </c>
    </row>
    <row r="4240" spans="1:15" x14ac:dyDescent="0.25">
      <c r="A4240">
        <v>4239</v>
      </c>
      <c r="B4240" s="2">
        <v>45661</v>
      </c>
      <c r="C4240" t="s">
        <v>31</v>
      </c>
      <c r="D4240" t="s">
        <v>17</v>
      </c>
      <c r="E4240" t="s">
        <v>22</v>
      </c>
      <c r="F4240" t="s">
        <v>24</v>
      </c>
      <c r="G4240">
        <v>150</v>
      </c>
      <c r="H4240">
        <v>193.15</v>
      </c>
      <c r="I4240">
        <v>50</v>
      </c>
      <c r="J4240" t="s">
        <v>15</v>
      </c>
      <c r="K4240">
        <v>28972.5</v>
      </c>
      <c r="L4240" t="str">
        <f t="shared" si="264"/>
        <v>Jan</v>
      </c>
      <c r="M4240">
        <f t="shared" si="265"/>
        <v>2025</v>
      </c>
      <c r="N4240">
        <f t="shared" si="266"/>
        <v>28972.5</v>
      </c>
      <c r="O4240" t="str">
        <f t="shared" si="267"/>
        <v>Moderate Delay</v>
      </c>
    </row>
    <row r="4241" spans="1:15" x14ac:dyDescent="0.25">
      <c r="A4241">
        <v>4240</v>
      </c>
      <c r="B4241" s="2">
        <v>45992</v>
      </c>
      <c r="C4241" t="s">
        <v>25</v>
      </c>
      <c r="D4241" t="s">
        <v>17</v>
      </c>
      <c r="E4241" t="s">
        <v>29</v>
      </c>
      <c r="F4241" t="s">
        <v>14</v>
      </c>
      <c r="G4241">
        <v>165</v>
      </c>
      <c r="H4241">
        <v>141.88999999999999</v>
      </c>
      <c r="I4241">
        <v>22</v>
      </c>
      <c r="J4241" t="s">
        <v>15</v>
      </c>
      <c r="K4241">
        <v>23411.85</v>
      </c>
      <c r="L4241" t="str">
        <f t="shared" si="264"/>
        <v>Dec</v>
      </c>
      <c r="M4241">
        <f t="shared" si="265"/>
        <v>2025</v>
      </c>
      <c r="N4241">
        <f t="shared" si="266"/>
        <v>23411.85</v>
      </c>
      <c r="O4241" t="str">
        <f t="shared" si="267"/>
        <v>Minor Delay</v>
      </c>
    </row>
    <row r="4242" spans="1:15" x14ac:dyDescent="0.25">
      <c r="A4242">
        <v>4241</v>
      </c>
      <c r="B4242" s="2">
        <v>45671</v>
      </c>
      <c r="C4242" t="s">
        <v>11</v>
      </c>
      <c r="D4242" t="s">
        <v>29</v>
      </c>
      <c r="E4242" t="s">
        <v>20</v>
      </c>
      <c r="F4242" t="s">
        <v>21</v>
      </c>
      <c r="G4242">
        <v>218</v>
      </c>
      <c r="H4242">
        <v>343.44</v>
      </c>
      <c r="I4242">
        <v>15</v>
      </c>
      <c r="J4242" t="s">
        <v>15</v>
      </c>
      <c r="K4242">
        <v>74869.919999999998</v>
      </c>
      <c r="L4242" t="str">
        <f t="shared" si="264"/>
        <v>Jan</v>
      </c>
      <c r="M4242">
        <f t="shared" si="265"/>
        <v>2025</v>
      </c>
      <c r="N4242">
        <f t="shared" si="266"/>
        <v>74869.919999999998</v>
      </c>
      <c r="O4242" t="str">
        <f t="shared" si="267"/>
        <v>Minor Delay</v>
      </c>
    </row>
    <row r="4243" spans="1:15" x14ac:dyDescent="0.25">
      <c r="A4243">
        <v>4242</v>
      </c>
      <c r="B4243" s="2">
        <v>45718</v>
      </c>
      <c r="C4243" t="s">
        <v>16</v>
      </c>
      <c r="D4243" t="s">
        <v>17</v>
      </c>
      <c r="E4243" t="s">
        <v>13</v>
      </c>
      <c r="F4243" t="s">
        <v>21</v>
      </c>
      <c r="G4243">
        <v>276</v>
      </c>
      <c r="H4243">
        <v>755.08</v>
      </c>
      <c r="I4243">
        <v>0</v>
      </c>
      <c r="J4243" t="s">
        <v>15</v>
      </c>
      <c r="K4243">
        <v>208402.08</v>
      </c>
      <c r="L4243" t="str">
        <f t="shared" si="264"/>
        <v>Mar</v>
      </c>
      <c r="M4243">
        <f t="shared" si="265"/>
        <v>2025</v>
      </c>
      <c r="N4243">
        <f t="shared" si="266"/>
        <v>208402.08000000002</v>
      </c>
      <c r="O4243" t="str">
        <f t="shared" si="267"/>
        <v>On Time</v>
      </c>
    </row>
    <row r="4244" spans="1:15" x14ac:dyDescent="0.25">
      <c r="A4244">
        <v>4243</v>
      </c>
      <c r="B4244" s="2">
        <v>45959</v>
      </c>
      <c r="C4244" t="s">
        <v>26</v>
      </c>
      <c r="D4244" t="s">
        <v>13</v>
      </c>
      <c r="E4244" t="s">
        <v>29</v>
      </c>
      <c r="F4244" t="s">
        <v>21</v>
      </c>
      <c r="G4244">
        <v>50</v>
      </c>
      <c r="H4244">
        <v>662.79</v>
      </c>
      <c r="I4244">
        <v>45</v>
      </c>
      <c r="J4244" t="s">
        <v>15</v>
      </c>
      <c r="K4244">
        <v>33139.5</v>
      </c>
      <c r="L4244" t="str">
        <f t="shared" si="264"/>
        <v>Oct</v>
      </c>
      <c r="M4244">
        <f t="shared" si="265"/>
        <v>2025</v>
      </c>
      <c r="N4244">
        <f t="shared" si="266"/>
        <v>33139.5</v>
      </c>
      <c r="O4244" t="str">
        <f t="shared" si="267"/>
        <v>Moderate Delay</v>
      </c>
    </row>
    <row r="4245" spans="1:15" x14ac:dyDescent="0.25">
      <c r="A4245">
        <v>4244</v>
      </c>
      <c r="B4245" s="2">
        <v>45913</v>
      </c>
      <c r="C4245" t="s">
        <v>25</v>
      </c>
      <c r="D4245" t="s">
        <v>19</v>
      </c>
      <c r="E4245" t="s">
        <v>29</v>
      </c>
      <c r="F4245" t="s">
        <v>24</v>
      </c>
      <c r="G4245">
        <v>220</v>
      </c>
      <c r="H4245">
        <v>184.39</v>
      </c>
      <c r="I4245">
        <v>31</v>
      </c>
      <c r="J4245" t="s">
        <v>15</v>
      </c>
      <c r="K4245">
        <v>40565.800000000003</v>
      </c>
      <c r="L4245" t="str">
        <f t="shared" si="264"/>
        <v>Sep</v>
      </c>
      <c r="M4245">
        <f t="shared" si="265"/>
        <v>2025</v>
      </c>
      <c r="N4245">
        <f t="shared" si="266"/>
        <v>40565.799999999996</v>
      </c>
      <c r="O4245" t="str">
        <f t="shared" si="267"/>
        <v>Moderate Delay</v>
      </c>
    </row>
    <row r="4246" spans="1:15" x14ac:dyDescent="0.25">
      <c r="A4246">
        <v>4245</v>
      </c>
      <c r="B4246" s="2">
        <v>45896</v>
      </c>
      <c r="C4246" t="s">
        <v>18</v>
      </c>
      <c r="D4246" t="s">
        <v>27</v>
      </c>
      <c r="E4246" t="s">
        <v>20</v>
      </c>
      <c r="F4246" t="s">
        <v>24</v>
      </c>
      <c r="G4246">
        <v>250</v>
      </c>
      <c r="H4246">
        <v>96.82</v>
      </c>
      <c r="I4246">
        <v>14</v>
      </c>
      <c r="J4246" t="s">
        <v>15</v>
      </c>
      <c r="K4246">
        <v>24205</v>
      </c>
      <c r="L4246" t="str">
        <f t="shared" si="264"/>
        <v>Aug</v>
      </c>
      <c r="M4246">
        <f t="shared" si="265"/>
        <v>2025</v>
      </c>
      <c r="N4246">
        <f t="shared" si="266"/>
        <v>24205</v>
      </c>
      <c r="O4246" t="str">
        <f t="shared" si="267"/>
        <v>Minor Delay</v>
      </c>
    </row>
    <row r="4247" spans="1:15" x14ac:dyDescent="0.25">
      <c r="A4247">
        <v>4246</v>
      </c>
      <c r="B4247" s="2">
        <v>45709</v>
      </c>
      <c r="C4247" t="s">
        <v>16</v>
      </c>
      <c r="D4247" t="s">
        <v>17</v>
      </c>
      <c r="E4247" t="s">
        <v>29</v>
      </c>
      <c r="F4247" t="s">
        <v>21</v>
      </c>
      <c r="G4247">
        <v>135</v>
      </c>
      <c r="H4247">
        <v>375.83</v>
      </c>
      <c r="I4247">
        <v>52</v>
      </c>
      <c r="J4247" t="s">
        <v>15</v>
      </c>
      <c r="K4247">
        <v>50737.05</v>
      </c>
      <c r="L4247" t="str">
        <f t="shared" si="264"/>
        <v>Feb</v>
      </c>
      <c r="M4247">
        <f t="shared" si="265"/>
        <v>2025</v>
      </c>
      <c r="N4247">
        <f t="shared" si="266"/>
        <v>50737.049999999996</v>
      </c>
      <c r="O4247" t="str">
        <f t="shared" si="267"/>
        <v>Moderate Delay</v>
      </c>
    </row>
    <row r="4248" spans="1:15" x14ac:dyDescent="0.25">
      <c r="A4248">
        <v>4247</v>
      </c>
      <c r="B4248" s="2">
        <v>45880</v>
      </c>
      <c r="C4248" t="s">
        <v>16</v>
      </c>
      <c r="D4248" t="s">
        <v>17</v>
      </c>
      <c r="E4248" t="s">
        <v>23</v>
      </c>
      <c r="F4248" t="s">
        <v>24</v>
      </c>
      <c r="G4248">
        <v>165</v>
      </c>
      <c r="H4248">
        <v>209.69</v>
      </c>
      <c r="I4248">
        <v>6</v>
      </c>
      <c r="J4248" t="s">
        <v>15</v>
      </c>
      <c r="K4248">
        <v>34598.85</v>
      </c>
      <c r="L4248" t="str">
        <f t="shared" si="264"/>
        <v>Aug</v>
      </c>
      <c r="M4248">
        <f t="shared" si="265"/>
        <v>2025</v>
      </c>
      <c r="N4248">
        <f t="shared" si="266"/>
        <v>34598.85</v>
      </c>
      <c r="O4248" t="str">
        <f t="shared" si="267"/>
        <v>Minor Delay</v>
      </c>
    </row>
    <row r="4249" spans="1:15" x14ac:dyDescent="0.25">
      <c r="A4249">
        <v>4248</v>
      </c>
      <c r="B4249" s="2">
        <v>45734</v>
      </c>
      <c r="C4249" t="s">
        <v>16</v>
      </c>
      <c r="D4249" t="s">
        <v>12</v>
      </c>
      <c r="E4249" t="s">
        <v>19</v>
      </c>
      <c r="F4249" t="s">
        <v>24</v>
      </c>
      <c r="G4249">
        <v>271</v>
      </c>
      <c r="H4249">
        <v>663.81</v>
      </c>
      <c r="I4249">
        <v>50</v>
      </c>
      <c r="J4249" t="s">
        <v>30</v>
      </c>
      <c r="K4249">
        <v>179892.51</v>
      </c>
      <c r="L4249" t="str">
        <f t="shared" si="264"/>
        <v>Mar</v>
      </c>
      <c r="M4249">
        <f t="shared" si="265"/>
        <v>2025</v>
      </c>
      <c r="N4249">
        <f t="shared" si="266"/>
        <v>179892.50999999998</v>
      </c>
      <c r="O4249" t="str">
        <f t="shared" si="267"/>
        <v>Moderate Delay</v>
      </c>
    </row>
    <row r="4250" spans="1:15" x14ac:dyDescent="0.25">
      <c r="A4250">
        <v>4249</v>
      </c>
      <c r="B4250" s="2">
        <v>45863</v>
      </c>
      <c r="C4250" t="s">
        <v>11</v>
      </c>
      <c r="D4250" t="s">
        <v>19</v>
      </c>
      <c r="E4250" t="s">
        <v>17</v>
      </c>
      <c r="F4250" t="s">
        <v>21</v>
      </c>
      <c r="G4250">
        <v>263</v>
      </c>
      <c r="H4250">
        <v>481.01</v>
      </c>
      <c r="I4250">
        <v>18</v>
      </c>
      <c r="J4250" t="s">
        <v>15</v>
      </c>
      <c r="K4250">
        <v>126505.63</v>
      </c>
      <c r="L4250" t="str">
        <f t="shared" si="264"/>
        <v>Jul</v>
      </c>
      <c r="M4250">
        <f t="shared" si="265"/>
        <v>2025</v>
      </c>
      <c r="N4250">
        <f t="shared" si="266"/>
        <v>126505.63</v>
      </c>
      <c r="O4250" t="str">
        <f t="shared" si="267"/>
        <v>Minor Delay</v>
      </c>
    </row>
    <row r="4251" spans="1:15" x14ac:dyDescent="0.25">
      <c r="A4251">
        <v>4250</v>
      </c>
      <c r="B4251" s="2">
        <v>45838</v>
      </c>
      <c r="C4251" t="s">
        <v>16</v>
      </c>
      <c r="D4251" t="s">
        <v>27</v>
      </c>
      <c r="E4251" t="s">
        <v>29</v>
      </c>
      <c r="F4251" t="s">
        <v>14</v>
      </c>
      <c r="G4251">
        <v>176</v>
      </c>
      <c r="H4251">
        <v>324.12</v>
      </c>
      <c r="I4251">
        <v>0</v>
      </c>
      <c r="J4251" t="s">
        <v>15</v>
      </c>
      <c r="K4251">
        <v>57045.120000000003</v>
      </c>
      <c r="L4251" t="str">
        <f t="shared" si="264"/>
        <v>Jun</v>
      </c>
      <c r="M4251">
        <f t="shared" si="265"/>
        <v>2025</v>
      </c>
      <c r="N4251">
        <f t="shared" si="266"/>
        <v>57045.120000000003</v>
      </c>
      <c r="O4251" t="str">
        <f t="shared" si="267"/>
        <v>On Time</v>
      </c>
    </row>
    <row r="4252" spans="1:15" x14ac:dyDescent="0.25">
      <c r="A4252">
        <v>4251</v>
      </c>
      <c r="B4252" s="2">
        <v>45985</v>
      </c>
      <c r="C4252" t="s">
        <v>18</v>
      </c>
      <c r="D4252" t="s">
        <v>23</v>
      </c>
      <c r="E4252" t="s">
        <v>20</v>
      </c>
      <c r="F4252" t="s">
        <v>14</v>
      </c>
      <c r="G4252">
        <v>142</v>
      </c>
      <c r="H4252">
        <v>460.59</v>
      </c>
      <c r="I4252">
        <v>0</v>
      </c>
      <c r="J4252" t="s">
        <v>15</v>
      </c>
      <c r="K4252">
        <v>65403.78</v>
      </c>
      <c r="L4252" t="str">
        <f t="shared" si="264"/>
        <v>Nov</v>
      </c>
      <c r="M4252">
        <f t="shared" si="265"/>
        <v>2025</v>
      </c>
      <c r="N4252">
        <f t="shared" si="266"/>
        <v>65403.78</v>
      </c>
      <c r="O4252" t="str">
        <f t="shared" si="267"/>
        <v>On Time</v>
      </c>
    </row>
    <row r="4253" spans="1:15" x14ac:dyDescent="0.25">
      <c r="A4253">
        <v>4252</v>
      </c>
      <c r="B4253" s="2">
        <v>45918</v>
      </c>
      <c r="C4253" t="s">
        <v>18</v>
      </c>
      <c r="D4253" t="s">
        <v>20</v>
      </c>
      <c r="E4253" t="s">
        <v>23</v>
      </c>
      <c r="F4253" t="s">
        <v>24</v>
      </c>
      <c r="G4253">
        <v>177</v>
      </c>
      <c r="H4253">
        <v>393.83</v>
      </c>
      <c r="I4253">
        <v>7</v>
      </c>
      <c r="J4253" t="s">
        <v>15</v>
      </c>
      <c r="K4253">
        <v>69707.91</v>
      </c>
      <c r="L4253" t="str">
        <f t="shared" si="264"/>
        <v>Sep</v>
      </c>
      <c r="M4253">
        <f t="shared" si="265"/>
        <v>2025</v>
      </c>
      <c r="N4253">
        <f t="shared" si="266"/>
        <v>69707.91</v>
      </c>
      <c r="O4253" t="str">
        <f t="shared" si="267"/>
        <v>Minor Delay</v>
      </c>
    </row>
    <row r="4254" spans="1:15" x14ac:dyDescent="0.25">
      <c r="A4254">
        <v>4253</v>
      </c>
      <c r="B4254" s="2">
        <v>45768</v>
      </c>
      <c r="C4254" t="s">
        <v>31</v>
      </c>
      <c r="D4254" t="s">
        <v>22</v>
      </c>
      <c r="E4254" t="s">
        <v>23</v>
      </c>
      <c r="F4254" t="s">
        <v>14</v>
      </c>
      <c r="G4254">
        <v>145</v>
      </c>
      <c r="H4254">
        <v>346.11</v>
      </c>
      <c r="I4254">
        <v>0</v>
      </c>
      <c r="J4254" t="s">
        <v>15</v>
      </c>
      <c r="K4254">
        <v>50185.95</v>
      </c>
      <c r="L4254" t="str">
        <f t="shared" si="264"/>
        <v>Apr</v>
      </c>
      <c r="M4254">
        <f t="shared" si="265"/>
        <v>2025</v>
      </c>
      <c r="N4254">
        <f t="shared" si="266"/>
        <v>50185.950000000004</v>
      </c>
      <c r="O4254" t="str">
        <f t="shared" si="267"/>
        <v>On Time</v>
      </c>
    </row>
    <row r="4255" spans="1:15" x14ac:dyDescent="0.25">
      <c r="A4255">
        <v>4254</v>
      </c>
      <c r="B4255" s="2">
        <v>45676</v>
      </c>
      <c r="C4255" t="s">
        <v>16</v>
      </c>
      <c r="D4255" t="s">
        <v>22</v>
      </c>
      <c r="E4255" t="s">
        <v>29</v>
      </c>
      <c r="F4255" t="s">
        <v>21</v>
      </c>
      <c r="G4255">
        <v>101</v>
      </c>
      <c r="H4255">
        <v>105.57</v>
      </c>
      <c r="I4255">
        <v>6</v>
      </c>
      <c r="J4255" t="s">
        <v>15</v>
      </c>
      <c r="K4255">
        <v>10662.57</v>
      </c>
      <c r="L4255" t="str">
        <f t="shared" si="264"/>
        <v>Jan</v>
      </c>
      <c r="M4255">
        <f t="shared" si="265"/>
        <v>2025</v>
      </c>
      <c r="N4255">
        <f t="shared" si="266"/>
        <v>10662.57</v>
      </c>
      <c r="O4255" t="str">
        <f t="shared" si="267"/>
        <v>Minor Delay</v>
      </c>
    </row>
    <row r="4256" spans="1:15" x14ac:dyDescent="0.25">
      <c r="A4256">
        <v>4255</v>
      </c>
      <c r="B4256" s="2">
        <v>45985</v>
      </c>
      <c r="C4256" t="s">
        <v>31</v>
      </c>
      <c r="D4256" t="s">
        <v>23</v>
      </c>
      <c r="E4256" t="s">
        <v>20</v>
      </c>
      <c r="F4256" t="s">
        <v>14</v>
      </c>
      <c r="G4256">
        <v>88</v>
      </c>
      <c r="H4256">
        <v>342.33</v>
      </c>
      <c r="I4256">
        <v>0</v>
      </c>
      <c r="J4256" t="s">
        <v>15</v>
      </c>
      <c r="K4256">
        <v>30125.040000000001</v>
      </c>
      <c r="L4256" t="str">
        <f t="shared" si="264"/>
        <v>Nov</v>
      </c>
      <c r="M4256">
        <f t="shared" si="265"/>
        <v>2025</v>
      </c>
      <c r="N4256">
        <f t="shared" si="266"/>
        <v>30125.039999999997</v>
      </c>
      <c r="O4256" t="str">
        <f t="shared" si="267"/>
        <v>On Time</v>
      </c>
    </row>
    <row r="4257" spans="1:15" x14ac:dyDescent="0.25">
      <c r="A4257">
        <v>4256</v>
      </c>
      <c r="B4257" s="2">
        <v>45847</v>
      </c>
      <c r="C4257" t="s">
        <v>11</v>
      </c>
      <c r="D4257" t="s">
        <v>19</v>
      </c>
      <c r="E4257" t="s">
        <v>23</v>
      </c>
      <c r="F4257" t="s">
        <v>21</v>
      </c>
      <c r="G4257">
        <v>59</v>
      </c>
      <c r="H4257">
        <v>217.54</v>
      </c>
      <c r="I4257">
        <v>21</v>
      </c>
      <c r="J4257" t="s">
        <v>15</v>
      </c>
      <c r="K4257">
        <v>12834.86</v>
      </c>
      <c r="L4257" t="str">
        <f t="shared" si="264"/>
        <v>Jul</v>
      </c>
      <c r="M4257">
        <f t="shared" si="265"/>
        <v>2025</v>
      </c>
      <c r="N4257">
        <f t="shared" si="266"/>
        <v>12834.859999999999</v>
      </c>
      <c r="O4257" t="str">
        <f t="shared" si="267"/>
        <v>Minor Delay</v>
      </c>
    </row>
    <row r="4258" spans="1:15" x14ac:dyDescent="0.25">
      <c r="A4258">
        <v>4257</v>
      </c>
      <c r="B4258" s="2">
        <v>45943</v>
      </c>
      <c r="C4258" t="s">
        <v>11</v>
      </c>
      <c r="D4258" t="s">
        <v>27</v>
      </c>
      <c r="E4258" t="s">
        <v>20</v>
      </c>
      <c r="F4258" t="s">
        <v>14</v>
      </c>
      <c r="G4258">
        <v>132</v>
      </c>
      <c r="H4258">
        <v>534.63</v>
      </c>
      <c r="I4258">
        <v>0</v>
      </c>
      <c r="J4258" t="s">
        <v>15</v>
      </c>
      <c r="K4258">
        <v>70571.16</v>
      </c>
      <c r="L4258" t="str">
        <f t="shared" si="264"/>
        <v>Oct</v>
      </c>
      <c r="M4258">
        <f t="shared" si="265"/>
        <v>2025</v>
      </c>
      <c r="N4258">
        <f t="shared" si="266"/>
        <v>70571.16</v>
      </c>
      <c r="O4258" t="str">
        <f t="shared" si="267"/>
        <v>On Time</v>
      </c>
    </row>
    <row r="4259" spans="1:15" x14ac:dyDescent="0.25">
      <c r="A4259">
        <v>4258</v>
      </c>
      <c r="B4259" s="2">
        <v>45776</v>
      </c>
      <c r="C4259" t="s">
        <v>11</v>
      </c>
      <c r="D4259" t="s">
        <v>20</v>
      </c>
      <c r="E4259" t="s">
        <v>22</v>
      </c>
      <c r="F4259" t="s">
        <v>24</v>
      </c>
      <c r="G4259">
        <v>265</v>
      </c>
      <c r="H4259">
        <v>305.3</v>
      </c>
      <c r="I4259">
        <v>14</v>
      </c>
      <c r="J4259" t="s">
        <v>15</v>
      </c>
      <c r="K4259">
        <v>80904.5</v>
      </c>
      <c r="L4259" t="str">
        <f t="shared" si="264"/>
        <v>Apr</v>
      </c>
      <c r="M4259">
        <f t="shared" si="265"/>
        <v>2025</v>
      </c>
      <c r="N4259">
        <f t="shared" si="266"/>
        <v>80904.5</v>
      </c>
      <c r="O4259" t="str">
        <f t="shared" si="267"/>
        <v>Minor Delay</v>
      </c>
    </row>
    <row r="4260" spans="1:15" x14ac:dyDescent="0.25">
      <c r="A4260">
        <v>4259</v>
      </c>
      <c r="B4260" s="2">
        <v>45727</v>
      </c>
      <c r="C4260" t="s">
        <v>31</v>
      </c>
      <c r="D4260" t="s">
        <v>29</v>
      </c>
      <c r="E4260" t="s">
        <v>13</v>
      </c>
      <c r="F4260" t="s">
        <v>21</v>
      </c>
      <c r="G4260">
        <v>120</v>
      </c>
      <c r="H4260">
        <v>633.91</v>
      </c>
      <c r="I4260">
        <v>38</v>
      </c>
      <c r="J4260" t="s">
        <v>15</v>
      </c>
      <c r="K4260">
        <v>76069.2</v>
      </c>
      <c r="L4260" t="str">
        <f t="shared" si="264"/>
        <v>Mar</v>
      </c>
      <c r="M4260">
        <f t="shared" si="265"/>
        <v>2025</v>
      </c>
      <c r="N4260">
        <f t="shared" si="266"/>
        <v>76069.2</v>
      </c>
      <c r="O4260" t="str">
        <f t="shared" si="267"/>
        <v>Moderate Delay</v>
      </c>
    </row>
    <row r="4261" spans="1:15" x14ac:dyDescent="0.25">
      <c r="A4261">
        <v>4260</v>
      </c>
      <c r="B4261" s="2">
        <v>45943</v>
      </c>
      <c r="C4261" t="s">
        <v>11</v>
      </c>
      <c r="D4261" t="s">
        <v>12</v>
      </c>
      <c r="E4261" t="s">
        <v>19</v>
      </c>
      <c r="F4261" t="s">
        <v>24</v>
      </c>
      <c r="G4261">
        <v>201</v>
      </c>
      <c r="H4261">
        <v>692.33</v>
      </c>
      <c r="I4261">
        <v>14</v>
      </c>
      <c r="J4261" t="s">
        <v>15</v>
      </c>
      <c r="K4261">
        <v>139158.32999999999</v>
      </c>
      <c r="L4261" t="str">
        <f t="shared" si="264"/>
        <v>Oct</v>
      </c>
      <c r="M4261">
        <f t="shared" si="265"/>
        <v>2025</v>
      </c>
      <c r="N4261">
        <f t="shared" si="266"/>
        <v>139158.33000000002</v>
      </c>
      <c r="O4261" t="str">
        <f t="shared" si="267"/>
        <v>Minor Delay</v>
      </c>
    </row>
    <row r="4262" spans="1:15" x14ac:dyDescent="0.25">
      <c r="A4262">
        <v>4261</v>
      </c>
      <c r="B4262" s="2">
        <v>45720</v>
      </c>
      <c r="C4262" t="s">
        <v>18</v>
      </c>
      <c r="D4262" t="s">
        <v>23</v>
      </c>
      <c r="E4262" t="s">
        <v>17</v>
      </c>
      <c r="F4262" t="s">
        <v>14</v>
      </c>
      <c r="G4262">
        <v>196</v>
      </c>
      <c r="H4262">
        <v>780.43</v>
      </c>
      <c r="I4262">
        <v>24</v>
      </c>
      <c r="J4262" t="s">
        <v>15</v>
      </c>
      <c r="K4262">
        <v>152964.28</v>
      </c>
      <c r="L4262" t="str">
        <f t="shared" si="264"/>
        <v>Mar</v>
      </c>
      <c r="M4262">
        <f t="shared" si="265"/>
        <v>2025</v>
      </c>
      <c r="N4262">
        <f t="shared" si="266"/>
        <v>152964.28</v>
      </c>
      <c r="O4262" t="str">
        <f t="shared" si="267"/>
        <v>Minor Delay</v>
      </c>
    </row>
    <row r="4263" spans="1:15" x14ac:dyDescent="0.25">
      <c r="A4263">
        <v>4262</v>
      </c>
      <c r="B4263" s="2">
        <v>45919</v>
      </c>
      <c r="C4263" t="s">
        <v>18</v>
      </c>
      <c r="D4263" t="s">
        <v>20</v>
      </c>
      <c r="E4263" t="s">
        <v>27</v>
      </c>
      <c r="F4263" t="s">
        <v>24</v>
      </c>
      <c r="G4263">
        <v>281</v>
      </c>
      <c r="H4263">
        <v>750.2</v>
      </c>
      <c r="I4263">
        <v>7</v>
      </c>
      <c r="J4263" t="s">
        <v>15</v>
      </c>
      <c r="K4263">
        <v>210806.2</v>
      </c>
      <c r="L4263" t="str">
        <f t="shared" si="264"/>
        <v>Sep</v>
      </c>
      <c r="M4263">
        <f t="shared" si="265"/>
        <v>2025</v>
      </c>
      <c r="N4263">
        <f t="shared" si="266"/>
        <v>210806.2</v>
      </c>
      <c r="O4263" t="str">
        <f t="shared" si="267"/>
        <v>Minor Delay</v>
      </c>
    </row>
    <row r="4264" spans="1:15" x14ac:dyDescent="0.25">
      <c r="A4264">
        <v>4263</v>
      </c>
      <c r="B4264" s="2">
        <v>45849</v>
      </c>
      <c r="C4264" t="s">
        <v>25</v>
      </c>
      <c r="D4264" t="s">
        <v>23</v>
      </c>
      <c r="E4264" t="s">
        <v>27</v>
      </c>
      <c r="F4264" t="s">
        <v>21</v>
      </c>
      <c r="G4264">
        <v>64</v>
      </c>
      <c r="H4264">
        <v>294.04000000000002</v>
      </c>
      <c r="I4264">
        <v>57</v>
      </c>
      <c r="J4264" t="s">
        <v>15</v>
      </c>
      <c r="K4264">
        <v>18818.560000000001</v>
      </c>
      <c r="L4264" t="str">
        <f t="shared" si="264"/>
        <v>Jul</v>
      </c>
      <c r="M4264">
        <f t="shared" si="265"/>
        <v>2025</v>
      </c>
      <c r="N4264">
        <f t="shared" si="266"/>
        <v>18818.560000000001</v>
      </c>
      <c r="O4264" t="str">
        <f t="shared" si="267"/>
        <v>Moderate Delay</v>
      </c>
    </row>
    <row r="4265" spans="1:15" x14ac:dyDescent="0.25">
      <c r="A4265">
        <v>4264</v>
      </c>
      <c r="B4265" s="2">
        <v>45892</v>
      </c>
      <c r="C4265" t="s">
        <v>26</v>
      </c>
      <c r="D4265" t="s">
        <v>20</v>
      </c>
      <c r="E4265" t="s">
        <v>12</v>
      </c>
      <c r="F4265" t="s">
        <v>14</v>
      </c>
      <c r="G4265">
        <v>68</v>
      </c>
      <c r="H4265">
        <v>736.82</v>
      </c>
      <c r="I4265">
        <v>11</v>
      </c>
      <c r="J4265" t="s">
        <v>15</v>
      </c>
      <c r="K4265">
        <v>50103.76</v>
      </c>
      <c r="L4265" t="str">
        <f t="shared" si="264"/>
        <v>Aug</v>
      </c>
      <c r="M4265">
        <f t="shared" si="265"/>
        <v>2025</v>
      </c>
      <c r="N4265">
        <f t="shared" si="266"/>
        <v>50103.76</v>
      </c>
      <c r="O4265" t="str">
        <f t="shared" si="267"/>
        <v>Minor Delay</v>
      </c>
    </row>
    <row r="4266" spans="1:15" x14ac:dyDescent="0.25">
      <c r="A4266">
        <v>4265</v>
      </c>
      <c r="B4266" s="2">
        <v>45986</v>
      </c>
      <c r="C4266" t="s">
        <v>26</v>
      </c>
      <c r="D4266" t="s">
        <v>19</v>
      </c>
      <c r="E4266" t="s">
        <v>22</v>
      </c>
      <c r="F4266" t="s">
        <v>14</v>
      </c>
      <c r="G4266">
        <v>139</v>
      </c>
      <c r="H4266">
        <v>243.25</v>
      </c>
      <c r="I4266">
        <v>28</v>
      </c>
      <c r="J4266" t="s">
        <v>15</v>
      </c>
      <c r="K4266">
        <v>33811.75</v>
      </c>
      <c r="L4266" t="str">
        <f t="shared" si="264"/>
        <v>Nov</v>
      </c>
      <c r="M4266">
        <f t="shared" si="265"/>
        <v>2025</v>
      </c>
      <c r="N4266">
        <f t="shared" si="266"/>
        <v>33811.75</v>
      </c>
      <c r="O4266" t="str">
        <f t="shared" si="267"/>
        <v>Minor Delay</v>
      </c>
    </row>
    <row r="4267" spans="1:15" x14ac:dyDescent="0.25">
      <c r="A4267">
        <v>4266</v>
      </c>
      <c r="B4267" s="2">
        <v>45674</v>
      </c>
      <c r="C4267" t="s">
        <v>31</v>
      </c>
      <c r="D4267" t="s">
        <v>20</v>
      </c>
      <c r="E4267" t="s">
        <v>22</v>
      </c>
      <c r="F4267" t="s">
        <v>14</v>
      </c>
      <c r="G4267">
        <v>280</v>
      </c>
      <c r="H4267">
        <v>776.83</v>
      </c>
      <c r="I4267">
        <v>15</v>
      </c>
      <c r="J4267" t="s">
        <v>15</v>
      </c>
      <c r="K4267">
        <v>217512.4</v>
      </c>
      <c r="L4267" t="str">
        <f t="shared" si="264"/>
        <v>Jan</v>
      </c>
      <c r="M4267">
        <f t="shared" si="265"/>
        <v>2025</v>
      </c>
      <c r="N4267">
        <f t="shared" si="266"/>
        <v>217512.40000000002</v>
      </c>
      <c r="O4267" t="str">
        <f t="shared" si="267"/>
        <v>Minor Delay</v>
      </c>
    </row>
    <row r="4268" spans="1:15" x14ac:dyDescent="0.25">
      <c r="A4268">
        <v>4267</v>
      </c>
      <c r="B4268" s="2">
        <v>45754</v>
      </c>
      <c r="C4268" t="s">
        <v>18</v>
      </c>
      <c r="D4268" t="s">
        <v>23</v>
      </c>
      <c r="E4268" t="s">
        <v>13</v>
      </c>
      <c r="F4268" t="s">
        <v>21</v>
      </c>
      <c r="G4268">
        <v>229</v>
      </c>
      <c r="H4268">
        <v>692.44</v>
      </c>
      <c r="I4268">
        <v>0</v>
      </c>
      <c r="J4268" t="s">
        <v>15</v>
      </c>
      <c r="K4268">
        <v>158568.76</v>
      </c>
      <c r="L4268" t="str">
        <f t="shared" si="264"/>
        <v>Apr</v>
      </c>
      <c r="M4268">
        <f t="shared" si="265"/>
        <v>2025</v>
      </c>
      <c r="N4268">
        <f t="shared" si="266"/>
        <v>158568.76</v>
      </c>
      <c r="O4268" t="str">
        <f t="shared" si="267"/>
        <v>On Time</v>
      </c>
    </row>
    <row r="4269" spans="1:15" x14ac:dyDescent="0.25">
      <c r="A4269">
        <v>4268</v>
      </c>
      <c r="B4269" s="2">
        <v>45760</v>
      </c>
      <c r="C4269" t="s">
        <v>31</v>
      </c>
      <c r="D4269" t="s">
        <v>23</v>
      </c>
      <c r="E4269" t="s">
        <v>19</v>
      </c>
      <c r="F4269" t="s">
        <v>14</v>
      </c>
      <c r="G4269">
        <v>154</v>
      </c>
      <c r="H4269">
        <v>456.52</v>
      </c>
      <c r="I4269">
        <v>27</v>
      </c>
      <c r="J4269" t="s">
        <v>30</v>
      </c>
      <c r="K4269">
        <v>70304.08</v>
      </c>
      <c r="L4269" t="str">
        <f t="shared" si="264"/>
        <v>Apr</v>
      </c>
      <c r="M4269">
        <f t="shared" si="265"/>
        <v>2025</v>
      </c>
      <c r="N4269">
        <f t="shared" si="266"/>
        <v>70304.08</v>
      </c>
      <c r="O4269" t="str">
        <f t="shared" si="267"/>
        <v>Minor Delay</v>
      </c>
    </row>
    <row r="4270" spans="1:15" x14ac:dyDescent="0.25">
      <c r="A4270">
        <v>4269</v>
      </c>
      <c r="B4270" s="2">
        <v>45924</v>
      </c>
      <c r="C4270" t="s">
        <v>31</v>
      </c>
      <c r="D4270" t="s">
        <v>20</v>
      </c>
      <c r="E4270" t="s">
        <v>13</v>
      </c>
      <c r="F4270" t="s">
        <v>24</v>
      </c>
      <c r="G4270">
        <v>133</v>
      </c>
      <c r="H4270">
        <v>72.260000000000005</v>
      </c>
      <c r="I4270">
        <v>2</v>
      </c>
      <c r="J4270" t="s">
        <v>15</v>
      </c>
      <c r="K4270">
        <v>9610.58</v>
      </c>
      <c r="L4270" t="str">
        <f t="shared" si="264"/>
        <v>Sep</v>
      </c>
      <c r="M4270">
        <f t="shared" si="265"/>
        <v>2025</v>
      </c>
      <c r="N4270">
        <f t="shared" si="266"/>
        <v>9610.58</v>
      </c>
      <c r="O4270" t="str">
        <f t="shared" si="267"/>
        <v>Minor Delay</v>
      </c>
    </row>
    <row r="4271" spans="1:15" x14ac:dyDescent="0.25">
      <c r="A4271">
        <v>4270</v>
      </c>
      <c r="B4271" s="2">
        <v>45712</v>
      </c>
      <c r="C4271" t="s">
        <v>16</v>
      </c>
      <c r="D4271" t="s">
        <v>23</v>
      </c>
      <c r="E4271" t="s">
        <v>22</v>
      </c>
      <c r="F4271" t="s">
        <v>21</v>
      </c>
      <c r="G4271">
        <v>67</v>
      </c>
      <c r="H4271">
        <v>71.569999999999993</v>
      </c>
      <c r="I4271">
        <v>11</v>
      </c>
      <c r="J4271" t="s">
        <v>15</v>
      </c>
      <c r="K4271">
        <v>4795.1899999999996</v>
      </c>
      <c r="L4271" t="str">
        <f t="shared" si="264"/>
        <v>Feb</v>
      </c>
      <c r="M4271">
        <f t="shared" si="265"/>
        <v>2025</v>
      </c>
      <c r="N4271">
        <f t="shared" si="266"/>
        <v>4795.1899999999996</v>
      </c>
      <c r="O4271" t="str">
        <f t="shared" si="267"/>
        <v>Minor Delay</v>
      </c>
    </row>
    <row r="4272" spans="1:15" x14ac:dyDescent="0.25">
      <c r="A4272">
        <v>4271</v>
      </c>
      <c r="B4272" s="2">
        <v>45791</v>
      </c>
      <c r="C4272" t="s">
        <v>31</v>
      </c>
      <c r="D4272" t="s">
        <v>20</v>
      </c>
      <c r="E4272" t="s">
        <v>27</v>
      </c>
      <c r="F4272" t="s">
        <v>14</v>
      </c>
      <c r="G4272">
        <v>139</v>
      </c>
      <c r="H4272">
        <v>266.02</v>
      </c>
      <c r="I4272">
        <v>9</v>
      </c>
      <c r="J4272" t="s">
        <v>30</v>
      </c>
      <c r="K4272">
        <v>36976.78</v>
      </c>
      <c r="L4272" t="str">
        <f t="shared" si="264"/>
        <v>May</v>
      </c>
      <c r="M4272">
        <f t="shared" si="265"/>
        <v>2025</v>
      </c>
      <c r="N4272">
        <f t="shared" si="266"/>
        <v>36976.78</v>
      </c>
      <c r="O4272" t="str">
        <f t="shared" si="267"/>
        <v>Minor Delay</v>
      </c>
    </row>
    <row r="4273" spans="1:15" x14ac:dyDescent="0.25">
      <c r="A4273">
        <v>4272</v>
      </c>
      <c r="B4273" s="2">
        <v>45916</v>
      </c>
      <c r="C4273" t="s">
        <v>31</v>
      </c>
      <c r="D4273" t="s">
        <v>12</v>
      </c>
      <c r="E4273" t="s">
        <v>29</v>
      </c>
      <c r="F4273" t="s">
        <v>21</v>
      </c>
      <c r="G4273">
        <v>207</v>
      </c>
      <c r="H4273">
        <v>367.59</v>
      </c>
      <c r="I4273">
        <v>13</v>
      </c>
      <c r="J4273" t="s">
        <v>30</v>
      </c>
      <c r="K4273">
        <v>76091.13</v>
      </c>
      <c r="L4273" t="str">
        <f t="shared" si="264"/>
        <v>Sep</v>
      </c>
      <c r="M4273">
        <f t="shared" si="265"/>
        <v>2025</v>
      </c>
      <c r="N4273">
        <f t="shared" si="266"/>
        <v>76091.12999999999</v>
      </c>
      <c r="O4273" t="str">
        <f t="shared" si="267"/>
        <v>Minor Delay</v>
      </c>
    </row>
    <row r="4274" spans="1:15" x14ac:dyDescent="0.25">
      <c r="A4274">
        <v>4273</v>
      </c>
      <c r="B4274" s="2">
        <v>45737</v>
      </c>
      <c r="C4274" t="s">
        <v>25</v>
      </c>
      <c r="D4274" t="s">
        <v>12</v>
      </c>
      <c r="E4274" t="s">
        <v>23</v>
      </c>
      <c r="F4274" t="s">
        <v>21</v>
      </c>
      <c r="G4274">
        <v>112</v>
      </c>
      <c r="H4274">
        <v>333.59</v>
      </c>
      <c r="I4274">
        <v>41</v>
      </c>
      <c r="J4274" t="s">
        <v>15</v>
      </c>
      <c r="K4274">
        <v>37362.080000000002</v>
      </c>
      <c r="L4274" t="str">
        <f t="shared" si="264"/>
        <v>Mar</v>
      </c>
      <c r="M4274">
        <f t="shared" si="265"/>
        <v>2025</v>
      </c>
      <c r="N4274">
        <f t="shared" si="266"/>
        <v>37362.079999999994</v>
      </c>
      <c r="O4274" t="str">
        <f t="shared" si="267"/>
        <v>Moderate Delay</v>
      </c>
    </row>
    <row r="4275" spans="1:15" x14ac:dyDescent="0.25">
      <c r="A4275">
        <v>4274</v>
      </c>
      <c r="B4275" s="2">
        <v>45709</v>
      </c>
      <c r="C4275" t="s">
        <v>16</v>
      </c>
      <c r="D4275" t="s">
        <v>27</v>
      </c>
      <c r="E4275" t="s">
        <v>12</v>
      </c>
      <c r="F4275" t="s">
        <v>24</v>
      </c>
      <c r="G4275">
        <v>233</v>
      </c>
      <c r="H4275">
        <v>429.62</v>
      </c>
      <c r="I4275">
        <v>16</v>
      </c>
      <c r="J4275" t="s">
        <v>30</v>
      </c>
      <c r="K4275">
        <v>100101.46</v>
      </c>
      <c r="L4275" t="str">
        <f t="shared" si="264"/>
        <v>Feb</v>
      </c>
      <c r="M4275">
        <f t="shared" si="265"/>
        <v>2025</v>
      </c>
      <c r="N4275">
        <f t="shared" si="266"/>
        <v>100101.46</v>
      </c>
      <c r="O4275" t="str">
        <f t="shared" si="267"/>
        <v>Minor Delay</v>
      </c>
    </row>
    <row r="4276" spans="1:15" x14ac:dyDescent="0.25">
      <c r="A4276">
        <v>4275</v>
      </c>
      <c r="B4276" s="2">
        <v>45847</v>
      </c>
      <c r="C4276" t="s">
        <v>18</v>
      </c>
      <c r="D4276" t="s">
        <v>23</v>
      </c>
      <c r="E4276" t="s">
        <v>27</v>
      </c>
      <c r="F4276" t="s">
        <v>14</v>
      </c>
      <c r="G4276">
        <v>214</v>
      </c>
      <c r="H4276">
        <v>128.46</v>
      </c>
      <c r="I4276">
        <v>45</v>
      </c>
      <c r="J4276" t="s">
        <v>30</v>
      </c>
      <c r="K4276">
        <v>27490.44</v>
      </c>
      <c r="L4276" t="str">
        <f t="shared" si="264"/>
        <v>Jul</v>
      </c>
      <c r="M4276">
        <f t="shared" si="265"/>
        <v>2025</v>
      </c>
      <c r="N4276">
        <f t="shared" si="266"/>
        <v>27490.440000000002</v>
      </c>
      <c r="O4276" t="str">
        <f t="shared" si="267"/>
        <v>Moderate Delay</v>
      </c>
    </row>
    <row r="4277" spans="1:15" x14ac:dyDescent="0.25">
      <c r="A4277">
        <v>4276</v>
      </c>
      <c r="B4277" s="2">
        <v>45753</v>
      </c>
      <c r="C4277" t="s">
        <v>26</v>
      </c>
      <c r="D4277" t="s">
        <v>29</v>
      </c>
      <c r="E4277" t="s">
        <v>20</v>
      </c>
      <c r="F4277" t="s">
        <v>24</v>
      </c>
      <c r="G4277">
        <v>282</v>
      </c>
      <c r="H4277">
        <v>299.27</v>
      </c>
      <c r="I4277">
        <v>16</v>
      </c>
      <c r="J4277" t="s">
        <v>15</v>
      </c>
      <c r="K4277">
        <v>84394.14</v>
      </c>
      <c r="L4277" t="str">
        <f t="shared" si="264"/>
        <v>Apr</v>
      </c>
      <c r="M4277">
        <f t="shared" si="265"/>
        <v>2025</v>
      </c>
      <c r="N4277">
        <f t="shared" si="266"/>
        <v>84394.14</v>
      </c>
      <c r="O4277" t="str">
        <f t="shared" si="267"/>
        <v>Minor Delay</v>
      </c>
    </row>
    <row r="4278" spans="1:15" x14ac:dyDescent="0.25">
      <c r="A4278">
        <v>4277</v>
      </c>
      <c r="B4278" s="2">
        <v>45749</v>
      </c>
      <c r="C4278" t="s">
        <v>16</v>
      </c>
      <c r="D4278" t="s">
        <v>29</v>
      </c>
      <c r="E4278" t="s">
        <v>13</v>
      </c>
      <c r="F4278" t="s">
        <v>14</v>
      </c>
      <c r="G4278">
        <v>137</v>
      </c>
      <c r="H4278">
        <v>584.70000000000005</v>
      </c>
      <c r="I4278">
        <v>29</v>
      </c>
      <c r="J4278" t="s">
        <v>15</v>
      </c>
      <c r="K4278">
        <v>80103.899999999994</v>
      </c>
      <c r="L4278" t="str">
        <f t="shared" si="264"/>
        <v>Apr</v>
      </c>
      <c r="M4278">
        <f t="shared" si="265"/>
        <v>2025</v>
      </c>
      <c r="N4278">
        <f t="shared" si="266"/>
        <v>80103.900000000009</v>
      </c>
      <c r="O4278" t="str">
        <f t="shared" si="267"/>
        <v>Minor Delay</v>
      </c>
    </row>
    <row r="4279" spans="1:15" x14ac:dyDescent="0.25">
      <c r="A4279">
        <v>4278</v>
      </c>
      <c r="B4279" s="2">
        <v>45949</v>
      </c>
      <c r="C4279" t="s">
        <v>26</v>
      </c>
      <c r="D4279" t="s">
        <v>29</v>
      </c>
      <c r="E4279" t="s">
        <v>23</v>
      </c>
      <c r="F4279" t="s">
        <v>14</v>
      </c>
      <c r="G4279">
        <v>175</v>
      </c>
      <c r="H4279">
        <v>679.03</v>
      </c>
      <c r="I4279">
        <v>0</v>
      </c>
      <c r="J4279" t="s">
        <v>15</v>
      </c>
      <c r="K4279">
        <v>118830.25</v>
      </c>
      <c r="L4279" t="str">
        <f t="shared" si="264"/>
        <v>Oct</v>
      </c>
      <c r="M4279">
        <f t="shared" si="265"/>
        <v>2025</v>
      </c>
      <c r="N4279">
        <f t="shared" si="266"/>
        <v>118830.25</v>
      </c>
      <c r="O4279" t="str">
        <f t="shared" si="267"/>
        <v>On Time</v>
      </c>
    </row>
    <row r="4280" spans="1:15" x14ac:dyDescent="0.25">
      <c r="A4280">
        <v>4279</v>
      </c>
      <c r="B4280" s="2">
        <v>45999</v>
      </c>
      <c r="C4280" t="s">
        <v>26</v>
      </c>
      <c r="D4280" t="s">
        <v>20</v>
      </c>
      <c r="E4280" t="s">
        <v>19</v>
      </c>
      <c r="F4280" t="s">
        <v>14</v>
      </c>
      <c r="G4280">
        <v>120</v>
      </c>
      <c r="H4280">
        <v>344.84</v>
      </c>
      <c r="I4280">
        <v>67</v>
      </c>
      <c r="J4280" t="s">
        <v>30</v>
      </c>
      <c r="K4280">
        <v>41380.800000000003</v>
      </c>
      <c r="L4280" t="str">
        <f t="shared" si="264"/>
        <v>Dec</v>
      </c>
      <c r="M4280">
        <f t="shared" si="265"/>
        <v>2025</v>
      </c>
      <c r="N4280">
        <f t="shared" si="266"/>
        <v>41380.799999999996</v>
      </c>
      <c r="O4280" t="str">
        <f t="shared" si="267"/>
        <v>Major Delay</v>
      </c>
    </row>
    <row r="4281" spans="1:15" x14ac:dyDescent="0.25">
      <c r="A4281">
        <v>4280</v>
      </c>
      <c r="B4281" s="2">
        <v>45899</v>
      </c>
      <c r="C4281" t="s">
        <v>25</v>
      </c>
      <c r="D4281" t="s">
        <v>22</v>
      </c>
      <c r="E4281" t="s">
        <v>23</v>
      </c>
      <c r="F4281" t="s">
        <v>14</v>
      </c>
      <c r="G4281">
        <v>234</v>
      </c>
      <c r="H4281">
        <v>549.87</v>
      </c>
      <c r="I4281">
        <v>0</v>
      </c>
      <c r="J4281" t="s">
        <v>15</v>
      </c>
      <c r="K4281">
        <v>128669.58</v>
      </c>
      <c r="L4281" t="str">
        <f t="shared" si="264"/>
        <v>Aug</v>
      </c>
      <c r="M4281">
        <f t="shared" si="265"/>
        <v>2025</v>
      </c>
      <c r="N4281">
        <f t="shared" si="266"/>
        <v>128669.58</v>
      </c>
      <c r="O4281" t="str">
        <f t="shared" si="267"/>
        <v>On Time</v>
      </c>
    </row>
    <row r="4282" spans="1:15" x14ac:dyDescent="0.25">
      <c r="A4282">
        <v>4281</v>
      </c>
      <c r="B4282" s="2">
        <v>45684</v>
      </c>
      <c r="C4282" t="s">
        <v>18</v>
      </c>
      <c r="D4282" t="s">
        <v>19</v>
      </c>
      <c r="E4282" t="s">
        <v>12</v>
      </c>
      <c r="F4282" t="s">
        <v>21</v>
      </c>
      <c r="G4282">
        <v>248</v>
      </c>
      <c r="H4282">
        <v>324.52999999999997</v>
      </c>
      <c r="I4282">
        <v>2</v>
      </c>
      <c r="J4282" t="s">
        <v>15</v>
      </c>
      <c r="K4282">
        <v>80483.44</v>
      </c>
      <c r="L4282" t="str">
        <f t="shared" si="264"/>
        <v>Jan</v>
      </c>
      <c r="M4282">
        <f t="shared" si="265"/>
        <v>2025</v>
      </c>
      <c r="N4282">
        <f t="shared" si="266"/>
        <v>80483.439999999988</v>
      </c>
      <c r="O4282" t="str">
        <f t="shared" si="267"/>
        <v>Minor Delay</v>
      </c>
    </row>
    <row r="4283" spans="1:15" x14ac:dyDescent="0.25">
      <c r="A4283">
        <v>4282</v>
      </c>
      <c r="B4283" s="2">
        <v>45658</v>
      </c>
      <c r="C4283" t="s">
        <v>11</v>
      </c>
      <c r="D4283" t="s">
        <v>12</v>
      </c>
      <c r="E4283" t="s">
        <v>19</v>
      </c>
      <c r="F4283" t="s">
        <v>14</v>
      </c>
      <c r="G4283">
        <v>124</v>
      </c>
      <c r="H4283">
        <v>528.5</v>
      </c>
      <c r="I4283">
        <v>34</v>
      </c>
      <c r="J4283" t="s">
        <v>15</v>
      </c>
      <c r="K4283">
        <v>65534</v>
      </c>
      <c r="L4283" t="str">
        <f t="shared" si="264"/>
        <v>Jan</v>
      </c>
      <c r="M4283">
        <f t="shared" si="265"/>
        <v>2025</v>
      </c>
      <c r="N4283">
        <f t="shared" si="266"/>
        <v>65534</v>
      </c>
      <c r="O4283" t="str">
        <f t="shared" si="267"/>
        <v>Moderate Delay</v>
      </c>
    </row>
    <row r="4284" spans="1:15" x14ac:dyDescent="0.25">
      <c r="A4284">
        <v>4283</v>
      </c>
      <c r="B4284" s="2">
        <v>45854</v>
      </c>
      <c r="C4284" t="s">
        <v>31</v>
      </c>
      <c r="D4284" t="s">
        <v>17</v>
      </c>
      <c r="E4284" t="s">
        <v>12</v>
      </c>
      <c r="F4284" t="s">
        <v>14</v>
      </c>
      <c r="G4284">
        <v>281</v>
      </c>
      <c r="H4284">
        <v>509.46</v>
      </c>
      <c r="I4284">
        <v>0</v>
      </c>
      <c r="J4284" t="s">
        <v>15</v>
      </c>
      <c r="K4284">
        <v>143158.26</v>
      </c>
      <c r="L4284" t="str">
        <f t="shared" si="264"/>
        <v>Jul</v>
      </c>
      <c r="M4284">
        <f t="shared" si="265"/>
        <v>2025</v>
      </c>
      <c r="N4284">
        <f t="shared" si="266"/>
        <v>143158.25999999998</v>
      </c>
      <c r="O4284" t="str">
        <f t="shared" si="267"/>
        <v>On Time</v>
      </c>
    </row>
    <row r="4285" spans="1:15" x14ac:dyDescent="0.25">
      <c r="A4285">
        <v>4284</v>
      </c>
      <c r="B4285" s="2">
        <v>45720</v>
      </c>
      <c r="C4285" t="s">
        <v>11</v>
      </c>
      <c r="D4285" t="s">
        <v>22</v>
      </c>
      <c r="E4285" t="s">
        <v>23</v>
      </c>
      <c r="F4285" t="s">
        <v>14</v>
      </c>
      <c r="G4285">
        <v>222</v>
      </c>
      <c r="H4285">
        <v>205.82</v>
      </c>
      <c r="I4285">
        <v>34</v>
      </c>
      <c r="J4285" t="s">
        <v>15</v>
      </c>
      <c r="K4285">
        <v>45692.04</v>
      </c>
      <c r="L4285" t="str">
        <f t="shared" si="264"/>
        <v>Mar</v>
      </c>
      <c r="M4285">
        <f t="shared" si="265"/>
        <v>2025</v>
      </c>
      <c r="N4285">
        <f t="shared" si="266"/>
        <v>45692.04</v>
      </c>
      <c r="O4285" t="str">
        <f t="shared" si="267"/>
        <v>Moderate Delay</v>
      </c>
    </row>
    <row r="4286" spans="1:15" x14ac:dyDescent="0.25">
      <c r="A4286">
        <v>4285</v>
      </c>
      <c r="B4286" s="2">
        <v>45923</v>
      </c>
      <c r="C4286" t="s">
        <v>26</v>
      </c>
      <c r="D4286" t="s">
        <v>13</v>
      </c>
      <c r="E4286" t="s">
        <v>19</v>
      </c>
      <c r="F4286" t="s">
        <v>21</v>
      </c>
      <c r="G4286">
        <v>254</v>
      </c>
      <c r="H4286">
        <v>741.56</v>
      </c>
      <c r="I4286">
        <v>7</v>
      </c>
      <c r="J4286" t="s">
        <v>15</v>
      </c>
      <c r="K4286">
        <v>188356.24</v>
      </c>
      <c r="L4286" t="str">
        <f t="shared" si="264"/>
        <v>Sep</v>
      </c>
      <c r="M4286">
        <f t="shared" si="265"/>
        <v>2025</v>
      </c>
      <c r="N4286">
        <f t="shared" si="266"/>
        <v>188356.24</v>
      </c>
      <c r="O4286" t="str">
        <f t="shared" si="267"/>
        <v>Minor Delay</v>
      </c>
    </row>
    <row r="4287" spans="1:15" x14ac:dyDescent="0.25">
      <c r="A4287">
        <v>4286</v>
      </c>
      <c r="B4287" s="2">
        <v>45882</v>
      </c>
      <c r="C4287" t="s">
        <v>25</v>
      </c>
      <c r="D4287" t="s">
        <v>22</v>
      </c>
      <c r="E4287" t="s">
        <v>12</v>
      </c>
      <c r="F4287" t="s">
        <v>21</v>
      </c>
      <c r="G4287">
        <v>75</v>
      </c>
      <c r="H4287">
        <v>553.57000000000005</v>
      </c>
      <c r="I4287">
        <v>43</v>
      </c>
      <c r="J4287" t="s">
        <v>15</v>
      </c>
      <c r="K4287">
        <v>41517.75</v>
      </c>
      <c r="L4287" t="str">
        <f t="shared" si="264"/>
        <v>Aug</v>
      </c>
      <c r="M4287">
        <f t="shared" si="265"/>
        <v>2025</v>
      </c>
      <c r="N4287">
        <f t="shared" si="266"/>
        <v>41517.750000000007</v>
      </c>
      <c r="O4287" t="str">
        <f t="shared" si="267"/>
        <v>Moderate Delay</v>
      </c>
    </row>
    <row r="4288" spans="1:15" x14ac:dyDescent="0.25">
      <c r="A4288">
        <v>4287</v>
      </c>
      <c r="B4288" s="2">
        <v>45947</v>
      </c>
      <c r="C4288" t="s">
        <v>16</v>
      </c>
      <c r="D4288" t="s">
        <v>27</v>
      </c>
      <c r="E4288" t="s">
        <v>29</v>
      </c>
      <c r="F4288" t="s">
        <v>21</v>
      </c>
      <c r="G4288">
        <v>134</v>
      </c>
      <c r="H4288">
        <v>191.48</v>
      </c>
      <c r="I4288">
        <v>30</v>
      </c>
      <c r="J4288" t="s">
        <v>15</v>
      </c>
      <c r="K4288">
        <v>25658.32</v>
      </c>
      <c r="L4288" t="str">
        <f t="shared" si="264"/>
        <v>Oct</v>
      </c>
      <c r="M4288">
        <f t="shared" si="265"/>
        <v>2025</v>
      </c>
      <c r="N4288">
        <f t="shared" si="266"/>
        <v>25658.32</v>
      </c>
      <c r="O4288" t="str">
        <f t="shared" si="267"/>
        <v>Minor Delay</v>
      </c>
    </row>
    <row r="4289" spans="1:15" x14ac:dyDescent="0.25">
      <c r="A4289">
        <v>4288</v>
      </c>
      <c r="B4289" s="2">
        <v>45991</v>
      </c>
      <c r="C4289" t="s">
        <v>26</v>
      </c>
      <c r="D4289" t="s">
        <v>12</v>
      </c>
      <c r="E4289" t="s">
        <v>29</v>
      </c>
      <c r="F4289" t="s">
        <v>14</v>
      </c>
      <c r="G4289">
        <v>196</v>
      </c>
      <c r="H4289">
        <v>491.34</v>
      </c>
      <c r="I4289">
        <v>0</v>
      </c>
      <c r="J4289" t="s">
        <v>15</v>
      </c>
      <c r="K4289">
        <v>96302.64</v>
      </c>
      <c r="L4289" t="str">
        <f t="shared" si="264"/>
        <v>Nov</v>
      </c>
      <c r="M4289">
        <f t="shared" si="265"/>
        <v>2025</v>
      </c>
      <c r="N4289">
        <f t="shared" si="266"/>
        <v>96302.64</v>
      </c>
      <c r="O4289" t="str">
        <f t="shared" si="267"/>
        <v>On Time</v>
      </c>
    </row>
    <row r="4290" spans="1:15" x14ac:dyDescent="0.25">
      <c r="A4290">
        <v>4289</v>
      </c>
      <c r="B4290" s="2">
        <v>45806</v>
      </c>
      <c r="C4290" t="s">
        <v>16</v>
      </c>
      <c r="D4290" t="s">
        <v>27</v>
      </c>
      <c r="E4290" t="s">
        <v>12</v>
      </c>
      <c r="F4290" t="s">
        <v>24</v>
      </c>
      <c r="G4290">
        <v>51</v>
      </c>
      <c r="H4290">
        <v>615.79999999999995</v>
      </c>
      <c r="I4290">
        <v>26</v>
      </c>
      <c r="J4290" t="s">
        <v>15</v>
      </c>
      <c r="K4290">
        <v>31405.8</v>
      </c>
      <c r="L4290" t="str">
        <f t="shared" si="264"/>
        <v>May</v>
      </c>
      <c r="M4290">
        <f t="shared" si="265"/>
        <v>2025</v>
      </c>
      <c r="N4290">
        <f t="shared" si="266"/>
        <v>31405.8</v>
      </c>
      <c r="O4290" t="str">
        <f t="shared" si="267"/>
        <v>Minor Delay</v>
      </c>
    </row>
    <row r="4291" spans="1:15" x14ac:dyDescent="0.25">
      <c r="A4291">
        <v>4290</v>
      </c>
      <c r="B4291" s="2">
        <v>45955</v>
      </c>
      <c r="C4291" t="s">
        <v>16</v>
      </c>
      <c r="D4291" t="s">
        <v>17</v>
      </c>
      <c r="E4291" t="s">
        <v>19</v>
      </c>
      <c r="F4291" t="s">
        <v>24</v>
      </c>
      <c r="G4291">
        <v>268</v>
      </c>
      <c r="H4291">
        <v>184.62</v>
      </c>
      <c r="I4291">
        <v>49</v>
      </c>
      <c r="J4291" t="s">
        <v>15</v>
      </c>
      <c r="K4291">
        <v>49478.16</v>
      </c>
      <c r="L4291" t="str">
        <f t="shared" ref="L4291:L4354" si="268">TEXT(B4291,"MMM")</f>
        <v>Oct</v>
      </c>
      <c r="M4291">
        <f t="shared" ref="M4291:M4354" si="269">YEAR(B4291)</f>
        <v>2025</v>
      </c>
      <c r="N4291">
        <f t="shared" ref="N4291:N4354" si="270">G4291*H4291</f>
        <v>49478.16</v>
      </c>
      <c r="O4291" t="str">
        <f t="shared" ref="O4291:O4354" si="271">IF(I4291=0,"On Time",IF(I4291&lt;=30,"Minor Delay",IF(I4291&lt;=60,"Moderate Delay","Major Delay")))</f>
        <v>Moderate Delay</v>
      </c>
    </row>
    <row r="4292" spans="1:15" x14ac:dyDescent="0.25">
      <c r="A4292">
        <v>4291</v>
      </c>
      <c r="B4292" s="2">
        <v>45741</v>
      </c>
      <c r="C4292" t="s">
        <v>25</v>
      </c>
      <c r="D4292" t="s">
        <v>13</v>
      </c>
      <c r="E4292" t="s">
        <v>29</v>
      </c>
      <c r="F4292" t="s">
        <v>14</v>
      </c>
      <c r="G4292">
        <v>77</v>
      </c>
      <c r="H4292">
        <v>393.17</v>
      </c>
      <c r="I4292">
        <v>31</v>
      </c>
      <c r="J4292" t="s">
        <v>15</v>
      </c>
      <c r="K4292">
        <v>30274.09</v>
      </c>
      <c r="L4292" t="str">
        <f t="shared" si="268"/>
        <v>Mar</v>
      </c>
      <c r="M4292">
        <f t="shared" si="269"/>
        <v>2025</v>
      </c>
      <c r="N4292">
        <f t="shared" si="270"/>
        <v>30274.09</v>
      </c>
      <c r="O4292" t="str">
        <f t="shared" si="271"/>
        <v>Moderate Delay</v>
      </c>
    </row>
    <row r="4293" spans="1:15" x14ac:dyDescent="0.25">
      <c r="A4293">
        <v>4292</v>
      </c>
      <c r="B4293" s="2">
        <v>46017</v>
      </c>
      <c r="C4293" t="s">
        <v>26</v>
      </c>
      <c r="D4293" t="s">
        <v>27</v>
      </c>
      <c r="E4293" t="s">
        <v>23</v>
      </c>
      <c r="F4293" t="s">
        <v>24</v>
      </c>
      <c r="G4293">
        <v>208</v>
      </c>
      <c r="H4293">
        <v>784.97</v>
      </c>
      <c r="I4293">
        <v>10</v>
      </c>
      <c r="J4293" t="s">
        <v>15</v>
      </c>
      <c r="K4293">
        <v>163273.76</v>
      </c>
      <c r="L4293" t="str">
        <f t="shared" si="268"/>
        <v>Dec</v>
      </c>
      <c r="M4293">
        <f t="shared" si="269"/>
        <v>2025</v>
      </c>
      <c r="N4293">
        <f t="shared" si="270"/>
        <v>163273.76</v>
      </c>
      <c r="O4293" t="str">
        <f t="shared" si="271"/>
        <v>Minor Delay</v>
      </c>
    </row>
    <row r="4294" spans="1:15" x14ac:dyDescent="0.25">
      <c r="A4294">
        <v>4293</v>
      </c>
      <c r="B4294" s="2">
        <v>45864</v>
      </c>
      <c r="C4294" t="s">
        <v>26</v>
      </c>
      <c r="D4294" t="s">
        <v>27</v>
      </c>
      <c r="E4294" t="s">
        <v>17</v>
      </c>
      <c r="F4294" t="s">
        <v>21</v>
      </c>
      <c r="G4294">
        <v>126</v>
      </c>
      <c r="H4294">
        <v>462.38</v>
      </c>
      <c r="I4294">
        <v>14</v>
      </c>
      <c r="J4294" t="s">
        <v>15</v>
      </c>
      <c r="K4294">
        <v>58259.88</v>
      </c>
      <c r="L4294" t="str">
        <f t="shared" si="268"/>
        <v>Jul</v>
      </c>
      <c r="M4294">
        <f t="shared" si="269"/>
        <v>2025</v>
      </c>
      <c r="N4294">
        <f t="shared" si="270"/>
        <v>58259.88</v>
      </c>
      <c r="O4294" t="str">
        <f t="shared" si="271"/>
        <v>Minor Delay</v>
      </c>
    </row>
    <row r="4295" spans="1:15" x14ac:dyDescent="0.25">
      <c r="A4295">
        <v>4294</v>
      </c>
      <c r="B4295" s="2">
        <v>45996</v>
      </c>
      <c r="C4295" t="s">
        <v>18</v>
      </c>
      <c r="D4295" t="s">
        <v>12</v>
      </c>
      <c r="E4295" t="s">
        <v>23</v>
      </c>
      <c r="F4295" t="s">
        <v>24</v>
      </c>
      <c r="G4295">
        <v>277</v>
      </c>
      <c r="H4295">
        <v>554.34</v>
      </c>
      <c r="I4295">
        <v>6</v>
      </c>
      <c r="J4295" t="s">
        <v>30</v>
      </c>
      <c r="K4295">
        <v>153552.18</v>
      </c>
      <c r="L4295" t="str">
        <f t="shared" si="268"/>
        <v>Dec</v>
      </c>
      <c r="M4295">
        <f t="shared" si="269"/>
        <v>2025</v>
      </c>
      <c r="N4295">
        <f t="shared" si="270"/>
        <v>153552.18000000002</v>
      </c>
      <c r="O4295" t="str">
        <f t="shared" si="271"/>
        <v>Minor Delay</v>
      </c>
    </row>
    <row r="4296" spans="1:15" x14ac:dyDescent="0.25">
      <c r="A4296">
        <v>4295</v>
      </c>
      <c r="B4296" s="2">
        <v>45817</v>
      </c>
      <c r="C4296" t="s">
        <v>26</v>
      </c>
      <c r="D4296" t="s">
        <v>12</v>
      </c>
      <c r="E4296" t="s">
        <v>20</v>
      </c>
      <c r="F4296" t="s">
        <v>21</v>
      </c>
      <c r="G4296">
        <v>213</v>
      </c>
      <c r="H4296">
        <v>486.77</v>
      </c>
      <c r="I4296">
        <v>85</v>
      </c>
      <c r="J4296" t="s">
        <v>15</v>
      </c>
      <c r="K4296">
        <v>103682.01</v>
      </c>
      <c r="L4296" t="str">
        <f t="shared" si="268"/>
        <v>Jun</v>
      </c>
      <c r="M4296">
        <f t="shared" si="269"/>
        <v>2025</v>
      </c>
      <c r="N4296">
        <f t="shared" si="270"/>
        <v>103682.01</v>
      </c>
      <c r="O4296" t="str">
        <f t="shared" si="271"/>
        <v>Major Delay</v>
      </c>
    </row>
    <row r="4297" spans="1:15" x14ac:dyDescent="0.25">
      <c r="A4297">
        <v>4296</v>
      </c>
      <c r="B4297" s="2">
        <v>45944</v>
      </c>
      <c r="C4297" t="s">
        <v>25</v>
      </c>
      <c r="D4297" t="s">
        <v>29</v>
      </c>
      <c r="E4297" t="s">
        <v>12</v>
      </c>
      <c r="F4297" t="s">
        <v>14</v>
      </c>
      <c r="G4297">
        <v>278</v>
      </c>
      <c r="H4297">
        <v>130.38</v>
      </c>
      <c r="I4297">
        <v>18</v>
      </c>
      <c r="J4297" t="s">
        <v>15</v>
      </c>
      <c r="K4297">
        <v>36245.64</v>
      </c>
      <c r="L4297" t="str">
        <f t="shared" si="268"/>
        <v>Oct</v>
      </c>
      <c r="M4297">
        <f t="shared" si="269"/>
        <v>2025</v>
      </c>
      <c r="N4297">
        <f t="shared" si="270"/>
        <v>36245.64</v>
      </c>
      <c r="O4297" t="str">
        <f t="shared" si="271"/>
        <v>Minor Delay</v>
      </c>
    </row>
    <row r="4298" spans="1:15" x14ac:dyDescent="0.25">
      <c r="A4298">
        <v>4297</v>
      </c>
      <c r="B4298" s="2">
        <v>45728</v>
      </c>
      <c r="C4298" t="s">
        <v>11</v>
      </c>
      <c r="D4298" t="s">
        <v>27</v>
      </c>
      <c r="E4298" t="s">
        <v>22</v>
      </c>
      <c r="F4298" t="s">
        <v>14</v>
      </c>
      <c r="G4298">
        <v>141</v>
      </c>
      <c r="H4298">
        <v>357.96</v>
      </c>
      <c r="I4298">
        <v>50</v>
      </c>
      <c r="J4298" t="s">
        <v>30</v>
      </c>
      <c r="K4298">
        <v>50472.36</v>
      </c>
      <c r="L4298" t="str">
        <f t="shared" si="268"/>
        <v>Mar</v>
      </c>
      <c r="M4298">
        <f t="shared" si="269"/>
        <v>2025</v>
      </c>
      <c r="N4298">
        <f t="shared" si="270"/>
        <v>50472.36</v>
      </c>
      <c r="O4298" t="str">
        <f t="shared" si="271"/>
        <v>Moderate Delay</v>
      </c>
    </row>
    <row r="4299" spans="1:15" x14ac:dyDescent="0.25">
      <c r="A4299">
        <v>4298</v>
      </c>
      <c r="B4299" s="2">
        <v>45751</v>
      </c>
      <c r="C4299" t="s">
        <v>31</v>
      </c>
      <c r="D4299" t="s">
        <v>19</v>
      </c>
      <c r="E4299" t="s">
        <v>22</v>
      </c>
      <c r="F4299" t="s">
        <v>24</v>
      </c>
      <c r="G4299">
        <v>289</v>
      </c>
      <c r="H4299">
        <v>589.29999999999995</v>
      </c>
      <c r="I4299">
        <v>0</v>
      </c>
      <c r="J4299" t="s">
        <v>15</v>
      </c>
      <c r="K4299">
        <v>170307.7</v>
      </c>
      <c r="L4299" t="str">
        <f t="shared" si="268"/>
        <v>Apr</v>
      </c>
      <c r="M4299">
        <f t="shared" si="269"/>
        <v>2025</v>
      </c>
      <c r="N4299">
        <f t="shared" si="270"/>
        <v>170307.69999999998</v>
      </c>
      <c r="O4299" t="str">
        <f t="shared" si="271"/>
        <v>On Time</v>
      </c>
    </row>
    <row r="4300" spans="1:15" x14ac:dyDescent="0.25">
      <c r="A4300">
        <v>4299</v>
      </c>
      <c r="B4300" s="2">
        <v>45786</v>
      </c>
      <c r="C4300" t="s">
        <v>18</v>
      </c>
      <c r="D4300" t="s">
        <v>29</v>
      </c>
      <c r="E4300" t="s">
        <v>19</v>
      </c>
      <c r="F4300" t="s">
        <v>14</v>
      </c>
      <c r="G4300">
        <v>291</v>
      </c>
      <c r="H4300">
        <v>350.87</v>
      </c>
      <c r="I4300">
        <v>37</v>
      </c>
      <c r="J4300" t="s">
        <v>28</v>
      </c>
      <c r="K4300">
        <v>102103.17</v>
      </c>
      <c r="L4300" t="str">
        <f t="shared" si="268"/>
        <v>May</v>
      </c>
      <c r="M4300">
        <f t="shared" si="269"/>
        <v>2025</v>
      </c>
      <c r="N4300">
        <f t="shared" si="270"/>
        <v>102103.17</v>
      </c>
      <c r="O4300" t="str">
        <f t="shared" si="271"/>
        <v>Moderate Delay</v>
      </c>
    </row>
    <row r="4301" spans="1:15" x14ac:dyDescent="0.25">
      <c r="A4301">
        <v>4300</v>
      </c>
      <c r="B4301" s="2">
        <v>45729</v>
      </c>
      <c r="C4301" t="s">
        <v>26</v>
      </c>
      <c r="D4301" t="s">
        <v>29</v>
      </c>
      <c r="E4301" t="s">
        <v>13</v>
      </c>
      <c r="F4301" t="s">
        <v>14</v>
      </c>
      <c r="G4301">
        <v>289</v>
      </c>
      <c r="H4301">
        <v>677.92</v>
      </c>
      <c r="I4301">
        <v>0</v>
      </c>
      <c r="J4301" t="s">
        <v>15</v>
      </c>
      <c r="K4301">
        <v>195918.88</v>
      </c>
      <c r="L4301" t="str">
        <f t="shared" si="268"/>
        <v>Mar</v>
      </c>
      <c r="M4301">
        <f t="shared" si="269"/>
        <v>2025</v>
      </c>
      <c r="N4301">
        <f t="shared" si="270"/>
        <v>195918.87999999998</v>
      </c>
      <c r="O4301" t="str">
        <f t="shared" si="271"/>
        <v>On Time</v>
      </c>
    </row>
    <row r="4302" spans="1:15" x14ac:dyDescent="0.25">
      <c r="A4302">
        <v>4301</v>
      </c>
      <c r="B4302" s="2">
        <v>45781</v>
      </c>
      <c r="C4302" t="s">
        <v>31</v>
      </c>
      <c r="D4302" t="s">
        <v>23</v>
      </c>
      <c r="E4302" t="s">
        <v>29</v>
      </c>
      <c r="F4302" t="s">
        <v>24</v>
      </c>
      <c r="G4302">
        <v>162</v>
      </c>
      <c r="H4302">
        <v>651.88</v>
      </c>
      <c r="I4302">
        <v>31</v>
      </c>
      <c r="J4302" t="s">
        <v>15</v>
      </c>
      <c r="K4302">
        <v>105604.56</v>
      </c>
      <c r="L4302" t="str">
        <f t="shared" si="268"/>
        <v>May</v>
      </c>
      <c r="M4302">
        <f t="shared" si="269"/>
        <v>2025</v>
      </c>
      <c r="N4302">
        <f t="shared" si="270"/>
        <v>105604.56</v>
      </c>
      <c r="O4302" t="str">
        <f t="shared" si="271"/>
        <v>Moderate Delay</v>
      </c>
    </row>
    <row r="4303" spans="1:15" x14ac:dyDescent="0.25">
      <c r="A4303">
        <v>4302</v>
      </c>
      <c r="B4303" s="2">
        <v>45991</v>
      </c>
      <c r="C4303" t="s">
        <v>25</v>
      </c>
      <c r="D4303" t="s">
        <v>29</v>
      </c>
      <c r="E4303" t="s">
        <v>23</v>
      </c>
      <c r="F4303" t="s">
        <v>21</v>
      </c>
      <c r="G4303">
        <v>219</v>
      </c>
      <c r="H4303">
        <v>496.63</v>
      </c>
      <c r="I4303">
        <v>0</v>
      </c>
      <c r="J4303" t="s">
        <v>15</v>
      </c>
      <c r="K4303">
        <v>108761.97</v>
      </c>
      <c r="L4303" t="str">
        <f t="shared" si="268"/>
        <v>Nov</v>
      </c>
      <c r="M4303">
        <f t="shared" si="269"/>
        <v>2025</v>
      </c>
      <c r="N4303">
        <f t="shared" si="270"/>
        <v>108761.97</v>
      </c>
      <c r="O4303" t="str">
        <f t="shared" si="271"/>
        <v>On Time</v>
      </c>
    </row>
    <row r="4304" spans="1:15" x14ac:dyDescent="0.25">
      <c r="A4304">
        <v>4303</v>
      </c>
      <c r="B4304" s="2">
        <v>45898</v>
      </c>
      <c r="C4304" t="s">
        <v>26</v>
      </c>
      <c r="D4304" t="s">
        <v>17</v>
      </c>
      <c r="E4304" t="s">
        <v>20</v>
      </c>
      <c r="F4304" t="s">
        <v>14</v>
      </c>
      <c r="G4304">
        <v>298</v>
      </c>
      <c r="H4304">
        <v>458.92</v>
      </c>
      <c r="I4304">
        <v>55</v>
      </c>
      <c r="J4304" t="s">
        <v>15</v>
      </c>
      <c r="K4304">
        <v>136758.16</v>
      </c>
      <c r="L4304" t="str">
        <f t="shared" si="268"/>
        <v>Aug</v>
      </c>
      <c r="M4304">
        <f t="shared" si="269"/>
        <v>2025</v>
      </c>
      <c r="N4304">
        <f t="shared" si="270"/>
        <v>136758.16</v>
      </c>
      <c r="O4304" t="str">
        <f t="shared" si="271"/>
        <v>Moderate Delay</v>
      </c>
    </row>
    <row r="4305" spans="1:15" x14ac:dyDescent="0.25">
      <c r="A4305">
        <v>4304</v>
      </c>
      <c r="B4305" s="2">
        <v>45678</v>
      </c>
      <c r="C4305" t="s">
        <v>18</v>
      </c>
      <c r="D4305" t="s">
        <v>29</v>
      </c>
      <c r="E4305" t="s">
        <v>12</v>
      </c>
      <c r="F4305" t="s">
        <v>21</v>
      </c>
      <c r="G4305">
        <v>136</v>
      </c>
      <c r="H4305">
        <v>192.07</v>
      </c>
      <c r="I4305">
        <v>0</v>
      </c>
      <c r="J4305" t="s">
        <v>15</v>
      </c>
      <c r="K4305">
        <v>26121.52</v>
      </c>
      <c r="L4305" t="str">
        <f t="shared" si="268"/>
        <v>Jan</v>
      </c>
      <c r="M4305">
        <f t="shared" si="269"/>
        <v>2025</v>
      </c>
      <c r="N4305">
        <f t="shared" si="270"/>
        <v>26121.52</v>
      </c>
      <c r="O4305" t="str">
        <f t="shared" si="271"/>
        <v>On Time</v>
      </c>
    </row>
    <row r="4306" spans="1:15" x14ac:dyDescent="0.25">
      <c r="A4306">
        <v>4305</v>
      </c>
      <c r="B4306" s="2">
        <v>45781</v>
      </c>
      <c r="C4306" t="s">
        <v>11</v>
      </c>
      <c r="D4306" t="s">
        <v>13</v>
      </c>
      <c r="E4306" t="s">
        <v>12</v>
      </c>
      <c r="F4306" t="s">
        <v>21</v>
      </c>
      <c r="G4306">
        <v>59</v>
      </c>
      <c r="H4306">
        <v>713.03</v>
      </c>
      <c r="I4306">
        <v>13</v>
      </c>
      <c r="J4306" t="s">
        <v>15</v>
      </c>
      <c r="K4306">
        <v>42068.77</v>
      </c>
      <c r="L4306" t="str">
        <f t="shared" si="268"/>
        <v>May</v>
      </c>
      <c r="M4306">
        <f t="shared" si="269"/>
        <v>2025</v>
      </c>
      <c r="N4306">
        <f t="shared" si="270"/>
        <v>42068.77</v>
      </c>
      <c r="O4306" t="str">
        <f t="shared" si="271"/>
        <v>Minor Delay</v>
      </c>
    </row>
    <row r="4307" spans="1:15" x14ac:dyDescent="0.25">
      <c r="A4307">
        <v>4306</v>
      </c>
      <c r="B4307" s="2">
        <v>45803</v>
      </c>
      <c r="C4307" t="s">
        <v>18</v>
      </c>
      <c r="D4307" t="s">
        <v>20</v>
      </c>
      <c r="E4307" t="s">
        <v>29</v>
      </c>
      <c r="F4307" t="s">
        <v>14</v>
      </c>
      <c r="G4307">
        <v>138</v>
      </c>
      <c r="H4307">
        <v>264.62</v>
      </c>
      <c r="I4307">
        <v>27</v>
      </c>
      <c r="J4307" t="s">
        <v>15</v>
      </c>
      <c r="K4307">
        <v>36517.56</v>
      </c>
      <c r="L4307" t="str">
        <f t="shared" si="268"/>
        <v>May</v>
      </c>
      <c r="M4307">
        <f t="shared" si="269"/>
        <v>2025</v>
      </c>
      <c r="N4307">
        <f t="shared" si="270"/>
        <v>36517.56</v>
      </c>
      <c r="O4307" t="str">
        <f t="shared" si="271"/>
        <v>Minor Delay</v>
      </c>
    </row>
    <row r="4308" spans="1:15" x14ac:dyDescent="0.25">
      <c r="A4308">
        <v>4307</v>
      </c>
      <c r="B4308" s="2">
        <v>45881</v>
      </c>
      <c r="C4308" t="s">
        <v>25</v>
      </c>
      <c r="D4308" t="s">
        <v>23</v>
      </c>
      <c r="E4308" t="s">
        <v>12</v>
      </c>
      <c r="F4308" t="s">
        <v>21</v>
      </c>
      <c r="G4308">
        <v>186</v>
      </c>
      <c r="H4308">
        <v>498.53</v>
      </c>
      <c r="I4308">
        <v>24</v>
      </c>
      <c r="J4308" t="s">
        <v>28</v>
      </c>
      <c r="K4308">
        <v>92726.58</v>
      </c>
      <c r="L4308" t="str">
        <f t="shared" si="268"/>
        <v>Aug</v>
      </c>
      <c r="M4308">
        <f t="shared" si="269"/>
        <v>2025</v>
      </c>
      <c r="N4308">
        <f t="shared" si="270"/>
        <v>92726.58</v>
      </c>
      <c r="O4308" t="str">
        <f t="shared" si="271"/>
        <v>Minor Delay</v>
      </c>
    </row>
    <row r="4309" spans="1:15" x14ac:dyDescent="0.25">
      <c r="A4309">
        <v>4308</v>
      </c>
      <c r="B4309" s="2">
        <v>45955</v>
      </c>
      <c r="C4309" t="s">
        <v>31</v>
      </c>
      <c r="D4309" t="s">
        <v>17</v>
      </c>
      <c r="E4309" t="s">
        <v>19</v>
      </c>
      <c r="F4309" t="s">
        <v>24</v>
      </c>
      <c r="G4309">
        <v>229</v>
      </c>
      <c r="H4309">
        <v>197.11</v>
      </c>
      <c r="I4309">
        <v>35</v>
      </c>
      <c r="J4309" t="s">
        <v>15</v>
      </c>
      <c r="K4309">
        <v>45138.19</v>
      </c>
      <c r="L4309" t="str">
        <f t="shared" si="268"/>
        <v>Oct</v>
      </c>
      <c r="M4309">
        <f t="shared" si="269"/>
        <v>2025</v>
      </c>
      <c r="N4309">
        <f t="shared" si="270"/>
        <v>45138.19</v>
      </c>
      <c r="O4309" t="str">
        <f t="shared" si="271"/>
        <v>Moderate Delay</v>
      </c>
    </row>
    <row r="4310" spans="1:15" x14ac:dyDescent="0.25">
      <c r="A4310">
        <v>4309</v>
      </c>
      <c r="B4310" s="2">
        <v>45919</v>
      </c>
      <c r="C4310" t="s">
        <v>31</v>
      </c>
      <c r="D4310" t="s">
        <v>12</v>
      </c>
      <c r="E4310" t="s">
        <v>19</v>
      </c>
      <c r="F4310" t="s">
        <v>14</v>
      </c>
      <c r="G4310">
        <v>282</v>
      </c>
      <c r="H4310">
        <v>342.18</v>
      </c>
      <c r="I4310">
        <v>33</v>
      </c>
      <c r="J4310" t="s">
        <v>15</v>
      </c>
      <c r="K4310">
        <v>96494.76</v>
      </c>
      <c r="L4310" t="str">
        <f t="shared" si="268"/>
        <v>Sep</v>
      </c>
      <c r="M4310">
        <f t="shared" si="269"/>
        <v>2025</v>
      </c>
      <c r="N4310">
        <f t="shared" si="270"/>
        <v>96494.76</v>
      </c>
      <c r="O4310" t="str">
        <f t="shared" si="271"/>
        <v>Moderate Delay</v>
      </c>
    </row>
    <row r="4311" spans="1:15" x14ac:dyDescent="0.25">
      <c r="A4311">
        <v>4310</v>
      </c>
      <c r="B4311" s="2">
        <v>45922</v>
      </c>
      <c r="C4311" t="s">
        <v>16</v>
      </c>
      <c r="D4311" t="s">
        <v>20</v>
      </c>
      <c r="E4311" t="s">
        <v>17</v>
      </c>
      <c r="F4311" t="s">
        <v>24</v>
      </c>
      <c r="G4311">
        <v>276</v>
      </c>
      <c r="H4311">
        <v>788.01</v>
      </c>
      <c r="I4311">
        <v>54</v>
      </c>
      <c r="J4311" t="s">
        <v>30</v>
      </c>
      <c r="K4311">
        <v>217490.76</v>
      </c>
      <c r="L4311" t="str">
        <f t="shared" si="268"/>
        <v>Sep</v>
      </c>
      <c r="M4311">
        <f t="shared" si="269"/>
        <v>2025</v>
      </c>
      <c r="N4311">
        <f t="shared" si="270"/>
        <v>217490.76</v>
      </c>
      <c r="O4311" t="str">
        <f t="shared" si="271"/>
        <v>Moderate Delay</v>
      </c>
    </row>
    <row r="4312" spans="1:15" x14ac:dyDescent="0.25">
      <c r="A4312">
        <v>4311</v>
      </c>
      <c r="B4312" s="2">
        <v>45991</v>
      </c>
      <c r="C4312" t="s">
        <v>11</v>
      </c>
      <c r="D4312" t="s">
        <v>23</v>
      </c>
      <c r="E4312" t="s">
        <v>29</v>
      </c>
      <c r="F4312" t="s">
        <v>24</v>
      </c>
      <c r="G4312">
        <v>281</v>
      </c>
      <c r="H4312">
        <v>736.42</v>
      </c>
      <c r="I4312">
        <v>22</v>
      </c>
      <c r="J4312" t="s">
        <v>15</v>
      </c>
      <c r="K4312">
        <v>206934.02</v>
      </c>
      <c r="L4312" t="str">
        <f t="shared" si="268"/>
        <v>Nov</v>
      </c>
      <c r="M4312">
        <f t="shared" si="269"/>
        <v>2025</v>
      </c>
      <c r="N4312">
        <f t="shared" si="270"/>
        <v>206934.02</v>
      </c>
      <c r="O4312" t="str">
        <f t="shared" si="271"/>
        <v>Minor Delay</v>
      </c>
    </row>
    <row r="4313" spans="1:15" x14ac:dyDescent="0.25">
      <c r="A4313">
        <v>4312</v>
      </c>
      <c r="B4313" s="2">
        <v>45694</v>
      </c>
      <c r="C4313" t="s">
        <v>16</v>
      </c>
      <c r="D4313" t="s">
        <v>22</v>
      </c>
      <c r="E4313" t="s">
        <v>19</v>
      </c>
      <c r="F4313" t="s">
        <v>21</v>
      </c>
      <c r="G4313">
        <v>159</v>
      </c>
      <c r="H4313">
        <v>564.45000000000005</v>
      </c>
      <c r="I4313">
        <v>2</v>
      </c>
      <c r="J4313" t="s">
        <v>15</v>
      </c>
      <c r="K4313">
        <v>89747.55</v>
      </c>
      <c r="L4313" t="str">
        <f t="shared" si="268"/>
        <v>Feb</v>
      </c>
      <c r="M4313">
        <f t="shared" si="269"/>
        <v>2025</v>
      </c>
      <c r="N4313">
        <f t="shared" si="270"/>
        <v>89747.55</v>
      </c>
      <c r="O4313" t="str">
        <f t="shared" si="271"/>
        <v>Minor Delay</v>
      </c>
    </row>
    <row r="4314" spans="1:15" x14ac:dyDescent="0.25">
      <c r="A4314">
        <v>4313</v>
      </c>
      <c r="B4314" s="2">
        <v>45821</v>
      </c>
      <c r="C4314" t="s">
        <v>11</v>
      </c>
      <c r="D4314" t="s">
        <v>12</v>
      </c>
      <c r="E4314" t="s">
        <v>23</v>
      </c>
      <c r="F4314" t="s">
        <v>24</v>
      </c>
      <c r="G4314">
        <v>231</v>
      </c>
      <c r="H4314">
        <v>406.01</v>
      </c>
      <c r="I4314">
        <v>22</v>
      </c>
      <c r="J4314" t="s">
        <v>15</v>
      </c>
      <c r="K4314">
        <v>93788.31</v>
      </c>
      <c r="L4314" t="str">
        <f t="shared" si="268"/>
        <v>Jun</v>
      </c>
      <c r="M4314">
        <f t="shared" si="269"/>
        <v>2025</v>
      </c>
      <c r="N4314">
        <f t="shared" si="270"/>
        <v>93788.31</v>
      </c>
      <c r="O4314" t="str">
        <f t="shared" si="271"/>
        <v>Minor Delay</v>
      </c>
    </row>
    <row r="4315" spans="1:15" x14ac:dyDescent="0.25">
      <c r="A4315">
        <v>4314</v>
      </c>
      <c r="B4315" s="2">
        <v>45903</v>
      </c>
      <c r="C4315" t="s">
        <v>26</v>
      </c>
      <c r="D4315" t="s">
        <v>13</v>
      </c>
      <c r="E4315" t="s">
        <v>27</v>
      </c>
      <c r="F4315" t="s">
        <v>14</v>
      </c>
      <c r="G4315">
        <v>235</v>
      </c>
      <c r="H4315">
        <v>473.36</v>
      </c>
      <c r="I4315">
        <v>21</v>
      </c>
      <c r="J4315" t="s">
        <v>30</v>
      </c>
      <c r="K4315">
        <v>111239.6</v>
      </c>
      <c r="L4315" t="str">
        <f t="shared" si="268"/>
        <v>Sep</v>
      </c>
      <c r="M4315">
        <f t="shared" si="269"/>
        <v>2025</v>
      </c>
      <c r="N4315">
        <f t="shared" si="270"/>
        <v>111239.6</v>
      </c>
      <c r="O4315" t="str">
        <f t="shared" si="271"/>
        <v>Minor Delay</v>
      </c>
    </row>
    <row r="4316" spans="1:15" x14ac:dyDescent="0.25">
      <c r="A4316">
        <v>4315</v>
      </c>
      <c r="B4316" s="2">
        <v>45995</v>
      </c>
      <c r="C4316" t="s">
        <v>31</v>
      </c>
      <c r="D4316" t="s">
        <v>23</v>
      </c>
      <c r="E4316" t="s">
        <v>22</v>
      </c>
      <c r="F4316" t="s">
        <v>21</v>
      </c>
      <c r="G4316">
        <v>206</v>
      </c>
      <c r="H4316">
        <v>646.35</v>
      </c>
      <c r="I4316">
        <v>0</v>
      </c>
      <c r="J4316" t="s">
        <v>15</v>
      </c>
      <c r="K4316">
        <v>133148.1</v>
      </c>
      <c r="L4316" t="str">
        <f t="shared" si="268"/>
        <v>Dec</v>
      </c>
      <c r="M4316">
        <f t="shared" si="269"/>
        <v>2025</v>
      </c>
      <c r="N4316">
        <f t="shared" si="270"/>
        <v>133148.1</v>
      </c>
      <c r="O4316" t="str">
        <f t="shared" si="271"/>
        <v>On Time</v>
      </c>
    </row>
    <row r="4317" spans="1:15" x14ac:dyDescent="0.25">
      <c r="A4317">
        <v>4316</v>
      </c>
      <c r="B4317" s="2">
        <v>46018</v>
      </c>
      <c r="C4317" t="s">
        <v>18</v>
      </c>
      <c r="D4317" t="s">
        <v>27</v>
      </c>
      <c r="E4317" t="s">
        <v>17</v>
      </c>
      <c r="F4317" t="s">
        <v>14</v>
      </c>
      <c r="G4317">
        <v>246</v>
      </c>
      <c r="H4317">
        <v>112.31</v>
      </c>
      <c r="I4317">
        <v>45</v>
      </c>
      <c r="J4317" t="s">
        <v>15</v>
      </c>
      <c r="K4317">
        <v>27628.26</v>
      </c>
      <c r="L4317" t="str">
        <f t="shared" si="268"/>
        <v>Dec</v>
      </c>
      <c r="M4317">
        <f t="shared" si="269"/>
        <v>2025</v>
      </c>
      <c r="N4317">
        <f t="shared" si="270"/>
        <v>27628.260000000002</v>
      </c>
      <c r="O4317" t="str">
        <f t="shared" si="271"/>
        <v>Moderate Delay</v>
      </c>
    </row>
    <row r="4318" spans="1:15" x14ac:dyDescent="0.25">
      <c r="A4318">
        <v>4317</v>
      </c>
      <c r="B4318" s="2">
        <v>45954</v>
      </c>
      <c r="C4318" t="s">
        <v>26</v>
      </c>
      <c r="D4318" t="s">
        <v>13</v>
      </c>
      <c r="E4318" t="s">
        <v>17</v>
      </c>
      <c r="F4318" t="s">
        <v>14</v>
      </c>
      <c r="G4318">
        <v>206</v>
      </c>
      <c r="H4318">
        <v>638.04999999999995</v>
      </c>
      <c r="I4318">
        <v>19</v>
      </c>
      <c r="J4318" t="s">
        <v>15</v>
      </c>
      <c r="K4318">
        <v>131438.29999999999</v>
      </c>
      <c r="L4318" t="str">
        <f t="shared" si="268"/>
        <v>Oct</v>
      </c>
      <c r="M4318">
        <f t="shared" si="269"/>
        <v>2025</v>
      </c>
      <c r="N4318">
        <f t="shared" si="270"/>
        <v>131438.29999999999</v>
      </c>
      <c r="O4318" t="str">
        <f t="shared" si="271"/>
        <v>Minor Delay</v>
      </c>
    </row>
    <row r="4319" spans="1:15" x14ac:dyDescent="0.25">
      <c r="A4319">
        <v>4318</v>
      </c>
      <c r="B4319" s="2">
        <v>45847</v>
      </c>
      <c r="C4319" t="s">
        <v>31</v>
      </c>
      <c r="D4319" t="s">
        <v>29</v>
      </c>
      <c r="E4319" t="s">
        <v>19</v>
      </c>
      <c r="F4319" t="s">
        <v>24</v>
      </c>
      <c r="G4319">
        <v>136</v>
      </c>
      <c r="H4319">
        <v>134.61000000000001</v>
      </c>
      <c r="I4319">
        <v>40</v>
      </c>
      <c r="J4319" t="s">
        <v>30</v>
      </c>
      <c r="K4319">
        <v>18306.96</v>
      </c>
      <c r="L4319" t="str">
        <f t="shared" si="268"/>
        <v>Jul</v>
      </c>
      <c r="M4319">
        <f t="shared" si="269"/>
        <v>2025</v>
      </c>
      <c r="N4319">
        <f t="shared" si="270"/>
        <v>18306.960000000003</v>
      </c>
      <c r="O4319" t="str">
        <f t="shared" si="271"/>
        <v>Moderate Delay</v>
      </c>
    </row>
    <row r="4320" spans="1:15" x14ac:dyDescent="0.25">
      <c r="A4320">
        <v>4319</v>
      </c>
      <c r="B4320" s="2">
        <v>45825</v>
      </c>
      <c r="C4320" t="s">
        <v>31</v>
      </c>
      <c r="D4320" t="s">
        <v>19</v>
      </c>
      <c r="E4320" t="s">
        <v>13</v>
      </c>
      <c r="F4320" t="s">
        <v>14</v>
      </c>
      <c r="G4320">
        <v>139</v>
      </c>
      <c r="H4320">
        <v>277.67</v>
      </c>
      <c r="I4320">
        <v>5</v>
      </c>
      <c r="J4320" t="s">
        <v>15</v>
      </c>
      <c r="K4320">
        <v>38596.129999999997</v>
      </c>
      <c r="L4320" t="str">
        <f t="shared" si="268"/>
        <v>Jun</v>
      </c>
      <c r="M4320">
        <f t="shared" si="269"/>
        <v>2025</v>
      </c>
      <c r="N4320">
        <f t="shared" si="270"/>
        <v>38596.130000000005</v>
      </c>
      <c r="O4320" t="str">
        <f t="shared" si="271"/>
        <v>Minor Delay</v>
      </c>
    </row>
    <row r="4321" spans="1:15" x14ac:dyDescent="0.25">
      <c r="A4321">
        <v>4320</v>
      </c>
      <c r="B4321" s="2">
        <v>45671</v>
      </c>
      <c r="C4321" t="s">
        <v>31</v>
      </c>
      <c r="D4321" t="s">
        <v>12</v>
      </c>
      <c r="E4321" t="s">
        <v>29</v>
      </c>
      <c r="F4321" t="s">
        <v>24</v>
      </c>
      <c r="G4321">
        <v>177</v>
      </c>
      <c r="H4321">
        <v>288.38</v>
      </c>
      <c r="I4321">
        <v>11</v>
      </c>
      <c r="J4321" t="s">
        <v>15</v>
      </c>
      <c r="K4321">
        <v>51043.26</v>
      </c>
      <c r="L4321" t="str">
        <f t="shared" si="268"/>
        <v>Jan</v>
      </c>
      <c r="M4321">
        <f t="shared" si="269"/>
        <v>2025</v>
      </c>
      <c r="N4321">
        <f t="shared" si="270"/>
        <v>51043.26</v>
      </c>
      <c r="O4321" t="str">
        <f t="shared" si="271"/>
        <v>Minor Delay</v>
      </c>
    </row>
    <row r="4322" spans="1:15" x14ac:dyDescent="0.25">
      <c r="A4322">
        <v>4321</v>
      </c>
      <c r="B4322" s="2">
        <v>45775</v>
      </c>
      <c r="C4322" t="s">
        <v>18</v>
      </c>
      <c r="D4322" t="s">
        <v>19</v>
      </c>
      <c r="E4322" t="s">
        <v>20</v>
      </c>
      <c r="F4322" t="s">
        <v>24</v>
      </c>
      <c r="G4322">
        <v>237</v>
      </c>
      <c r="H4322">
        <v>508</v>
      </c>
      <c r="I4322">
        <v>41</v>
      </c>
      <c r="J4322" t="s">
        <v>15</v>
      </c>
      <c r="K4322">
        <v>120396</v>
      </c>
      <c r="L4322" t="str">
        <f t="shared" si="268"/>
        <v>Apr</v>
      </c>
      <c r="M4322">
        <f t="shared" si="269"/>
        <v>2025</v>
      </c>
      <c r="N4322">
        <f t="shared" si="270"/>
        <v>120396</v>
      </c>
      <c r="O4322" t="str">
        <f t="shared" si="271"/>
        <v>Moderate Delay</v>
      </c>
    </row>
    <row r="4323" spans="1:15" x14ac:dyDescent="0.25">
      <c r="A4323">
        <v>4322</v>
      </c>
      <c r="B4323" s="2">
        <v>45779</v>
      </c>
      <c r="C4323" t="s">
        <v>18</v>
      </c>
      <c r="D4323" t="s">
        <v>12</v>
      </c>
      <c r="E4323" t="s">
        <v>27</v>
      </c>
      <c r="F4323" t="s">
        <v>14</v>
      </c>
      <c r="G4323">
        <v>86</v>
      </c>
      <c r="H4323">
        <v>235.57</v>
      </c>
      <c r="I4323">
        <v>12</v>
      </c>
      <c r="J4323" t="s">
        <v>15</v>
      </c>
      <c r="K4323">
        <v>20259.02</v>
      </c>
      <c r="L4323" t="str">
        <f t="shared" si="268"/>
        <v>May</v>
      </c>
      <c r="M4323">
        <f t="shared" si="269"/>
        <v>2025</v>
      </c>
      <c r="N4323">
        <f t="shared" si="270"/>
        <v>20259.02</v>
      </c>
      <c r="O4323" t="str">
        <f t="shared" si="271"/>
        <v>Minor Delay</v>
      </c>
    </row>
    <row r="4324" spans="1:15" x14ac:dyDescent="0.25">
      <c r="A4324">
        <v>4323</v>
      </c>
      <c r="B4324" s="2">
        <v>45678</v>
      </c>
      <c r="C4324" t="s">
        <v>25</v>
      </c>
      <c r="D4324" t="s">
        <v>20</v>
      </c>
      <c r="E4324" t="s">
        <v>27</v>
      </c>
      <c r="F4324" t="s">
        <v>14</v>
      </c>
      <c r="G4324">
        <v>276</v>
      </c>
      <c r="H4324">
        <v>767.32</v>
      </c>
      <c r="I4324">
        <v>12</v>
      </c>
      <c r="J4324" t="s">
        <v>30</v>
      </c>
      <c r="K4324">
        <v>211780.32</v>
      </c>
      <c r="L4324" t="str">
        <f t="shared" si="268"/>
        <v>Jan</v>
      </c>
      <c r="M4324">
        <f t="shared" si="269"/>
        <v>2025</v>
      </c>
      <c r="N4324">
        <f t="shared" si="270"/>
        <v>211780.32</v>
      </c>
      <c r="O4324" t="str">
        <f t="shared" si="271"/>
        <v>Minor Delay</v>
      </c>
    </row>
    <row r="4325" spans="1:15" x14ac:dyDescent="0.25">
      <c r="A4325">
        <v>4324</v>
      </c>
      <c r="B4325" s="2">
        <v>45922</v>
      </c>
      <c r="C4325" t="s">
        <v>16</v>
      </c>
      <c r="D4325" t="s">
        <v>12</v>
      </c>
      <c r="E4325" t="s">
        <v>19</v>
      </c>
      <c r="F4325" t="s">
        <v>24</v>
      </c>
      <c r="G4325">
        <v>66</v>
      </c>
      <c r="H4325">
        <v>716.26</v>
      </c>
      <c r="I4325">
        <v>4</v>
      </c>
      <c r="J4325" t="s">
        <v>30</v>
      </c>
      <c r="K4325">
        <v>47273.16</v>
      </c>
      <c r="L4325" t="str">
        <f t="shared" si="268"/>
        <v>Sep</v>
      </c>
      <c r="M4325">
        <f t="shared" si="269"/>
        <v>2025</v>
      </c>
      <c r="N4325">
        <f t="shared" si="270"/>
        <v>47273.159999999996</v>
      </c>
      <c r="O4325" t="str">
        <f t="shared" si="271"/>
        <v>Minor Delay</v>
      </c>
    </row>
    <row r="4326" spans="1:15" x14ac:dyDescent="0.25">
      <c r="A4326">
        <v>4325</v>
      </c>
      <c r="B4326" s="2">
        <v>45815</v>
      </c>
      <c r="C4326" t="s">
        <v>25</v>
      </c>
      <c r="D4326" t="s">
        <v>19</v>
      </c>
      <c r="E4326" t="s">
        <v>17</v>
      </c>
      <c r="F4326" t="s">
        <v>24</v>
      </c>
      <c r="G4326">
        <v>239</v>
      </c>
      <c r="H4326">
        <v>564.66999999999996</v>
      </c>
      <c r="I4326">
        <v>19</v>
      </c>
      <c r="J4326" t="s">
        <v>30</v>
      </c>
      <c r="K4326">
        <v>134956.13</v>
      </c>
      <c r="L4326" t="str">
        <f t="shared" si="268"/>
        <v>Jun</v>
      </c>
      <c r="M4326">
        <f t="shared" si="269"/>
        <v>2025</v>
      </c>
      <c r="N4326">
        <f t="shared" si="270"/>
        <v>134956.13</v>
      </c>
      <c r="O4326" t="str">
        <f t="shared" si="271"/>
        <v>Minor Delay</v>
      </c>
    </row>
    <row r="4327" spans="1:15" x14ac:dyDescent="0.25">
      <c r="A4327">
        <v>4326</v>
      </c>
      <c r="B4327" s="2">
        <v>45740</v>
      </c>
      <c r="C4327" t="s">
        <v>18</v>
      </c>
      <c r="D4327" t="s">
        <v>12</v>
      </c>
      <c r="E4327" t="s">
        <v>29</v>
      </c>
      <c r="F4327" t="s">
        <v>21</v>
      </c>
      <c r="G4327">
        <v>131</v>
      </c>
      <c r="H4327">
        <v>761.51</v>
      </c>
      <c r="I4327">
        <v>0</v>
      </c>
      <c r="J4327" t="s">
        <v>15</v>
      </c>
      <c r="K4327">
        <v>99757.81</v>
      </c>
      <c r="L4327" t="str">
        <f t="shared" si="268"/>
        <v>Mar</v>
      </c>
      <c r="M4327">
        <f t="shared" si="269"/>
        <v>2025</v>
      </c>
      <c r="N4327">
        <f t="shared" si="270"/>
        <v>99757.81</v>
      </c>
      <c r="O4327" t="str">
        <f t="shared" si="271"/>
        <v>On Time</v>
      </c>
    </row>
    <row r="4328" spans="1:15" x14ac:dyDescent="0.25">
      <c r="A4328">
        <v>4327</v>
      </c>
      <c r="B4328" s="2">
        <v>45694</v>
      </c>
      <c r="C4328" t="s">
        <v>16</v>
      </c>
      <c r="D4328" t="s">
        <v>20</v>
      </c>
      <c r="E4328" t="s">
        <v>19</v>
      </c>
      <c r="F4328" t="s">
        <v>24</v>
      </c>
      <c r="G4328">
        <v>205</v>
      </c>
      <c r="H4328">
        <v>682.53</v>
      </c>
      <c r="I4328">
        <v>40</v>
      </c>
      <c r="J4328" t="s">
        <v>15</v>
      </c>
      <c r="K4328">
        <v>139918.65</v>
      </c>
      <c r="L4328" t="str">
        <f t="shared" si="268"/>
        <v>Feb</v>
      </c>
      <c r="M4328">
        <f t="shared" si="269"/>
        <v>2025</v>
      </c>
      <c r="N4328">
        <f t="shared" si="270"/>
        <v>139918.65</v>
      </c>
      <c r="O4328" t="str">
        <f t="shared" si="271"/>
        <v>Moderate Delay</v>
      </c>
    </row>
    <row r="4329" spans="1:15" x14ac:dyDescent="0.25">
      <c r="A4329">
        <v>4328</v>
      </c>
      <c r="B4329" s="2">
        <v>45740</v>
      </c>
      <c r="C4329" t="s">
        <v>11</v>
      </c>
      <c r="D4329" t="s">
        <v>13</v>
      </c>
      <c r="E4329" t="s">
        <v>20</v>
      </c>
      <c r="F4329" t="s">
        <v>14</v>
      </c>
      <c r="G4329">
        <v>259</v>
      </c>
      <c r="H4329">
        <v>379.67</v>
      </c>
      <c r="I4329">
        <v>93</v>
      </c>
      <c r="J4329" t="s">
        <v>15</v>
      </c>
      <c r="K4329">
        <v>98334.53</v>
      </c>
      <c r="L4329" t="str">
        <f t="shared" si="268"/>
        <v>Mar</v>
      </c>
      <c r="M4329">
        <f t="shared" si="269"/>
        <v>2025</v>
      </c>
      <c r="N4329">
        <f t="shared" si="270"/>
        <v>98334.53</v>
      </c>
      <c r="O4329" t="str">
        <f t="shared" si="271"/>
        <v>Major Delay</v>
      </c>
    </row>
    <row r="4330" spans="1:15" x14ac:dyDescent="0.25">
      <c r="A4330">
        <v>4329</v>
      </c>
      <c r="B4330" s="2">
        <v>45671</v>
      </c>
      <c r="C4330" t="s">
        <v>11</v>
      </c>
      <c r="D4330" t="s">
        <v>23</v>
      </c>
      <c r="E4330" t="s">
        <v>13</v>
      </c>
      <c r="F4330" t="s">
        <v>21</v>
      </c>
      <c r="G4330">
        <v>74</v>
      </c>
      <c r="H4330">
        <v>436.98</v>
      </c>
      <c r="I4330">
        <v>58</v>
      </c>
      <c r="J4330" t="s">
        <v>15</v>
      </c>
      <c r="K4330">
        <v>32336.52</v>
      </c>
      <c r="L4330" t="str">
        <f t="shared" si="268"/>
        <v>Jan</v>
      </c>
      <c r="M4330">
        <f t="shared" si="269"/>
        <v>2025</v>
      </c>
      <c r="N4330">
        <f t="shared" si="270"/>
        <v>32336.52</v>
      </c>
      <c r="O4330" t="str">
        <f t="shared" si="271"/>
        <v>Moderate Delay</v>
      </c>
    </row>
    <row r="4331" spans="1:15" x14ac:dyDescent="0.25">
      <c r="A4331">
        <v>4330</v>
      </c>
      <c r="B4331" s="2">
        <v>46004</v>
      </c>
      <c r="C4331" t="s">
        <v>16</v>
      </c>
      <c r="D4331" t="s">
        <v>22</v>
      </c>
      <c r="E4331" t="s">
        <v>12</v>
      </c>
      <c r="F4331" t="s">
        <v>14</v>
      </c>
      <c r="G4331">
        <v>83</v>
      </c>
      <c r="H4331">
        <v>110.11</v>
      </c>
      <c r="I4331">
        <v>24</v>
      </c>
      <c r="J4331" t="s">
        <v>15</v>
      </c>
      <c r="K4331">
        <v>9139.1299999999992</v>
      </c>
      <c r="L4331" t="str">
        <f t="shared" si="268"/>
        <v>Dec</v>
      </c>
      <c r="M4331">
        <f t="shared" si="269"/>
        <v>2025</v>
      </c>
      <c r="N4331">
        <f t="shared" si="270"/>
        <v>9139.1299999999992</v>
      </c>
      <c r="O4331" t="str">
        <f t="shared" si="271"/>
        <v>Minor Delay</v>
      </c>
    </row>
    <row r="4332" spans="1:15" x14ac:dyDescent="0.25">
      <c r="A4332">
        <v>4331</v>
      </c>
      <c r="B4332" s="2">
        <v>45670</v>
      </c>
      <c r="C4332" t="s">
        <v>31</v>
      </c>
      <c r="D4332" t="s">
        <v>12</v>
      </c>
      <c r="E4332" t="s">
        <v>22</v>
      </c>
      <c r="F4332" t="s">
        <v>14</v>
      </c>
      <c r="G4332">
        <v>164</v>
      </c>
      <c r="H4332">
        <v>93.7</v>
      </c>
      <c r="I4332">
        <v>0</v>
      </c>
      <c r="J4332" t="s">
        <v>15</v>
      </c>
      <c r="K4332">
        <v>15366.8</v>
      </c>
      <c r="L4332" t="str">
        <f t="shared" si="268"/>
        <v>Jan</v>
      </c>
      <c r="M4332">
        <f t="shared" si="269"/>
        <v>2025</v>
      </c>
      <c r="N4332">
        <f t="shared" si="270"/>
        <v>15366.800000000001</v>
      </c>
      <c r="O4332" t="str">
        <f t="shared" si="271"/>
        <v>On Time</v>
      </c>
    </row>
    <row r="4333" spans="1:15" x14ac:dyDescent="0.25">
      <c r="A4333">
        <v>4332</v>
      </c>
      <c r="B4333" s="2">
        <v>45930</v>
      </c>
      <c r="C4333" t="s">
        <v>18</v>
      </c>
      <c r="D4333" t="s">
        <v>27</v>
      </c>
      <c r="E4333" t="s">
        <v>20</v>
      </c>
      <c r="F4333" t="s">
        <v>21</v>
      </c>
      <c r="G4333">
        <v>252</v>
      </c>
      <c r="H4333">
        <v>527.92999999999995</v>
      </c>
      <c r="I4333">
        <v>12</v>
      </c>
      <c r="J4333" t="s">
        <v>15</v>
      </c>
      <c r="K4333">
        <v>133038.35999999999</v>
      </c>
      <c r="L4333" t="str">
        <f t="shared" si="268"/>
        <v>Sep</v>
      </c>
      <c r="M4333">
        <f t="shared" si="269"/>
        <v>2025</v>
      </c>
      <c r="N4333">
        <f t="shared" si="270"/>
        <v>133038.35999999999</v>
      </c>
      <c r="O4333" t="str">
        <f t="shared" si="271"/>
        <v>Minor Delay</v>
      </c>
    </row>
    <row r="4334" spans="1:15" x14ac:dyDescent="0.25">
      <c r="A4334">
        <v>4333</v>
      </c>
      <c r="B4334" s="2">
        <v>45948</v>
      </c>
      <c r="C4334" t="s">
        <v>31</v>
      </c>
      <c r="D4334" t="s">
        <v>12</v>
      </c>
      <c r="E4334" t="s">
        <v>22</v>
      </c>
      <c r="F4334" t="s">
        <v>21</v>
      </c>
      <c r="G4334">
        <v>172</v>
      </c>
      <c r="H4334">
        <v>697.79</v>
      </c>
      <c r="I4334">
        <v>30</v>
      </c>
      <c r="J4334" t="s">
        <v>15</v>
      </c>
      <c r="K4334">
        <v>120019.88</v>
      </c>
      <c r="L4334" t="str">
        <f t="shared" si="268"/>
        <v>Oct</v>
      </c>
      <c r="M4334">
        <f t="shared" si="269"/>
        <v>2025</v>
      </c>
      <c r="N4334">
        <f t="shared" si="270"/>
        <v>120019.87999999999</v>
      </c>
      <c r="O4334" t="str">
        <f t="shared" si="271"/>
        <v>Minor Delay</v>
      </c>
    </row>
    <row r="4335" spans="1:15" x14ac:dyDescent="0.25">
      <c r="A4335">
        <v>4334</v>
      </c>
      <c r="B4335" s="2">
        <v>45754</v>
      </c>
      <c r="C4335" t="s">
        <v>25</v>
      </c>
      <c r="D4335" t="s">
        <v>13</v>
      </c>
      <c r="E4335" t="s">
        <v>22</v>
      </c>
      <c r="F4335" t="s">
        <v>24</v>
      </c>
      <c r="G4335">
        <v>220</v>
      </c>
      <c r="H4335">
        <v>426.73</v>
      </c>
      <c r="I4335">
        <v>6</v>
      </c>
      <c r="J4335" t="s">
        <v>15</v>
      </c>
      <c r="K4335">
        <v>93880.6</v>
      </c>
      <c r="L4335" t="str">
        <f t="shared" si="268"/>
        <v>Apr</v>
      </c>
      <c r="M4335">
        <f t="shared" si="269"/>
        <v>2025</v>
      </c>
      <c r="N4335">
        <f t="shared" si="270"/>
        <v>93880.6</v>
      </c>
      <c r="O4335" t="str">
        <f t="shared" si="271"/>
        <v>Minor Delay</v>
      </c>
    </row>
    <row r="4336" spans="1:15" x14ac:dyDescent="0.25">
      <c r="A4336">
        <v>4335</v>
      </c>
      <c r="B4336" s="2">
        <v>45814</v>
      </c>
      <c r="C4336" t="s">
        <v>11</v>
      </c>
      <c r="D4336" t="s">
        <v>19</v>
      </c>
      <c r="E4336" t="s">
        <v>22</v>
      </c>
      <c r="F4336" t="s">
        <v>14</v>
      </c>
      <c r="G4336">
        <v>61</v>
      </c>
      <c r="H4336">
        <v>364.41</v>
      </c>
      <c r="I4336">
        <v>26</v>
      </c>
      <c r="J4336" t="s">
        <v>15</v>
      </c>
      <c r="K4336">
        <v>22229.01</v>
      </c>
      <c r="L4336" t="str">
        <f t="shared" si="268"/>
        <v>Jun</v>
      </c>
      <c r="M4336">
        <f t="shared" si="269"/>
        <v>2025</v>
      </c>
      <c r="N4336">
        <f t="shared" si="270"/>
        <v>22229.010000000002</v>
      </c>
      <c r="O4336" t="str">
        <f t="shared" si="271"/>
        <v>Minor Delay</v>
      </c>
    </row>
    <row r="4337" spans="1:15" x14ac:dyDescent="0.25">
      <c r="A4337">
        <v>4336</v>
      </c>
      <c r="B4337" s="2">
        <v>45691</v>
      </c>
      <c r="C4337" t="s">
        <v>16</v>
      </c>
      <c r="D4337" t="s">
        <v>17</v>
      </c>
      <c r="E4337" t="s">
        <v>13</v>
      </c>
      <c r="F4337" t="s">
        <v>21</v>
      </c>
      <c r="G4337">
        <v>124</v>
      </c>
      <c r="H4337">
        <v>141.79</v>
      </c>
      <c r="I4337">
        <v>23</v>
      </c>
      <c r="J4337" t="s">
        <v>15</v>
      </c>
      <c r="K4337">
        <v>17581.96</v>
      </c>
      <c r="L4337" t="str">
        <f t="shared" si="268"/>
        <v>Feb</v>
      </c>
      <c r="M4337">
        <f t="shared" si="269"/>
        <v>2025</v>
      </c>
      <c r="N4337">
        <f t="shared" si="270"/>
        <v>17581.96</v>
      </c>
      <c r="O4337" t="str">
        <f t="shared" si="271"/>
        <v>Minor Delay</v>
      </c>
    </row>
    <row r="4338" spans="1:15" x14ac:dyDescent="0.25">
      <c r="A4338">
        <v>4337</v>
      </c>
      <c r="B4338" s="2">
        <v>45828</v>
      </c>
      <c r="C4338" t="s">
        <v>25</v>
      </c>
      <c r="D4338" t="s">
        <v>22</v>
      </c>
      <c r="E4338" t="s">
        <v>17</v>
      </c>
      <c r="F4338" t="s">
        <v>24</v>
      </c>
      <c r="G4338">
        <v>196</v>
      </c>
      <c r="H4338">
        <v>284.56</v>
      </c>
      <c r="I4338">
        <v>47</v>
      </c>
      <c r="J4338" t="s">
        <v>30</v>
      </c>
      <c r="K4338">
        <v>55773.760000000002</v>
      </c>
      <c r="L4338" t="str">
        <f t="shared" si="268"/>
        <v>Jun</v>
      </c>
      <c r="M4338">
        <f t="shared" si="269"/>
        <v>2025</v>
      </c>
      <c r="N4338">
        <f t="shared" si="270"/>
        <v>55773.760000000002</v>
      </c>
      <c r="O4338" t="str">
        <f t="shared" si="271"/>
        <v>Moderate Delay</v>
      </c>
    </row>
    <row r="4339" spans="1:15" x14ac:dyDescent="0.25">
      <c r="A4339">
        <v>4338</v>
      </c>
      <c r="B4339" s="2">
        <v>46005</v>
      </c>
      <c r="C4339" t="s">
        <v>11</v>
      </c>
      <c r="D4339" t="s">
        <v>29</v>
      </c>
      <c r="E4339" t="s">
        <v>19</v>
      </c>
      <c r="F4339" t="s">
        <v>21</v>
      </c>
      <c r="G4339">
        <v>295</v>
      </c>
      <c r="H4339">
        <v>324.43</v>
      </c>
      <c r="I4339">
        <v>28</v>
      </c>
      <c r="J4339" t="s">
        <v>15</v>
      </c>
      <c r="K4339">
        <v>95706.85</v>
      </c>
      <c r="L4339" t="str">
        <f t="shared" si="268"/>
        <v>Dec</v>
      </c>
      <c r="M4339">
        <f t="shared" si="269"/>
        <v>2025</v>
      </c>
      <c r="N4339">
        <f t="shared" si="270"/>
        <v>95706.85</v>
      </c>
      <c r="O4339" t="str">
        <f t="shared" si="271"/>
        <v>Minor Delay</v>
      </c>
    </row>
    <row r="4340" spans="1:15" x14ac:dyDescent="0.25">
      <c r="A4340">
        <v>4339</v>
      </c>
      <c r="B4340" s="2">
        <v>45994</v>
      </c>
      <c r="C4340" t="s">
        <v>16</v>
      </c>
      <c r="D4340" t="s">
        <v>20</v>
      </c>
      <c r="E4340" t="s">
        <v>29</v>
      </c>
      <c r="F4340" t="s">
        <v>24</v>
      </c>
      <c r="G4340">
        <v>146</v>
      </c>
      <c r="H4340">
        <v>648.23</v>
      </c>
      <c r="I4340">
        <v>46</v>
      </c>
      <c r="J4340" t="s">
        <v>15</v>
      </c>
      <c r="K4340">
        <v>94641.58</v>
      </c>
      <c r="L4340" t="str">
        <f t="shared" si="268"/>
        <v>Dec</v>
      </c>
      <c r="M4340">
        <f t="shared" si="269"/>
        <v>2025</v>
      </c>
      <c r="N4340">
        <f t="shared" si="270"/>
        <v>94641.58</v>
      </c>
      <c r="O4340" t="str">
        <f t="shared" si="271"/>
        <v>Moderate Delay</v>
      </c>
    </row>
    <row r="4341" spans="1:15" x14ac:dyDescent="0.25">
      <c r="A4341">
        <v>4340</v>
      </c>
      <c r="B4341" s="2">
        <v>45941</v>
      </c>
      <c r="C4341" t="s">
        <v>18</v>
      </c>
      <c r="D4341" t="s">
        <v>27</v>
      </c>
      <c r="E4341" t="s">
        <v>20</v>
      </c>
      <c r="F4341" t="s">
        <v>24</v>
      </c>
      <c r="G4341">
        <v>158</v>
      </c>
      <c r="H4341">
        <v>412.33</v>
      </c>
      <c r="I4341">
        <v>34</v>
      </c>
      <c r="J4341" t="s">
        <v>15</v>
      </c>
      <c r="K4341">
        <v>65148.14</v>
      </c>
      <c r="L4341" t="str">
        <f t="shared" si="268"/>
        <v>Oct</v>
      </c>
      <c r="M4341">
        <f t="shared" si="269"/>
        <v>2025</v>
      </c>
      <c r="N4341">
        <f t="shared" si="270"/>
        <v>65148.14</v>
      </c>
      <c r="O4341" t="str">
        <f t="shared" si="271"/>
        <v>Moderate Delay</v>
      </c>
    </row>
    <row r="4342" spans="1:15" x14ac:dyDescent="0.25">
      <c r="A4342">
        <v>4341</v>
      </c>
      <c r="B4342" s="2">
        <v>45769</v>
      </c>
      <c r="C4342" t="s">
        <v>31</v>
      </c>
      <c r="D4342" t="s">
        <v>22</v>
      </c>
      <c r="E4342" t="s">
        <v>12</v>
      </c>
      <c r="F4342" t="s">
        <v>24</v>
      </c>
      <c r="G4342">
        <v>168</v>
      </c>
      <c r="H4342">
        <v>545.65</v>
      </c>
      <c r="I4342">
        <v>31</v>
      </c>
      <c r="J4342" t="s">
        <v>15</v>
      </c>
      <c r="K4342">
        <v>91669.2</v>
      </c>
      <c r="L4342" t="str">
        <f t="shared" si="268"/>
        <v>Apr</v>
      </c>
      <c r="M4342">
        <f t="shared" si="269"/>
        <v>2025</v>
      </c>
      <c r="N4342">
        <f t="shared" si="270"/>
        <v>91669.2</v>
      </c>
      <c r="O4342" t="str">
        <f t="shared" si="271"/>
        <v>Moderate Delay</v>
      </c>
    </row>
    <row r="4343" spans="1:15" x14ac:dyDescent="0.25">
      <c r="A4343">
        <v>4342</v>
      </c>
      <c r="B4343" s="2">
        <v>45972</v>
      </c>
      <c r="C4343" t="s">
        <v>18</v>
      </c>
      <c r="D4343" t="s">
        <v>27</v>
      </c>
      <c r="E4343" t="s">
        <v>19</v>
      </c>
      <c r="F4343" t="s">
        <v>21</v>
      </c>
      <c r="G4343">
        <v>212</v>
      </c>
      <c r="H4343">
        <v>651.91</v>
      </c>
      <c r="I4343">
        <v>32</v>
      </c>
      <c r="J4343" t="s">
        <v>15</v>
      </c>
      <c r="K4343">
        <v>138204.92000000001</v>
      </c>
      <c r="L4343" t="str">
        <f t="shared" si="268"/>
        <v>Nov</v>
      </c>
      <c r="M4343">
        <f t="shared" si="269"/>
        <v>2025</v>
      </c>
      <c r="N4343">
        <f t="shared" si="270"/>
        <v>138204.91999999998</v>
      </c>
      <c r="O4343" t="str">
        <f t="shared" si="271"/>
        <v>Moderate Delay</v>
      </c>
    </row>
    <row r="4344" spans="1:15" x14ac:dyDescent="0.25">
      <c r="A4344">
        <v>4343</v>
      </c>
      <c r="B4344" s="2">
        <v>45773</v>
      </c>
      <c r="C4344" t="s">
        <v>16</v>
      </c>
      <c r="D4344" t="s">
        <v>27</v>
      </c>
      <c r="E4344" t="s">
        <v>20</v>
      </c>
      <c r="F4344" t="s">
        <v>24</v>
      </c>
      <c r="G4344">
        <v>142</v>
      </c>
      <c r="H4344">
        <v>146.51</v>
      </c>
      <c r="I4344">
        <v>19</v>
      </c>
      <c r="J4344" t="s">
        <v>15</v>
      </c>
      <c r="K4344">
        <v>20804.419999999998</v>
      </c>
      <c r="L4344" t="str">
        <f t="shared" si="268"/>
        <v>Apr</v>
      </c>
      <c r="M4344">
        <f t="shared" si="269"/>
        <v>2025</v>
      </c>
      <c r="N4344">
        <f t="shared" si="270"/>
        <v>20804.419999999998</v>
      </c>
      <c r="O4344" t="str">
        <f t="shared" si="271"/>
        <v>Minor Delay</v>
      </c>
    </row>
    <row r="4345" spans="1:15" x14ac:dyDescent="0.25">
      <c r="A4345">
        <v>4344</v>
      </c>
      <c r="B4345" s="2">
        <v>45988</v>
      </c>
      <c r="C4345" t="s">
        <v>25</v>
      </c>
      <c r="D4345" t="s">
        <v>27</v>
      </c>
      <c r="E4345" t="s">
        <v>12</v>
      </c>
      <c r="F4345" t="s">
        <v>24</v>
      </c>
      <c r="G4345">
        <v>262</v>
      </c>
      <c r="H4345">
        <v>595.9</v>
      </c>
      <c r="I4345">
        <v>42</v>
      </c>
      <c r="J4345" t="s">
        <v>15</v>
      </c>
      <c r="K4345">
        <v>156125.79999999999</v>
      </c>
      <c r="L4345" t="str">
        <f t="shared" si="268"/>
        <v>Nov</v>
      </c>
      <c r="M4345">
        <f t="shared" si="269"/>
        <v>2025</v>
      </c>
      <c r="N4345">
        <f t="shared" si="270"/>
        <v>156125.79999999999</v>
      </c>
      <c r="O4345" t="str">
        <f t="shared" si="271"/>
        <v>Moderate Delay</v>
      </c>
    </row>
    <row r="4346" spans="1:15" x14ac:dyDescent="0.25">
      <c r="A4346">
        <v>4345</v>
      </c>
      <c r="B4346" s="2">
        <v>45913</v>
      </c>
      <c r="C4346" t="s">
        <v>31</v>
      </c>
      <c r="D4346" t="s">
        <v>27</v>
      </c>
      <c r="E4346" t="s">
        <v>13</v>
      </c>
      <c r="F4346" t="s">
        <v>21</v>
      </c>
      <c r="G4346">
        <v>153</v>
      </c>
      <c r="H4346">
        <v>636.36</v>
      </c>
      <c r="I4346">
        <v>19</v>
      </c>
      <c r="J4346" t="s">
        <v>15</v>
      </c>
      <c r="K4346">
        <v>97363.08</v>
      </c>
      <c r="L4346" t="str">
        <f t="shared" si="268"/>
        <v>Sep</v>
      </c>
      <c r="M4346">
        <f t="shared" si="269"/>
        <v>2025</v>
      </c>
      <c r="N4346">
        <f t="shared" si="270"/>
        <v>97363.08</v>
      </c>
      <c r="O4346" t="str">
        <f t="shared" si="271"/>
        <v>Minor Delay</v>
      </c>
    </row>
    <row r="4347" spans="1:15" x14ac:dyDescent="0.25">
      <c r="A4347">
        <v>4346</v>
      </c>
      <c r="B4347" s="2">
        <v>45906</v>
      </c>
      <c r="C4347" t="s">
        <v>26</v>
      </c>
      <c r="D4347" t="s">
        <v>12</v>
      </c>
      <c r="E4347" t="s">
        <v>17</v>
      </c>
      <c r="F4347" t="s">
        <v>21</v>
      </c>
      <c r="G4347">
        <v>134</v>
      </c>
      <c r="H4347">
        <v>518.66</v>
      </c>
      <c r="I4347">
        <v>12</v>
      </c>
      <c r="J4347" t="s">
        <v>30</v>
      </c>
      <c r="K4347">
        <v>69500.44</v>
      </c>
      <c r="L4347" t="str">
        <f t="shared" si="268"/>
        <v>Sep</v>
      </c>
      <c r="M4347">
        <f t="shared" si="269"/>
        <v>2025</v>
      </c>
      <c r="N4347">
        <f t="shared" si="270"/>
        <v>69500.44</v>
      </c>
      <c r="O4347" t="str">
        <f t="shared" si="271"/>
        <v>Minor Delay</v>
      </c>
    </row>
    <row r="4348" spans="1:15" x14ac:dyDescent="0.25">
      <c r="A4348">
        <v>4347</v>
      </c>
      <c r="B4348" s="2">
        <v>45780</v>
      </c>
      <c r="C4348" t="s">
        <v>25</v>
      </c>
      <c r="D4348" t="s">
        <v>12</v>
      </c>
      <c r="E4348" t="s">
        <v>17</v>
      </c>
      <c r="F4348" t="s">
        <v>24</v>
      </c>
      <c r="G4348">
        <v>234</v>
      </c>
      <c r="H4348">
        <v>163.75</v>
      </c>
      <c r="I4348">
        <v>6</v>
      </c>
      <c r="J4348" t="s">
        <v>15</v>
      </c>
      <c r="K4348">
        <v>38317.5</v>
      </c>
      <c r="L4348" t="str">
        <f t="shared" si="268"/>
        <v>May</v>
      </c>
      <c r="M4348">
        <f t="shared" si="269"/>
        <v>2025</v>
      </c>
      <c r="N4348">
        <f t="shared" si="270"/>
        <v>38317.5</v>
      </c>
      <c r="O4348" t="str">
        <f t="shared" si="271"/>
        <v>Minor Delay</v>
      </c>
    </row>
    <row r="4349" spans="1:15" x14ac:dyDescent="0.25">
      <c r="A4349">
        <v>4348</v>
      </c>
      <c r="B4349" s="2">
        <v>45956</v>
      </c>
      <c r="C4349" t="s">
        <v>11</v>
      </c>
      <c r="D4349" t="s">
        <v>19</v>
      </c>
      <c r="E4349" t="s">
        <v>23</v>
      </c>
      <c r="F4349" t="s">
        <v>24</v>
      </c>
      <c r="G4349">
        <v>70</v>
      </c>
      <c r="H4349">
        <v>558.96</v>
      </c>
      <c r="I4349">
        <v>35</v>
      </c>
      <c r="J4349" t="s">
        <v>15</v>
      </c>
      <c r="K4349">
        <v>39127.199999999997</v>
      </c>
      <c r="L4349" t="str">
        <f t="shared" si="268"/>
        <v>Oct</v>
      </c>
      <c r="M4349">
        <f t="shared" si="269"/>
        <v>2025</v>
      </c>
      <c r="N4349">
        <f t="shared" si="270"/>
        <v>39127.200000000004</v>
      </c>
      <c r="O4349" t="str">
        <f t="shared" si="271"/>
        <v>Moderate Delay</v>
      </c>
    </row>
    <row r="4350" spans="1:15" x14ac:dyDescent="0.25">
      <c r="A4350">
        <v>4349</v>
      </c>
      <c r="B4350" s="2">
        <v>45774</v>
      </c>
      <c r="C4350" t="s">
        <v>31</v>
      </c>
      <c r="D4350" t="s">
        <v>13</v>
      </c>
      <c r="E4350" t="s">
        <v>20</v>
      </c>
      <c r="F4350" t="s">
        <v>24</v>
      </c>
      <c r="G4350">
        <v>266</v>
      </c>
      <c r="H4350">
        <v>371.15</v>
      </c>
      <c r="I4350">
        <v>6</v>
      </c>
      <c r="J4350" t="s">
        <v>15</v>
      </c>
      <c r="K4350">
        <v>98725.9</v>
      </c>
      <c r="L4350" t="str">
        <f t="shared" si="268"/>
        <v>Apr</v>
      </c>
      <c r="M4350">
        <f t="shared" si="269"/>
        <v>2025</v>
      </c>
      <c r="N4350">
        <f t="shared" si="270"/>
        <v>98725.9</v>
      </c>
      <c r="O4350" t="str">
        <f t="shared" si="271"/>
        <v>Minor Delay</v>
      </c>
    </row>
    <row r="4351" spans="1:15" x14ac:dyDescent="0.25">
      <c r="A4351">
        <v>4350</v>
      </c>
      <c r="B4351" s="2">
        <v>45839</v>
      </c>
      <c r="C4351" t="s">
        <v>11</v>
      </c>
      <c r="D4351" t="s">
        <v>20</v>
      </c>
      <c r="E4351" t="s">
        <v>12</v>
      </c>
      <c r="F4351" t="s">
        <v>24</v>
      </c>
      <c r="G4351">
        <v>193</v>
      </c>
      <c r="H4351">
        <v>545.98</v>
      </c>
      <c r="I4351">
        <v>23</v>
      </c>
      <c r="J4351" t="s">
        <v>15</v>
      </c>
      <c r="K4351">
        <v>105374.14</v>
      </c>
      <c r="L4351" t="str">
        <f t="shared" si="268"/>
        <v>Jul</v>
      </c>
      <c r="M4351">
        <f t="shared" si="269"/>
        <v>2025</v>
      </c>
      <c r="N4351">
        <f t="shared" si="270"/>
        <v>105374.14</v>
      </c>
      <c r="O4351" t="str">
        <f t="shared" si="271"/>
        <v>Minor Delay</v>
      </c>
    </row>
    <row r="4352" spans="1:15" x14ac:dyDescent="0.25">
      <c r="A4352">
        <v>4351</v>
      </c>
      <c r="B4352" s="2">
        <v>46007</v>
      </c>
      <c r="C4352" t="s">
        <v>25</v>
      </c>
      <c r="D4352" t="s">
        <v>22</v>
      </c>
      <c r="E4352" t="s">
        <v>17</v>
      </c>
      <c r="F4352" t="s">
        <v>24</v>
      </c>
      <c r="G4352">
        <v>234</v>
      </c>
      <c r="H4352">
        <v>309.07</v>
      </c>
      <c r="I4352">
        <v>24</v>
      </c>
      <c r="J4352" t="s">
        <v>15</v>
      </c>
      <c r="K4352">
        <v>72322.38</v>
      </c>
      <c r="L4352" t="str">
        <f t="shared" si="268"/>
        <v>Dec</v>
      </c>
      <c r="M4352">
        <f t="shared" si="269"/>
        <v>2025</v>
      </c>
      <c r="N4352">
        <f t="shared" si="270"/>
        <v>72322.38</v>
      </c>
      <c r="O4352" t="str">
        <f t="shared" si="271"/>
        <v>Minor Delay</v>
      </c>
    </row>
    <row r="4353" spans="1:15" x14ac:dyDescent="0.25">
      <c r="A4353">
        <v>4352</v>
      </c>
      <c r="B4353" s="2">
        <v>45922</v>
      </c>
      <c r="C4353" t="s">
        <v>25</v>
      </c>
      <c r="D4353" t="s">
        <v>13</v>
      </c>
      <c r="E4353" t="s">
        <v>27</v>
      </c>
      <c r="F4353" t="s">
        <v>21</v>
      </c>
      <c r="G4353">
        <v>223</v>
      </c>
      <c r="H4353">
        <v>365.75</v>
      </c>
      <c r="I4353">
        <v>41</v>
      </c>
      <c r="J4353" t="s">
        <v>15</v>
      </c>
      <c r="K4353">
        <v>81562.25</v>
      </c>
      <c r="L4353" t="str">
        <f t="shared" si="268"/>
        <v>Sep</v>
      </c>
      <c r="M4353">
        <f t="shared" si="269"/>
        <v>2025</v>
      </c>
      <c r="N4353">
        <f t="shared" si="270"/>
        <v>81562.25</v>
      </c>
      <c r="O4353" t="str">
        <f t="shared" si="271"/>
        <v>Moderate Delay</v>
      </c>
    </row>
    <row r="4354" spans="1:15" x14ac:dyDescent="0.25">
      <c r="A4354">
        <v>4353</v>
      </c>
      <c r="B4354" s="2">
        <v>45987</v>
      </c>
      <c r="C4354" t="s">
        <v>25</v>
      </c>
      <c r="D4354" t="s">
        <v>27</v>
      </c>
      <c r="E4354" t="s">
        <v>29</v>
      </c>
      <c r="F4354" t="s">
        <v>21</v>
      </c>
      <c r="G4354">
        <v>84</v>
      </c>
      <c r="H4354">
        <v>781.47</v>
      </c>
      <c r="I4354">
        <v>32</v>
      </c>
      <c r="J4354" t="s">
        <v>15</v>
      </c>
      <c r="K4354">
        <v>65643.48</v>
      </c>
      <c r="L4354" t="str">
        <f t="shared" si="268"/>
        <v>Nov</v>
      </c>
      <c r="M4354">
        <f t="shared" si="269"/>
        <v>2025</v>
      </c>
      <c r="N4354">
        <f t="shared" si="270"/>
        <v>65643.48</v>
      </c>
      <c r="O4354" t="str">
        <f t="shared" si="271"/>
        <v>Moderate Delay</v>
      </c>
    </row>
    <row r="4355" spans="1:15" x14ac:dyDescent="0.25">
      <c r="A4355">
        <v>4354</v>
      </c>
      <c r="B4355" s="2">
        <v>45729</v>
      </c>
      <c r="C4355" t="s">
        <v>25</v>
      </c>
      <c r="D4355" t="s">
        <v>13</v>
      </c>
      <c r="E4355" t="s">
        <v>27</v>
      </c>
      <c r="F4355" t="s">
        <v>21</v>
      </c>
      <c r="G4355">
        <v>52</v>
      </c>
      <c r="H4355">
        <v>744.92</v>
      </c>
      <c r="I4355">
        <v>0</v>
      </c>
      <c r="J4355" t="s">
        <v>15</v>
      </c>
      <c r="K4355">
        <v>38735.839999999997</v>
      </c>
      <c r="L4355" t="str">
        <f t="shared" ref="L4355:L4418" si="272">TEXT(B4355,"MMM")</f>
        <v>Mar</v>
      </c>
      <c r="M4355">
        <f t="shared" ref="M4355:M4418" si="273">YEAR(B4355)</f>
        <v>2025</v>
      </c>
      <c r="N4355">
        <f t="shared" ref="N4355:N4418" si="274">G4355*H4355</f>
        <v>38735.839999999997</v>
      </c>
      <c r="O4355" t="str">
        <f t="shared" ref="O4355:O4418" si="275">IF(I4355=0,"On Time",IF(I4355&lt;=30,"Minor Delay",IF(I4355&lt;=60,"Moderate Delay","Major Delay")))</f>
        <v>On Time</v>
      </c>
    </row>
    <row r="4356" spans="1:15" x14ac:dyDescent="0.25">
      <c r="A4356">
        <v>4355</v>
      </c>
      <c r="B4356" s="2">
        <v>45692</v>
      </c>
      <c r="C4356" t="s">
        <v>16</v>
      </c>
      <c r="D4356" t="s">
        <v>23</v>
      </c>
      <c r="E4356" t="s">
        <v>27</v>
      </c>
      <c r="F4356" t="s">
        <v>14</v>
      </c>
      <c r="G4356">
        <v>125</v>
      </c>
      <c r="H4356">
        <v>357.87</v>
      </c>
      <c r="I4356">
        <v>10</v>
      </c>
      <c r="J4356" t="s">
        <v>15</v>
      </c>
      <c r="K4356">
        <v>44733.75</v>
      </c>
      <c r="L4356" t="str">
        <f t="shared" si="272"/>
        <v>Feb</v>
      </c>
      <c r="M4356">
        <f t="shared" si="273"/>
        <v>2025</v>
      </c>
      <c r="N4356">
        <f t="shared" si="274"/>
        <v>44733.75</v>
      </c>
      <c r="O4356" t="str">
        <f t="shared" si="275"/>
        <v>Minor Delay</v>
      </c>
    </row>
    <row r="4357" spans="1:15" x14ac:dyDescent="0.25">
      <c r="A4357">
        <v>4356</v>
      </c>
      <c r="B4357" s="2">
        <v>45706</v>
      </c>
      <c r="C4357" t="s">
        <v>16</v>
      </c>
      <c r="D4357" t="s">
        <v>13</v>
      </c>
      <c r="E4357" t="s">
        <v>22</v>
      </c>
      <c r="F4357" t="s">
        <v>21</v>
      </c>
      <c r="G4357">
        <v>129</v>
      </c>
      <c r="H4357">
        <v>468.44</v>
      </c>
      <c r="I4357">
        <v>0</v>
      </c>
      <c r="J4357" t="s">
        <v>15</v>
      </c>
      <c r="K4357">
        <v>60428.76</v>
      </c>
      <c r="L4357" t="str">
        <f t="shared" si="272"/>
        <v>Feb</v>
      </c>
      <c r="M4357">
        <f t="shared" si="273"/>
        <v>2025</v>
      </c>
      <c r="N4357">
        <f t="shared" si="274"/>
        <v>60428.76</v>
      </c>
      <c r="O4357" t="str">
        <f t="shared" si="275"/>
        <v>On Time</v>
      </c>
    </row>
    <row r="4358" spans="1:15" x14ac:dyDescent="0.25">
      <c r="A4358">
        <v>4357</v>
      </c>
      <c r="B4358" s="2">
        <v>45789</v>
      </c>
      <c r="C4358" t="s">
        <v>26</v>
      </c>
      <c r="D4358" t="s">
        <v>12</v>
      </c>
      <c r="E4358" t="s">
        <v>20</v>
      </c>
      <c r="F4358" t="s">
        <v>14</v>
      </c>
      <c r="G4358">
        <v>295</v>
      </c>
      <c r="H4358">
        <v>380.72</v>
      </c>
      <c r="I4358">
        <v>22</v>
      </c>
      <c r="J4358" t="s">
        <v>30</v>
      </c>
      <c r="K4358">
        <v>112312.4</v>
      </c>
      <c r="L4358" t="str">
        <f t="shared" si="272"/>
        <v>May</v>
      </c>
      <c r="M4358">
        <f t="shared" si="273"/>
        <v>2025</v>
      </c>
      <c r="N4358">
        <f t="shared" si="274"/>
        <v>112312.40000000001</v>
      </c>
      <c r="O4358" t="str">
        <f t="shared" si="275"/>
        <v>Minor Delay</v>
      </c>
    </row>
    <row r="4359" spans="1:15" x14ac:dyDescent="0.25">
      <c r="A4359">
        <v>4358</v>
      </c>
      <c r="B4359" s="2">
        <v>46014</v>
      </c>
      <c r="C4359" t="s">
        <v>26</v>
      </c>
      <c r="D4359" t="s">
        <v>20</v>
      </c>
      <c r="E4359" t="s">
        <v>13</v>
      </c>
      <c r="F4359" t="s">
        <v>21</v>
      </c>
      <c r="G4359">
        <v>190</v>
      </c>
      <c r="H4359">
        <v>366.68</v>
      </c>
      <c r="I4359">
        <v>0</v>
      </c>
      <c r="J4359" t="s">
        <v>15</v>
      </c>
      <c r="K4359">
        <v>69669.2</v>
      </c>
      <c r="L4359" t="str">
        <f t="shared" si="272"/>
        <v>Dec</v>
      </c>
      <c r="M4359">
        <f t="shared" si="273"/>
        <v>2025</v>
      </c>
      <c r="N4359">
        <f t="shared" si="274"/>
        <v>69669.2</v>
      </c>
      <c r="O4359" t="str">
        <f t="shared" si="275"/>
        <v>On Time</v>
      </c>
    </row>
    <row r="4360" spans="1:15" x14ac:dyDescent="0.25">
      <c r="A4360">
        <v>4359</v>
      </c>
      <c r="B4360" s="2">
        <v>45915</v>
      </c>
      <c r="C4360" t="s">
        <v>18</v>
      </c>
      <c r="D4360" t="s">
        <v>13</v>
      </c>
      <c r="E4360" t="s">
        <v>29</v>
      </c>
      <c r="F4360" t="s">
        <v>24</v>
      </c>
      <c r="G4360">
        <v>249</v>
      </c>
      <c r="H4360">
        <v>70.2</v>
      </c>
      <c r="I4360">
        <v>21</v>
      </c>
      <c r="J4360" t="s">
        <v>15</v>
      </c>
      <c r="K4360">
        <v>17479.8</v>
      </c>
      <c r="L4360" t="str">
        <f t="shared" si="272"/>
        <v>Sep</v>
      </c>
      <c r="M4360">
        <f t="shared" si="273"/>
        <v>2025</v>
      </c>
      <c r="N4360">
        <f t="shared" si="274"/>
        <v>17479.8</v>
      </c>
      <c r="O4360" t="str">
        <f t="shared" si="275"/>
        <v>Minor Delay</v>
      </c>
    </row>
    <row r="4361" spans="1:15" x14ac:dyDescent="0.25">
      <c r="A4361">
        <v>4360</v>
      </c>
      <c r="B4361" s="2">
        <v>45772</v>
      </c>
      <c r="C4361" t="s">
        <v>16</v>
      </c>
      <c r="D4361" t="s">
        <v>23</v>
      </c>
      <c r="E4361" t="s">
        <v>22</v>
      </c>
      <c r="F4361" t="s">
        <v>24</v>
      </c>
      <c r="G4361">
        <v>112</v>
      </c>
      <c r="H4361">
        <v>159.61000000000001</v>
      </c>
      <c r="I4361">
        <v>42</v>
      </c>
      <c r="J4361" t="s">
        <v>30</v>
      </c>
      <c r="K4361">
        <v>17876.32</v>
      </c>
      <c r="L4361" t="str">
        <f t="shared" si="272"/>
        <v>Apr</v>
      </c>
      <c r="M4361">
        <f t="shared" si="273"/>
        <v>2025</v>
      </c>
      <c r="N4361">
        <f t="shared" si="274"/>
        <v>17876.32</v>
      </c>
      <c r="O4361" t="str">
        <f t="shared" si="275"/>
        <v>Moderate Delay</v>
      </c>
    </row>
    <row r="4362" spans="1:15" x14ac:dyDescent="0.25">
      <c r="A4362">
        <v>4361</v>
      </c>
      <c r="B4362" s="2">
        <v>45994</v>
      </c>
      <c r="C4362" t="s">
        <v>26</v>
      </c>
      <c r="D4362" t="s">
        <v>17</v>
      </c>
      <c r="E4362" t="s">
        <v>27</v>
      </c>
      <c r="F4362" t="s">
        <v>21</v>
      </c>
      <c r="G4362">
        <v>257</v>
      </c>
      <c r="H4362">
        <v>660.05</v>
      </c>
      <c r="I4362">
        <v>36</v>
      </c>
      <c r="J4362" t="s">
        <v>15</v>
      </c>
      <c r="K4362">
        <v>169632.85</v>
      </c>
      <c r="L4362" t="str">
        <f t="shared" si="272"/>
        <v>Dec</v>
      </c>
      <c r="M4362">
        <f t="shared" si="273"/>
        <v>2025</v>
      </c>
      <c r="N4362">
        <f t="shared" si="274"/>
        <v>169632.84999999998</v>
      </c>
      <c r="O4362" t="str">
        <f t="shared" si="275"/>
        <v>Moderate Delay</v>
      </c>
    </row>
    <row r="4363" spans="1:15" x14ac:dyDescent="0.25">
      <c r="A4363">
        <v>4362</v>
      </c>
      <c r="B4363" s="2">
        <v>45920</v>
      </c>
      <c r="C4363" t="s">
        <v>16</v>
      </c>
      <c r="D4363" t="s">
        <v>23</v>
      </c>
      <c r="E4363" t="s">
        <v>19</v>
      </c>
      <c r="F4363" t="s">
        <v>24</v>
      </c>
      <c r="G4363">
        <v>163</v>
      </c>
      <c r="H4363">
        <v>522</v>
      </c>
      <c r="I4363">
        <v>26</v>
      </c>
      <c r="J4363" t="s">
        <v>30</v>
      </c>
      <c r="K4363">
        <v>85086</v>
      </c>
      <c r="L4363" t="str">
        <f t="shared" si="272"/>
        <v>Sep</v>
      </c>
      <c r="M4363">
        <f t="shared" si="273"/>
        <v>2025</v>
      </c>
      <c r="N4363">
        <f t="shared" si="274"/>
        <v>85086</v>
      </c>
      <c r="O4363" t="str">
        <f t="shared" si="275"/>
        <v>Minor Delay</v>
      </c>
    </row>
    <row r="4364" spans="1:15" x14ac:dyDescent="0.25">
      <c r="A4364">
        <v>4363</v>
      </c>
      <c r="B4364" s="2">
        <v>45791</v>
      </c>
      <c r="C4364" t="s">
        <v>18</v>
      </c>
      <c r="D4364" t="s">
        <v>27</v>
      </c>
      <c r="E4364" t="s">
        <v>29</v>
      </c>
      <c r="F4364" t="s">
        <v>21</v>
      </c>
      <c r="G4364">
        <v>91</v>
      </c>
      <c r="H4364">
        <v>269.89</v>
      </c>
      <c r="I4364">
        <v>68</v>
      </c>
      <c r="J4364" t="s">
        <v>15</v>
      </c>
      <c r="K4364">
        <v>24559.99</v>
      </c>
      <c r="L4364" t="str">
        <f t="shared" si="272"/>
        <v>May</v>
      </c>
      <c r="M4364">
        <f t="shared" si="273"/>
        <v>2025</v>
      </c>
      <c r="N4364">
        <f t="shared" si="274"/>
        <v>24559.989999999998</v>
      </c>
      <c r="O4364" t="str">
        <f t="shared" si="275"/>
        <v>Major Delay</v>
      </c>
    </row>
    <row r="4365" spans="1:15" x14ac:dyDescent="0.25">
      <c r="A4365">
        <v>4364</v>
      </c>
      <c r="B4365" s="2">
        <v>45705</v>
      </c>
      <c r="C4365" t="s">
        <v>31</v>
      </c>
      <c r="D4365" t="s">
        <v>19</v>
      </c>
      <c r="E4365" t="s">
        <v>13</v>
      </c>
      <c r="F4365" t="s">
        <v>24</v>
      </c>
      <c r="G4365">
        <v>246</v>
      </c>
      <c r="H4365">
        <v>783.42</v>
      </c>
      <c r="I4365">
        <v>26</v>
      </c>
      <c r="J4365" t="s">
        <v>15</v>
      </c>
      <c r="K4365">
        <v>192721.32</v>
      </c>
      <c r="L4365" t="str">
        <f t="shared" si="272"/>
        <v>Feb</v>
      </c>
      <c r="M4365">
        <f t="shared" si="273"/>
        <v>2025</v>
      </c>
      <c r="N4365">
        <f t="shared" si="274"/>
        <v>192721.31999999998</v>
      </c>
      <c r="O4365" t="str">
        <f t="shared" si="275"/>
        <v>Minor Delay</v>
      </c>
    </row>
    <row r="4366" spans="1:15" x14ac:dyDescent="0.25">
      <c r="A4366">
        <v>4365</v>
      </c>
      <c r="B4366" s="2">
        <v>45793</v>
      </c>
      <c r="C4366" t="s">
        <v>26</v>
      </c>
      <c r="D4366" t="s">
        <v>19</v>
      </c>
      <c r="E4366" t="s">
        <v>12</v>
      </c>
      <c r="F4366" t="s">
        <v>21</v>
      </c>
      <c r="G4366">
        <v>147</v>
      </c>
      <c r="H4366">
        <v>663.54</v>
      </c>
      <c r="I4366">
        <v>56</v>
      </c>
      <c r="J4366" t="s">
        <v>15</v>
      </c>
      <c r="K4366">
        <v>97540.38</v>
      </c>
      <c r="L4366" t="str">
        <f t="shared" si="272"/>
        <v>May</v>
      </c>
      <c r="M4366">
        <f t="shared" si="273"/>
        <v>2025</v>
      </c>
      <c r="N4366">
        <f t="shared" si="274"/>
        <v>97540.37999999999</v>
      </c>
      <c r="O4366" t="str">
        <f t="shared" si="275"/>
        <v>Moderate Delay</v>
      </c>
    </row>
    <row r="4367" spans="1:15" x14ac:dyDescent="0.25">
      <c r="A4367">
        <v>4366</v>
      </c>
      <c r="B4367" s="2">
        <v>45901</v>
      </c>
      <c r="C4367" t="s">
        <v>16</v>
      </c>
      <c r="D4367" t="s">
        <v>22</v>
      </c>
      <c r="E4367" t="s">
        <v>12</v>
      </c>
      <c r="F4367" t="s">
        <v>14</v>
      </c>
      <c r="G4367">
        <v>112</v>
      </c>
      <c r="H4367">
        <v>260.70999999999998</v>
      </c>
      <c r="I4367">
        <v>45</v>
      </c>
      <c r="J4367" t="s">
        <v>30</v>
      </c>
      <c r="K4367">
        <v>29199.52</v>
      </c>
      <c r="L4367" t="str">
        <f t="shared" si="272"/>
        <v>Sep</v>
      </c>
      <c r="M4367">
        <f t="shared" si="273"/>
        <v>2025</v>
      </c>
      <c r="N4367">
        <f t="shared" si="274"/>
        <v>29199.519999999997</v>
      </c>
      <c r="O4367" t="str">
        <f t="shared" si="275"/>
        <v>Moderate Delay</v>
      </c>
    </row>
    <row r="4368" spans="1:15" x14ac:dyDescent="0.25">
      <c r="A4368">
        <v>4367</v>
      </c>
      <c r="B4368" s="2">
        <v>45759</v>
      </c>
      <c r="C4368" t="s">
        <v>25</v>
      </c>
      <c r="D4368" t="s">
        <v>20</v>
      </c>
      <c r="E4368" t="s">
        <v>23</v>
      </c>
      <c r="F4368" t="s">
        <v>14</v>
      </c>
      <c r="G4368">
        <v>140</v>
      </c>
      <c r="H4368">
        <v>717.34</v>
      </c>
      <c r="I4368">
        <v>29</v>
      </c>
      <c r="J4368" t="s">
        <v>15</v>
      </c>
      <c r="K4368">
        <v>100427.6</v>
      </c>
      <c r="L4368" t="str">
        <f t="shared" si="272"/>
        <v>Apr</v>
      </c>
      <c r="M4368">
        <f t="shared" si="273"/>
        <v>2025</v>
      </c>
      <c r="N4368">
        <f t="shared" si="274"/>
        <v>100427.6</v>
      </c>
      <c r="O4368" t="str">
        <f t="shared" si="275"/>
        <v>Minor Delay</v>
      </c>
    </row>
    <row r="4369" spans="1:15" x14ac:dyDescent="0.25">
      <c r="A4369">
        <v>4368</v>
      </c>
      <c r="B4369" s="2">
        <v>45852</v>
      </c>
      <c r="C4369" t="s">
        <v>11</v>
      </c>
      <c r="D4369" t="s">
        <v>22</v>
      </c>
      <c r="E4369" t="s">
        <v>19</v>
      </c>
      <c r="F4369" t="s">
        <v>24</v>
      </c>
      <c r="G4369">
        <v>73</v>
      </c>
      <c r="H4369">
        <v>707.75</v>
      </c>
      <c r="I4369">
        <v>0</v>
      </c>
      <c r="J4369" t="s">
        <v>15</v>
      </c>
      <c r="K4369">
        <v>51665.75</v>
      </c>
      <c r="L4369" t="str">
        <f t="shared" si="272"/>
        <v>Jul</v>
      </c>
      <c r="M4369">
        <f t="shared" si="273"/>
        <v>2025</v>
      </c>
      <c r="N4369">
        <f t="shared" si="274"/>
        <v>51665.75</v>
      </c>
      <c r="O4369" t="str">
        <f t="shared" si="275"/>
        <v>On Time</v>
      </c>
    </row>
    <row r="4370" spans="1:15" x14ac:dyDescent="0.25">
      <c r="A4370">
        <v>4369</v>
      </c>
      <c r="B4370" s="2">
        <v>45695</v>
      </c>
      <c r="C4370" t="s">
        <v>26</v>
      </c>
      <c r="D4370" t="s">
        <v>19</v>
      </c>
      <c r="E4370" t="s">
        <v>12</v>
      </c>
      <c r="F4370" t="s">
        <v>24</v>
      </c>
      <c r="G4370">
        <v>77</v>
      </c>
      <c r="H4370">
        <v>531.37</v>
      </c>
      <c r="I4370">
        <v>55</v>
      </c>
      <c r="J4370" t="s">
        <v>30</v>
      </c>
      <c r="K4370">
        <v>40915.49</v>
      </c>
      <c r="L4370" t="str">
        <f t="shared" si="272"/>
        <v>Feb</v>
      </c>
      <c r="M4370">
        <f t="shared" si="273"/>
        <v>2025</v>
      </c>
      <c r="N4370">
        <f t="shared" si="274"/>
        <v>40915.49</v>
      </c>
      <c r="O4370" t="str">
        <f t="shared" si="275"/>
        <v>Moderate Delay</v>
      </c>
    </row>
    <row r="4371" spans="1:15" x14ac:dyDescent="0.25">
      <c r="A4371">
        <v>4370</v>
      </c>
      <c r="B4371" s="2">
        <v>45852</v>
      </c>
      <c r="C4371" t="s">
        <v>16</v>
      </c>
      <c r="D4371" t="s">
        <v>29</v>
      </c>
      <c r="E4371" t="s">
        <v>13</v>
      </c>
      <c r="F4371" t="s">
        <v>24</v>
      </c>
      <c r="G4371">
        <v>76</v>
      </c>
      <c r="H4371">
        <v>243.41</v>
      </c>
      <c r="I4371">
        <v>51</v>
      </c>
      <c r="J4371" t="s">
        <v>15</v>
      </c>
      <c r="K4371">
        <v>18499.16</v>
      </c>
      <c r="L4371" t="str">
        <f t="shared" si="272"/>
        <v>Jul</v>
      </c>
      <c r="M4371">
        <f t="shared" si="273"/>
        <v>2025</v>
      </c>
      <c r="N4371">
        <f t="shared" si="274"/>
        <v>18499.16</v>
      </c>
      <c r="O4371" t="str">
        <f t="shared" si="275"/>
        <v>Moderate Delay</v>
      </c>
    </row>
    <row r="4372" spans="1:15" x14ac:dyDescent="0.25">
      <c r="A4372">
        <v>4371</v>
      </c>
      <c r="B4372" s="2">
        <v>45674</v>
      </c>
      <c r="C4372" t="s">
        <v>26</v>
      </c>
      <c r="D4372" t="s">
        <v>19</v>
      </c>
      <c r="E4372" t="s">
        <v>13</v>
      </c>
      <c r="F4372" t="s">
        <v>14</v>
      </c>
      <c r="G4372">
        <v>95</v>
      </c>
      <c r="H4372">
        <v>115.79</v>
      </c>
      <c r="I4372">
        <v>11</v>
      </c>
      <c r="J4372" t="s">
        <v>15</v>
      </c>
      <c r="K4372">
        <v>11000.05</v>
      </c>
      <c r="L4372" t="str">
        <f t="shared" si="272"/>
        <v>Jan</v>
      </c>
      <c r="M4372">
        <f t="shared" si="273"/>
        <v>2025</v>
      </c>
      <c r="N4372">
        <f t="shared" si="274"/>
        <v>11000.050000000001</v>
      </c>
      <c r="O4372" t="str">
        <f t="shared" si="275"/>
        <v>Minor Delay</v>
      </c>
    </row>
    <row r="4373" spans="1:15" x14ac:dyDescent="0.25">
      <c r="A4373">
        <v>4372</v>
      </c>
      <c r="B4373" s="2">
        <v>45992</v>
      </c>
      <c r="C4373" t="s">
        <v>11</v>
      </c>
      <c r="D4373" t="s">
        <v>17</v>
      </c>
      <c r="E4373" t="s">
        <v>27</v>
      </c>
      <c r="F4373" t="s">
        <v>21</v>
      </c>
      <c r="G4373">
        <v>243</v>
      </c>
      <c r="H4373">
        <v>330.5</v>
      </c>
      <c r="I4373">
        <v>2</v>
      </c>
      <c r="J4373" t="s">
        <v>15</v>
      </c>
      <c r="K4373">
        <v>80311.5</v>
      </c>
      <c r="L4373" t="str">
        <f t="shared" si="272"/>
        <v>Dec</v>
      </c>
      <c r="M4373">
        <f t="shared" si="273"/>
        <v>2025</v>
      </c>
      <c r="N4373">
        <f t="shared" si="274"/>
        <v>80311.5</v>
      </c>
      <c r="O4373" t="str">
        <f t="shared" si="275"/>
        <v>Minor Delay</v>
      </c>
    </row>
    <row r="4374" spans="1:15" x14ac:dyDescent="0.25">
      <c r="A4374">
        <v>4373</v>
      </c>
      <c r="B4374" s="2">
        <v>45819</v>
      </c>
      <c r="C4374" t="s">
        <v>18</v>
      </c>
      <c r="D4374" t="s">
        <v>23</v>
      </c>
      <c r="E4374" t="s">
        <v>29</v>
      </c>
      <c r="F4374" t="s">
        <v>14</v>
      </c>
      <c r="G4374">
        <v>81</v>
      </c>
      <c r="H4374">
        <v>676.06</v>
      </c>
      <c r="I4374">
        <v>49</v>
      </c>
      <c r="J4374" t="s">
        <v>15</v>
      </c>
      <c r="K4374">
        <v>54760.86</v>
      </c>
      <c r="L4374" t="str">
        <f t="shared" si="272"/>
        <v>Jun</v>
      </c>
      <c r="M4374">
        <f t="shared" si="273"/>
        <v>2025</v>
      </c>
      <c r="N4374">
        <f t="shared" si="274"/>
        <v>54760.859999999993</v>
      </c>
      <c r="O4374" t="str">
        <f t="shared" si="275"/>
        <v>Moderate Delay</v>
      </c>
    </row>
    <row r="4375" spans="1:15" x14ac:dyDescent="0.25">
      <c r="A4375">
        <v>4374</v>
      </c>
      <c r="B4375" s="2">
        <v>45730</v>
      </c>
      <c r="C4375" t="s">
        <v>18</v>
      </c>
      <c r="D4375" t="s">
        <v>23</v>
      </c>
      <c r="E4375" t="s">
        <v>22</v>
      </c>
      <c r="F4375" t="s">
        <v>21</v>
      </c>
      <c r="G4375">
        <v>71</v>
      </c>
      <c r="H4375">
        <v>455.11</v>
      </c>
      <c r="I4375">
        <v>43</v>
      </c>
      <c r="J4375" t="s">
        <v>30</v>
      </c>
      <c r="K4375">
        <v>32312.81</v>
      </c>
      <c r="L4375" t="str">
        <f t="shared" si="272"/>
        <v>Mar</v>
      </c>
      <c r="M4375">
        <f t="shared" si="273"/>
        <v>2025</v>
      </c>
      <c r="N4375">
        <f t="shared" si="274"/>
        <v>32312.81</v>
      </c>
      <c r="O4375" t="str">
        <f t="shared" si="275"/>
        <v>Moderate Delay</v>
      </c>
    </row>
    <row r="4376" spans="1:15" x14ac:dyDescent="0.25">
      <c r="A4376">
        <v>4375</v>
      </c>
      <c r="B4376" s="2">
        <v>45765</v>
      </c>
      <c r="C4376" t="s">
        <v>18</v>
      </c>
      <c r="D4376" t="s">
        <v>22</v>
      </c>
      <c r="E4376" t="s">
        <v>17</v>
      </c>
      <c r="F4376" t="s">
        <v>24</v>
      </c>
      <c r="G4376">
        <v>187</v>
      </c>
      <c r="H4376">
        <v>778.71</v>
      </c>
      <c r="I4376">
        <v>9</v>
      </c>
      <c r="J4376" t="s">
        <v>15</v>
      </c>
      <c r="K4376">
        <v>145618.76999999999</v>
      </c>
      <c r="L4376" t="str">
        <f t="shared" si="272"/>
        <v>Apr</v>
      </c>
      <c r="M4376">
        <f t="shared" si="273"/>
        <v>2025</v>
      </c>
      <c r="N4376">
        <f t="shared" si="274"/>
        <v>145618.77000000002</v>
      </c>
      <c r="O4376" t="str">
        <f t="shared" si="275"/>
        <v>Minor Delay</v>
      </c>
    </row>
    <row r="4377" spans="1:15" x14ac:dyDescent="0.25">
      <c r="A4377">
        <v>4376</v>
      </c>
      <c r="B4377" s="2">
        <v>45931</v>
      </c>
      <c r="C4377" t="s">
        <v>16</v>
      </c>
      <c r="D4377" t="s">
        <v>22</v>
      </c>
      <c r="E4377" t="s">
        <v>13</v>
      </c>
      <c r="F4377" t="s">
        <v>24</v>
      </c>
      <c r="G4377">
        <v>267</v>
      </c>
      <c r="H4377">
        <v>512.91</v>
      </c>
      <c r="I4377">
        <v>27</v>
      </c>
      <c r="J4377" t="s">
        <v>30</v>
      </c>
      <c r="K4377">
        <v>136946.97</v>
      </c>
      <c r="L4377" t="str">
        <f t="shared" si="272"/>
        <v>Oct</v>
      </c>
      <c r="M4377">
        <f t="shared" si="273"/>
        <v>2025</v>
      </c>
      <c r="N4377">
        <f t="shared" si="274"/>
        <v>136946.97</v>
      </c>
      <c r="O4377" t="str">
        <f t="shared" si="275"/>
        <v>Minor Delay</v>
      </c>
    </row>
    <row r="4378" spans="1:15" x14ac:dyDescent="0.25">
      <c r="A4378">
        <v>4377</v>
      </c>
      <c r="B4378" s="2">
        <v>45751</v>
      </c>
      <c r="C4378" t="s">
        <v>11</v>
      </c>
      <c r="D4378" t="s">
        <v>23</v>
      </c>
      <c r="E4378" t="s">
        <v>13</v>
      </c>
      <c r="F4378" t="s">
        <v>14</v>
      </c>
      <c r="G4378">
        <v>99</v>
      </c>
      <c r="H4378">
        <v>317.02999999999997</v>
      </c>
      <c r="I4378">
        <v>7</v>
      </c>
      <c r="J4378" t="s">
        <v>15</v>
      </c>
      <c r="K4378">
        <v>31385.97</v>
      </c>
      <c r="L4378" t="str">
        <f t="shared" si="272"/>
        <v>Apr</v>
      </c>
      <c r="M4378">
        <f t="shared" si="273"/>
        <v>2025</v>
      </c>
      <c r="N4378">
        <f t="shared" si="274"/>
        <v>31385.969999999998</v>
      </c>
      <c r="O4378" t="str">
        <f t="shared" si="275"/>
        <v>Minor Delay</v>
      </c>
    </row>
    <row r="4379" spans="1:15" x14ac:dyDescent="0.25">
      <c r="A4379">
        <v>4378</v>
      </c>
      <c r="B4379" s="2">
        <v>46000</v>
      </c>
      <c r="C4379" t="s">
        <v>25</v>
      </c>
      <c r="D4379" t="s">
        <v>13</v>
      </c>
      <c r="E4379" t="s">
        <v>23</v>
      </c>
      <c r="F4379" t="s">
        <v>21</v>
      </c>
      <c r="G4379">
        <v>135</v>
      </c>
      <c r="H4379">
        <v>708.16</v>
      </c>
      <c r="I4379">
        <v>33</v>
      </c>
      <c r="J4379" t="s">
        <v>15</v>
      </c>
      <c r="K4379">
        <v>95601.600000000006</v>
      </c>
      <c r="L4379" t="str">
        <f t="shared" si="272"/>
        <v>Dec</v>
      </c>
      <c r="M4379">
        <f t="shared" si="273"/>
        <v>2025</v>
      </c>
      <c r="N4379">
        <f t="shared" si="274"/>
        <v>95601.599999999991</v>
      </c>
      <c r="O4379" t="str">
        <f t="shared" si="275"/>
        <v>Moderate Delay</v>
      </c>
    </row>
    <row r="4380" spans="1:15" x14ac:dyDescent="0.25">
      <c r="A4380">
        <v>4379</v>
      </c>
      <c r="B4380" s="2">
        <v>45830</v>
      </c>
      <c r="C4380" t="s">
        <v>16</v>
      </c>
      <c r="D4380" t="s">
        <v>27</v>
      </c>
      <c r="E4380" t="s">
        <v>13</v>
      </c>
      <c r="F4380" t="s">
        <v>24</v>
      </c>
      <c r="G4380">
        <v>130</v>
      </c>
      <c r="H4380">
        <v>93.72</v>
      </c>
      <c r="I4380">
        <v>0</v>
      </c>
      <c r="J4380" t="s">
        <v>15</v>
      </c>
      <c r="K4380">
        <v>12183.6</v>
      </c>
      <c r="L4380" t="str">
        <f t="shared" si="272"/>
        <v>Jun</v>
      </c>
      <c r="M4380">
        <f t="shared" si="273"/>
        <v>2025</v>
      </c>
      <c r="N4380">
        <f t="shared" si="274"/>
        <v>12183.6</v>
      </c>
      <c r="O4380" t="str">
        <f t="shared" si="275"/>
        <v>On Time</v>
      </c>
    </row>
    <row r="4381" spans="1:15" x14ac:dyDescent="0.25">
      <c r="A4381">
        <v>4380</v>
      </c>
      <c r="B4381" s="2">
        <v>45842</v>
      </c>
      <c r="C4381" t="s">
        <v>26</v>
      </c>
      <c r="D4381" t="s">
        <v>20</v>
      </c>
      <c r="E4381" t="s">
        <v>19</v>
      </c>
      <c r="F4381" t="s">
        <v>24</v>
      </c>
      <c r="G4381">
        <v>283</v>
      </c>
      <c r="H4381">
        <v>157.32</v>
      </c>
      <c r="I4381">
        <v>20</v>
      </c>
      <c r="J4381" t="s">
        <v>15</v>
      </c>
      <c r="K4381">
        <v>44521.56</v>
      </c>
      <c r="L4381" t="str">
        <f t="shared" si="272"/>
        <v>Jul</v>
      </c>
      <c r="M4381">
        <f t="shared" si="273"/>
        <v>2025</v>
      </c>
      <c r="N4381">
        <f t="shared" si="274"/>
        <v>44521.56</v>
      </c>
      <c r="O4381" t="str">
        <f t="shared" si="275"/>
        <v>Minor Delay</v>
      </c>
    </row>
    <row r="4382" spans="1:15" x14ac:dyDescent="0.25">
      <c r="A4382">
        <v>4381</v>
      </c>
      <c r="B4382" s="2">
        <v>45908</v>
      </c>
      <c r="C4382" t="s">
        <v>18</v>
      </c>
      <c r="D4382" t="s">
        <v>20</v>
      </c>
      <c r="E4382" t="s">
        <v>27</v>
      </c>
      <c r="F4382" t="s">
        <v>24</v>
      </c>
      <c r="G4382">
        <v>123</v>
      </c>
      <c r="H4382">
        <v>636.16999999999996</v>
      </c>
      <c r="I4382">
        <v>16</v>
      </c>
      <c r="J4382" t="s">
        <v>15</v>
      </c>
      <c r="K4382">
        <v>78248.91</v>
      </c>
      <c r="L4382" t="str">
        <f t="shared" si="272"/>
        <v>Sep</v>
      </c>
      <c r="M4382">
        <f t="shared" si="273"/>
        <v>2025</v>
      </c>
      <c r="N4382">
        <f t="shared" si="274"/>
        <v>78248.909999999989</v>
      </c>
      <c r="O4382" t="str">
        <f t="shared" si="275"/>
        <v>Minor Delay</v>
      </c>
    </row>
    <row r="4383" spans="1:15" x14ac:dyDescent="0.25">
      <c r="A4383">
        <v>4382</v>
      </c>
      <c r="B4383" s="2">
        <v>45814</v>
      </c>
      <c r="C4383" t="s">
        <v>18</v>
      </c>
      <c r="D4383" t="s">
        <v>19</v>
      </c>
      <c r="E4383" t="s">
        <v>13</v>
      </c>
      <c r="F4383" t="s">
        <v>24</v>
      </c>
      <c r="G4383">
        <v>256</v>
      </c>
      <c r="H4383">
        <v>99.12</v>
      </c>
      <c r="I4383">
        <v>44</v>
      </c>
      <c r="J4383" t="s">
        <v>15</v>
      </c>
      <c r="K4383">
        <v>25374.720000000001</v>
      </c>
      <c r="L4383" t="str">
        <f t="shared" si="272"/>
        <v>Jun</v>
      </c>
      <c r="M4383">
        <f t="shared" si="273"/>
        <v>2025</v>
      </c>
      <c r="N4383">
        <f t="shared" si="274"/>
        <v>25374.720000000001</v>
      </c>
      <c r="O4383" t="str">
        <f t="shared" si="275"/>
        <v>Moderate Delay</v>
      </c>
    </row>
    <row r="4384" spans="1:15" x14ac:dyDescent="0.25">
      <c r="A4384">
        <v>4383</v>
      </c>
      <c r="B4384" s="2">
        <v>45857</v>
      </c>
      <c r="C4384" t="s">
        <v>26</v>
      </c>
      <c r="D4384" t="s">
        <v>17</v>
      </c>
      <c r="E4384" t="s">
        <v>29</v>
      </c>
      <c r="F4384" t="s">
        <v>21</v>
      </c>
      <c r="G4384">
        <v>161</v>
      </c>
      <c r="H4384">
        <v>153.16999999999999</v>
      </c>
      <c r="I4384">
        <v>18</v>
      </c>
      <c r="J4384" t="s">
        <v>30</v>
      </c>
      <c r="K4384">
        <v>24660.37</v>
      </c>
      <c r="L4384" t="str">
        <f t="shared" si="272"/>
        <v>Jul</v>
      </c>
      <c r="M4384">
        <f t="shared" si="273"/>
        <v>2025</v>
      </c>
      <c r="N4384">
        <f t="shared" si="274"/>
        <v>24660.37</v>
      </c>
      <c r="O4384" t="str">
        <f t="shared" si="275"/>
        <v>Minor Delay</v>
      </c>
    </row>
    <row r="4385" spans="1:15" x14ac:dyDescent="0.25">
      <c r="A4385">
        <v>4384</v>
      </c>
      <c r="B4385" s="2">
        <v>45894</v>
      </c>
      <c r="C4385" t="s">
        <v>31</v>
      </c>
      <c r="D4385" t="s">
        <v>19</v>
      </c>
      <c r="E4385" t="s">
        <v>27</v>
      </c>
      <c r="F4385" t="s">
        <v>14</v>
      </c>
      <c r="G4385">
        <v>251</v>
      </c>
      <c r="H4385">
        <v>715.62</v>
      </c>
      <c r="I4385">
        <v>0</v>
      </c>
      <c r="J4385" t="s">
        <v>28</v>
      </c>
      <c r="K4385">
        <v>179620.62</v>
      </c>
      <c r="L4385" t="str">
        <f t="shared" si="272"/>
        <v>Aug</v>
      </c>
      <c r="M4385">
        <f t="shared" si="273"/>
        <v>2025</v>
      </c>
      <c r="N4385">
        <f t="shared" si="274"/>
        <v>179620.62</v>
      </c>
      <c r="O4385" t="str">
        <f t="shared" si="275"/>
        <v>On Time</v>
      </c>
    </row>
    <row r="4386" spans="1:15" x14ac:dyDescent="0.25">
      <c r="A4386">
        <v>4385</v>
      </c>
      <c r="B4386" s="2">
        <v>45992</v>
      </c>
      <c r="C4386" t="s">
        <v>18</v>
      </c>
      <c r="D4386" t="s">
        <v>22</v>
      </c>
      <c r="E4386" t="s">
        <v>23</v>
      </c>
      <c r="F4386" t="s">
        <v>14</v>
      </c>
      <c r="G4386">
        <v>199</v>
      </c>
      <c r="H4386">
        <v>134.5</v>
      </c>
      <c r="I4386">
        <v>57</v>
      </c>
      <c r="J4386" t="s">
        <v>15</v>
      </c>
      <c r="K4386">
        <v>26765.5</v>
      </c>
      <c r="L4386" t="str">
        <f t="shared" si="272"/>
        <v>Dec</v>
      </c>
      <c r="M4386">
        <f t="shared" si="273"/>
        <v>2025</v>
      </c>
      <c r="N4386">
        <f t="shared" si="274"/>
        <v>26765.5</v>
      </c>
      <c r="O4386" t="str">
        <f t="shared" si="275"/>
        <v>Moderate Delay</v>
      </c>
    </row>
    <row r="4387" spans="1:15" x14ac:dyDescent="0.25">
      <c r="A4387">
        <v>4386</v>
      </c>
      <c r="B4387" s="2">
        <v>45842</v>
      </c>
      <c r="C4387" t="s">
        <v>26</v>
      </c>
      <c r="D4387" t="s">
        <v>20</v>
      </c>
      <c r="E4387" t="s">
        <v>29</v>
      </c>
      <c r="F4387" t="s">
        <v>24</v>
      </c>
      <c r="G4387">
        <v>237</v>
      </c>
      <c r="H4387">
        <v>206.61</v>
      </c>
      <c r="I4387">
        <v>55</v>
      </c>
      <c r="J4387" t="s">
        <v>15</v>
      </c>
      <c r="K4387">
        <v>48966.57</v>
      </c>
      <c r="L4387" t="str">
        <f t="shared" si="272"/>
        <v>Jul</v>
      </c>
      <c r="M4387">
        <f t="shared" si="273"/>
        <v>2025</v>
      </c>
      <c r="N4387">
        <f t="shared" si="274"/>
        <v>48966.57</v>
      </c>
      <c r="O4387" t="str">
        <f t="shared" si="275"/>
        <v>Moderate Delay</v>
      </c>
    </row>
    <row r="4388" spans="1:15" x14ac:dyDescent="0.25">
      <c r="A4388">
        <v>4387</v>
      </c>
      <c r="B4388" s="2">
        <v>45688</v>
      </c>
      <c r="C4388" t="s">
        <v>31</v>
      </c>
      <c r="D4388" t="s">
        <v>12</v>
      </c>
      <c r="E4388" t="s">
        <v>20</v>
      </c>
      <c r="F4388" t="s">
        <v>21</v>
      </c>
      <c r="G4388">
        <v>268</v>
      </c>
      <c r="H4388">
        <v>789.81</v>
      </c>
      <c r="I4388">
        <v>28</v>
      </c>
      <c r="J4388" t="s">
        <v>15</v>
      </c>
      <c r="K4388">
        <v>211669.08</v>
      </c>
      <c r="L4388" t="str">
        <f t="shared" si="272"/>
        <v>Jan</v>
      </c>
      <c r="M4388">
        <f t="shared" si="273"/>
        <v>2025</v>
      </c>
      <c r="N4388">
        <f t="shared" si="274"/>
        <v>211669.08</v>
      </c>
      <c r="O4388" t="str">
        <f t="shared" si="275"/>
        <v>Minor Delay</v>
      </c>
    </row>
    <row r="4389" spans="1:15" x14ac:dyDescent="0.25">
      <c r="A4389">
        <v>4388</v>
      </c>
      <c r="B4389" s="2">
        <v>45883</v>
      </c>
      <c r="C4389" t="s">
        <v>31</v>
      </c>
      <c r="D4389" t="s">
        <v>20</v>
      </c>
      <c r="E4389" t="s">
        <v>13</v>
      </c>
      <c r="F4389" t="s">
        <v>14</v>
      </c>
      <c r="G4389">
        <v>151</v>
      </c>
      <c r="H4389">
        <v>764.63</v>
      </c>
      <c r="I4389">
        <v>67</v>
      </c>
      <c r="J4389" t="s">
        <v>15</v>
      </c>
      <c r="K4389">
        <v>115459.13</v>
      </c>
      <c r="L4389" t="str">
        <f t="shared" si="272"/>
        <v>Aug</v>
      </c>
      <c r="M4389">
        <f t="shared" si="273"/>
        <v>2025</v>
      </c>
      <c r="N4389">
        <f t="shared" si="274"/>
        <v>115459.13</v>
      </c>
      <c r="O4389" t="str">
        <f t="shared" si="275"/>
        <v>Major Delay</v>
      </c>
    </row>
    <row r="4390" spans="1:15" x14ac:dyDescent="0.25">
      <c r="A4390">
        <v>4389</v>
      </c>
      <c r="B4390" s="2">
        <v>45809</v>
      </c>
      <c r="C4390" t="s">
        <v>11</v>
      </c>
      <c r="D4390" t="s">
        <v>12</v>
      </c>
      <c r="E4390" t="s">
        <v>27</v>
      </c>
      <c r="F4390" t="s">
        <v>14</v>
      </c>
      <c r="G4390">
        <v>225</v>
      </c>
      <c r="H4390">
        <v>351.74</v>
      </c>
      <c r="I4390">
        <v>32</v>
      </c>
      <c r="J4390" t="s">
        <v>15</v>
      </c>
      <c r="K4390">
        <v>79141.5</v>
      </c>
      <c r="L4390" t="str">
        <f t="shared" si="272"/>
        <v>Jun</v>
      </c>
      <c r="M4390">
        <f t="shared" si="273"/>
        <v>2025</v>
      </c>
      <c r="N4390">
        <f t="shared" si="274"/>
        <v>79141.5</v>
      </c>
      <c r="O4390" t="str">
        <f t="shared" si="275"/>
        <v>Moderate Delay</v>
      </c>
    </row>
    <row r="4391" spans="1:15" x14ac:dyDescent="0.25">
      <c r="A4391">
        <v>4390</v>
      </c>
      <c r="B4391" s="2">
        <v>45784</v>
      </c>
      <c r="C4391" t="s">
        <v>25</v>
      </c>
      <c r="D4391" t="s">
        <v>19</v>
      </c>
      <c r="E4391" t="s">
        <v>22</v>
      </c>
      <c r="F4391" t="s">
        <v>21</v>
      </c>
      <c r="G4391">
        <v>202</v>
      </c>
      <c r="H4391">
        <v>436.3</v>
      </c>
      <c r="I4391">
        <v>24</v>
      </c>
      <c r="J4391" t="s">
        <v>15</v>
      </c>
      <c r="K4391">
        <v>88132.6</v>
      </c>
      <c r="L4391" t="str">
        <f t="shared" si="272"/>
        <v>May</v>
      </c>
      <c r="M4391">
        <f t="shared" si="273"/>
        <v>2025</v>
      </c>
      <c r="N4391">
        <f t="shared" si="274"/>
        <v>88132.6</v>
      </c>
      <c r="O4391" t="str">
        <f t="shared" si="275"/>
        <v>Minor Delay</v>
      </c>
    </row>
    <row r="4392" spans="1:15" x14ac:dyDescent="0.25">
      <c r="A4392">
        <v>4391</v>
      </c>
      <c r="B4392" s="2">
        <v>45893</v>
      </c>
      <c r="C4392" t="s">
        <v>31</v>
      </c>
      <c r="D4392" t="s">
        <v>23</v>
      </c>
      <c r="E4392" t="s">
        <v>29</v>
      </c>
      <c r="F4392" t="s">
        <v>21</v>
      </c>
      <c r="G4392">
        <v>141</v>
      </c>
      <c r="H4392">
        <v>174.92</v>
      </c>
      <c r="I4392">
        <v>43</v>
      </c>
      <c r="J4392" t="s">
        <v>15</v>
      </c>
      <c r="K4392">
        <v>24663.72</v>
      </c>
      <c r="L4392" t="str">
        <f t="shared" si="272"/>
        <v>Aug</v>
      </c>
      <c r="M4392">
        <f t="shared" si="273"/>
        <v>2025</v>
      </c>
      <c r="N4392">
        <f t="shared" si="274"/>
        <v>24663.719999999998</v>
      </c>
      <c r="O4392" t="str">
        <f t="shared" si="275"/>
        <v>Moderate Delay</v>
      </c>
    </row>
    <row r="4393" spans="1:15" x14ac:dyDescent="0.25">
      <c r="A4393">
        <v>4392</v>
      </c>
      <c r="B4393" s="2">
        <v>45949</v>
      </c>
      <c r="C4393" t="s">
        <v>18</v>
      </c>
      <c r="D4393" t="s">
        <v>20</v>
      </c>
      <c r="E4393" t="s">
        <v>23</v>
      </c>
      <c r="F4393" t="s">
        <v>21</v>
      </c>
      <c r="G4393">
        <v>117</v>
      </c>
      <c r="H4393">
        <v>308.73</v>
      </c>
      <c r="I4393">
        <v>7</v>
      </c>
      <c r="J4393" t="s">
        <v>15</v>
      </c>
      <c r="K4393">
        <v>36121.410000000003</v>
      </c>
      <c r="L4393" t="str">
        <f t="shared" si="272"/>
        <v>Oct</v>
      </c>
      <c r="M4393">
        <f t="shared" si="273"/>
        <v>2025</v>
      </c>
      <c r="N4393">
        <f t="shared" si="274"/>
        <v>36121.410000000003</v>
      </c>
      <c r="O4393" t="str">
        <f t="shared" si="275"/>
        <v>Minor Delay</v>
      </c>
    </row>
    <row r="4394" spans="1:15" x14ac:dyDescent="0.25">
      <c r="A4394">
        <v>4393</v>
      </c>
      <c r="B4394" s="2">
        <v>45891</v>
      </c>
      <c r="C4394" t="s">
        <v>25</v>
      </c>
      <c r="D4394" t="s">
        <v>22</v>
      </c>
      <c r="E4394" t="s">
        <v>17</v>
      </c>
      <c r="F4394" t="s">
        <v>21</v>
      </c>
      <c r="G4394">
        <v>274</v>
      </c>
      <c r="H4394">
        <v>145.82</v>
      </c>
      <c r="I4394">
        <v>4</v>
      </c>
      <c r="J4394" t="s">
        <v>15</v>
      </c>
      <c r="K4394">
        <v>39954.68</v>
      </c>
      <c r="L4394" t="str">
        <f t="shared" si="272"/>
        <v>Aug</v>
      </c>
      <c r="M4394">
        <f t="shared" si="273"/>
        <v>2025</v>
      </c>
      <c r="N4394">
        <f t="shared" si="274"/>
        <v>39954.68</v>
      </c>
      <c r="O4394" t="str">
        <f t="shared" si="275"/>
        <v>Minor Delay</v>
      </c>
    </row>
    <row r="4395" spans="1:15" x14ac:dyDescent="0.25">
      <c r="A4395">
        <v>4394</v>
      </c>
      <c r="B4395" s="2">
        <v>45882</v>
      </c>
      <c r="C4395" t="s">
        <v>25</v>
      </c>
      <c r="D4395" t="s">
        <v>23</v>
      </c>
      <c r="E4395" t="s">
        <v>29</v>
      </c>
      <c r="F4395" t="s">
        <v>14</v>
      </c>
      <c r="G4395">
        <v>185</v>
      </c>
      <c r="H4395">
        <v>229.15</v>
      </c>
      <c r="I4395">
        <v>25</v>
      </c>
      <c r="J4395" t="s">
        <v>30</v>
      </c>
      <c r="K4395">
        <v>42392.75</v>
      </c>
      <c r="L4395" t="str">
        <f t="shared" si="272"/>
        <v>Aug</v>
      </c>
      <c r="M4395">
        <f t="shared" si="273"/>
        <v>2025</v>
      </c>
      <c r="N4395">
        <f t="shared" si="274"/>
        <v>42392.75</v>
      </c>
      <c r="O4395" t="str">
        <f t="shared" si="275"/>
        <v>Minor Delay</v>
      </c>
    </row>
    <row r="4396" spans="1:15" x14ac:dyDescent="0.25">
      <c r="A4396">
        <v>4395</v>
      </c>
      <c r="B4396" s="2">
        <v>45740</v>
      </c>
      <c r="C4396" t="s">
        <v>11</v>
      </c>
      <c r="D4396" t="s">
        <v>23</v>
      </c>
      <c r="E4396" t="s">
        <v>13</v>
      </c>
      <c r="F4396" t="s">
        <v>21</v>
      </c>
      <c r="G4396">
        <v>297</v>
      </c>
      <c r="H4396">
        <v>214.41</v>
      </c>
      <c r="I4396">
        <v>55</v>
      </c>
      <c r="J4396" t="s">
        <v>15</v>
      </c>
      <c r="K4396">
        <v>63679.77</v>
      </c>
      <c r="L4396" t="str">
        <f t="shared" si="272"/>
        <v>Mar</v>
      </c>
      <c r="M4396">
        <f t="shared" si="273"/>
        <v>2025</v>
      </c>
      <c r="N4396">
        <f t="shared" si="274"/>
        <v>63679.77</v>
      </c>
      <c r="O4396" t="str">
        <f t="shared" si="275"/>
        <v>Moderate Delay</v>
      </c>
    </row>
    <row r="4397" spans="1:15" x14ac:dyDescent="0.25">
      <c r="A4397">
        <v>4396</v>
      </c>
      <c r="B4397" s="2">
        <v>45867</v>
      </c>
      <c r="C4397" t="s">
        <v>26</v>
      </c>
      <c r="D4397" t="s">
        <v>12</v>
      </c>
      <c r="E4397" t="s">
        <v>27</v>
      </c>
      <c r="F4397" t="s">
        <v>21</v>
      </c>
      <c r="G4397">
        <v>57</v>
      </c>
      <c r="H4397">
        <v>627.16999999999996</v>
      </c>
      <c r="I4397">
        <v>0</v>
      </c>
      <c r="J4397" t="s">
        <v>15</v>
      </c>
      <c r="K4397">
        <v>35748.69</v>
      </c>
      <c r="L4397" t="str">
        <f t="shared" si="272"/>
        <v>Jul</v>
      </c>
      <c r="M4397">
        <f t="shared" si="273"/>
        <v>2025</v>
      </c>
      <c r="N4397">
        <f t="shared" si="274"/>
        <v>35748.689999999995</v>
      </c>
      <c r="O4397" t="str">
        <f t="shared" si="275"/>
        <v>On Time</v>
      </c>
    </row>
    <row r="4398" spans="1:15" x14ac:dyDescent="0.25">
      <c r="A4398">
        <v>4397</v>
      </c>
      <c r="B4398" s="2">
        <v>45857</v>
      </c>
      <c r="C4398" t="s">
        <v>26</v>
      </c>
      <c r="D4398" t="s">
        <v>13</v>
      </c>
      <c r="E4398" t="s">
        <v>22</v>
      </c>
      <c r="F4398" t="s">
        <v>21</v>
      </c>
      <c r="G4398">
        <v>143</v>
      </c>
      <c r="H4398">
        <v>133.47999999999999</v>
      </c>
      <c r="I4398">
        <v>32</v>
      </c>
      <c r="J4398" t="s">
        <v>15</v>
      </c>
      <c r="K4398">
        <v>19087.64</v>
      </c>
      <c r="L4398" t="str">
        <f t="shared" si="272"/>
        <v>Jul</v>
      </c>
      <c r="M4398">
        <f t="shared" si="273"/>
        <v>2025</v>
      </c>
      <c r="N4398">
        <f t="shared" si="274"/>
        <v>19087.64</v>
      </c>
      <c r="O4398" t="str">
        <f t="shared" si="275"/>
        <v>Moderate Delay</v>
      </c>
    </row>
    <row r="4399" spans="1:15" x14ac:dyDescent="0.25">
      <c r="A4399">
        <v>4398</v>
      </c>
      <c r="B4399" s="2">
        <v>45837</v>
      </c>
      <c r="C4399" t="s">
        <v>16</v>
      </c>
      <c r="D4399" t="s">
        <v>12</v>
      </c>
      <c r="E4399" t="s">
        <v>13</v>
      </c>
      <c r="F4399" t="s">
        <v>14</v>
      </c>
      <c r="G4399">
        <v>231</v>
      </c>
      <c r="H4399">
        <v>703.39</v>
      </c>
      <c r="I4399">
        <v>40</v>
      </c>
      <c r="J4399" t="s">
        <v>15</v>
      </c>
      <c r="K4399">
        <v>162483.09</v>
      </c>
      <c r="L4399" t="str">
        <f t="shared" si="272"/>
        <v>Jun</v>
      </c>
      <c r="M4399">
        <f t="shared" si="273"/>
        <v>2025</v>
      </c>
      <c r="N4399">
        <f t="shared" si="274"/>
        <v>162483.09</v>
      </c>
      <c r="O4399" t="str">
        <f t="shared" si="275"/>
        <v>Moderate Delay</v>
      </c>
    </row>
    <row r="4400" spans="1:15" x14ac:dyDescent="0.25">
      <c r="A4400">
        <v>4399</v>
      </c>
      <c r="B4400" s="2">
        <v>45902</v>
      </c>
      <c r="C4400" t="s">
        <v>25</v>
      </c>
      <c r="D4400" t="s">
        <v>29</v>
      </c>
      <c r="E4400" t="s">
        <v>13</v>
      </c>
      <c r="F4400" t="s">
        <v>24</v>
      </c>
      <c r="G4400">
        <v>223</v>
      </c>
      <c r="H4400">
        <v>530.96</v>
      </c>
      <c r="I4400">
        <v>7</v>
      </c>
      <c r="J4400" t="s">
        <v>30</v>
      </c>
      <c r="K4400">
        <v>118404.08</v>
      </c>
      <c r="L4400" t="str">
        <f t="shared" si="272"/>
        <v>Sep</v>
      </c>
      <c r="M4400">
        <f t="shared" si="273"/>
        <v>2025</v>
      </c>
      <c r="N4400">
        <f t="shared" si="274"/>
        <v>118404.08</v>
      </c>
      <c r="O4400" t="str">
        <f t="shared" si="275"/>
        <v>Minor Delay</v>
      </c>
    </row>
    <row r="4401" spans="1:15" x14ac:dyDescent="0.25">
      <c r="A4401">
        <v>4400</v>
      </c>
      <c r="B4401" s="2">
        <v>45884</v>
      </c>
      <c r="C4401" t="s">
        <v>18</v>
      </c>
      <c r="D4401" t="s">
        <v>27</v>
      </c>
      <c r="E4401" t="s">
        <v>29</v>
      </c>
      <c r="F4401" t="s">
        <v>24</v>
      </c>
      <c r="G4401">
        <v>173</v>
      </c>
      <c r="H4401">
        <v>648</v>
      </c>
      <c r="I4401">
        <v>12</v>
      </c>
      <c r="J4401" t="s">
        <v>15</v>
      </c>
      <c r="K4401">
        <v>112104</v>
      </c>
      <c r="L4401" t="str">
        <f t="shared" si="272"/>
        <v>Aug</v>
      </c>
      <c r="M4401">
        <f t="shared" si="273"/>
        <v>2025</v>
      </c>
      <c r="N4401">
        <f t="shared" si="274"/>
        <v>112104</v>
      </c>
      <c r="O4401" t="str">
        <f t="shared" si="275"/>
        <v>Minor Delay</v>
      </c>
    </row>
    <row r="4402" spans="1:15" x14ac:dyDescent="0.25">
      <c r="A4402">
        <v>4401</v>
      </c>
      <c r="B4402" s="2">
        <v>46015</v>
      </c>
      <c r="C4402" t="s">
        <v>26</v>
      </c>
      <c r="D4402" t="s">
        <v>19</v>
      </c>
      <c r="E4402" t="s">
        <v>17</v>
      </c>
      <c r="F4402" t="s">
        <v>14</v>
      </c>
      <c r="G4402">
        <v>283</v>
      </c>
      <c r="H4402">
        <v>616.49</v>
      </c>
      <c r="I4402">
        <v>54</v>
      </c>
      <c r="J4402" t="s">
        <v>15</v>
      </c>
      <c r="K4402">
        <v>174466.67</v>
      </c>
      <c r="L4402" t="str">
        <f t="shared" si="272"/>
        <v>Dec</v>
      </c>
      <c r="M4402">
        <f t="shared" si="273"/>
        <v>2025</v>
      </c>
      <c r="N4402">
        <f t="shared" si="274"/>
        <v>174466.67</v>
      </c>
      <c r="O4402" t="str">
        <f t="shared" si="275"/>
        <v>Moderate Delay</v>
      </c>
    </row>
    <row r="4403" spans="1:15" x14ac:dyDescent="0.25">
      <c r="A4403">
        <v>4402</v>
      </c>
      <c r="B4403" s="2">
        <v>45924</v>
      </c>
      <c r="C4403" t="s">
        <v>11</v>
      </c>
      <c r="D4403" t="s">
        <v>29</v>
      </c>
      <c r="E4403" t="s">
        <v>27</v>
      </c>
      <c r="F4403" t="s">
        <v>21</v>
      </c>
      <c r="G4403">
        <v>157</v>
      </c>
      <c r="H4403">
        <v>629.61</v>
      </c>
      <c r="I4403">
        <v>0</v>
      </c>
      <c r="J4403" t="s">
        <v>15</v>
      </c>
      <c r="K4403">
        <v>98848.77</v>
      </c>
      <c r="L4403" t="str">
        <f t="shared" si="272"/>
        <v>Sep</v>
      </c>
      <c r="M4403">
        <f t="shared" si="273"/>
        <v>2025</v>
      </c>
      <c r="N4403">
        <f t="shared" si="274"/>
        <v>98848.77</v>
      </c>
      <c r="O4403" t="str">
        <f t="shared" si="275"/>
        <v>On Time</v>
      </c>
    </row>
    <row r="4404" spans="1:15" x14ac:dyDescent="0.25">
      <c r="A4404">
        <v>4403</v>
      </c>
      <c r="B4404" s="2">
        <v>45719</v>
      </c>
      <c r="C4404" t="s">
        <v>16</v>
      </c>
      <c r="D4404" t="s">
        <v>12</v>
      </c>
      <c r="E4404" t="s">
        <v>17</v>
      </c>
      <c r="F4404" t="s">
        <v>14</v>
      </c>
      <c r="G4404">
        <v>85</v>
      </c>
      <c r="H4404">
        <v>340.72</v>
      </c>
      <c r="I4404">
        <v>0</v>
      </c>
      <c r="J4404" t="s">
        <v>15</v>
      </c>
      <c r="K4404">
        <v>28961.200000000001</v>
      </c>
      <c r="L4404" t="str">
        <f t="shared" si="272"/>
        <v>Mar</v>
      </c>
      <c r="M4404">
        <f t="shared" si="273"/>
        <v>2025</v>
      </c>
      <c r="N4404">
        <f t="shared" si="274"/>
        <v>28961.200000000001</v>
      </c>
      <c r="O4404" t="str">
        <f t="shared" si="275"/>
        <v>On Time</v>
      </c>
    </row>
    <row r="4405" spans="1:15" x14ac:dyDescent="0.25">
      <c r="A4405">
        <v>4404</v>
      </c>
      <c r="B4405" s="2">
        <v>46014</v>
      </c>
      <c r="C4405" t="s">
        <v>31</v>
      </c>
      <c r="D4405" t="s">
        <v>19</v>
      </c>
      <c r="E4405" t="s">
        <v>22</v>
      </c>
      <c r="F4405" t="s">
        <v>24</v>
      </c>
      <c r="G4405">
        <v>294</v>
      </c>
      <c r="H4405">
        <v>709.13</v>
      </c>
      <c r="I4405">
        <v>22</v>
      </c>
      <c r="J4405" t="s">
        <v>15</v>
      </c>
      <c r="K4405">
        <v>208484.22</v>
      </c>
      <c r="L4405" t="str">
        <f t="shared" si="272"/>
        <v>Dec</v>
      </c>
      <c r="M4405">
        <f t="shared" si="273"/>
        <v>2025</v>
      </c>
      <c r="N4405">
        <f t="shared" si="274"/>
        <v>208484.22</v>
      </c>
      <c r="O4405" t="str">
        <f t="shared" si="275"/>
        <v>Minor Delay</v>
      </c>
    </row>
    <row r="4406" spans="1:15" x14ac:dyDescent="0.25">
      <c r="A4406">
        <v>4405</v>
      </c>
      <c r="B4406" s="2">
        <v>45768</v>
      </c>
      <c r="C4406" t="s">
        <v>18</v>
      </c>
      <c r="D4406" t="s">
        <v>17</v>
      </c>
      <c r="E4406" t="s">
        <v>22</v>
      </c>
      <c r="F4406" t="s">
        <v>14</v>
      </c>
      <c r="G4406">
        <v>142</v>
      </c>
      <c r="H4406">
        <v>727.93</v>
      </c>
      <c r="I4406">
        <v>7</v>
      </c>
      <c r="J4406" t="s">
        <v>15</v>
      </c>
      <c r="K4406">
        <v>103366.06</v>
      </c>
      <c r="L4406" t="str">
        <f t="shared" si="272"/>
        <v>Apr</v>
      </c>
      <c r="M4406">
        <f t="shared" si="273"/>
        <v>2025</v>
      </c>
      <c r="N4406">
        <f t="shared" si="274"/>
        <v>103366.06</v>
      </c>
      <c r="O4406" t="str">
        <f t="shared" si="275"/>
        <v>Minor Delay</v>
      </c>
    </row>
    <row r="4407" spans="1:15" x14ac:dyDescent="0.25">
      <c r="A4407">
        <v>4406</v>
      </c>
      <c r="B4407" s="2">
        <v>45944</v>
      </c>
      <c r="C4407" t="s">
        <v>31</v>
      </c>
      <c r="D4407" t="s">
        <v>29</v>
      </c>
      <c r="E4407" t="s">
        <v>13</v>
      </c>
      <c r="F4407" t="s">
        <v>21</v>
      </c>
      <c r="G4407">
        <v>99</v>
      </c>
      <c r="H4407">
        <v>108.47</v>
      </c>
      <c r="I4407">
        <v>21</v>
      </c>
      <c r="J4407" t="s">
        <v>15</v>
      </c>
      <c r="K4407">
        <v>10738.53</v>
      </c>
      <c r="L4407" t="str">
        <f t="shared" si="272"/>
        <v>Oct</v>
      </c>
      <c r="M4407">
        <f t="shared" si="273"/>
        <v>2025</v>
      </c>
      <c r="N4407">
        <f t="shared" si="274"/>
        <v>10738.53</v>
      </c>
      <c r="O4407" t="str">
        <f t="shared" si="275"/>
        <v>Minor Delay</v>
      </c>
    </row>
    <row r="4408" spans="1:15" x14ac:dyDescent="0.25">
      <c r="A4408">
        <v>4407</v>
      </c>
      <c r="B4408" s="2">
        <v>45684</v>
      </c>
      <c r="C4408" t="s">
        <v>18</v>
      </c>
      <c r="D4408" t="s">
        <v>13</v>
      </c>
      <c r="E4408" t="s">
        <v>17</v>
      </c>
      <c r="F4408" t="s">
        <v>21</v>
      </c>
      <c r="G4408">
        <v>103</v>
      </c>
      <c r="H4408">
        <v>682.56</v>
      </c>
      <c r="I4408">
        <v>0</v>
      </c>
      <c r="J4408" t="s">
        <v>30</v>
      </c>
      <c r="K4408">
        <v>70303.679999999993</v>
      </c>
      <c r="L4408" t="str">
        <f t="shared" si="272"/>
        <v>Jan</v>
      </c>
      <c r="M4408">
        <f t="shared" si="273"/>
        <v>2025</v>
      </c>
      <c r="N4408">
        <f t="shared" si="274"/>
        <v>70303.679999999993</v>
      </c>
      <c r="O4408" t="str">
        <f t="shared" si="275"/>
        <v>On Time</v>
      </c>
    </row>
    <row r="4409" spans="1:15" x14ac:dyDescent="0.25">
      <c r="A4409">
        <v>4408</v>
      </c>
      <c r="B4409" s="2">
        <v>45971</v>
      </c>
      <c r="C4409" t="s">
        <v>18</v>
      </c>
      <c r="D4409" t="s">
        <v>12</v>
      </c>
      <c r="E4409" t="s">
        <v>19</v>
      </c>
      <c r="F4409" t="s">
        <v>14</v>
      </c>
      <c r="G4409">
        <v>277</v>
      </c>
      <c r="H4409">
        <v>760.41</v>
      </c>
      <c r="I4409">
        <v>30</v>
      </c>
      <c r="J4409" t="s">
        <v>30</v>
      </c>
      <c r="K4409">
        <v>210633.57</v>
      </c>
      <c r="L4409" t="str">
        <f t="shared" si="272"/>
        <v>Nov</v>
      </c>
      <c r="M4409">
        <f t="shared" si="273"/>
        <v>2025</v>
      </c>
      <c r="N4409">
        <f t="shared" si="274"/>
        <v>210633.56999999998</v>
      </c>
      <c r="O4409" t="str">
        <f t="shared" si="275"/>
        <v>Minor Delay</v>
      </c>
    </row>
    <row r="4410" spans="1:15" x14ac:dyDescent="0.25">
      <c r="A4410">
        <v>4409</v>
      </c>
      <c r="B4410" s="2">
        <v>45684</v>
      </c>
      <c r="C4410" t="s">
        <v>11</v>
      </c>
      <c r="D4410" t="s">
        <v>23</v>
      </c>
      <c r="E4410" t="s">
        <v>17</v>
      </c>
      <c r="F4410" t="s">
        <v>21</v>
      </c>
      <c r="G4410">
        <v>226</v>
      </c>
      <c r="H4410">
        <v>395.86</v>
      </c>
      <c r="I4410">
        <v>40</v>
      </c>
      <c r="J4410" t="s">
        <v>15</v>
      </c>
      <c r="K4410">
        <v>89464.36</v>
      </c>
      <c r="L4410" t="str">
        <f t="shared" si="272"/>
        <v>Jan</v>
      </c>
      <c r="M4410">
        <f t="shared" si="273"/>
        <v>2025</v>
      </c>
      <c r="N4410">
        <f t="shared" si="274"/>
        <v>89464.36</v>
      </c>
      <c r="O4410" t="str">
        <f t="shared" si="275"/>
        <v>Moderate Delay</v>
      </c>
    </row>
    <row r="4411" spans="1:15" x14ac:dyDescent="0.25">
      <c r="A4411">
        <v>4410</v>
      </c>
      <c r="B4411" s="2">
        <v>45868</v>
      </c>
      <c r="C4411" t="s">
        <v>31</v>
      </c>
      <c r="D4411" t="s">
        <v>13</v>
      </c>
      <c r="E4411" t="s">
        <v>19</v>
      </c>
      <c r="F4411" t="s">
        <v>21</v>
      </c>
      <c r="G4411">
        <v>54</v>
      </c>
      <c r="H4411">
        <v>60.19</v>
      </c>
      <c r="I4411">
        <v>7</v>
      </c>
      <c r="J4411" t="s">
        <v>15</v>
      </c>
      <c r="K4411">
        <v>3250.26</v>
      </c>
      <c r="L4411" t="str">
        <f t="shared" si="272"/>
        <v>Jul</v>
      </c>
      <c r="M4411">
        <f t="shared" si="273"/>
        <v>2025</v>
      </c>
      <c r="N4411">
        <f t="shared" si="274"/>
        <v>3250.2599999999998</v>
      </c>
      <c r="O4411" t="str">
        <f t="shared" si="275"/>
        <v>Minor Delay</v>
      </c>
    </row>
    <row r="4412" spans="1:15" x14ac:dyDescent="0.25">
      <c r="A4412">
        <v>4411</v>
      </c>
      <c r="B4412" s="2">
        <v>45672</v>
      </c>
      <c r="C4412" t="s">
        <v>31</v>
      </c>
      <c r="D4412" t="s">
        <v>29</v>
      </c>
      <c r="E4412" t="s">
        <v>19</v>
      </c>
      <c r="F4412" t="s">
        <v>21</v>
      </c>
      <c r="G4412">
        <v>210</v>
      </c>
      <c r="H4412">
        <v>413.42</v>
      </c>
      <c r="I4412">
        <v>61</v>
      </c>
      <c r="J4412" t="s">
        <v>15</v>
      </c>
      <c r="K4412">
        <v>86818.2</v>
      </c>
      <c r="L4412" t="str">
        <f t="shared" si="272"/>
        <v>Jan</v>
      </c>
      <c r="M4412">
        <f t="shared" si="273"/>
        <v>2025</v>
      </c>
      <c r="N4412">
        <f t="shared" si="274"/>
        <v>86818.2</v>
      </c>
      <c r="O4412" t="str">
        <f t="shared" si="275"/>
        <v>Major Delay</v>
      </c>
    </row>
    <row r="4413" spans="1:15" x14ac:dyDescent="0.25">
      <c r="A4413">
        <v>4412</v>
      </c>
      <c r="B4413" s="2">
        <v>45750</v>
      </c>
      <c r="C4413" t="s">
        <v>11</v>
      </c>
      <c r="D4413" t="s">
        <v>23</v>
      </c>
      <c r="E4413" t="s">
        <v>17</v>
      </c>
      <c r="F4413" t="s">
        <v>21</v>
      </c>
      <c r="G4413">
        <v>214</v>
      </c>
      <c r="H4413">
        <v>577.76</v>
      </c>
      <c r="I4413">
        <v>0</v>
      </c>
      <c r="J4413" t="s">
        <v>15</v>
      </c>
      <c r="K4413">
        <v>123640.64</v>
      </c>
      <c r="L4413" t="str">
        <f t="shared" si="272"/>
        <v>Apr</v>
      </c>
      <c r="M4413">
        <f t="shared" si="273"/>
        <v>2025</v>
      </c>
      <c r="N4413">
        <f t="shared" si="274"/>
        <v>123640.64</v>
      </c>
      <c r="O4413" t="str">
        <f t="shared" si="275"/>
        <v>On Time</v>
      </c>
    </row>
    <row r="4414" spans="1:15" x14ac:dyDescent="0.25">
      <c r="A4414">
        <v>4413</v>
      </c>
      <c r="B4414" s="2">
        <v>45778</v>
      </c>
      <c r="C4414" t="s">
        <v>11</v>
      </c>
      <c r="D4414" t="s">
        <v>13</v>
      </c>
      <c r="E4414" t="s">
        <v>19</v>
      </c>
      <c r="F4414" t="s">
        <v>14</v>
      </c>
      <c r="G4414">
        <v>258</v>
      </c>
      <c r="H4414">
        <v>302.61</v>
      </c>
      <c r="I4414">
        <v>0</v>
      </c>
      <c r="J4414" t="s">
        <v>15</v>
      </c>
      <c r="K4414">
        <v>78073.38</v>
      </c>
      <c r="L4414" t="str">
        <f t="shared" si="272"/>
        <v>May</v>
      </c>
      <c r="M4414">
        <f t="shared" si="273"/>
        <v>2025</v>
      </c>
      <c r="N4414">
        <f t="shared" si="274"/>
        <v>78073.38</v>
      </c>
      <c r="O4414" t="str">
        <f t="shared" si="275"/>
        <v>On Time</v>
      </c>
    </row>
    <row r="4415" spans="1:15" x14ac:dyDescent="0.25">
      <c r="A4415">
        <v>4414</v>
      </c>
      <c r="B4415" s="2">
        <v>45716</v>
      </c>
      <c r="C4415" t="s">
        <v>18</v>
      </c>
      <c r="D4415" t="s">
        <v>20</v>
      </c>
      <c r="E4415" t="s">
        <v>22</v>
      </c>
      <c r="F4415" t="s">
        <v>24</v>
      </c>
      <c r="G4415">
        <v>164</v>
      </c>
      <c r="H4415">
        <v>644.27</v>
      </c>
      <c r="I4415">
        <v>0</v>
      </c>
      <c r="J4415" t="s">
        <v>15</v>
      </c>
      <c r="K4415">
        <v>105660.28</v>
      </c>
      <c r="L4415" t="str">
        <f t="shared" si="272"/>
        <v>Feb</v>
      </c>
      <c r="M4415">
        <f t="shared" si="273"/>
        <v>2025</v>
      </c>
      <c r="N4415">
        <f t="shared" si="274"/>
        <v>105660.28</v>
      </c>
      <c r="O4415" t="str">
        <f t="shared" si="275"/>
        <v>On Time</v>
      </c>
    </row>
    <row r="4416" spans="1:15" x14ac:dyDescent="0.25">
      <c r="A4416">
        <v>4415</v>
      </c>
      <c r="B4416" s="2">
        <v>45665</v>
      </c>
      <c r="C4416" t="s">
        <v>31</v>
      </c>
      <c r="D4416" t="s">
        <v>29</v>
      </c>
      <c r="E4416" t="s">
        <v>23</v>
      </c>
      <c r="F4416" t="s">
        <v>21</v>
      </c>
      <c r="G4416">
        <v>187</v>
      </c>
      <c r="H4416">
        <v>101.95</v>
      </c>
      <c r="I4416">
        <v>18</v>
      </c>
      <c r="J4416" t="s">
        <v>15</v>
      </c>
      <c r="K4416">
        <v>19064.650000000001</v>
      </c>
      <c r="L4416" t="str">
        <f t="shared" si="272"/>
        <v>Jan</v>
      </c>
      <c r="M4416">
        <f t="shared" si="273"/>
        <v>2025</v>
      </c>
      <c r="N4416">
        <f t="shared" si="274"/>
        <v>19064.650000000001</v>
      </c>
      <c r="O4416" t="str">
        <f t="shared" si="275"/>
        <v>Minor Delay</v>
      </c>
    </row>
    <row r="4417" spans="1:15" x14ac:dyDescent="0.25">
      <c r="A4417">
        <v>4416</v>
      </c>
      <c r="B4417" s="2">
        <v>45830</v>
      </c>
      <c r="C4417" t="s">
        <v>16</v>
      </c>
      <c r="D4417" t="s">
        <v>12</v>
      </c>
      <c r="E4417" t="s">
        <v>27</v>
      </c>
      <c r="F4417" t="s">
        <v>14</v>
      </c>
      <c r="G4417">
        <v>294</v>
      </c>
      <c r="H4417">
        <v>648.52</v>
      </c>
      <c r="I4417">
        <v>20</v>
      </c>
      <c r="J4417" t="s">
        <v>15</v>
      </c>
      <c r="K4417">
        <v>190664.88</v>
      </c>
      <c r="L4417" t="str">
        <f t="shared" si="272"/>
        <v>Jun</v>
      </c>
      <c r="M4417">
        <f t="shared" si="273"/>
        <v>2025</v>
      </c>
      <c r="N4417">
        <f t="shared" si="274"/>
        <v>190664.88</v>
      </c>
      <c r="O4417" t="str">
        <f t="shared" si="275"/>
        <v>Minor Delay</v>
      </c>
    </row>
    <row r="4418" spans="1:15" x14ac:dyDescent="0.25">
      <c r="A4418">
        <v>4417</v>
      </c>
      <c r="B4418" s="2">
        <v>45682</v>
      </c>
      <c r="C4418" t="s">
        <v>18</v>
      </c>
      <c r="D4418" t="s">
        <v>19</v>
      </c>
      <c r="E4418" t="s">
        <v>13</v>
      </c>
      <c r="F4418" t="s">
        <v>21</v>
      </c>
      <c r="G4418">
        <v>210</v>
      </c>
      <c r="H4418">
        <v>464.23</v>
      </c>
      <c r="I4418">
        <v>0</v>
      </c>
      <c r="J4418" t="s">
        <v>15</v>
      </c>
      <c r="K4418">
        <v>97488.3</v>
      </c>
      <c r="L4418" t="str">
        <f t="shared" si="272"/>
        <v>Jan</v>
      </c>
      <c r="M4418">
        <f t="shared" si="273"/>
        <v>2025</v>
      </c>
      <c r="N4418">
        <f t="shared" si="274"/>
        <v>97488.3</v>
      </c>
      <c r="O4418" t="str">
        <f t="shared" si="275"/>
        <v>On Time</v>
      </c>
    </row>
    <row r="4419" spans="1:15" x14ac:dyDescent="0.25">
      <c r="A4419">
        <v>4418</v>
      </c>
      <c r="B4419" s="2">
        <v>45832</v>
      </c>
      <c r="C4419" t="s">
        <v>25</v>
      </c>
      <c r="D4419" t="s">
        <v>20</v>
      </c>
      <c r="E4419" t="s">
        <v>22</v>
      </c>
      <c r="F4419" t="s">
        <v>21</v>
      </c>
      <c r="G4419">
        <v>136</v>
      </c>
      <c r="H4419">
        <v>762.62</v>
      </c>
      <c r="I4419">
        <v>20</v>
      </c>
      <c r="J4419" t="s">
        <v>15</v>
      </c>
      <c r="K4419">
        <v>103716.32</v>
      </c>
      <c r="L4419" t="str">
        <f t="shared" ref="L4419:L4482" si="276">TEXT(B4419,"MMM")</f>
        <v>Jun</v>
      </c>
      <c r="M4419">
        <f t="shared" ref="M4419:M4482" si="277">YEAR(B4419)</f>
        <v>2025</v>
      </c>
      <c r="N4419">
        <f t="shared" ref="N4419:N4482" si="278">G4419*H4419</f>
        <v>103716.32</v>
      </c>
      <c r="O4419" t="str">
        <f t="shared" ref="O4419:O4482" si="279">IF(I4419=0,"On Time",IF(I4419&lt;=30,"Minor Delay",IF(I4419&lt;=60,"Moderate Delay","Major Delay")))</f>
        <v>Minor Delay</v>
      </c>
    </row>
    <row r="4420" spans="1:15" x14ac:dyDescent="0.25">
      <c r="A4420">
        <v>4419</v>
      </c>
      <c r="B4420" s="2">
        <v>45813</v>
      </c>
      <c r="C4420" t="s">
        <v>26</v>
      </c>
      <c r="D4420" t="s">
        <v>22</v>
      </c>
      <c r="E4420" t="s">
        <v>12</v>
      </c>
      <c r="F4420" t="s">
        <v>14</v>
      </c>
      <c r="G4420">
        <v>125</v>
      </c>
      <c r="H4420">
        <v>517.77</v>
      </c>
      <c r="I4420">
        <v>33</v>
      </c>
      <c r="J4420" t="s">
        <v>15</v>
      </c>
      <c r="K4420">
        <v>64721.25</v>
      </c>
      <c r="L4420" t="str">
        <f t="shared" si="276"/>
        <v>Jun</v>
      </c>
      <c r="M4420">
        <f t="shared" si="277"/>
        <v>2025</v>
      </c>
      <c r="N4420">
        <f t="shared" si="278"/>
        <v>64721.25</v>
      </c>
      <c r="O4420" t="str">
        <f t="shared" si="279"/>
        <v>Moderate Delay</v>
      </c>
    </row>
    <row r="4421" spans="1:15" x14ac:dyDescent="0.25">
      <c r="A4421">
        <v>4420</v>
      </c>
      <c r="B4421" s="2">
        <v>46004</v>
      </c>
      <c r="C4421" t="s">
        <v>18</v>
      </c>
      <c r="D4421" t="s">
        <v>17</v>
      </c>
      <c r="E4421" t="s">
        <v>23</v>
      </c>
      <c r="F4421" t="s">
        <v>14</v>
      </c>
      <c r="G4421">
        <v>164</v>
      </c>
      <c r="H4421">
        <v>191.71</v>
      </c>
      <c r="I4421">
        <v>11</v>
      </c>
      <c r="J4421" t="s">
        <v>15</v>
      </c>
      <c r="K4421">
        <v>31440.44</v>
      </c>
      <c r="L4421" t="str">
        <f t="shared" si="276"/>
        <v>Dec</v>
      </c>
      <c r="M4421">
        <f t="shared" si="277"/>
        <v>2025</v>
      </c>
      <c r="N4421">
        <f t="shared" si="278"/>
        <v>31440.440000000002</v>
      </c>
      <c r="O4421" t="str">
        <f t="shared" si="279"/>
        <v>Minor Delay</v>
      </c>
    </row>
    <row r="4422" spans="1:15" x14ac:dyDescent="0.25">
      <c r="A4422">
        <v>4421</v>
      </c>
      <c r="B4422" s="2">
        <v>45934</v>
      </c>
      <c r="C4422" t="s">
        <v>16</v>
      </c>
      <c r="D4422" t="s">
        <v>22</v>
      </c>
      <c r="E4422" t="s">
        <v>12</v>
      </c>
      <c r="F4422" t="s">
        <v>24</v>
      </c>
      <c r="G4422">
        <v>246</v>
      </c>
      <c r="H4422">
        <v>570.45000000000005</v>
      </c>
      <c r="I4422">
        <v>63</v>
      </c>
      <c r="J4422" t="s">
        <v>30</v>
      </c>
      <c r="K4422">
        <v>140330.70000000001</v>
      </c>
      <c r="L4422" t="str">
        <f t="shared" si="276"/>
        <v>Oct</v>
      </c>
      <c r="M4422">
        <f t="shared" si="277"/>
        <v>2025</v>
      </c>
      <c r="N4422">
        <f t="shared" si="278"/>
        <v>140330.70000000001</v>
      </c>
      <c r="O4422" t="str">
        <f t="shared" si="279"/>
        <v>Major Delay</v>
      </c>
    </row>
    <row r="4423" spans="1:15" x14ac:dyDescent="0.25">
      <c r="A4423">
        <v>4422</v>
      </c>
      <c r="B4423" s="2">
        <v>45997</v>
      </c>
      <c r="C4423" t="s">
        <v>26</v>
      </c>
      <c r="D4423" t="s">
        <v>27</v>
      </c>
      <c r="E4423" t="s">
        <v>23</v>
      </c>
      <c r="F4423" t="s">
        <v>14</v>
      </c>
      <c r="G4423">
        <v>224</v>
      </c>
      <c r="H4423">
        <v>766.28</v>
      </c>
      <c r="I4423">
        <v>30</v>
      </c>
      <c r="J4423" t="s">
        <v>15</v>
      </c>
      <c r="K4423">
        <v>171646.72</v>
      </c>
      <c r="L4423" t="str">
        <f t="shared" si="276"/>
        <v>Dec</v>
      </c>
      <c r="M4423">
        <f t="shared" si="277"/>
        <v>2025</v>
      </c>
      <c r="N4423">
        <f t="shared" si="278"/>
        <v>171646.72</v>
      </c>
      <c r="O4423" t="str">
        <f t="shared" si="279"/>
        <v>Minor Delay</v>
      </c>
    </row>
    <row r="4424" spans="1:15" x14ac:dyDescent="0.25">
      <c r="A4424">
        <v>4423</v>
      </c>
      <c r="B4424" s="2">
        <v>45712</v>
      </c>
      <c r="C4424" t="s">
        <v>18</v>
      </c>
      <c r="D4424" t="s">
        <v>17</v>
      </c>
      <c r="E4424" t="s">
        <v>29</v>
      </c>
      <c r="F4424" t="s">
        <v>24</v>
      </c>
      <c r="G4424">
        <v>116</v>
      </c>
      <c r="H4424">
        <v>550.17999999999995</v>
      </c>
      <c r="I4424">
        <v>50</v>
      </c>
      <c r="J4424" t="s">
        <v>15</v>
      </c>
      <c r="K4424">
        <v>63820.88</v>
      </c>
      <c r="L4424" t="str">
        <f t="shared" si="276"/>
        <v>Feb</v>
      </c>
      <c r="M4424">
        <f t="shared" si="277"/>
        <v>2025</v>
      </c>
      <c r="N4424">
        <f t="shared" si="278"/>
        <v>63820.88</v>
      </c>
      <c r="O4424" t="str">
        <f t="shared" si="279"/>
        <v>Moderate Delay</v>
      </c>
    </row>
    <row r="4425" spans="1:15" x14ac:dyDescent="0.25">
      <c r="A4425">
        <v>4424</v>
      </c>
      <c r="B4425" s="2">
        <v>45875</v>
      </c>
      <c r="C4425" t="s">
        <v>25</v>
      </c>
      <c r="D4425" t="s">
        <v>23</v>
      </c>
      <c r="E4425" t="s">
        <v>12</v>
      </c>
      <c r="F4425" t="s">
        <v>24</v>
      </c>
      <c r="G4425">
        <v>164</v>
      </c>
      <c r="H4425">
        <v>249.74</v>
      </c>
      <c r="I4425">
        <v>5</v>
      </c>
      <c r="J4425" t="s">
        <v>15</v>
      </c>
      <c r="K4425">
        <v>40957.360000000001</v>
      </c>
      <c r="L4425" t="str">
        <f t="shared" si="276"/>
        <v>Aug</v>
      </c>
      <c r="M4425">
        <f t="shared" si="277"/>
        <v>2025</v>
      </c>
      <c r="N4425">
        <f t="shared" si="278"/>
        <v>40957.360000000001</v>
      </c>
      <c r="O4425" t="str">
        <f t="shared" si="279"/>
        <v>Minor Delay</v>
      </c>
    </row>
    <row r="4426" spans="1:15" x14ac:dyDescent="0.25">
      <c r="A4426">
        <v>4425</v>
      </c>
      <c r="B4426" s="2">
        <v>45946</v>
      </c>
      <c r="C4426" t="s">
        <v>31</v>
      </c>
      <c r="D4426" t="s">
        <v>27</v>
      </c>
      <c r="E4426" t="s">
        <v>17</v>
      </c>
      <c r="F4426" t="s">
        <v>21</v>
      </c>
      <c r="G4426">
        <v>263</v>
      </c>
      <c r="H4426">
        <v>700.02</v>
      </c>
      <c r="I4426">
        <v>4</v>
      </c>
      <c r="J4426" t="s">
        <v>15</v>
      </c>
      <c r="K4426">
        <v>184105.26</v>
      </c>
      <c r="L4426" t="str">
        <f t="shared" si="276"/>
        <v>Oct</v>
      </c>
      <c r="M4426">
        <f t="shared" si="277"/>
        <v>2025</v>
      </c>
      <c r="N4426">
        <f t="shared" si="278"/>
        <v>184105.26</v>
      </c>
      <c r="O4426" t="str">
        <f t="shared" si="279"/>
        <v>Minor Delay</v>
      </c>
    </row>
    <row r="4427" spans="1:15" x14ac:dyDescent="0.25">
      <c r="A4427">
        <v>4426</v>
      </c>
      <c r="B4427" s="2">
        <v>45796</v>
      </c>
      <c r="C4427" t="s">
        <v>31</v>
      </c>
      <c r="D4427" t="s">
        <v>22</v>
      </c>
      <c r="E4427" t="s">
        <v>27</v>
      </c>
      <c r="F4427" t="s">
        <v>14</v>
      </c>
      <c r="G4427">
        <v>295</v>
      </c>
      <c r="H4427">
        <v>616.05999999999995</v>
      </c>
      <c r="I4427">
        <v>0</v>
      </c>
      <c r="J4427" t="s">
        <v>15</v>
      </c>
      <c r="K4427">
        <v>181737.7</v>
      </c>
      <c r="L4427" t="str">
        <f t="shared" si="276"/>
        <v>May</v>
      </c>
      <c r="M4427">
        <f t="shared" si="277"/>
        <v>2025</v>
      </c>
      <c r="N4427">
        <f t="shared" si="278"/>
        <v>181737.69999999998</v>
      </c>
      <c r="O4427" t="str">
        <f t="shared" si="279"/>
        <v>On Time</v>
      </c>
    </row>
    <row r="4428" spans="1:15" x14ac:dyDescent="0.25">
      <c r="A4428">
        <v>4427</v>
      </c>
      <c r="B4428" s="2">
        <v>45986</v>
      </c>
      <c r="C4428" t="s">
        <v>11</v>
      </c>
      <c r="D4428" t="s">
        <v>17</v>
      </c>
      <c r="E4428" t="s">
        <v>27</v>
      </c>
      <c r="F4428" t="s">
        <v>24</v>
      </c>
      <c r="G4428">
        <v>124</v>
      </c>
      <c r="H4428">
        <v>762.72</v>
      </c>
      <c r="I4428">
        <v>0</v>
      </c>
      <c r="J4428" t="s">
        <v>15</v>
      </c>
      <c r="K4428">
        <v>94577.279999999999</v>
      </c>
      <c r="L4428" t="str">
        <f t="shared" si="276"/>
        <v>Nov</v>
      </c>
      <c r="M4428">
        <f t="shared" si="277"/>
        <v>2025</v>
      </c>
      <c r="N4428">
        <f t="shared" si="278"/>
        <v>94577.279999999999</v>
      </c>
      <c r="O4428" t="str">
        <f t="shared" si="279"/>
        <v>On Time</v>
      </c>
    </row>
    <row r="4429" spans="1:15" x14ac:dyDescent="0.25">
      <c r="A4429">
        <v>4428</v>
      </c>
      <c r="B4429" s="2">
        <v>45768</v>
      </c>
      <c r="C4429" t="s">
        <v>18</v>
      </c>
      <c r="D4429" t="s">
        <v>20</v>
      </c>
      <c r="E4429" t="s">
        <v>22</v>
      </c>
      <c r="F4429" t="s">
        <v>24</v>
      </c>
      <c r="G4429">
        <v>63</v>
      </c>
      <c r="H4429">
        <v>113.63</v>
      </c>
      <c r="I4429">
        <v>19</v>
      </c>
      <c r="J4429" t="s">
        <v>15</v>
      </c>
      <c r="K4429">
        <v>7158.69</v>
      </c>
      <c r="L4429" t="str">
        <f t="shared" si="276"/>
        <v>Apr</v>
      </c>
      <c r="M4429">
        <f t="shared" si="277"/>
        <v>2025</v>
      </c>
      <c r="N4429">
        <f t="shared" si="278"/>
        <v>7158.69</v>
      </c>
      <c r="O4429" t="str">
        <f t="shared" si="279"/>
        <v>Minor Delay</v>
      </c>
    </row>
    <row r="4430" spans="1:15" x14ac:dyDescent="0.25">
      <c r="A4430">
        <v>4429</v>
      </c>
      <c r="B4430" s="2">
        <v>45878</v>
      </c>
      <c r="C4430" t="s">
        <v>25</v>
      </c>
      <c r="D4430" t="s">
        <v>19</v>
      </c>
      <c r="E4430" t="s">
        <v>12</v>
      </c>
      <c r="F4430" t="s">
        <v>24</v>
      </c>
      <c r="G4430">
        <v>141</v>
      </c>
      <c r="H4430">
        <v>560.08000000000004</v>
      </c>
      <c r="I4430">
        <v>0</v>
      </c>
      <c r="J4430" t="s">
        <v>30</v>
      </c>
      <c r="K4430">
        <v>78971.28</v>
      </c>
      <c r="L4430" t="str">
        <f t="shared" si="276"/>
        <v>Aug</v>
      </c>
      <c r="M4430">
        <f t="shared" si="277"/>
        <v>2025</v>
      </c>
      <c r="N4430">
        <f t="shared" si="278"/>
        <v>78971.28</v>
      </c>
      <c r="O4430" t="str">
        <f t="shared" si="279"/>
        <v>On Time</v>
      </c>
    </row>
    <row r="4431" spans="1:15" x14ac:dyDescent="0.25">
      <c r="A4431">
        <v>4430</v>
      </c>
      <c r="B4431" s="2">
        <v>45882</v>
      </c>
      <c r="C4431" t="s">
        <v>31</v>
      </c>
      <c r="D4431" t="s">
        <v>23</v>
      </c>
      <c r="E4431" t="s">
        <v>19</v>
      </c>
      <c r="F4431" t="s">
        <v>14</v>
      </c>
      <c r="G4431">
        <v>119</v>
      </c>
      <c r="H4431">
        <v>385.89</v>
      </c>
      <c r="I4431">
        <v>0</v>
      </c>
      <c r="J4431" t="s">
        <v>15</v>
      </c>
      <c r="K4431">
        <v>45920.91</v>
      </c>
      <c r="L4431" t="str">
        <f t="shared" si="276"/>
        <v>Aug</v>
      </c>
      <c r="M4431">
        <f t="shared" si="277"/>
        <v>2025</v>
      </c>
      <c r="N4431">
        <f t="shared" si="278"/>
        <v>45920.909999999996</v>
      </c>
      <c r="O4431" t="str">
        <f t="shared" si="279"/>
        <v>On Time</v>
      </c>
    </row>
    <row r="4432" spans="1:15" x14ac:dyDescent="0.25">
      <c r="A4432">
        <v>4431</v>
      </c>
      <c r="B4432" s="2">
        <v>45857</v>
      </c>
      <c r="C4432" t="s">
        <v>26</v>
      </c>
      <c r="D4432" t="s">
        <v>20</v>
      </c>
      <c r="E4432" t="s">
        <v>19</v>
      </c>
      <c r="F4432" t="s">
        <v>14</v>
      </c>
      <c r="G4432">
        <v>255</v>
      </c>
      <c r="H4432">
        <v>436.63</v>
      </c>
      <c r="I4432">
        <v>0</v>
      </c>
      <c r="J4432" t="s">
        <v>15</v>
      </c>
      <c r="K4432">
        <v>111340.65</v>
      </c>
      <c r="L4432" t="str">
        <f t="shared" si="276"/>
        <v>Jul</v>
      </c>
      <c r="M4432">
        <f t="shared" si="277"/>
        <v>2025</v>
      </c>
      <c r="N4432">
        <f t="shared" si="278"/>
        <v>111340.65</v>
      </c>
      <c r="O4432" t="str">
        <f t="shared" si="279"/>
        <v>On Time</v>
      </c>
    </row>
    <row r="4433" spans="1:15" x14ac:dyDescent="0.25">
      <c r="A4433">
        <v>4432</v>
      </c>
      <c r="B4433" s="2">
        <v>45683</v>
      </c>
      <c r="C4433" t="s">
        <v>11</v>
      </c>
      <c r="D4433" t="s">
        <v>17</v>
      </c>
      <c r="E4433" t="s">
        <v>29</v>
      </c>
      <c r="F4433" t="s">
        <v>21</v>
      </c>
      <c r="G4433">
        <v>298</v>
      </c>
      <c r="H4433">
        <v>761.93</v>
      </c>
      <c r="I4433">
        <v>28</v>
      </c>
      <c r="J4433" t="s">
        <v>15</v>
      </c>
      <c r="K4433">
        <v>227055.14</v>
      </c>
      <c r="L4433" t="str">
        <f t="shared" si="276"/>
        <v>Jan</v>
      </c>
      <c r="M4433">
        <f t="shared" si="277"/>
        <v>2025</v>
      </c>
      <c r="N4433">
        <f t="shared" si="278"/>
        <v>227055.13999999998</v>
      </c>
      <c r="O4433" t="str">
        <f t="shared" si="279"/>
        <v>Minor Delay</v>
      </c>
    </row>
    <row r="4434" spans="1:15" x14ac:dyDescent="0.25">
      <c r="A4434">
        <v>4433</v>
      </c>
      <c r="B4434" s="2">
        <v>45912</v>
      </c>
      <c r="C4434" t="s">
        <v>16</v>
      </c>
      <c r="D4434" t="s">
        <v>19</v>
      </c>
      <c r="E4434" t="s">
        <v>17</v>
      </c>
      <c r="F4434" t="s">
        <v>14</v>
      </c>
      <c r="G4434">
        <v>143</v>
      </c>
      <c r="H4434">
        <v>348.15</v>
      </c>
      <c r="I4434">
        <v>4</v>
      </c>
      <c r="J4434" t="s">
        <v>15</v>
      </c>
      <c r="K4434">
        <v>49785.45</v>
      </c>
      <c r="L4434" t="str">
        <f t="shared" si="276"/>
        <v>Sep</v>
      </c>
      <c r="M4434">
        <f t="shared" si="277"/>
        <v>2025</v>
      </c>
      <c r="N4434">
        <f t="shared" si="278"/>
        <v>49785.45</v>
      </c>
      <c r="O4434" t="str">
        <f t="shared" si="279"/>
        <v>Minor Delay</v>
      </c>
    </row>
    <row r="4435" spans="1:15" x14ac:dyDescent="0.25">
      <c r="A4435">
        <v>4434</v>
      </c>
      <c r="B4435" s="2">
        <v>45671</v>
      </c>
      <c r="C4435" t="s">
        <v>31</v>
      </c>
      <c r="D4435" t="s">
        <v>19</v>
      </c>
      <c r="E4435" t="s">
        <v>13</v>
      </c>
      <c r="F4435" t="s">
        <v>24</v>
      </c>
      <c r="G4435">
        <v>167</v>
      </c>
      <c r="H4435">
        <v>548.20000000000005</v>
      </c>
      <c r="I4435">
        <v>21</v>
      </c>
      <c r="J4435" t="s">
        <v>30</v>
      </c>
      <c r="K4435">
        <v>91549.4</v>
      </c>
      <c r="L4435" t="str">
        <f t="shared" si="276"/>
        <v>Jan</v>
      </c>
      <c r="M4435">
        <f t="shared" si="277"/>
        <v>2025</v>
      </c>
      <c r="N4435">
        <f t="shared" si="278"/>
        <v>91549.400000000009</v>
      </c>
      <c r="O4435" t="str">
        <f t="shared" si="279"/>
        <v>Minor Delay</v>
      </c>
    </row>
    <row r="4436" spans="1:15" x14ac:dyDescent="0.25">
      <c r="A4436">
        <v>4435</v>
      </c>
      <c r="B4436" s="2">
        <v>45846</v>
      </c>
      <c r="C4436" t="s">
        <v>11</v>
      </c>
      <c r="D4436" t="s">
        <v>22</v>
      </c>
      <c r="E4436" t="s">
        <v>12</v>
      </c>
      <c r="F4436" t="s">
        <v>14</v>
      </c>
      <c r="G4436">
        <v>230</v>
      </c>
      <c r="H4436">
        <v>285.64999999999998</v>
      </c>
      <c r="I4436">
        <v>6</v>
      </c>
      <c r="J4436" t="s">
        <v>15</v>
      </c>
      <c r="K4436">
        <v>65699.5</v>
      </c>
      <c r="L4436" t="str">
        <f t="shared" si="276"/>
        <v>Jul</v>
      </c>
      <c r="M4436">
        <f t="shared" si="277"/>
        <v>2025</v>
      </c>
      <c r="N4436">
        <f t="shared" si="278"/>
        <v>65699.5</v>
      </c>
      <c r="O4436" t="str">
        <f t="shared" si="279"/>
        <v>Minor Delay</v>
      </c>
    </row>
    <row r="4437" spans="1:15" x14ac:dyDescent="0.25">
      <c r="A4437">
        <v>4436</v>
      </c>
      <c r="B4437" s="2">
        <v>45828</v>
      </c>
      <c r="C4437" t="s">
        <v>18</v>
      </c>
      <c r="D4437" t="s">
        <v>27</v>
      </c>
      <c r="E4437" t="s">
        <v>13</v>
      </c>
      <c r="F4437" t="s">
        <v>21</v>
      </c>
      <c r="G4437">
        <v>104</v>
      </c>
      <c r="H4437">
        <v>361.38</v>
      </c>
      <c r="I4437">
        <v>40</v>
      </c>
      <c r="J4437" t="s">
        <v>15</v>
      </c>
      <c r="K4437">
        <v>37583.519999999997</v>
      </c>
      <c r="L4437" t="str">
        <f t="shared" si="276"/>
        <v>Jun</v>
      </c>
      <c r="M4437">
        <f t="shared" si="277"/>
        <v>2025</v>
      </c>
      <c r="N4437">
        <f t="shared" si="278"/>
        <v>37583.519999999997</v>
      </c>
      <c r="O4437" t="str">
        <f t="shared" si="279"/>
        <v>Moderate Delay</v>
      </c>
    </row>
    <row r="4438" spans="1:15" x14ac:dyDescent="0.25">
      <c r="A4438">
        <v>4437</v>
      </c>
      <c r="B4438" s="2">
        <v>45761</v>
      </c>
      <c r="C4438" t="s">
        <v>26</v>
      </c>
      <c r="D4438" t="s">
        <v>19</v>
      </c>
      <c r="E4438" t="s">
        <v>13</v>
      </c>
      <c r="F4438" t="s">
        <v>14</v>
      </c>
      <c r="G4438">
        <v>260</v>
      </c>
      <c r="H4438">
        <v>733.56</v>
      </c>
      <c r="I4438">
        <v>20</v>
      </c>
      <c r="J4438" t="s">
        <v>15</v>
      </c>
      <c r="K4438">
        <v>190725.6</v>
      </c>
      <c r="L4438" t="str">
        <f t="shared" si="276"/>
        <v>Apr</v>
      </c>
      <c r="M4438">
        <f t="shared" si="277"/>
        <v>2025</v>
      </c>
      <c r="N4438">
        <f t="shared" si="278"/>
        <v>190725.59999999998</v>
      </c>
      <c r="O4438" t="str">
        <f t="shared" si="279"/>
        <v>Minor Delay</v>
      </c>
    </row>
    <row r="4439" spans="1:15" x14ac:dyDescent="0.25">
      <c r="A4439">
        <v>4438</v>
      </c>
      <c r="B4439" s="2">
        <v>45959</v>
      </c>
      <c r="C4439" t="s">
        <v>31</v>
      </c>
      <c r="D4439" t="s">
        <v>19</v>
      </c>
      <c r="E4439" t="s">
        <v>29</v>
      </c>
      <c r="F4439" t="s">
        <v>24</v>
      </c>
      <c r="G4439">
        <v>161</v>
      </c>
      <c r="H4439">
        <v>601.88</v>
      </c>
      <c r="I4439">
        <v>55</v>
      </c>
      <c r="J4439" t="s">
        <v>15</v>
      </c>
      <c r="K4439">
        <v>96902.68</v>
      </c>
      <c r="L4439" t="str">
        <f t="shared" si="276"/>
        <v>Oct</v>
      </c>
      <c r="M4439">
        <f t="shared" si="277"/>
        <v>2025</v>
      </c>
      <c r="N4439">
        <f t="shared" si="278"/>
        <v>96902.68</v>
      </c>
      <c r="O4439" t="str">
        <f t="shared" si="279"/>
        <v>Moderate Delay</v>
      </c>
    </row>
    <row r="4440" spans="1:15" x14ac:dyDescent="0.25">
      <c r="A4440">
        <v>4439</v>
      </c>
      <c r="B4440" s="2">
        <v>45672</v>
      </c>
      <c r="C4440" t="s">
        <v>25</v>
      </c>
      <c r="D4440" t="s">
        <v>20</v>
      </c>
      <c r="E4440" t="s">
        <v>27</v>
      </c>
      <c r="F4440" t="s">
        <v>24</v>
      </c>
      <c r="G4440">
        <v>255</v>
      </c>
      <c r="H4440">
        <v>92.2</v>
      </c>
      <c r="I4440">
        <v>48</v>
      </c>
      <c r="J4440" t="s">
        <v>30</v>
      </c>
      <c r="K4440">
        <v>23511</v>
      </c>
      <c r="L4440" t="str">
        <f t="shared" si="276"/>
        <v>Jan</v>
      </c>
      <c r="M4440">
        <f t="shared" si="277"/>
        <v>2025</v>
      </c>
      <c r="N4440">
        <f t="shared" si="278"/>
        <v>23511</v>
      </c>
      <c r="O4440" t="str">
        <f t="shared" si="279"/>
        <v>Moderate Delay</v>
      </c>
    </row>
    <row r="4441" spans="1:15" x14ac:dyDescent="0.25">
      <c r="A4441">
        <v>4440</v>
      </c>
      <c r="B4441" s="2">
        <v>45780</v>
      </c>
      <c r="C4441" t="s">
        <v>11</v>
      </c>
      <c r="D4441" t="s">
        <v>12</v>
      </c>
      <c r="E4441" t="s">
        <v>22</v>
      </c>
      <c r="F4441" t="s">
        <v>24</v>
      </c>
      <c r="G4441">
        <v>58</v>
      </c>
      <c r="H4441">
        <v>794.72</v>
      </c>
      <c r="I4441">
        <v>28</v>
      </c>
      <c r="J4441" t="s">
        <v>15</v>
      </c>
      <c r="K4441">
        <v>46093.760000000002</v>
      </c>
      <c r="L4441" t="str">
        <f t="shared" si="276"/>
        <v>May</v>
      </c>
      <c r="M4441">
        <f t="shared" si="277"/>
        <v>2025</v>
      </c>
      <c r="N4441">
        <f t="shared" si="278"/>
        <v>46093.760000000002</v>
      </c>
      <c r="O4441" t="str">
        <f t="shared" si="279"/>
        <v>Minor Delay</v>
      </c>
    </row>
    <row r="4442" spans="1:15" x14ac:dyDescent="0.25">
      <c r="A4442">
        <v>4441</v>
      </c>
      <c r="B4442" s="2">
        <v>45816</v>
      </c>
      <c r="C4442" t="s">
        <v>26</v>
      </c>
      <c r="D4442" t="s">
        <v>12</v>
      </c>
      <c r="E4442" t="s">
        <v>27</v>
      </c>
      <c r="F4442" t="s">
        <v>14</v>
      </c>
      <c r="G4442">
        <v>149</v>
      </c>
      <c r="H4442">
        <v>474.27</v>
      </c>
      <c r="I4442">
        <v>55</v>
      </c>
      <c r="J4442" t="s">
        <v>30</v>
      </c>
      <c r="K4442">
        <v>70666.23</v>
      </c>
      <c r="L4442" t="str">
        <f t="shared" si="276"/>
        <v>Jun</v>
      </c>
      <c r="M4442">
        <f t="shared" si="277"/>
        <v>2025</v>
      </c>
      <c r="N4442">
        <f t="shared" si="278"/>
        <v>70666.23</v>
      </c>
      <c r="O4442" t="str">
        <f t="shared" si="279"/>
        <v>Moderate Delay</v>
      </c>
    </row>
    <row r="4443" spans="1:15" x14ac:dyDescent="0.25">
      <c r="A4443">
        <v>4442</v>
      </c>
      <c r="B4443" s="2">
        <v>45915</v>
      </c>
      <c r="C4443" t="s">
        <v>25</v>
      </c>
      <c r="D4443" t="s">
        <v>17</v>
      </c>
      <c r="E4443" t="s">
        <v>19</v>
      </c>
      <c r="F4443" t="s">
        <v>24</v>
      </c>
      <c r="G4443">
        <v>161</v>
      </c>
      <c r="H4443">
        <v>197.98</v>
      </c>
      <c r="I4443">
        <v>39</v>
      </c>
      <c r="J4443" t="s">
        <v>15</v>
      </c>
      <c r="K4443">
        <v>31874.78</v>
      </c>
      <c r="L4443" t="str">
        <f t="shared" si="276"/>
        <v>Sep</v>
      </c>
      <c r="M4443">
        <f t="shared" si="277"/>
        <v>2025</v>
      </c>
      <c r="N4443">
        <f t="shared" si="278"/>
        <v>31874.78</v>
      </c>
      <c r="O4443" t="str">
        <f t="shared" si="279"/>
        <v>Moderate Delay</v>
      </c>
    </row>
    <row r="4444" spans="1:15" x14ac:dyDescent="0.25">
      <c r="A4444">
        <v>4443</v>
      </c>
      <c r="B4444" s="2">
        <v>46020</v>
      </c>
      <c r="C4444" t="s">
        <v>18</v>
      </c>
      <c r="D4444" t="s">
        <v>22</v>
      </c>
      <c r="E4444" t="s">
        <v>27</v>
      </c>
      <c r="F4444" t="s">
        <v>24</v>
      </c>
      <c r="G4444">
        <v>263</v>
      </c>
      <c r="H4444">
        <v>64.599999999999994</v>
      </c>
      <c r="I4444">
        <v>0</v>
      </c>
      <c r="J4444" t="s">
        <v>30</v>
      </c>
      <c r="K4444">
        <v>16989.8</v>
      </c>
      <c r="L4444" t="str">
        <f t="shared" si="276"/>
        <v>Dec</v>
      </c>
      <c r="M4444">
        <f t="shared" si="277"/>
        <v>2025</v>
      </c>
      <c r="N4444">
        <f t="shared" si="278"/>
        <v>16989.8</v>
      </c>
      <c r="O4444" t="str">
        <f t="shared" si="279"/>
        <v>On Time</v>
      </c>
    </row>
    <row r="4445" spans="1:15" x14ac:dyDescent="0.25">
      <c r="A4445">
        <v>4444</v>
      </c>
      <c r="B4445" s="2">
        <v>45720</v>
      </c>
      <c r="C4445" t="s">
        <v>31</v>
      </c>
      <c r="D4445" t="s">
        <v>17</v>
      </c>
      <c r="E4445" t="s">
        <v>20</v>
      </c>
      <c r="F4445" t="s">
        <v>14</v>
      </c>
      <c r="G4445">
        <v>124</v>
      </c>
      <c r="H4445">
        <v>622.63</v>
      </c>
      <c r="I4445">
        <v>79</v>
      </c>
      <c r="J4445" t="s">
        <v>15</v>
      </c>
      <c r="K4445">
        <v>77206.12</v>
      </c>
      <c r="L4445" t="str">
        <f t="shared" si="276"/>
        <v>Mar</v>
      </c>
      <c r="M4445">
        <f t="shared" si="277"/>
        <v>2025</v>
      </c>
      <c r="N4445">
        <f t="shared" si="278"/>
        <v>77206.12</v>
      </c>
      <c r="O4445" t="str">
        <f t="shared" si="279"/>
        <v>Major Delay</v>
      </c>
    </row>
    <row r="4446" spans="1:15" x14ac:dyDescent="0.25">
      <c r="A4446">
        <v>4445</v>
      </c>
      <c r="B4446" s="2">
        <v>45798</v>
      </c>
      <c r="C4446" t="s">
        <v>11</v>
      </c>
      <c r="D4446" t="s">
        <v>23</v>
      </c>
      <c r="E4446" t="s">
        <v>12</v>
      </c>
      <c r="F4446" t="s">
        <v>24</v>
      </c>
      <c r="G4446">
        <v>179</v>
      </c>
      <c r="H4446">
        <v>327.55</v>
      </c>
      <c r="I4446">
        <v>20</v>
      </c>
      <c r="J4446" t="s">
        <v>15</v>
      </c>
      <c r="K4446">
        <v>58631.45</v>
      </c>
      <c r="L4446" t="str">
        <f t="shared" si="276"/>
        <v>May</v>
      </c>
      <c r="M4446">
        <f t="shared" si="277"/>
        <v>2025</v>
      </c>
      <c r="N4446">
        <f t="shared" si="278"/>
        <v>58631.450000000004</v>
      </c>
      <c r="O4446" t="str">
        <f t="shared" si="279"/>
        <v>Minor Delay</v>
      </c>
    </row>
    <row r="4447" spans="1:15" x14ac:dyDescent="0.25">
      <c r="A4447">
        <v>4446</v>
      </c>
      <c r="B4447" s="2">
        <v>45746</v>
      </c>
      <c r="C4447" t="s">
        <v>18</v>
      </c>
      <c r="D4447" t="s">
        <v>27</v>
      </c>
      <c r="E4447" t="s">
        <v>20</v>
      </c>
      <c r="F4447" t="s">
        <v>14</v>
      </c>
      <c r="G4447">
        <v>231</v>
      </c>
      <c r="H4447">
        <v>251.1</v>
      </c>
      <c r="I4447">
        <v>29</v>
      </c>
      <c r="J4447" t="s">
        <v>15</v>
      </c>
      <c r="K4447">
        <v>58004.1</v>
      </c>
      <c r="L4447" t="str">
        <f t="shared" si="276"/>
        <v>Mar</v>
      </c>
      <c r="M4447">
        <f t="shared" si="277"/>
        <v>2025</v>
      </c>
      <c r="N4447">
        <f t="shared" si="278"/>
        <v>58004.1</v>
      </c>
      <c r="O4447" t="str">
        <f t="shared" si="279"/>
        <v>Minor Delay</v>
      </c>
    </row>
    <row r="4448" spans="1:15" x14ac:dyDescent="0.25">
      <c r="A4448">
        <v>4447</v>
      </c>
      <c r="B4448" s="2">
        <v>45727</v>
      </c>
      <c r="C4448" t="s">
        <v>11</v>
      </c>
      <c r="D4448" t="s">
        <v>12</v>
      </c>
      <c r="E4448" t="s">
        <v>19</v>
      </c>
      <c r="F4448" t="s">
        <v>21</v>
      </c>
      <c r="G4448">
        <v>106</v>
      </c>
      <c r="H4448">
        <v>486.42</v>
      </c>
      <c r="I4448">
        <v>0</v>
      </c>
      <c r="J4448" t="s">
        <v>30</v>
      </c>
      <c r="K4448">
        <v>51560.52</v>
      </c>
      <c r="L4448" t="str">
        <f t="shared" si="276"/>
        <v>Mar</v>
      </c>
      <c r="M4448">
        <f t="shared" si="277"/>
        <v>2025</v>
      </c>
      <c r="N4448">
        <f t="shared" si="278"/>
        <v>51560.520000000004</v>
      </c>
      <c r="O4448" t="str">
        <f t="shared" si="279"/>
        <v>On Time</v>
      </c>
    </row>
    <row r="4449" spans="1:15" x14ac:dyDescent="0.25">
      <c r="A4449">
        <v>4448</v>
      </c>
      <c r="B4449" s="2">
        <v>45818</v>
      </c>
      <c r="C4449" t="s">
        <v>31</v>
      </c>
      <c r="D4449" t="s">
        <v>29</v>
      </c>
      <c r="E4449" t="s">
        <v>12</v>
      </c>
      <c r="F4449" t="s">
        <v>14</v>
      </c>
      <c r="G4449">
        <v>53</v>
      </c>
      <c r="H4449">
        <v>401.16</v>
      </c>
      <c r="I4449">
        <v>0</v>
      </c>
      <c r="J4449" t="s">
        <v>30</v>
      </c>
      <c r="K4449">
        <v>21261.48</v>
      </c>
      <c r="L4449" t="str">
        <f t="shared" si="276"/>
        <v>Jun</v>
      </c>
      <c r="M4449">
        <f t="shared" si="277"/>
        <v>2025</v>
      </c>
      <c r="N4449">
        <f t="shared" si="278"/>
        <v>21261.48</v>
      </c>
      <c r="O4449" t="str">
        <f t="shared" si="279"/>
        <v>On Time</v>
      </c>
    </row>
    <row r="4450" spans="1:15" x14ac:dyDescent="0.25">
      <c r="A4450">
        <v>4449</v>
      </c>
      <c r="B4450" s="2">
        <v>45996</v>
      </c>
      <c r="C4450" t="s">
        <v>25</v>
      </c>
      <c r="D4450" t="s">
        <v>19</v>
      </c>
      <c r="E4450" t="s">
        <v>29</v>
      </c>
      <c r="F4450" t="s">
        <v>14</v>
      </c>
      <c r="G4450">
        <v>124</v>
      </c>
      <c r="H4450">
        <v>591.6</v>
      </c>
      <c r="I4450">
        <v>38</v>
      </c>
      <c r="J4450" t="s">
        <v>15</v>
      </c>
      <c r="K4450">
        <v>73358.399999999994</v>
      </c>
      <c r="L4450" t="str">
        <f t="shared" si="276"/>
        <v>Dec</v>
      </c>
      <c r="M4450">
        <f t="shared" si="277"/>
        <v>2025</v>
      </c>
      <c r="N4450">
        <f t="shared" si="278"/>
        <v>73358.400000000009</v>
      </c>
      <c r="O4450" t="str">
        <f t="shared" si="279"/>
        <v>Moderate Delay</v>
      </c>
    </row>
    <row r="4451" spans="1:15" x14ac:dyDescent="0.25">
      <c r="A4451">
        <v>4450</v>
      </c>
      <c r="B4451" s="2">
        <v>45905</v>
      </c>
      <c r="C4451" t="s">
        <v>16</v>
      </c>
      <c r="D4451" t="s">
        <v>17</v>
      </c>
      <c r="E4451" t="s">
        <v>27</v>
      </c>
      <c r="F4451" t="s">
        <v>24</v>
      </c>
      <c r="G4451">
        <v>262</v>
      </c>
      <c r="H4451">
        <v>672.44</v>
      </c>
      <c r="I4451">
        <v>13</v>
      </c>
      <c r="J4451" t="s">
        <v>15</v>
      </c>
      <c r="K4451">
        <v>176179.28</v>
      </c>
      <c r="L4451" t="str">
        <f t="shared" si="276"/>
        <v>Sep</v>
      </c>
      <c r="M4451">
        <f t="shared" si="277"/>
        <v>2025</v>
      </c>
      <c r="N4451">
        <f t="shared" si="278"/>
        <v>176179.28000000003</v>
      </c>
      <c r="O4451" t="str">
        <f t="shared" si="279"/>
        <v>Minor Delay</v>
      </c>
    </row>
    <row r="4452" spans="1:15" x14ac:dyDescent="0.25">
      <c r="A4452">
        <v>4451</v>
      </c>
      <c r="B4452" s="2">
        <v>45857</v>
      </c>
      <c r="C4452" t="s">
        <v>16</v>
      </c>
      <c r="D4452" t="s">
        <v>20</v>
      </c>
      <c r="E4452" t="s">
        <v>17</v>
      </c>
      <c r="F4452" t="s">
        <v>24</v>
      </c>
      <c r="G4452">
        <v>130</v>
      </c>
      <c r="H4452">
        <v>369.09</v>
      </c>
      <c r="I4452">
        <v>4</v>
      </c>
      <c r="J4452" t="s">
        <v>15</v>
      </c>
      <c r="K4452">
        <v>47981.7</v>
      </c>
      <c r="L4452" t="str">
        <f t="shared" si="276"/>
        <v>Jul</v>
      </c>
      <c r="M4452">
        <f t="shared" si="277"/>
        <v>2025</v>
      </c>
      <c r="N4452">
        <f t="shared" si="278"/>
        <v>47981.7</v>
      </c>
      <c r="O4452" t="str">
        <f t="shared" si="279"/>
        <v>Minor Delay</v>
      </c>
    </row>
    <row r="4453" spans="1:15" x14ac:dyDescent="0.25">
      <c r="A4453">
        <v>4452</v>
      </c>
      <c r="B4453" s="2">
        <v>46009</v>
      </c>
      <c r="C4453" t="s">
        <v>25</v>
      </c>
      <c r="D4453" t="s">
        <v>12</v>
      </c>
      <c r="E4453" t="s">
        <v>20</v>
      </c>
      <c r="F4453" t="s">
        <v>24</v>
      </c>
      <c r="G4453">
        <v>144</v>
      </c>
      <c r="H4453">
        <v>385.73</v>
      </c>
      <c r="I4453">
        <v>10</v>
      </c>
      <c r="J4453" t="s">
        <v>15</v>
      </c>
      <c r="K4453">
        <v>55545.120000000003</v>
      </c>
      <c r="L4453" t="str">
        <f t="shared" si="276"/>
        <v>Dec</v>
      </c>
      <c r="M4453">
        <f t="shared" si="277"/>
        <v>2025</v>
      </c>
      <c r="N4453">
        <f t="shared" si="278"/>
        <v>55545.120000000003</v>
      </c>
      <c r="O4453" t="str">
        <f t="shared" si="279"/>
        <v>Minor Delay</v>
      </c>
    </row>
    <row r="4454" spans="1:15" x14ac:dyDescent="0.25">
      <c r="A4454">
        <v>4453</v>
      </c>
      <c r="B4454" s="2">
        <v>45848</v>
      </c>
      <c r="C4454" t="s">
        <v>18</v>
      </c>
      <c r="D4454" t="s">
        <v>20</v>
      </c>
      <c r="E4454" t="s">
        <v>17</v>
      </c>
      <c r="F4454" t="s">
        <v>21</v>
      </c>
      <c r="G4454">
        <v>160</v>
      </c>
      <c r="H4454">
        <v>344.8</v>
      </c>
      <c r="I4454">
        <v>38</v>
      </c>
      <c r="J4454" t="s">
        <v>15</v>
      </c>
      <c r="K4454">
        <v>55168</v>
      </c>
      <c r="L4454" t="str">
        <f t="shared" si="276"/>
        <v>Jul</v>
      </c>
      <c r="M4454">
        <f t="shared" si="277"/>
        <v>2025</v>
      </c>
      <c r="N4454">
        <f t="shared" si="278"/>
        <v>55168</v>
      </c>
      <c r="O4454" t="str">
        <f t="shared" si="279"/>
        <v>Moderate Delay</v>
      </c>
    </row>
    <row r="4455" spans="1:15" x14ac:dyDescent="0.25">
      <c r="A4455">
        <v>4454</v>
      </c>
      <c r="B4455" s="2">
        <v>45722</v>
      </c>
      <c r="C4455" t="s">
        <v>16</v>
      </c>
      <c r="D4455" t="s">
        <v>27</v>
      </c>
      <c r="E4455" t="s">
        <v>22</v>
      </c>
      <c r="F4455" t="s">
        <v>21</v>
      </c>
      <c r="G4455">
        <v>221</v>
      </c>
      <c r="H4455">
        <v>605.66999999999996</v>
      </c>
      <c r="I4455">
        <v>0</v>
      </c>
      <c r="J4455" t="s">
        <v>15</v>
      </c>
      <c r="K4455">
        <v>133853.07</v>
      </c>
      <c r="L4455" t="str">
        <f t="shared" si="276"/>
        <v>Mar</v>
      </c>
      <c r="M4455">
        <f t="shared" si="277"/>
        <v>2025</v>
      </c>
      <c r="N4455">
        <f t="shared" si="278"/>
        <v>133853.06999999998</v>
      </c>
      <c r="O4455" t="str">
        <f t="shared" si="279"/>
        <v>On Time</v>
      </c>
    </row>
    <row r="4456" spans="1:15" x14ac:dyDescent="0.25">
      <c r="A4456">
        <v>4455</v>
      </c>
      <c r="B4456" s="2">
        <v>45817</v>
      </c>
      <c r="C4456" t="s">
        <v>26</v>
      </c>
      <c r="D4456" t="s">
        <v>29</v>
      </c>
      <c r="E4456" t="s">
        <v>20</v>
      </c>
      <c r="F4456" t="s">
        <v>24</v>
      </c>
      <c r="G4456">
        <v>287</v>
      </c>
      <c r="H4456">
        <v>196.93</v>
      </c>
      <c r="I4456">
        <v>11</v>
      </c>
      <c r="J4456" t="s">
        <v>15</v>
      </c>
      <c r="K4456">
        <v>56518.91</v>
      </c>
      <c r="L4456" t="str">
        <f t="shared" si="276"/>
        <v>Jun</v>
      </c>
      <c r="M4456">
        <f t="shared" si="277"/>
        <v>2025</v>
      </c>
      <c r="N4456">
        <f t="shared" si="278"/>
        <v>56518.91</v>
      </c>
      <c r="O4456" t="str">
        <f t="shared" si="279"/>
        <v>Minor Delay</v>
      </c>
    </row>
    <row r="4457" spans="1:15" x14ac:dyDescent="0.25">
      <c r="A4457">
        <v>4456</v>
      </c>
      <c r="B4457" s="2">
        <v>45928</v>
      </c>
      <c r="C4457" t="s">
        <v>11</v>
      </c>
      <c r="D4457" t="s">
        <v>27</v>
      </c>
      <c r="E4457" t="s">
        <v>20</v>
      </c>
      <c r="F4457" t="s">
        <v>21</v>
      </c>
      <c r="G4457">
        <v>192</v>
      </c>
      <c r="H4457">
        <v>430.95</v>
      </c>
      <c r="I4457">
        <v>20</v>
      </c>
      <c r="J4457" t="s">
        <v>28</v>
      </c>
      <c r="K4457">
        <v>82742.399999999994</v>
      </c>
      <c r="L4457" t="str">
        <f t="shared" si="276"/>
        <v>Sep</v>
      </c>
      <c r="M4457">
        <f t="shared" si="277"/>
        <v>2025</v>
      </c>
      <c r="N4457">
        <f t="shared" si="278"/>
        <v>82742.399999999994</v>
      </c>
      <c r="O4457" t="str">
        <f t="shared" si="279"/>
        <v>Minor Delay</v>
      </c>
    </row>
    <row r="4458" spans="1:15" x14ac:dyDescent="0.25">
      <c r="A4458">
        <v>4457</v>
      </c>
      <c r="B4458" s="2">
        <v>45811</v>
      </c>
      <c r="C4458" t="s">
        <v>25</v>
      </c>
      <c r="D4458" t="s">
        <v>20</v>
      </c>
      <c r="E4458" t="s">
        <v>22</v>
      </c>
      <c r="F4458" t="s">
        <v>24</v>
      </c>
      <c r="G4458">
        <v>86</v>
      </c>
      <c r="H4458">
        <v>183.29</v>
      </c>
      <c r="I4458">
        <v>0</v>
      </c>
      <c r="J4458" t="s">
        <v>15</v>
      </c>
      <c r="K4458">
        <v>15762.94</v>
      </c>
      <c r="L4458" t="str">
        <f t="shared" si="276"/>
        <v>Jun</v>
      </c>
      <c r="M4458">
        <f t="shared" si="277"/>
        <v>2025</v>
      </c>
      <c r="N4458">
        <f t="shared" si="278"/>
        <v>15762.939999999999</v>
      </c>
      <c r="O4458" t="str">
        <f t="shared" si="279"/>
        <v>On Time</v>
      </c>
    </row>
    <row r="4459" spans="1:15" x14ac:dyDescent="0.25">
      <c r="A4459">
        <v>4458</v>
      </c>
      <c r="B4459" s="2">
        <v>45968</v>
      </c>
      <c r="C4459" t="s">
        <v>11</v>
      </c>
      <c r="D4459" t="s">
        <v>13</v>
      </c>
      <c r="E4459" t="s">
        <v>20</v>
      </c>
      <c r="F4459" t="s">
        <v>21</v>
      </c>
      <c r="G4459">
        <v>261</v>
      </c>
      <c r="H4459">
        <v>456.8</v>
      </c>
      <c r="I4459">
        <v>35</v>
      </c>
      <c r="J4459" t="s">
        <v>15</v>
      </c>
      <c r="K4459">
        <v>119224.8</v>
      </c>
      <c r="L4459" t="str">
        <f t="shared" si="276"/>
        <v>Nov</v>
      </c>
      <c r="M4459">
        <f t="shared" si="277"/>
        <v>2025</v>
      </c>
      <c r="N4459">
        <f t="shared" si="278"/>
        <v>119224.8</v>
      </c>
      <c r="O4459" t="str">
        <f t="shared" si="279"/>
        <v>Moderate Delay</v>
      </c>
    </row>
    <row r="4460" spans="1:15" x14ac:dyDescent="0.25">
      <c r="A4460">
        <v>4459</v>
      </c>
      <c r="B4460" s="2">
        <v>46009</v>
      </c>
      <c r="C4460" t="s">
        <v>26</v>
      </c>
      <c r="D4460" t="s">
        <v>19</v>
      </c>
      <c r="E4460" t="s">
        <v>20</v>
      </c>
      <c r="F4460" t="s">
        <v>14</v>
      </c>
      <c r="G4460">
        <v>65</v>
      </c>
      <c r="H4460">
        <v>341.13</v>
      </c>
      <c r="I4460">
        <v>0</v>
      </c>
      <c r="J4460" t="s">
        <v>30</v>
      </c>
      <c r="K4460">
        <v>22173.45</v>
      </c>
      <c r="L4460" t="str">
        <f t="shared" si="276"/>
        <v>Dec</v>
      </c>
      <c r="M4460">
        <f t="shared" si="277"/>
        <v>2025</v>
      </c>
      <c r="N4460">
        <f t="shared" si="278"/>
        <v>22173.45</v>
      </c>
      <c r="O4460" t="str">
        <f t="shared" si="279"/>
        <v>On Time</v>
      </c>
    </row>
    <row r="4461" spans="1:15" x14ac:dyDescent="0.25">
      <c r="A4461">
        <v>4460</v>
      </c>
      <c r="B4461" s="2">
        <v>45957</v>
      </c>
      <c r="C4461" t="s">
        <v>16</v>
      </c>
      <c r="D4461" t="s">
        <v>17</v>
      </c>
      <c r="E4461" t="s">
        <v>19</v>
      </c>
      <c r="F4461" t="s">
        <v>14</v>
      </c>
      <c r="G4461">
        <v>91</v>
      </c>
      <c r="H4461">
        <v>652.07000000000005</v>
      </c>
      <c r="I4461">
        <v>22</v>
      </c>
      <c r="J4461" t="s">
        <v>15</v>
      </c>
      <c r="K4461">
        <v>59338.37</v>
      </c>
      <c r="L4461" t="str">
        <f t="shared" si="276"/>
        <v>Oct</v>
      </c>
      <c r="M4461">
        <f t="shared" si="277"/>
        <v>2025</v>
      </c>
      <c r="N4461">
        <f t="shared" si="278"/>
        <v>59338.37</v>
      </c>
      <c r="O4461" t="str">
        <f t="shared" si="279"/>
        <v>Minor Delay</v>
      </c>
    </row>
    <row r="4462" spans="1:15" x14ac:dyDescent="0.25">
      <c r="A4462">
        <v>4461</v>
      </c>
      <c r="B4462" s="2">
        <v>45757</v>
      </c>
      <c r="C4462" t="s">
        <v>16</v>
      </c>
      <c r="D4462" t="s">
        <v>19</v>
      </c>
      <c r="E4462" t="s">
        <v>13</v>
      </c>
      <c r="F4462" t="s">
        <v>21</v>
      </c>
      <c r="G4462">
        <v>228</v>
      </c>
      <c r="H4462">
        <v>200.54</v>
      </c>
      <c r="I4462">
        <v>0</v>
      </c>
      <c r="J4462" t="s">
        <v>15</v>
      </c>
      <c r="K4462">
        <v>45723.12</v>
      </c>
      <c r="L4462" t="str">
        <f t="shared" si="276"/>
        <v>Apr</v>
      </c>
      <c r="M4462">
        <f t="shared" si="277"/>
        <v>2025</v>
      </c>
      <c r="N4462">
        <f t="shared" si="278"/>
        <v>45723.119999999995</v>
      </c>
      <c r="O4462" t="str">
        <f t="shared" si="279"/>
        <v>On Time</v>
      </c>
    </row>
    <row r="4463" spans="1:15" x14ac:dyDescent="0.25">
      <c r="A4463">
        <v>4462</v>
      </c>
      <c r="B4463" s="2">
        <v>45713</v>
      </c>
      <c r="C4463" t="s">
        <v>16</v>
      </c>
      <c r="D4463" t="s">
        <v>13</v>
      </c>
      <c r="E4463" t="s">
        <v>29</v>
      </c>
      <c r="F4463" t="s">
        <v>21</v>
      </c>
      <c r="G4463">
        <v>117</v>
      </c>
      <c r="H4463">
        <v>554.75</v>
      </c>
      <c r="I4463">
        <v>0</v>
      </c>
      <c r="J4463" t="s">
        <v>15</v>
      </c>
      <c r="K4463">
        <v>64905.75</v>
      </c>
      <c r="L4463" t="str">
        <f t="shared" si="276"/>
        <v>Feb</v>
      </c>
      <c r="M4463">
        <f t="shared" si="277"/>
        <v>2025</v>
      </c>
      <c r="N4463">
        <f t="shared" si="278"/>
        <v>64905.75</v>
      </c>
      <c r="O4463" t="str">
        <f t="shared" si="279"/>
        <v>On Time</v>
      </c>
    </row>
    <row r="4464" spans="1:15" x14ac:dyDescent="0.25">
      <c r="A4464">
        <v>4463</v>
      </c>
      <c r="B4464" s="2">
        <v>45833</v>
      </c>
      <c r="C4464" t="s">
        <v>31</v>
      </c>
      <c r="D4464" t="s">
        <v>23</v>
      </c>
      <c r="E4464" t="s">
        <v>17</v>
      </c>
      <c r="F4464" t="s">
        <v>24</v>
      </c>
      <c r="G4464">
        <v>131</v>
      </c>
      <c r="H4464">
        <v>334.93</v>
      </c>
      <c r="I4464">
        <v>12</v>
      </c>
      <c r="J4464" t="s">
        <v>15</v>
      </c>
      <c r="K4464">
        <v>43875.83</v>
      </c>
      <c r="L4464" t="str">
        <f t="shared" si="276"/>
        <v>Jun</v>
      </c>
      <c r="M4464">
        <f t="shared" si="277"/>
        <v>2025</v>
      </c>
      <c r="N4464">
        <f t="shared" si="278"/>
        <v>43875.83</v>
      </c>
      <c r="O4464" t="str">
        <f t="shared" si="279"/>
        <v>Minor Delay</v>
      </c>
    </row>
    <row r="4465" spans="1:15" x14ac:dyDescent="0.25">
      <c r="A4465">
        <v>4464</v>
      </c>
      <c r="B4465" s="2">
        <v>45696</v>
      </c>
      <c r="C4465" t="s">
        <v>26</v>
      </c>
      <c r="D4465" t="s">
        <v>12</v>
      </c>
      <c r="E4465" t="s">
        <v>17</v>
      </c>
      <c r="F4465" t="s">
        <v>14</v>
      </c>
      <c r="G4465">
        <v>155</v>
      </c>
      <c r="H4465">
        <v>510.37</v>
      </c>
      <c r="I4465">
        <v>0</v>
      </c>
      <c r="J4465" t="s">
        <v>30</v>
      </c>
      <c r="K4465">
        <v>79107.350000000006</v>
      </c>
      <c r="L4465" t="str">
        <f t="shared" si="276"/>
        <v>Feb</v>
      </c>
      <c r="M4465">
        <f t="shared" si="277"/>
        <v>2025</v>
      </c>
      <c r="N4465">
        <f t="shared" si="278"/>
        <v>79107.350000000006</v>
      </c>
      <c r="O4465" t="str">
        <f t="shared" si="279"/>
        <v>On Time</v>
      </c>
    </row>
    <row r="4466" spans="1:15" x14ac:dyDescent="0.25">
      <c r="A4466">
        <v>4465</v>
      </c>
      <c r="B4466" s="2">
        <v>46020</v>
      </c>
      <c r="C4466" t="s">
        <v>31</v>
      </c>
      <c r="D4466" t="s">
        <v>22</v>
      </c>
      <c r="E4466" t="s">
        <v>27</v>
      </c>
      <c r="F4466" t="s">
        <v>14</v>
      </c>
      <c r="G4466">
        <v>131</v>
      </c>
      <c r="H4466">
        <v>113.91</v>
      </c>
      <c r="I4466">
        <v>0</v>
      </c>
      <c r="J4466" t="s">
        <v>15</v>
      </c>
      <c r="K4466">
        <v>14922.21</v>
      </c>
      <c r="L4466" t="str">
        <f t="shared" si="276"/>
        <v>Dec</v>
      </c>
      <c r="M4466">
        <f t="shared" si="277"/>
        <v>2025</v>
      </c>
      <c r="N4466">
        <f t="shared" si="278"/>
        <v>14922.21</v>
      </c>
      <c r="O4466" t="str">
        <f t="shared" si="279"/>
        <v>On Time</v>
      </c>
    </row>
    <row r="4467" spans="1:15" x14ac:dyDescent="0.25">
      <c r="A4467">
        <v>4466</v>
      </c>
      <c r="B4467" s="2">
        <v>46022</v>
      </c>
      <c r="C4467" t="s">
        <v>16</v>
      </c>
      <c r="D4467" t="s">
        <v>27</v>
      </c>
      <c r="E4467" t="s">
        <v>20</v>
      </c>
      <c r="F4467" t="s">
        <v>21</v>
      </c>
      <c r="G4467">
        <v>111</v>
      </c>
      <c r="H4467">
        <v>302.85000000000002</v>
      </c>
      <c r="I4467">
        <v>29</v>
      </c>
      <c r="J4467" t="s">
        <v>30</v>
      </c>
      <c r="K4467">
        <v>33616.35</v>
      </c>
      <c r="L4467" t="str">
        <f t="shared" si="276"/>
        <v>Dec</v>
      </c>
      <c r="M4467">
        <f t="shared" si="277"/>
        <v>2025</v>
      </c>
      <c r="N4467">
        <f t="shared" si="278"/>
        <v>33616.350000000006</v>
      </c>
      <c r="O4467" t="str">
        <f t="shared" si="279"/>
        <v>Minor Delay</v>
      </c>
    </row>
    <row r="4468" spans="1:15" x14ac:dyDescent="0.25">
      <c r="A4468">
        <v>4467</v>
      </c>
      <c r="B4468" s="2">
        <v>45784</v>
      </c>
      <c r="C4468" t="s">
        <v>25</v>
      </c>
      <c r="D4468" t="s">
        <v>17</v>
      </c>
      <c r="E4468" t="s">
        <v>20</v>
      </c>
      <c r="F4468" t="s">
        <v>14</v>
      </c>
      <c r="G4468">
        <v>256</v>
      </c>
      <c r="H4468">
        <v>682.32</v>
      </c>
      <c r="I4468">
        <v>12</v>
      </c>
      <c r="J4468" t="s">
        <v>15</v>
      </c>
      <c r="K4468">
        <v>174673.92000000001</v>
      </c>
      <c r="L4468" t="str">
        <f t="shared" si="276"/>
        <v>May</v>
      </c>
      <c r="M4468">
        <f t="shared" si="277"/>
        <v>2025</v>
      </c>
      <c r="N4468">
        <f t="shared" si="278"/>
        <v>174673.92000000001</v>
      </c>
      <c r="O4468" t="str">
        <f t="shared" si="279"/>
        <v>Minor Delay</v>
      </c>
    </row>
    <row r="4469" spans="1:15" x14ac:dyDescent="0.25">
      <c r="A4469">
        <v>4468</v>
      </c>
      <c r="B4469" s="2">
        <v>45998</v>
      </c>
      <c r="C4469" t="s">
        <v>26</v>
      </c>
      <c r="D4469" t="s">
        <v>27</v>
      </c>
      <c r="E4469" t="s">
        <v>17</v>
      </c>
      <c r="F4469" t="s">
        <v>14</v>
      </c>
      <c r="G4469">
        <v>168</v>
      </c>
      <c r="H4469">
        <v>543.46</v>
      </c>
      <c r="I4469">
        <v>0</v>
      </c>
      <c r="J4469" t="s">
        <v>30</v>
      </c>
      <c r="K4469">
        <v>91301.28</v>
      </c>
      <c r="L4469" t="str">
        <f t="shared" si="276"/>
        <v>Dec</v>
      </c>
      <c r="M4469">
        <f t="shared" si="277"/>
        <v>2025</v>
      </c>
      <c r="N4469">
        <f t="shared" si="278"/>
        <v>91301.28</v>
      </c>
      <c r="O4469" t="str">
        <f t="shared" si="279"/>
        <v>On Time</v>
      </c>
    </row>
    <row r="4470" spans="1:15" x14ac:dyDescent="0.25">
      <c r="A4470">
        <v>4469</v>
      </c>
      <c r="B4470" s="2">
        <v>45681</v>
      </c>
      <c r="C4470" t="s">
        <v>25</v>
      </c>
      <c r="D4470" t="s">
        <v>22</v>
      </c>
      <c r="E4470" t="s">
        <v>20</v>
      </c>
      <c r="F4470" t="s">
        <v>14</v>
      </c>
      <c r="G4470">
        <v>203</v>
      </c>
      <c r="H4470">
        <v>514.9</v>
      </c>
      <c r="I4470">
        <v>9</v>
      </c>
      <c r="J4470" t="s">
        <v>30</v>
      </c>
      <c r="K4470">
        <v>104524.7</v>
      </c>
      <c r="L4470" t="str">
        <f t="shared" si="276"/>
        <v>Jan</v>
      </c>
      <c r="M4470">
        <f t="shared" si="277"/>
        <v>2025</v>
      </c>
      <c r="N4470">
        <f t="shared" si="278"/>
        <v>104524.7</v>
      </c>
      <c r="O4470" t="str">
        <f t="shared" si="279"/>
        <v>Minor Delay</v>
      </c>
    </row>
    <row r="4471" spans="1:15" x14ac:dyDescent="0.25">
      <c r="A4471">
        <v>4470</v>
      </c>
      <c r="B4471" s="2">
        <v>45793</v>
      </c>
      <c r="C4471" t="s">
        <v>18</v>
      </c>
      <c r="D4471" t="s">
        <v>17</v>
      </c>
      <c r="E4471" t="s">
        <v>29</v>
      </c>
      <c r="F4471" t="s">
        <v>21</v>
      </c>
      <c r="G4471">
        <v>128</v>
      </c>
      <c r="H4471">
        <v>529.03</v>
      </c>
      <c r="I4471">
        <v>13</v>
      </c>
      <c r="J4471" t="s">
        <v>15</v>
      </c>
      <c r="K4471">
        <v>67715.839999999997</v>
      </c>
      <c r="L4471" t="str">
        <f t="shared" si="276"/>
        <v>May</v>
      </c>
      <c r="M4471">
        <f t="shared" si="277"/>
        <v>2025</v>
      </c>
      <c r="N4471">
        <f t="shared" si="278"/>
        <v>67715.839999999997</v>
      </c>
      <c r="O4471" t="str">
        <f t="shared" si="279"/>
        <v>Minor Delay</v>
      </c>
    </row>
    <row r="4472" spans="1:15" x14ac:dyDescent="0.25">
      <c r="A4472">
        <v>4471</v>
      </c>
      <c r="B4472" s="2">
        <v>45859</v>
      </c>
      <c r="C4472" t="s">
        <v>25</v>
      </c>
      <c r="D4472" t="s">
        <v>29</v>
      </c>
      <c r="E4472" t="s">
        <v>23</v>
      </c>
      <c r="F4472" t="s">
        <v>21</v>
      </c>
      <c r="G4472">
        <v>122</v>
      </c>
      <c r="H4472">
        <v>161.66999999999999</v>
      </c>
      <c r="I4472">
        <v>0</v>
      </c>
      <c r="J4472" t="s">
        <v>15</v>
      </c>
      <c r="K4472">
        <v>19723.740000000002</v>
      </c>
      <c r="L4472" t="str">
        <f t="shared" si="276"/>
        <v>Jul</v>
      </c>
      <c r="M4472">
        <f t="shared" si="277"/>
        <v>2025</v>
      </c>
      <c r="N4472">
        <f t="shared" si="278"/>
        <v>19723.739999999998</v>
      </c>
      <c r="O4472" t="str">
        <f t="shared" si="279"/>
        <v>On Time</v>
      </c>
    </row>
    <row r="4473" spans="1:15" x14ac:dyDescent="0.25">
      <c r="A4473">
        <v>4472</v>
      </c>
      <c r="B4473" s="2">
        <v>45880</v>
      </c>
      <c r="C4473" t="s">
        <v>18</v>
      </c>
      <c r="D4473" t="s">
        <v>20</v>
      </c>
      <c r="E4473" t="s">
        <v>19</v>
      </c>
      <c r="F4473" t="s">
        <v>21</v>
      </c>
      <c r="G4473">
        <v>236</v>
      </c>
      <c r="H4473">
        <v>680.46</v>
      </c>
      <c r="I4473">
        <v>16</v>
      </c>
      <c r="J4473" t="s">
        <v>30</v>
      </c>
      <c r="K4473">
        <v>160588.56</v>
      </c>
      <c r="L4473" t="str">
        <f t="shared" si="276"/>
        <v>Aug</v>
      </c>
      <c r="M4473">
        <f t="shared" si="277"/>
        <v>2025</v>
      </c>
      <c r="N4473">
        <f t="shared" si="278"/>
        <v>160588.56</v>
      </c>
      <c r="O4473" t="str">
        <f t="shared" si="279"/>
        <v>Minor Delay</v>
      </c>
    </row>
    <row r="4474" spans="1:15" x14ac:dyDescent="0.25">
      <c r="A4474">
        <v>4473</v>
      </c>
      <c r="B4474" s="2">
        <v>45660</v>
      </c>
      <c r="C4474" t="s">
        <v>11</v>
      </c>
      <c r="D4474" t="s">
        <v>13</v>
      </c>
      <c r="E4474" t="s">
        <v>29</v>
      </c>
      <c r="F4474" t="s">
        <v>21</v>
      </c>
      <c r="G4474">
        <v>288</v>
      </c>
      <c r="H4474">
        <v>664.39</v>
      </c>
      <c r="I4474">
        <v>9</v>
      </c>
      <c r="J4474" t="s">
        <v>15</v>
      </c>
      <c r="K4474">
        <v>191344.32</v>
      </c>
      <c r="L4474" t="str">
        <f t="shared" si="276"/>
        <v>Jan</v>
      </c>
      <c r="M4474">
        <f t="shared" si="277"/>
        <v>2025</v>
      </c>
      <c r="N4474">
        <f t="shared" si="278"/>
        <v>191344.32</v>
      </c>
      <c r="O4474" t="str">
        <f t="shared" si="279"/>
        <v>Minor Delay</v>
      </c>
    </row>
    <row r="4475" spans="1:15" x14ac:dyDescent="0.25">
      <c r="A4475">
        <v>4474</v>
      </c>
      <c r="B4475" s="2">
        <v>45662</v>
      </c>
      <c r="C4475" t="s">
        <v>11</v>
      </c>
      <c r="D4475" t="s">
        <v>22</v>
      </c>
      <c r="E4475" t="s">
        <v>29</v>
      </c>
      <c r="F4475" t="s">
        <v>21</v>
      </c>
      <c r="G4475">
        <v>294</v>
      </c>
      <c r="H4475">
        <v>548.70000000000005</v>
      </c>
      <c r="I4475">
        <v>20</v>
      </c>
      <c r="J4475" t="s">
        <v>15</v>
      </c>
      <c r="K4475">
        <v>161317.79999999999</v>
      </c>
      <c r="L4475" t="str">
        <f t="shared" si="276"/>
        <v>Jan</v>
      </c>
      <c r="M4475">
        <f t="shared" si="277"/>
        <v>2025</v>
      </c>
      <c r="N4475">
        <f t="shared" si="278"/>
        <v>161317.80000000002</v>
      </c>
      <c r="O4475" t="str">
        <f t="shared" si="279"/>
        <v>Minor Delay</v>
      </c>
    </row>
    <row r="4476" spans="1:15" x14ac:dyDescent="0.25">
      <c r="A4476">
        <v>4475</v>
      </c>
      <c r="B4476" s="2">
        <v>45845</v>
      </c>
      <c r="C4476" t="s">
        <v>25</v>
      </c>
      <c r="D4476" t="s">
        <v>29</v>
      </c>
      <c r="E4476" t="s">
        <v>12</v>
      </c>
      <c r="F4476" t="s">
        <v>14</v>
      </c>
      <c r="G4476">
        <v>196</v>
      </c>
      <c r="H4476">
        <v>90.68</v>
      </c>
      <c r="I4476">
        <v>16</v>
      </c>
      <c r="J4476" t="s">
        <v>15</v>
      </c>
      <c r="K4476">
        <v>17773.28</v>
      </c>
      <c r="L4476" t="str">
        <f t="shared" si="276"/>
        <v>Jul</v>
      </c>
      <c r="M4476">
        <f t="shared" si="277"/>
        <v>2025</v>
      </c>
      <c r="N4476">
        <f t="shared" si="278"/>
        <v>17773.280000000002</v>
      </c>
      <c r="O4476" t="str">
        <f t="shared" si="279"/>
        <v>Minor Delay</v>
      </c>
    </row>
    <row r="4477" spans="1:15" x14ac:dyDescent="0.25">
      <c r="A4477">
        <v>4476</v>
      </c>
      <c r="B4477" s="2">
        <v>45796</v>
      </c>
      <c r="C4477" t="s">
        <v>18</v>
      </c>
      <c r="D4477" t="s">
        <v>29</v>
      </c>
      <c r="E4477" t="s">
        <v>22</v>
      </c>
      <c r="F4477" t="s">
        <v>21</v>
      </c>
      <c r="G4477">
        <v>96</v>
      </c>
      <c r="H4477">
        <v>171.37</v>
      </c>
      <c r="I4477">
        <v>43</v>
      </c>
      <c r="J4477" t="s">
        <v>15</v>
      </c>
      <c r="K4477">
        <v>16451.52</v>
      </c>
      <c r="L4477" t="str">
        <f t="shared" si="276"/>
        <v>May</v>
      </c>
      <c r="M4477">
        <f t="shared" si="277"/>
        <v>2025</v>
      </c>
      <c r="N4477">
        <f t="shared" si="278"/>
        <v>16451.52</v>
      </c>
      <c r="O4477" t="str">
        <f t="shared" si="279"/>
        <v>Moderate Delay</v>
      </c>
    </row>
    <row r="4478" spans="1:15" x14ac:dyDescent="0.25">
      <c r="A4478">
        <v>4477</v>
      </c>
      <c r="B4478" s="2">
        <v>45866</v>
      </c>
      <c r="C4478" t="s">
        <v>11</v>
      </c>
      <c r="D4478" t="s">
        <v>22</v>
      </c>
      <c r="E4478" t="s">
        <v>20</v>
      </c>
      <c r="F4478" t="s">
        <v>21</v>
      </c>
      <c r="G4478">
        <v>252</v>
      </c>
      <c r="H4478">
        <v>234.51</v>
      </c>
      <c r="I4478">
        <v>28</v>
      </c>
      <c r="J4478" t="s">
        <v>15</v>
      </c>
      <c r="K4478">
        <v>59096.52</v>
      </c>
      <c r="L4478" t="str">
        <f t="shared" si="276"/>
        <v>Jul</v>
      </c>
      <c r="M4478">
        <f t="shared" si="277"/>
        <v>2025</v>
      </c>
      <c r="N4478">
        <f t="shared" si="278"/>
        <v>59096.52</v>
      </c>
      <c r="O4478" t="str">
        <f t="shared" si="279"/>
        <v>Minor Delay</v>
      </c>
    </row>
    <row r="4479" spans="1:15" x14ac:dyDescent="0.25">
      <c r="A4479">
        <v>4478</v>
      </c>
      <c r="B4479" s="2">
        <v>45754</v>
      </c>
      <c r="C4479" t="s">
        <v>25</v>
      </c>
      <c r="D4479" t="s">
        <v>29</v>
      </c>
      <c r="E4479" t="s">
        <v>22</v>
      </c>
      <c r="F4479" t="s">
        <v>14</v>
      </c>
      <c r="G4479">
        <v>148</v>
      </c>
      <c r="H4479">
        <v>154.88999999999999</v>
      </c>
      <c r="I4479">
        <v>56</v>
      </c>
      <c r="J4479" t="s">
        <v>15</v>
      </c>
      <c r="K4479">
        <v>22923.72</v>
      </c>
      <c r="L4479" t="str">
        <f t="shared" si="276"/>
        <v>Apr</v>
      </c>
      <c r="M4479">
        <f t="shared" si="277"/>
        <v>2025</v>
      </c>
      <c r="N4479">
        <f t="shared" si="278"/>
        <v>22923.719999999998</v>
      </c>
      <c r="O4479" t="str">
        <f t="shared" si="279"/>
        <v>Moderate Delay</v>
      </c>
    </row>
    <row r="4480" spans="1:15" x14ac:dyDescent="0.25">
      <c r="A4480">
        <v>4479</v>
      </c>
      <c r="B4480" s="2">
        <v>45799</v>
      </c>
      <c r="C4480" t="s">
        <v>16</v>
      </c>
      <c r="D4480" t="s">
        <v>27</v>
      </c>
      <c r="E4480" t="s">
        <v>12</v>
      </c>
      <c r="F4480" t="s">
        <v>14</v>
      </c>
      <c r="G4480">
        <v>63</v>
      </c>
      <c r="H4480">
        <v>535.97</v>
      </c>
      <c r="I4480">
        <v>0</v>
      </c>
      <c r="J4480" t="s">
        <v>15</v>
      </c>
      <c r="K4480">
        <v>33766.11</v>
      </c>
      <c r="L4480" t="str">
        <f t="shared" si="276"/>
        <v>May</v>
      </c>
      <c r="M4480">
        <f t="shared" si="277"/>
        <v>2025</v>
      </c>
      <c r="N4480">
        <f t="shared" si="278"/>
        <v>33766.11</v>
      </c>
      <c r="O4480" t="str">
        <f t="shared" si="279"/>
        <v>On Time</v>
      </c>
    </row>
    <row r="4481" spans="1:15" x14ac:dyDescent="0.25">
      <c r="A4481">
        <v>4480</v>
      </c>
      <c r="B4481" s="2">
        <v>45691</v>
      </c>
      <c r="C4481" t="s">
        <v>25</v>
      </c>
      <c r="D4481" t="s">
        <v>27</v>
      </c>
      <c r="E4481" t="s">
        <v>23</v>
      </c>
      <c r="F4481" t="s">
        <v>24</v>
      </c>
      <c r="G4481">
        <v>278</v>
      </c>
      <c r="H4481">
        <v>178.12</v>
      </c>
      <c r="I4481">
        <v>75</v>
      </c>
      <c r="J4481" t="s">
        <v>15</v>
      </c>
      <c r="K4481">
        <v>49517.36</v>
      </c>
      <c r="L4481" t="str">
        <f t="shared" si="276"/>
        <v>Feb</v>
      </c>
      <c r="M4481">
        <f t="shared" si="277"/>
        <v>2025</v>
      </c>
      <c r="N4481">
        <f t="shared" si="278"/>
        <v>49517.36</v>
      </c>
      <c r="O4481" t="str">
        <f t="shared" si="279"/>
        <v>Major Delay</v>
      </c>
    </row>
    <row r="4482" spans="1:15" x14ac:dyDescent="0.25">
      <c r="A4482">
        <v>4481</v>
      </c>
      <c r="B4482" s="2">
        <v>45755</v>
      </c>
      <c r="C4482" t="s">
        <v>26</v>
      </c>
      <c r="D4482" t="s">
        <v>23</v>
      </c>
      <c r="E4482" t="s">
        <v>22</v>
      </c>
      <c r="F4482" t="s">
        <v>14</v>
      </c>
      <c r="G4482">
        <v>174</v>
      </c>
      <c r="H4482">
        <v>267.20999999999998</v>
      </c>
      <c r="I4482">
        <v>81</v>
      </c>
      <c r="J4482" t="s">
        <v>15</v>
      </c>
      <c r="K4482">
        <v>46494.54</v>
      </c>
      <c r="L4482" t="str">
        <f t="shared" si="276"/>
        <v>Apr</v>
      </c>
      <c r="M4482">
        <f t="shared" si="277"/>
        <v>2025</v>
      </c>
      <c r="N4482">
        <f t="shared" si="278"/>
        <v>46494.539999999994</v>
      </c>
      <c r="O4482" t="str">
        <f t="shared" si="279"/>
        <v>Major Delay</v>
      </c>
    </row>
    <row r="4483" spans="1:15" x14ac:dyDescent="0.25">
      <c r="A4483">
        <v>4482</v>
      </c>
      <c r="B4483" s="2">
        <v>45921</v>
      </c>
      <c r="C4483" t="s">
        <v>16</v>
      </c>
      <c r="D4483" t="s">
        <v>19</v>
      </c>
      <c r="E4483" t="s">
        <v>29</v>
      </c>
      <c r="F4483" t="s">
        <v>21</v>
      </c>
      <c r="G4483">
        <v>213</v>
      </c>
      <c r="H4483">
        <v>755.79</v>
      </c>
      <c r="I4483">
        <v>25</v>
      </c>
      <c r="J4483" t="s">
        <v>15</v>
      </c>
      <c r="K4483">
        <v>160983.26999999999</v>
      </c>
      <c r="L4483" t="str">
        <f t="shared" ref="L4483:L4546" si="280">TEXT(B4483,"MMM")</f>
        <v>Sep</v>
      </c>
      <c r="M4483">
        <f t="shared" ref="M4483:M4546" si="281">YEAR(B4483)</f>
        <v>2025</v>
      </c>
      <c r="N4483">
        <f t="shared" ref="N4483:N4546" si="282">G4483*H4483</f>
        <v>160983.26999999999</v>
      </c>
      <c r="O4483" t="str">
        <f t="shared" ref="O4483:O4546" si="283">IF(I4483=0,"On Time",IF(I4483&lt;=30,"Minor Delay",IF(I4483&lt;=60,"Moderate Delay","Major Delay")))</f>
        <v>Minor Delay</v>
      </c>
    </row>
    <row r="4484" spans="1:15" x14ac:dyDescent="0.25">
      <c r="A4484">
        <v>4483</v>
      </c>
      <c r="B4484" s="2">
        <v>45729</v>
      </c>
      <c r="C4484" t="s">
        <v>26</v>
      </c>
      <c r="D4484" t="s">
        <v>20</v>
      </c>
      <c r="E4484" t="s">
        <v>13</v>
      </c>
      <c r="F4484" t="s">
        <v>24</v>
      </c>
      <c r="G4484">
        <v>51</v>
      </c>
      <c r="H4484">
        <v>283.69</v>
      </c>
      <c r="I4484">
        <v>22</v>
      </c>
      <c r="J4484" t="s">
        <v>30</v>
      </c>
      <c r="K4484">
        <v>14468.19</v>
      </c>
      <c r="L4484" t="str">
        <f t="shared" si="280"/>
        <v>Mar</v>
      </c>
      <c r="M4484">
        <f t="shared" si="281"/>
        <v>2025</v>
      </c>
      <c r="N4484">
        <f t="shared" si="282"/>
        <v>14468.19</v>
      </c>
      <c r="O4484" t="str">
        <f t="shared" si="283"/>
        <v>Minor Delay</v>
      </c>
    </row>
    <row r="4485" spans="1:15" x14ac:dyDescent="0.25">
      <c r="A4485">
        <v>4484</v>
      </c>
      <c r="B4485" s="2">
        <v>45905</v>
      </c>
      <c r="C4485" t="s">
        <v>16</v>
      </c>
      <c r="D4485" t="s">
        <v>13</v>
      </c>
      <c r="E4485" t="s">
        <v>27</v>
      </c>
      <c r="F4485" t="s">
        <v>21</v>
      </c>
      <c r="G4485">
        <v>192</v>
      </c>
      <c r="H4485">
        <v>188.68</v>
      </c>
      <c r="I4485">
        <v>9</v>
      </c>
      <c r="J4485" t="s">
        <v>15</v>
      </c>
      <c r="K4485">
        <v>36226.559999999998</v>
      </c>
      <c r="L4485" t="str">
        <f t="shared" si="280"/>
        <v>Sep</v>
      </c>
      <c r="M4485">
        <f t="shared" si="281"/>
        <v>2025</v>
      </c>
      <c r="N4485">
        <f t="shared" si="282"/>
        <v>36226.559999999998</v>
      </c>
      <c r="O4485" t="str">
        <f t="shared" si="283"/>
        <v>Minor Delay</v>
      </c>
    </row>
    <row r="4486" spans="1:15" x14ac:dyDescent="0.25">
      <c r="A4486">
        <v>4485</v>
      </c>
      <c r="B4486" s="2">
        <v>45908</v>
      </c>
      <c r="C4486" t="s">
        <v>18</v>
      </c>
      <c r="D4486" t="s">
        <v>19</v>
      </c>
      <c r="E4486" t="s">
        <v>29</v>
      </c>
      <c r="F4486" t="s">
        <v>21</v>
      </c>
      <c r="G4486">
        <v>214</v>
      </c>
      <c r="H4486">
        <v>223.25</v>
      </c>
      <c r="I4486">
        <v>0</v>
      </c>
      <c r="J4486" t="s">
        <v>15</v>
      </c>
      <c r="K4486">
        <v>47775.5</v>
      </c>
      <c r="L4486" t="str">
        <f t="shared" si="280"/>
        <v>Sep</v>
      </c>
      <c r="M4486">
        <f t="shared" si="281"/>
        <v>2025</v>
      </c>
      <c r="N4486">
        <f t="shared" si="282"/>
        <v>47775.5</v>
      </c>
      <c r="O4486" t="str">
        <f t="shared" si="283"/>
        <v>On Time</v>
      </c>
    </row>
    <row r="4487" spans="1:15" x14ac:dyDescent="0.25">
      <c r="A4487">
        <v>4486</v>
      </c>
      <c r="B4487" s="2">
        <v>45723</v>
      </c>
      <c r="C4487" t="s">
        <v>18</v>
      </c>
      <c r="D4487" t="s">
        <v>12</v>
      </c>
      <c r="E4487" t="s">
        <v>27</v>
      </c>
      <c r="F4487" t="s">
        <v>24</v>
      </c>
      <c r="G4487">
        <v>171</v>
      </c>
      <c r="H4487">
        <v>760.79</v>
      </c>
      <c r="I4487">
        <v>28</v>
      </c>
      <c r="J4487" t="s">
        <v>15</v>
      </c>
      <c r="K4487">
        <v>130095.09</v>
      </c>
      <c r="L4487" t="str">
        <f t="shared" si="280"/>
        <v>Mar</v>
      </c>
      <c r="M4487">
        <f t="shared" si="281"/>
        <v>2025</v>
      </c>
      <c r="N4487">
        <f t="shared" si="282"/>
        <v>130095.09</v>
      </c>
      <c r="O4487" t="str">
        <f t="shared" si="283"/>
        <v>Minor Delay</v>
      </c>
    </row>
    <row r="4488" spans="1:15" x14ac:dyDescent="0.25">
      <c r="A4488">
        <v>4487</v>
      </c>
      <c r="B4488" s="2">
        <v>45805</v>
      </c>
      <c r="C4488" t="s">
        <v>18</v>
      </c>
      <c r="D4488" t="s">
        <v>23</v>
      </c>
      <c r="E4488" t="s">
        <v>12</v>
      </c>
      <c r="F4488" t="s">
        <v>14</v>
      </c>
      <c r="G4488">
        <v>96</v>
      </c>
      <c r="H4488">
        <v>732.76</v>
      </c>
      <c r="I4488">
        <v>10</v>
      </c>
      <c r="J4488" t="s">
        <v>30</v>
      </c>
      <c r="K4488">
        <v>70344.960000000006</v>
      </c>
      <c r="L4488" t="str">
        <f t="shared" si="280"/>
        <v>May</v>
      </c>
      <c r="M4488">
        <f t="shared" si="281"/>
        <v>2025</v>
      </c>
      <c r="N4488">
        <f t="shared" si="282"/>
        <v>70344.959999999992</v>
      </c>
      <c r="O4488" t="str">
        <f t="shared" si="283"/>
        <v>Minor Delay</v>
      </c>
    </row>
    <row r="4489" spans="1:15" x14ac:dyDescent="0.25">
      <c r="A4489">
        <v>4488</v>
      </c>
      <c r="B4489" s="2">
        <v>45953</v>
      </c>
      <c r="C4489" t="s">
        <v>25</v>
      </c>
      <c r="D4489" t="s">
        <v>19</v>
      </c>
      <c r="E4489" t="s">
        <v>23</v>
      </c>
      <c r="F4489" t="s">
        <v>14</v>
      </c>
      <c r="G4489">
        <v>205</v>
      </c>
      <c r="H4489">
        <v>257.02999999999997</v>
      </c>
      <c r="I4489">
        <v>26</v>
      </c>
      <c r="J4489" t="s">
        <v>15</v>
      </c>
      <c r="K4489">
        <v>52691.15</v>
      </c>
      <c r="L4489" t="str">
        <f t="shared" si="280"/>
        <v>Oct</v>
      </c>
      <c r="M4489">
        <f t="shared" si="281"/>
        <v>2025</v>
      </c>
      <c r="N4489">
        <f t="shared" si="282"/>
        <v>52691.149999999994</v>
      </c>
      <c r="O4489" t="str">
        <f t="shared" si="283"/>
        <v>Minor Delay</v>
      </c>
    </row>
    <row r="4490" spans="1:15" x14ac:dyDescent="0.25">
      <c r="A4490">
        <v>4489</v>
      </c>
      <c r="B4490" s="2">
        <v>45693</v>
      </c>
      <c r="C4490" t="s">
        <v>26</v>
      </c>
      <c r="D4490" t="s">
        <v>13</v>
      </c>
      <c r="E4490" t="s">
        <v>19</v>
      </c>
      <c r="F4490" t="s">
        <v>14</v>
      </c>
      <c r="G4490">
        <v>289</v>
      </c>
      <c r="H4490">
        <v>534.83000000000004</v>
      </c>
      <c r="I4490">
        <v>25</v>
      </c>
      <c r="J4490" t="s">
        <v>30</v>
      </c>
      <c r="K4490">
        <v>154565.87</v>
      </c>
      <c r="L4490" t="str">
        <f t="shared" si="280"/>
        <v>Feb</v>
      </c>
      <c r="M4490">
        <f t="shared" si="281"/>
        <v>2025</v>
      </c>
      <c r="N4490">
        <f t="shared" si="282"/>
        <v>154565.87000000002</v>
      </c>
      <c r="O4490" t="str">
        <f t="shared" si="283"/>
        <v>Minor Delay</v>
      </c>
    </row>
    <row r="4491" spans="1:15" x14ac:dyDescent="0.25">
      <c r="A4491">
        <v>4490</v>
      </c>
      <c r="B4491" s="2">
        <v>45881</v>
      </c>
      <c r="C4491" t="s">
        <v>11</v>
      </c>
      <c r="D4491" t="s">
        <v>19</v>
      </c>
      <c r="E4491" t="s">
        <v>13</v>
      </c>
      <c r="F4491" t="s">
        <v>24</v>
      </c>
      <c r="G4491">
        <v>208</v>
      </c>
      <c r="H4491">
        <v>692.46</v>
      </c>
      <c r="I4491">
        <v>38</v>
      </c>
      <c r="J4491" t="s">
        <v>15</v>
      </c>
      <c r="K4491">
        <v>144031.67999999999</v>
      </c>
      <c r="L4491" t="str">
        <f t="shared" si="280"/>
        <v>Aug</v>
      </c>
      <c r="M4491">
        <f t="shared" si="281"/>
        <v>2025</v>
      </c>
      <c r="N4491">
        <f t="shared" si="282"/>
        <v>144031.67999999999</v>
      </c>
      <c r="O4491" t="str">
        <f t="shared" si="283"/>
        <v>Moderate Delay</v>
      </c>
    </row>
    <row r="4492" spans="1:15" x14ac:dyDescent="0.25">
      <c r="A4492">
        <v>4491</v>
      </c>
      <c r="B4492" s="2">
        <v>45805</v>
      </c>
      <c r="C4492" t="s">
        <v>18</v>
      </c>
      <c r="D4492" t="s">
        <v>22</v>
      </c>
      <c r="E4492" t="s">
        <v>29</v>
      </c>
      <c r="F4492" t="s">
        <v>24</v>
      </c>
      <c r="G4492">
        <v>98</v>
      </c>
      <c r="H4492">
        <v>219.26</v>
      </c>
      <c r="I4492">
        <v>44</v>
      </c>
      <c r="J4492" t="s">
        <v>30</v>
      </c>
      <c r="K4492">
        <v>21487.48</v>
      </c>
      <c r="L4492" t="str">
        <f t="shared" si="280"/>
        <v>May</v>
      </c>
      <c r="M4492">
        <f t="shared" si="281"/>
        <v>2025</v>
      </c>
      <c r="N4492">
        <f t="shared" si="282"/>
        <v>21487.48</v>
      </c>
      <c r="O4492" t="str">
        <f t="shared" si="283"/>
        <v>Moderate Delay</v>
      </c>
    </row>
    <row r="4493" spans="1:15" x14ac:dyDescent="0.25">
      <c r="A4493">
        <v>4492</v>
      </c>
      <c r="B4493" s="2">
        <v>45888</v>
      </c>
      <c r="C4493" t="s">
        <v>16</v>
      </c>
      <c r="D4493" t="s">
        <v>13</v>
      </c>
      <c r="E4493" t="s">
        <v>23</v>
      </c>
      <c r="F4493" t="s">
        <v>21</v>
      </c>
      <c r="G4493">
        <v>203</v>
      </c>
      <c r="H4493">
        <v>141.13999999999999</v>
      </c>
      <c r="I4493">
        <v>0</v>
      </c>
      <c r="J4493" t="s">
        <v>28</v>
      </c>
      <c r="K4493">
        <v>28651.42</v>
      </c>
      <c r="L4493" t="str">
        <f t="shared" si="280"/>
        <v>Aug</v>
      </c>
      <c r="M4493">
        <f t="shared" si="281"/>
        <v>2025</v>
      </c>
      <c r="N4493">
        <f t="shared" si="282"/>
        <v>28651.42</v>
      </c>
      <c r="O4493" t="str">
        <f t="shared" si="283"/>
        <v>On Time</v>
      </c>
    </row>
    <row r="4494" spans="1:15" x14ac:dyDescent="0.25">
      <c r="A4494">
        <v>4493</v>
      </c>
      <c r="B4494" s="2">
        <v>45948</v>
      </c>
      <c r="C4494" t="s">
        <v>25</v>
      </c>
      <c r="D4494" t="s">
        <v>22</v>
      </c>
      <c r="E4494" t="s">
        <v>19</v>
      </c>
      <c r="F4494" t="s">
        <v>24</v>
      </c>
      <c r="G4494">
        <v>130</v>
      </c>
      <c r="H4494">
        <v>401.85</v>
      </c>
      <c r="I4494">
        <v>73</v>
      </c>
      <c r="J4494" t="s">
        <v>30</v>
      </c>
      <c r="K4494">
        <v>52240.5</v>
      </c>
      <c r="L4494" t="str">
        <f t="shared" si="280"/>
        <v>Oct</v>
      </c>
      <c r="M4494">
        <f t="shared" si="281"/>
        <v>2025</v>
      </c>
      <c r="N4494">
        <f t="shared" si="282"/>
        <v>52240.5</v>
      </c>
      <c r="O4494" t="str">
        <f t="shared" si="283"/>
        <v>Major Delay</v>
      </c>
    </row>
    <row r="4495" spans="1:15" x14ac:dyDescent="0.25">
      <c r="A4495">
        <v>4494</v>
      </c>
      <c r="B4495" s="2">
        <v>45873</v>
      </c>
      <c r="C4495" t="s">
        <v>25</v>
      </c>
      <c r="D4495" t="s">
        <v>12</v>
      </c>
      <c r="E4495" t="s">
        <v>29</v>
      </c>
      <c r="F4495" t="s">
        <v>14</v>
      </c>
      <c r="G4495">
        <v>95</v>
      </c>
      <c r="H4495">
        <v>84.86</v>
      </c>
      <c r="I4495">
        <v>0</v>
      </c>
      <c r="J4495" t="s">
        <v>30</v>
      </c>
      <c r="K4495">
        <v>8061.7</v>
      </c>
      <c r="L4495" t="str">
        <f t="shared" si="280"/>
        <v>Aug</v>
      </c>
      <c r="M4495">
        <f t="shared" si="281"/>
        <v>2025</v>
      </c>
      <c r="N4495">
        <f t="shared" si="282"/>
        <v>8061.7</v>
      </c>
      <c r="O4495" t="str">
        <f t="shared" si="283"/>
        <v>On Time</v>
      </c>
    </row>
    <row r="4496" spans="1:15" x14ac:dyDescent="0.25">
      <c r="A4496">
        <v>4495</v>
      </c>
      <c r="B4496" s="2">
        <v>45964</v>
      </c>
      <c r="C4496" t="s">
        <v>16</v>
      </c>
      <c r="D4496" t="s">
        <v>17</v>
      </c>
      <c r="E4496" t="s">
        <v>22</v>
      </c>
      <c r="F4496" t="s">
        <v>14</v>
      </c>
      <c r="G4496">
        <v>50</v>
      </c>
      <c r="H4496">
        <v>590.67999999999995</v>
      </c>
      <c r="I4496">
        <v>28</v>
      </c>
      <c r="J4496" t="s">
        <v>15</v>
      </c>
      <c r="K4496">
        <v>29534</v>
      </c>
      <c r="L4496" t="str">
        <f t="shared" si="280"/>
        <v>Nov</v>
      </c>
      <c r="M4496">
        <f t="shared" si="281"/>
        <v>2025</v>
      </c>
      <c r="N4496">
        <f t="shared" si="282"/>
        <v>29533.999999999996</v>
      </c>
      <c r="O4496" t="str">
        <f t="shared" si="283"/>
        <v>Minor Delay</v>
      </c>
    </row>
    <row r="4497" spans="1:15" x14ac:dyDescent="0.25">
      <c r="A4497">
        <v>4496</v>
      </c>
      <c r="B4497" s="2">
        <v>45794</v>
      </c>
      <c r="C4497" t="s">
        <v>26</v>
      </c>
      <c r="D4497" t="s">
        <v>19</v>
      </c>
      <c r="E4497" t="s">
        <v>20</v>
      </c>
      <c r="F4497" t="s">
        <v>24</v>
      </c>
      <c r="G4497">
        <v>103</v>
      </c>
      <c r="H4497">
        <v>669.55</v>
      </c>
      <c r="I4497">
        <v>6</v>
      </c>
      <c r="J4497" t="s">
        <v>15</v>
      </c>
      <c r="K4497">
        <v>68963.649999999994</v>
      </c>
      <c r="L4497" t="str">
        <f t="shared" si="280"/>
        <v>May</v>
      </c>
      <c r="M4497">
        <f t="shared" si="281"/>
        <v>2025</v>
      </c>
      <c r="N4497">
        <f t="shared" si="282"/>
        <v>68963.649999999994</v>
      </c>
      <c r="O4497" t="str">
        <f t="shared" si="283"/>
        <v>Minor Delay</v>
      </c>
    </row>
    <row r="4498" spans="1:15" x14ac:dyDescent="0.25">
      <c r="A4498">
        <v>4497</v>
      </c>
      <c r="B4498" s="2">
        <v>45787</v>
      </c>
      <c r="C4498" t="s">
        <v>11</v>
      </c>
      <c r="D4498" t="s">
        <v>17</v>
      </c>
      <c r="E4498" t="s">
        <v>12</v>
      </c>
      <c r="F4498" t="s">
        <v>14</v>
      </c>
      <c r="G4498">
        <v>226</v>
      </c>
      <c r="H4498">
        <v>622.51</v>
      </c>
      <c r="I4498">
        <v>22</v>
      </c>
      <c r="J4498" t="s">
        <v>15</v>
      </c>
      <c r="K4498">
        <v>140687.26</v>
      </c>
      <c r="L4498" t="str">
        <f t="shared" si="280"/>
        <v>May</v>
      </c>
      <c r="M4498">
        <f t="shared" si="281"/>
        <v>2025</v>
      </c>
      <c r="N4498">
        <f t="shared" si="282"/>
        <v>140687.26</v>
      </c>
      <c r="O4498" t="str">
        <f t="shared" si="283"/>
        <v>Minor Delay</v>
      </c>
    </row>
    <row r="4499" spans="1:15" x14ac:dyDescent="0.25">
      <c r="A4499">
        <v>4498</v>
      </c>
      <c r="B4499" s="2">
        <v>45884</v>
      </c>
      <c r="C4499" t="s">
        <v>18</v>
      </c>
      <c r="D4499" t="s">
        <v>29</v>
      </c>
      <c r="E4499" t="s">
        <v>19</v>
      </c>
      <c r="F4499" t="s">
        <v>21</v>
      </c>
      <c r="G4499">
        <v>178</v>
      </c>
      <c r="H4499">
        <v>236.84</v>
      </c>
      <c r="I4499">
        <v>18</v>
      </c>
      <c r="J4499" t="s">
        <v>15</v>
      </c>
      <c r="K4499">
        <v>42157.52</v>
      </c>
      <c r="L4499" t="str">
        <f t="shared" si="280"/>
        <v>Aug</v>
      </c>
      <c r="M4499">
        <f t="shared" si="281"/>
        <v>2025</v>
      </c>
      <c r="N4499">
        <f t="shared" si="282"/>
        <v>42157.520000000004</v>
      </c>
      <c r="O4499" t="str">
        <f t="shared" si="283"/>
        <v>Minor Delay</v>
      </c>
    </row>
    <row r="4500" spans="1:15" x14ac:dyDescent="0.25">
      <c r="A4500">
        <v>4499</v>
      </c>
      <c r="B4500" s="2">
        <v>45979</v>
      </c>
      <c r="C4500" t="s">
        <v>31</v>
      </c>
      <c r="D4500" t="s">
        <v>27</v>
      </c>
      <c r="E4500" t="s">
        <v>13</v>
      </c>
      <c r="F4500" t="s">
        <v>24</v>
      </c>
      <c r="G4500">
        <v>285</v>
      </c>
      <c r="H4500">
        <v>463.57</v>
      </c>
      <c r="I4500">
        <v>14</v>
      </c>
      <c r="J4500" t="s">
        <v>15</v>
      </c>
      <c r="K4500">
        <v>132117.45000000001</v>
      </c>
      <c r="L4500" t="str">
        <f t="shared" si="280"/>
        <v>Nov</v>
      </c>
      <c r="M4500">
        <f t="shared" si="281"/>
        <v>2025</v>
      </c>
      <c r="N4500">
        <f t="shared" si="282"/>
        <v>132117.45000000001</v>
      </c>
      <c r="O4500" t="str">
        <f t="shared" si="283"/>
        <v>Minor Delay</v>
      </c>
    </row>
    <row r="4501" spans="1:15" x14ac:dyDescent="0.25">
      <c r="A4501">
        <v>4500</v>
      </c>
      <c r="B4501" s="2">
        <v>45934</v>
      </c>
      <c r="C4501" t="s">
        <v>26</v>
      </c>
      <c r="D4501" t="s">
        <v>19</v>
      </c>
      <c r="E4501" t="s">
        <v>23</v>
      </c>
      <c r="F4501" t="s">
        <v>14</v>
      </c>
      <c r="G4501">
        <v>60</v>
      </c>
      <c r="H4501">
        <v>70.56</v>
      </c>
      <c r="I4501">
        <v>9</v>
      </c>
      <c r="J4501" t="s">
        <v>15</v>
      </c>
      <c r="K4501">
        <v>4233.6000000000004</v>
      </c>
      <c r="L4501" t="str">
        <f t="shared" si="280"/>
        <v>Oct</v>
      </c>
      <c r="M4501">
        <f t="shared" si="281"/>
        <v>2025</v>
      </c>
      <c r="N4501">
        <f t="shared" si="282"/>
        <v>4233.6000000000004</v>
      </c>
      <c r="O4501" t="str">
        <f t="shared" si="283"/>
        <v>Minor Delay</v>
      </c>
    </row>
    <row r="4502" spans="1:15" x14ac:dyDescent="0.25">
      <c r="A4502">
        <v>4501</v>
      </c>
      <c r="B4502" s="2">
        <v>45766</v>
      </c>
      <c r="C4502" t="s">
        <v>25</v>
      </c>
      <c r="D4502" t="s">
        <v>13</v>
      </c>
      <c r="E4502" t="s">
        <v>20</v>
      </c>
      <c r="F4502" t="s">
        <v>14</v>
      </c>
      <c r="G4502">
        <v>137</v>
      </c>
      <c r="H4502">
        <v>440.71</v>
      </c>
      <c r="I4502">
        <v>43</v>
      </c>
      <c r="J4502" t="s">
        <v>15</v>
      </c>
      <c r="K4502">
        <v>60377.27</v>
      </c>
      <c r="L4502" t="str">
        <f t="shared" si="280"/>
        <v>Apr</v>
      </c>
      <c r="M4502">
        <f t="shared" si="281"/>
        <v>2025</v>
      </c>
      <c r="N4502">
        <f t="shared" si="282"/>
        <v>60377.27</v>
      </c>
      <c r="O4502" t="str">
        <f t="shared" si="283"/>
        <v>Moderate Delay</v>
      </c>
    </row>
    <row r="4503" spans="1:15" x14ac:dyDescent="0.25">
      <c r="A4503">
        <v>4502</v>
      </c>
      <c r="B4503" s="2">
        <v>45803</v>
      </c>
      <c r="C4503" t="s">
        <v>18</v>
      </c>
      <c r="D4503" t="s">
        <v>20</v>
      </c>
      <c r="E4503" t="s">
        <v>22</v>
      </c>
      <c r="F4503" t="s">
        <v>24</v>
      </c>
      <c r="G4503">
        <v>191</v>
      </c>
      <c r="H4503">
        <v>365.76</v>
      </c>
      <c r="I4503">
        <v>0</v>
      </c>
      <c r="J4503" t="s">
        <v>15</v>
      </c>
      <c r="K4503">
        <v>69860.160000000003</v>
      </c>
      <c r="L4503" t="str">
        <f t="shared" si="280"/>
        <v>May</v>
      </c>
      <c r="M4503">
        <f t="shared" si="281"/>
        <v>2025</v>
      </c>
      <c r="N4503">
        <f t="shared" si="282"/>
        <v>69860.160000000003</v>
      </c>
      <c r="O4503" t="str">
        <f t="shared" si="283"/>
        <v>On Time</v>
      </c>
    </row>
    <row r="4504" spans="1:15" x14ac:dyDescent="0.25">
      <c r="A4504">
        <v>4503</v>
      </c>
      <c r="B4504" s="2">
        <v>45894</v>
      </c>
      <c r="C4504" t="s">
        <v>25</v>
      </c>
      <c r="D4504" t="s">
        <v>27</v>
      </c>
      <c r="E4504" t="s">
        <v>23</v>
      </c>
      <c r="F4504" t="s">
        <v>14</v>
      </c>
      <c r="G4504">
        <v>111</v>
      </c>
      <c r="H4504">
        <v>274.08</v>
      </c>
      <c r="I4504">
        <v>31</v>
      </c>
      <c r="J4504" t="s">
        <v>15</v>
      </c>
      <c r="K4504">
        <v>30422.880000000001</v>
      </c>
      <c r="L4504" t="str">
        <f t="shared" si="280"/>
        <v>Aug</v>
      </c>
      <c r="M4504">
        <f t="shared" si="281"/>
        <v>2025</v>
      </c>
      <c r="N4504">
        <f t="shared" si="282"/>
        <v>30422.879999999997</v>
      </c>
      <c r="O4504" t="str">
        <f t="shared" si="283"/>
        <v>Moderate Delay</v>
      </c>
    </row>
    <row r="4505" spans="1:15" x14ac:dyDescent="0.25">
      <c r="A4505">
        <v>4504</v>
      </c>
      <c r="B4505" s="2">
        <v>45839</v>
      </c>
      <c r="C4505" t="s">
        <v>25</v>
      </c>
      <c r="D4505" t="s">
        <v>23</v>
      </c>
      <c r="E4505" t="s">
        <v>20</v>
      </c>
      <c r="F4505" t="s">
        <v>21</v>
      </c>
      <c r="G4505">
        <v>155</v>
      </c>
      <c r="H4505">
        <v>693.2</v>
      </c>
      <c r="I4505">
        <v>0</v>
      </c>
      <c r="J4505" t="s">
        <v>15</v>
      </c>
      <c r="K4505">
        <v>107446</v>
      </c>
      <c r="L4505" t="str">
        <f t="shared" si="280"/>
        <v>Jul</v>
      </c>
      <c r="M4505">
        <f t="shared" si="281"/>
        <v>2025</v>
      </c>
      <c r="N4505">
        <f t="shared" si="282"/>
        <v>107446</v>
      </c>
      <c r="O4505" t="str">
        <f t="shared" si="283"/>
        <v>On Time</v>
      </c>
    </row>
    <row r="4506" spans="1:15" x14ac:dyDescent="0.25">
      <c r="A4506">
        <v>4505</v>
      </c>
      <c r="B4506" s="2">
        <v>45809</v>
      </c>
      <c r="C4506" t="s">
        <v>25</v>
      </c>
      <c r="D4506" t="s">
        <v>12</v>
      </c>
      <c r="E4506" t="s">
        <v>17</v>
      </c>
      <c r="F4506" t="s">
        <v>24</v>
      </c>
      <c r="G4506">
        <v>238</v>
      </c>
      <c r="H4506">
        <v>208.52</v>
      </c>
      <c r="I4506">
        <v>35</v>
      </c>
      <c r="J4506" t="s">
        <v>15</v>
      </c>
      <c r="K4506">
        <v>49627.76</v>
      </c>
      <c r="L4506" t="str">
        <f t="shared" si="280"/>
        <v>Jun</v>
      </c>
      <c r="M4506">
        <f t="shared" si="281"/>
        <v>2025</v>
      </c>
      <c r="N4506">
        <f t="shared" si="282"/>
        <v>49627.76</v>
      </c>
      <c r="O4506" t="str">
        <f t="shared" si="283"/>
        <v>Moderate Delay</v>
      </c>
    </row>
    <row r="4507" spans="1:15" x14ac:dyDescent="0.25">
      <c r="A4507">
        <v>4506</v>
      </c>
      <c r="B4507" s="2">
        <v>45713</v>
      </c>
      <c r="C4507" t="s">
        <v>25</v>
      </c>
      <c r="D4507" t="s">
        <v>12</v>
      </c>
      <c r="E4507" t="s">
        <v>17</v>
      </c>
      <c r="F4507" t="s">
        <v>24</v>
      </c>
      <c r="G4507">
        <v>151</v>
      </c>
      <c r="H4507">
        <v>480.97</v>
      </c>
      <c r="I4507">
        <v>34</v>
      </c>
      <c r="J4507" t="s">
        <v>15</v>
      </c>
      <c r="K4507">
        <v>72626.47</v>
      </c>
      <c r="L4507" t="str">
        <f t="shared" si="280"/>
        <v>Feb</v>
      </c>
      <c r="M4507">
        <f t="shared" si="281"/>
        <v>2025</v>
      </c>
      <c r="N4507">
        <f t="shared" si="282"/>
        <v>72626.47</v>
      </c>
      <c r="O4507" t="str">
        <f t="shared" si="283"/>
        <v>Moderate Delay</v>
      </c>
    </row>
    <row r="4508" spans="1:15" x14ac:dyDescent="0.25">
      <c r="A4508">
        <v>4507</v>
      </c>
      <c r="B4508" s="2">
        <v>45825</v>
      </c>
      <c r="C4508" t="s">
        <v>18</v>
      </c>
      <c r="D4508" t="s">
        <v>22</v>
      </c>
      <c r="E4508" t="s">
        <v>20</v>
      </c>
      <c r="F4508" t="s">
        <v>14</v>
      </c>
      <c r="G4508">
        <v>60</v>
      </c>
      <c r="H4508">
        <v>641.37</v>
      </c>
      <c r="I4508">
        <v>0</v>
      </c>
      <c r="J4508" t="s">
        <v>30</v>
      </c>
      <c r="K4508">
        <v>38482.199999999997</v>
      </c>
      <c r="L4508" t="str">
        <f t="shared" si="280"/>
        <v>Jun</v>
      </c>
      <c r="M4508">
        <f t="shared" si="281"/>
        <v>2025</v>
      </c>
      <c r="N4508">
        <f t="shared" si="282"/>
        <v>38482.199999999997</v>
      </c>
      <c r="O4508" t="str">
        <f t="shared" si="283"/>
        <v>On Time</v>
      </c>
    </row>
    <row r="4509" spans="1:15" x14ac:dyDescent="0.25">
      <c r="A4509">
        <v>4508</v>
      </c>
      <c r="B4509" s="2">
        <v>45819</v>
      </c>
      <c r="C4509" t="s">
        <v>11</v>
      </c>
      <c r="D4509" t="s">
        <v>19</v>
      </c>
      <c r="E4509" t="s">
        <v>27</v>
      </c>
      <c r="F4509" t="s">
        <v>14</v>
      </c>
      <c r="G4509">
        <v>195</v>
      </c>
      <c r="H4509">
        <v>683.83</v>
      </c>
      <c r="I4509">
        <v>0</v>
      </c>
      <c r="J4509" t="s">
        <v>15</v>
      </c>
      <c r="K4509">
        <v>133346.85</v>
      </c>
      <c r="L4509" t="str">
        <f t="shared" si="280"/>
        <v>Jun</v>
      </c>
      <c r="M4509">
        <f t="shared" si="281"/>
        <v>2025</v>
      </c>
      <c r="N4509">
        <f t="shared" si="282"/>
        <v>133346.85</v>
      </c>
      <c r="O4509" t="str">
        <f t="shared" si="283"/>
        <v>On Time</v>
      </c>
    </row>
    <row r="4510" spans="1:15" x14ac:dyDescent="0.25">
      <c r="A4510">
        <v>4509</v>
      </c>
      <c r="B4510" s="2">
        <v>45984</v>
      </c>
      <c r="C4510" t="s">
        <v>11</v>
      </c>
      <c r="D4510" t="s">
        <v>27</v>
      </c>
      <c r="E4510" t="s">
        <v>23</v>
      </c>
      <c r="F4510" t="s">
        <v>14</v>
      </c>
      <c r="G4510">
        <v>52</v>
      </c>
      <c r="H4510">
        <v>477.33</v>
      </c>
      <c r="I4510">
        <v>41</v>
      </c>
      <c r="J4510" t="s">
        <v>15</v>
      </c>
      <c r="K4510">
        <v>24821.16</v>
      </c>
      <c r="L4510" t="str">
        <f t="shared" si="280"/>
        <v>Nov</v>
      </c>
      <c r="M4510">
        <f t="shared" si="281"/>
        <v>2025</v>
      </c>
      <c r="N4510">
        <f t="shared" si="282"/>
        <v>24821.16</v>
      </c>
      <c r="O4510" t="str">
        <f t="shared" si="283"/>
        <v>Moderate Delay</v>
      </c>
    </row>
    <row r="4511" spans="1:15" x14ac:dyDescent="0.25">
      <c r="A4511">
        <v>4510</v>
      </c>
      <c r="B4511" s="2">
        <v>45838</v>
      </c>
      <c r="C4511" t="s">
        <v>18</v>
      </c>
      <c r="D4511" t="s">
        <v>23</v>
      </c>
      <c r="E4511" t="s">
        <v>17</v>
      </c>
      <c r="F4511" t="s">
        <v>21</v>
      </c>
      <c r="G4511">
        <v>212</v>
      </c>
      <c r="H4511">
        <v>332.52</v>
      </c>
      <c r="I4511">
        <v>67</v>
      </c>
      <c r="J4511" t="s">
        <v>15</v>
      </c>
      <c r="K4511">
        <v>70494.240000000005</v>
      </c>
      <c r="L4511" t="str">
        <f t="shared" si="280"/>
        <v>Jun</v>
      </c>
      <c r="M4511">
        <f t="shared" si="281"/>
        <v>2025</v>
      </c>
      <c r="N4511">
        <f t="shared" si="282"/>
        <v>70494.239999999991</v>
      </c>
      <c r="O4511" t="str">
        <f t="shared" si="283"/>
        <v>Major Delay</v>
      </c>
    </row>
    <row r="4512" spans="1:15" x14ac:dyDescent="0.25">
      <c r="A4512">
        <v>4511</v>
      </c>
      <c r="B4512" s="2">
        <v>45775</v>
      </c>
      <c r="C4512" t="s">
        <v>18</v>
      </c>
      <c r="D4512" t="s">
        <v>20</v>
      </c>
      <c r="E4512" t="s">
        <v>29</v>
      </c>
      <c r="F4512" t="s">
        <v>24</v>
      </c>
      <c r="G4512">
        <v>155</v>
      </c>
      <c r="H4512">
        <v>93.35</v>
      </c>
      <c r="I4512">
        <v>32</v>
      </c>
      <c r="J4512" t="s">
        <v>15</v>
      </c>
      <c r="K4512">
        <v>14469.25</v>
      </c>
      <c r="L4512" t="str">
        <f t="shared" si="280"/>
        <v>Apr</v>
      </c>
      <c r="M4512">
        <f t="shared" si="281"/>
        <v>2025</v>
      </c>
      <c r="N4512">
        <f t="shared" si="282"/>
        <v>14469.25</v>
      </c>
      <c r="O4512" t="str">
        <f t="shared" si="283"/>
        <v>Moderate Delay</v>
      </c>
    </row>
    <row r="4513" spans="1:15" x14ac:dyDescent="0.25">
      <c r="A4513">
        <v>4512</v>
      </c>
      <c r="B4513" s="2">
        <v>45752</v>
      </c>
      <c r="C4513" t="s">
        <v>31</v>
      </c>
      <c r="D4513" t="s">
        <v>19</v>
      </c>
      <c r="E4513" t="s">
        <v>13</v>
      </c>
      <c r="F4513" t="s">
        <v>24</v>
      </c>
      <c r="G4513">
        <v>61</v>
      </c>
      <c r="H4513">
        <v>463.39</v>
      </c>
      <c r="I4513">
        <v>25</v>
      </c>
      <c r="J4513" t="s">
        <v>15</v>
      </c>
      <c r="K4513">
        <v>28266.79</v>
      </c>
      <c r="L4513" t="str">
        <f t="shared" si="280"/>
        <v>Apr</v>
      </c>
      <c r="M4513">
        <f t="shared" si="281"/>
        <v>2025</v>
      </c>
      <c r="N4513">
        <f t="shared" si="282"/>
        <v>28266.79</v>
      </c>
      <c r="O4513" t="str">
        <f t="shared" si="283"/>
        <v>Minor Delay</v>
      </c>
    </row>
    <row r="4514" spans="1:15" x14ac:dyDescent="0.25">
      <c r="A4514">
        <v>4513</v>
      </c>
      <c r="B4514" s="2">
        <v>45749</v>
      </c>
      <c r="C4514" t="s">
        <v>31</v>
      </c>
      <c r="D4514" t="s">
        <v>20</v>
      </c>
      <c r="E4514" t="s">
        <v>29</v>
      </c>
      <c r="F4514" t="s">
        <v>21</v>
      </c>
      <c r="G4514">
        <v>86</v>
      </c>
      <c r="H4514">
        <v>150.18</v>
      </c>
      <c r="I4514">
        <v>7</v>
      </c>
      <c r="J4514" t="s">
        <v>15</v>
      </c>
      <c r="K4514">
        <v>12915.48</v>
      </c>
      <c r="L4514" t="str">
        <f t="shared" si="280"/>
        <v>Apr</v>
      </c>
      <c r="M4514">
        <f t="shared" si="281"/>
        <v>2025</v>
      </c>
      <c r="N4514">
        <f t="shared" si="282"/>
        <v>12915.480000000001</v>
      </c>
      <c r="O4514" t="str">
        <f t="shared" si="283"/>
        <v>Minor Delay</v>
      </c>
    </row>
    <row r="4515" spans="1:15" x14ac:dyDescent="0.25">
      <c r="A4515">
        <v>4514</v>
      </c>
      <c r="B4515" s="2">
        <v>46001</v>
      </c>
      <c r="C4515" t="s">
        <v>11</v>
      </c>
      <c r="D4515" t="s">
        <v>29</v>
      </c>
      <c r="E4515" t="s">
        <v>22</v>
      </c>
      <c r="F4515" t="s">
        <v>21</v>
      </c>
      <c r="G4515">
        <v>89</v>
      </c>
      <c r="H4515">
        <v>182.98</v>
      </c>
      <c r="I4515">
        <v>8</v>
      </c>
      <c r="J4515" t="s">
        <v>15</v>
      </c>
      <c r="K4515">
        <v>16285.22</v>
      </c>
      <c r="L4515" t="str">
        <f t="shared" si="280"/>
        <v>Dec</v>
      </c>
      <c r="M4515">
        <f t="shared" si="281"/>
        <v>2025</v>
      </c>
      <c r="N4515">
        <f t="shared" si="282"/>
        <v>16285.22</v>
      </c>
      <c r="O4515" t="str">
        <f t="shared" si="283"/>
        <v>Minor Delay</v>
      </c>
    </row>
    <row r="4516" spans="1:15" x14ac:dyDescent="0.25">
      <c r="A4516">
        <v>4515</v>
      </c>
      <c r="B4516" s="2">
        <v>46002</v>
      </c>
      <c r="C4516" t="s">
        <v>25</v>
      </c>
      <c r="D4516" t="s">
        <v>13</v>
      </c>
      <c r="E4516" t="s">
        <v>29</v>
      </c>
      <c r="F4516" t="s">
        <v>24</v>
      </c>
      <c r="G4516">
        <v>195</v>
      </c>
      <c r="H4516">
        <v>351.65</v>
      </c>
      <c r="I4516">
        <v>33</v>
      </c>
      <c r="J4516" t="s">
        <v>15</v>
      </c>
      <c r="K4516">
        <v>68571.75</v>
      </c>
      <c r="L4516" t="str">
        <f t="shared" si="280"/>
        <v>Dec</v>
      </c>
      <c r="M4516">
        <f t="shared" si="281"/>
        <v>2025</v>
      </c>
      <c r="N4516">
        <f t="shared" si="282"/>
        <v>68571.75</v>
      </c>
      <c r="O4516" t="str">
        <f t="shared" si="283"/>
        <v>Moderate Delay</v>
      </c>
    </row>
    <row r="4517" spans="1:15" x14ac:dyDescent="0.25">
      <c r="A4517">
        <v>4516</v>
      </c>
      <c r="B4517" s="2">
        <v>45759</v>
      </c>
      <c r="C4517" t="s">
        <v>31</v>
      </c>
      <c r="D4517" t="s">
        <v>17</v>
      </c>
      <c r="E4517" t="s">
        <v>22</v>
      </c>
      <c r="F4517" t="s">
        <v>14</v>
      </c>
      <c r="G4517">
        <v>285</v>
      </c>
      <c r="H4517">
        <v>463.87</v>
      </c>
      <c r="I4517">
        <v>34</v>
      </c>
      <c r="J4517" t="s">
        <v>15</v>
      </c>
      <c r="K4517">
        <v>132202.95000000001</v>
      </c>
      <c r="L4517" t="str">
        <f t="shared" si="280"/>
        <v>Apr</v>
      </c>
      <c r="M4517">
        <f t="shared" si="281"/>
        <v>2025</v>
      </c>
      <c r="N4517">
        <f t="shared" si="282"/>
        <v>132202.95000000001</v>
      </c>
      <c r="O4517" t="str">
        <f t="shared" si="283"/>
        <v>Moderate Delay</v>
      </c>
    </row>
    <row r="4518" spans="1:15" x14ac:dyDescent="0.25">
      <c r="A4518">
        <v>4517</v>
      </c>
      <c r="B4518" s="2">
        <v>45913</v>
      </c>
      <c r="C4518" t="s">
        <v>18</v>
      </c>
      <c r="D4518" t="s">
        <v>19</v>
      </c>
      <c r="E4518" t="s">
        <v>22</v>
      </c>
      <c r="F4518" t="s">
        <v>24</v>
      </c>
      <c r="G4518">
        <v>225</v>
      </c>
      <c r="H4518">
        <v>521.54</v>
      </c>
      <c r="I4518">
        <v>85</v>
      </c>
      <c r="J4518" t="s">
        <v>15</v>
      </c>
      <c r="K4518">
        <v>117346.5</v>
      </c>
      <c r="L4518" t="str">
        <f t="shared" si="280"/>
        <v>Sep</v>
      </c>
      <c r="M4518">
        <f t="shared" si="281"/>
        <v>2025</v>
      </c>
      <c r="N4518">
        <f t="shared" si="282"/>
        <v>117346.49999999999</v>
      </c>
      <c r="O4518" t="str">
        <f t="shared" si="283"/>
        <v>Major Delay</v>
      </c>
    </row>
    <row r="4519" spans="1:15" x14ac:dyDescent="0.25">
      <c r="A4519">
        <v>4518</v>
      </c>
      <c r="B4519" s="2">
        <v>45862</v>
      </c>
      <c r="C4519" t="s">
        <v>18</v>
      </c>
      <c r="D4519" t="s">
        <v>23</v>
      </c>
      <c r="E4519" t="s">
        <v>22</v>
      </c>
      <c r="F4519" t="s">
        <v>24</v>
      </c>
      <c r="G4519">
        <v>146</v>
      </c>
      <c r="H4519">
        <v>509.6</v>
      </c>
      <c r="I4519">
        <v>41</v>
      </c>
      <c r="J4519" t="s">
        <v>15</v>
      </c>
      <c r="K4519">
        <v>74401.600000000006</v>
      </c>
      <c r="L4519" t="str">
        <f t="shared" si="280"/>
        <v>Jul</v>
      </c>
      <c r="M4519">
        <f t="shared" si="281"/>
        <v>2025</v>
      </c>
      <c r="N4519">
        <f t="shared" si="282"/>
        <v>74401.600000000006</v>
      </c>
      <c r="O4519" t="str">
        <f t="shared" si="283"/>
        <v>Moderate Delay</v>
      </c>
    </row>
    <row r="4520" spans="1:15" x14ac:dyDescent="0.25">
      <c r="A4520">
        <v>4519</v>
      </c>
      <c r="B4520" s="2">
        <v>46008</v>
      </c>
      <c r="C4520" t="s">
        <v>16</v>
      </c>
      <c r="D4520" t="s">
        <v>19</v>
      </c>
      <c r="E4520" t="s">
        <v>20</v>
      </c>
      <c r="F4520" t="s">
        <v>21</v>
      </c>
      <c r="G4520">
        <v>297</v>
      </c>
      <c r="H4520">
        <v>478.15</v>
      </c>
      <c r="I4520">
        <v>9</v>
      </c>
      <c r="J4520" t="s">
        <v>15</v>
      </c>
      <c r="K4520">
        <v>142010.54999999999</v>
      </c>
      <c r="L4520" t="str">
        <f t="shared" si="280"/>
        <v>Dec</v>
      </c>
      <c r="M4520">
        <f t="shared" si="281"/>
        <v>2025</v>
      </c>
      <c r="N4520">
        <f t="shared" si="282"/>
        <v>142010.54999999999</v>
      </c>
      <c r="O4520" t="str">
        <f t="shared" si="283"/>
        <v>Minor Delay</v>
      </c>
    </row>
    <row r="4521" spans="1:15" x14ac:dyDescent="0.25">
      <c r="A4521">
        <v>4520</v>
      </c>
      <c r="B4521" s="2">
        <v>45929</v>
      </c>
      <c r="C4521" t="s">
        <v>26</v>
      </c>
      <c r="D4521" t="s">
        <v>22</v>
      </c>
      <c r="E4521" t="s">
        <v>13</v>
      </c>
      <c r="F4521" t="s">
        <v>24</v>
      </c>
      <c r="G4521">
        <v>198</v>
      </c>
      <c r="H4521">
        <v>193.77</v>
      </c>
      <c r="I4521">
        <v>48</v>
      </c>
      <c r="J4521" t="s">
        <v>15</v>
      </c>
      <c r="K4521">
        <v>38366.46</v>
      </c>
      <c r="L4521" t="str">
        <f t="shared" si="280"/>
        <v>Sep</v>
      </c>
      <c r="M4521">
        <f t="shared" si="281"/>
        <v>2025</v>
      </c>
      <c r="N4521">
        <f t="shared" si="282"/>
        <v>38366.46</v>
      </c>
      <c r="O4521" t="str">
        <f t="shared" si="283"/>
        <v>Moderate Delay</v>
      </c>
    </row>
    <row r="4522" spans="1:15" x14ac:dyDescent="0.25">
      <c r="A4522">
        <v>4521</v>
      </c>
      <c r="B4522" s="2">
        <v>45950</v>
      </c>
      <c r="C4522" t="s">
        <v>18</v>
      </c>
      <c r="D4522" t="s">
        <v>17</v>
      </c>
      <c r="E4522" t="s">
        <v>29</v>
      </c>
      <c r="F4522" t="s">
        <v>14</v>
      </c>
      <c r="G4522">
        <v>146</v>
      </c>
      <c r="H4522">
        <v>341.44</v>
      </c>
      <c r="I4522">
        <v>20</v>
      </c>
      <c r="J4522" t="s">
        <v>30</v>
      </c>
      <c r="K4522">
        <v>49850.239999999998</v>
      </c>
      <c r="L4522" t="str">
        <f t="shared" si="280"/>
        <v>Oct</v>
      </c>
      <c r="M4522">
        <f t="shared" si="281"/>
        <v>2025</v>
      </c>
      <c r="N4522">
        <f t="shared" si="282"/>
        <v>49850.239999999998</v>
      </c>
      <c r="O4522" t="str">
        <f t="shared" si="283"/>
        <v>Minor Delay</v>
      </c>
    </row>
    <row r="4523" spans="1:15" x14ac:dyDescent="0.25">
      <c r="A4523">
        <v>4522</v>
      </c>
      <c r="B4523" s="2">
        <v>45887</v>
      </c>
      <c r="C4523" t="s">
        <v>25</v>
      </c>
      <c r="D4523" t="s">
        <v>29</v>
      </c>
      <c r="E4523" t="s">
        <v>17</v>
      </c>
      <c r="F4523" t="s">
        <v>14</v>
      </c>
      <c r="G4523">
        <v>174</v>
      </c>
      <c r="H4523">
        <v>241.34</v>
      </c>
      <c r="I4523">
        <v>5</v>
      </c>
      <c r="J4523" t="s">
        <v>30</v>
      </c>
      <c r="K4523">
        <v>41993.16</v>
      </c>
      <c r="L4523" t="str">
        <f t="shared" si="280"/>
        <v>Aug</v>
      </c>
      <c r="M4523">
        <f t="shared" si="281"/>
        <v>2025</v>
      </c>
      <c r="N4523">
        <f t="shared" si="282"/>
        <v>41993.16</v>
      </c>
      <c r="O4523" t="str">
        <f t="shared" si="283"/>
        <v>Minor Delay</v>
      </c>
    </row>
    <row r="4524" spans="1:15" x14ac:dyDescent="0.25">
      <c r="A4524">
        <v>4523</v>
      </c>
      <c r="B4524" s="2">
        <v>45900</v>
      </c>
      <c r="C4524" t="s">
        <v>16</v>
      </c>
      <c r="D4524" t="s">
        <v>17</v>
      </c>
      <c r="E4524" t="s">
        <v>29</v>
      </c>
      <c r="F4524" t="s">
        <v>21</v>
      </c>
      <c r="G4524">
        <v>224</v>
      </c>
      <c r="H4524">
        <v>260.16000000000003</v>
      </c>
      <c r="I4524">
        <v>39</v>
      </c>
      <c r="J4524" t="s">
        <v>15</v>
      </c>
      <c r="K4524">
        <v>58275.839999999997</v>
      </c>
      <c r="L4524" t="str">
        <f t="shared" si="280"/>
        <v>Aug</v>
      </c>
      <c r="M4524">
        <f t="shared" si="281"/>
        <v>2025</v>
      </c>
      <c r="N4524">
        <f t="shared" si="282"/>
        <v>58275.840000000004</v>
      </c>
      <c r="O4524" t="str">
        <f t="shared" si="283"/>
        <v>Moderate Delay</v>
      </c>
    </row>
    <row r="4525" spans="1:15" x14ac:dyDescent="0.25">
      <c r="A4525">
        <v>4524</v>
      </c>
      <c r="B4525" s="2">
        <v>45878</v>
      </c>
      <c r="C4525" t="s">
        <v>18</v>
      </c>
      <c r="D4525" t="s">
        <v>23</v>
      </c>
      <c r="E4525" t="s">
        <v>22</v>
      </c>
      <c r="F4525" t="s">
        <v>24</v>
      </c>
      <c r="G4525">
        <v>76</v>
      </c>
      <c r="H4525">
        <v>94.02</v>
      </c>
      <c r="I4525">
        <v>59</v>
      </c>
      <c r="J4525" t="s">
        <v>15</v>
      </c>
      <c r="K4525">
        <v>7145.52</v>
      </c>
      <c r="L4525" t="str">
        <f t="shared" si="280"/>
        <v>Aug</v>
      </c>
      <c r="M4525">
        <f t="shared" si="281"/>
        <v>2025</v>
      </c>
      <c r="N4525">
        <f t="shared" si="282"/>
        <v>7145.5199999999995</v>
      </c>
      <c r="O4525" t="str">
        <f t="shared" si="283"/>
        <v>Moderate Delay</v>
      </c>
    </row>
    <row r="4526" spans="1:15" x14ac:dyDescent="0.25">
      <c r="A4526">
        <v>4525</v>
      </c>
      <c r="B4526" s="2">
        <v>45702</v>
      </c>
      <c r="C4526" t="s">
        <v>31</v>
      </c>
      <c r="D4526" t="s">
        <v>23</v>
      </c>
      <c r="E4526" t="s">
        <v>20</v>
      </c>
      <c r="F4526" t="s">
        <v>14</v>
      </c>
      <c r="G4526">
        <v>300</v>
      </c>
      <c r="H4526">
        <v>340.04</v>
      </c>
      <c r="I4526">
        <v>4</v>
      </c>
      <c r="J4526" t="s">
        <v>30</v>
      </c>
      <c r="K4526">
        <v>102012</v>
      </c>
      <c r="L4526" t="str">
        <f t="shared" si="280"/>
        <v>Feb</v>
      </c>
      <c r="M4526">
        <f t="shared" si="281"/>
        <v>2025</v>
      </c>
      <c r="N4526">
        <f t="shared" si="282"/>
        <v>102012</v>
      </c>
      <c r="O4526" t="str">
        <f t="shared" si="283"/>
        <v>Minor Delay</v>
      </c>
    </row>
    <row r="4527" spans="1:15" x14ac:dyDescent="0.25">
      <c r="A4527">
        <v>4526</v>
      </c>
      <c r="B4527" s="2">
        <v>45973</v>
      </c>
      <c r="C4527" t="s">
        <v>11</v>
      </c>
      <c r="D4527" t="s">
        <v>17</v>
      </c>
      <c r="E4527" t="s">
        <v>27</v>
      </c>
      <c r="F4527" t="s">
        <v>24</v>
      </c>
      <c r="G4527">
        <v>298</v>
      </c>
      <c r="H4527">
        <v>245.43</v>
      </c>
      <c r="I4527">
        <v>18</v>
      </c>
      <c r="J4527" t="s">
        <v>30</v>
      </c>
      <c r="K4527">
        <v>73138.14</v>
      </c>
      <c r="L4527" t="str">
        <f t="shared" si="280"/>
        <v>Nov</v>
      </c>
      <c r="M4527">
        <f t="shared" si="281"/>
        <v>2025</v>
      </c>
      <c r="N4527">
        <f t="shared" si="282"/>
        <v>73138.14</v>
      </c>
      <c r="O4527" t="str">
        <f t="shared" si="283"/>
        <v>Minor Delay</v>
      </c>
    </row>
    <row r="4528" spans="1:15" x14ac:dyDescent="0.25">
      <c r="A4528">
        <v>4527</v>
      </c>
      <c r="B4528" s="2">
        <v>45783</v>
      </c>
      <c r="C4528" t="s">
        <v>25</v>
      </c>
      <c r="D4528" t="s">
        <v>23</v>
      </c>
      <c r="E4528" t="s">
        <v>13</v>
      </c>
      <c r="F4528" t="s">
        <v>21</v>
      </c>
      <c r="G4528">
        <v>223</v>
      </c>
      <c r="H4528">
        <v>732.72</v>
      </c>
      <c r="I4528">
        <v>0</v>
      </c>
      <c r="J4528" t="s">
        <v>15</v>
      </c>
      <c r="K4528">
        <v>163396.56</v>
      </c>
      <c r="L4528" t="str">
        <f t="shared" si="280"/>
        <v>May</v>
      </c>
      <c r="M4528">
        <f t="shared" si="281"/>
        <v>2025</v>
      </c>
      <c r="N4528">
        <f t="shared" si="282"/>
        <v>163396.56</v>
      </c>
      <c r="O4528" t="str">
        <f t="shared" si="283"/>
        <v>On Time</v>
      </c>
    </row>
    <row r="4529" spans="1:15" x14ac:dyDescent="0.25">
      <c r="A4529">
        <v>4528</v>
      </c>
      <c r="B4529" s="2">
        <v>45702</v>
      </c>
      <c r="C4529" t="s">
        <v>11</v>
      </c>
      <c r="D4529" t="s">
        <v>22</v>
      </c>
      <c r="E4529" t="s">
        <v>20</v>
      </c>
      <c r="F4529" t="s">
        <v>21</v>
      </c>
      <c r="G4529">
        <v>126</v>
      </c>
      <c r="H4529">
        <v>262.07</v>
      </c>
      <c r="I4529">
        <v>43</v>
      </c>
      <c r="J4529" t="s">
        <v>30</v>
      </c>
      <c r="K4529">
        <v>33020.82</v>
      </c>
      <c r="L4529" t="str">
        <f t="shared" si="280"/>
        <v>Feb</v>
      </c>
      <c r="M4529">
        <f t="shared" si="281"/>
        <v>2025</v>
      </c>
      <c r="N4529">
        <f t="shared" si="282"/>
        <v>33020.82</v>
      </c>
      <c r="O4529" t="str">
        <f t="shared" si="283"/>
        <v>Moderate Delay</v>
      </c>
    </row>
    <row r="4530" spans="1:15" x14ac:dyDescent="0.25">
      <c r="A4530">
        <v>4529</v>
      </c>
      <c r="B4530" s="2">
        <v>46014</v>
      </c>
      <c r="C4530" t="s">
        <v>25</v>
      </c>
      <c r="D4530" t="s">
        <v>27</v>
      </c>
      <c r="E4530" t="s">
        <v>19</v>
      </c>
      <c r="F4530" t="s">
        <v>14</v>
      </c>
      <c r="G4530">
        <v>272</v>
      </c>
      <c r="H4530">
        <v>135.11000000000001</v>
      </c>
      <c r="I4530">
        <v>20</v>
      </c>
      <c r="J4530" t="s">
        <v>15</v>
      </c>
      <c r="K4530">
        <v>36749.919999999998</v>
      </c>
      <c r="L4530" t="str">
        <f t="shared" si="280"/>
        <v>Dec</v>
      </c>
      <c r="M4530">
        <f t="shared" si="281"/>
        <v>2025</v>
      </c>
      <c r="N4530">
        <f t="shared" si="282"/>
        <v>36749.920000000006</v>
      </c>
      <c r="O4530" t="str">
        <f t="shared" si="283"/>
        <v>Minor Delay</v>
      </c>
    </row>
    <row r="4531" spans="1:15" x14ac:dyDescent="0.25">
      <c r="A4531">
        <v>4530</v>
      </c>
      <c r="B4531" s="2">
        <v>45898</v>
      </c>
      <c r="C4531" t="s">
        <v>18</v>
      </c>
      <c r="D4531" t="s">
        <v>19</v>
      </c>
      <c r="E4531" t="s">
        <v>22</v>
      </c>
      <c r="F4531" t="s">
        <v>21</v>
      </c>
      <c r="G4531">
        <v>67</v>
      </c>
      <c r="H4531">
        <v>655.33000000000004</v>
      </c>
      <c r="I4531">
        <v>25</v>
      </c>
      <c r="J4531" t="s">
        <v>15</v>
      </c>
      <c r="K4531">
        <v>43907.11</v>
      </c>
      <c r="L4531" t="str">
        <f t="shared" si="280"/>
        <v>Aug</v>
      </c>
      <c r="M4531">
        <f t="shared" si="281"/>
        <v>2025</v>
      </c>
      <c r="N4531">
        <f t="shared" si="282"/>
        <v>43907.11</v>
      </c>
      <c r="O4531" t="str">
        <f t="shared" si="283"/>
        <v>Minor Delay</v>
      </c>
    </row>
    <row r="4532" spans="1:15" x14ac:dyDescent="0.25">
      <c r="A4532">
        <v>4531</v>
      </c>
      <c r="B4532" s="2">
        <v>45910</v>
      </c>
      <c r="C4532" t="s">
        <v>31</v>
      </c>
      <c r="D4532" t="s">
        <v>19</v>
      </c>
      <c r="E4532" t="s">
        <v>27</v>
      </c>
      <c r="F4532" t="s">
        <v>14</v>
      </c>
      <c r="G4532">
        <v>211</v>
      </c>
      <c r="H4532">
        <v>777.6</v>
      </c>
      <c r="I4532">
        <v>18</v>
      </c>
      <c r="J4532" t="s">
        <v>15</v>
      </c>
      <c r="K4532">
        <v>164073.60000000001</v>
      </c>
      <c r="L4532" t="str">
        <f t="shared" si="280"/>
        <v>Sep</v>
      </c>
      <c r="M4532">
        <f t="shared" si="281"/>
        <v>2025</v>
      </c>
      <c r="N4532">
        <f t="shared" si="282"/>
        <v>164073.60000000001</v>
      </c>
      <c r="O4532" t="str">
        <f t="shared" si="283"/>
        <v>Minor Delay</v>
      </c>
    </row>
    <row r="4533" spans="1:15" x14ac:dyDescent="0.25">
      <c r="A4533">
        <v>4532</v>
      </c>
      <c r="B4533" s="2">
        <v>45672</v>
      </c>
      <c r="C4533" t="s">
        <v>16</v>
      </c>
      <c r="D4533" t="s">
        <v>29</v>
      </c>
      <c r="E4533" t="s">
        <v>19</v>
      </c>
      <c r="F4533" t="s">
        <v>24</v>
      </c>
      <c r="G4533">
        <v>105</v>
      </c>
      <c r="H4533">
        <v>130.88999999999999</v>
      </c>
      <c r="I4533">
        <v>19</v>
      </c>
      <c r="J4533" t="s">
        <v>15</v>
      </c>
      <c r="K4533">
        <v>13743.45</v>
      </c>
      <c r="L4533" t="str">
        <f t="shared" si="280"/>
        <v>Jan</v>
      </c>
      <c r="M4533">
        <f t="shared" si="281"/>
        <v>2025</v>
      </c>
      <c r="N4533">
        <f t="shared" si="282"/>
        <v>13743.449999999999</v>
      </c>
      <c r="O4533" t="str">
        <f t="shared" si="283"/>
        <v>Minor Delay</v>
      </c>
    </row>
    <row r="4534" spans="1:15" x14ac:dyDescent="0.25">
      <c r="A4534">
        <v>4533</v>
      </c>
      <c r="B4534" s="2">
        <v>45661</v>
      </c>
      <c r="C4534" t="s">
        <v>25</v>
      </c>
      <c r="D4534" t="s">
        <v>29</v>
      </c>
      <c r="E4534" t="s">
        <v>13</v>
      </c>
      <c r="F4534" t="s">
        <v>14</v>
      </c>
      <c r="G4534">
        <v>111</v>
      </c>
      <c r="H4534">
        <v>489.16</v>
      </c>
      <c r="I4534">
        <v>8</v>
      </c>
      <c r="J4534" t="s">
        <v>30</v>
      </c>
      <c r="K4534">
        <v>54296.76</v>
      </c>
      <c r="L4534" t="str">
        <f t="shared" si="280"/>
        <v>Jan</v>
      </c>
      <c r="M4534">
        <f t="shared" si="281"/>
        <v>2025</v>
      </c>
      <c r="N4534">
        <f t="shared" si="282"/>
        <v>54296.76</v>
      </c>
      <c r="O4534" t="str">
        <f t="shared" si="283"/>
        <v>Minor Delay</v>
      </c>
    </row>
    <row r="4535" spans="1:15" x14ac:dyDescent="0.25">
      <c r="A4535">
        <v>4534</v>
      </c>
      <c r="B4535" s="2">
        <v>45984</v>
      </c>
      <c r="C4535" t="s">
        <v>25</v>
      </c>
      <c r="D4535" t="s">
        <v>19</v>
      </c>
      <c r="E4535" t="s">
        <v>20</v>
      </c>
      <c r="F4535" t="s">
        <v>14</v>
      </c>
      <c r="G4535">
        <v>223</v>
      </c>
      <c r="H4535">
        <v>109.26</v>
      </c>
      <c r="I4535">
        <v>33</v>
      </c>
      <c r="J4535" t="s">
        <v>15</v>
      </c>
      <c r="K4535">
        <v>24364.98</v>
      </c>
      <c r="L4535" t="str">
        <f t="shared" si="280"/>
        <v>Nov</v>
      </c>
      <c r="M4535">
        <f t="shared" si="281"/>
        <v>2025</v>
      </c>
      <c r="N4535">
        <f t="shared" si="282"/>
        <v>24364.98</v>
      </c>
      <c r="O4535" t="str">
        <f t="shared" si="283"/>
        <v>Moderate Delay</v>
      </c>
    </row>
    <row r="4536" spans="1:15" x14ac:dyDescent="0.25">
      <c r="A4536">
        <v>4535</v>
      </c>
      <c r="B4536" s="2">
        <v>45698</v>
      </c>
      <c r="C4536" t="s">
        <v>11</v>
      </c>
      <c r="D4536" t="s">
        <v>27</v>
      </c>
      <c r="E4536" t="s">
        <v>29</v>
      </c>
      <c r="F4536" t="s">
        <v>24</v>
      </c>
      <c r="G4536">
        <v>61</v>
      </c>
      <c r="H4536">
        <v>195.86</v>
      </c>
      <c r="I4536">
        <v>44</v>
      </c>
      <c r="J4536" t="s">
        <v>15</v>
      </c>
      <c r="K4536">
        <v>11947.46</v>
      </c>
      <c r="L4536" t="str">
        <f t="shared" si="280"/>
        <v>Feb</v>
      </c>
      <c r="M4536">
        <f t="shared" si="281"/>
        <v>2025</v>
      </c>
      <c r="N4536">
        <f t="shared" si="282"/>
        <v>11947.460000000001</v>
      </c>
      <c r="O4536" t="str">
        <f t="shared" si="283"/>
        <v>Moderate Delay</v>
      </c>
    </row>
    <row r="4537" spans="1:15" x14ac:dyDescent="0.25">
      <c r="A4537">
        <v>4536</v>
      </c>
      <c r="B4537" s="2">
        <v>45715</v>
      </c>
      <c r="C4537" t="s">
        <v>11</v>
      </c>
      <c r="D4537" t="s">
        <v>29</v>
      </c>
      <c r="E4537" t="s">
        <v>13</v>
      </c>
      <c r="F4537" t="s">
        <v>21</v>
      </c>
      <c r="G4537">
        <v>139</v>
      </c>
      <c r="H4537">
        <v>507.25</v>
      </c>
      <c r="I4537">
        <v>43</v>
      </c>
      <c r="J4537" t="s">
        <v>30</v>
      </c>
      <c r="K4537">
        <v>70507.75</v>
      </c>
      <c r="L4537" t="str">
        <f t="shared" si="280"/>
        <v>Feb</v>
      </c>
      <c r="M4537">
        <f t="shared" si="281"/>
        <v>2025</v>
      </c>
      <c r="N4537">
        <f t="shared" si="282"/>
        <v>70507.75</v>
      </c>
      <c r="O4537" t="str">
        <f t="shared" si="283"/>
        <v>Moderate Delay</v>
      </c>
    </row>
    <row r="4538" spans="1:15" x14ac:dyDescent="0.25">
      <c r="A4538">
        <v>4537</v>
      </c>
      <c r="B4538" s="2">
        <v>45997</v>
      </c>
      <c r="C4538" t="s">
        <v>18</v>
      </c>
      <c r="D4538" t="s">
        <v>19</v>
      </c>
      <c r="E4538" t="s">
        <v>12</v>
      </c>
      <c r="F4538" t="s">
        <v>24</v>
      </c>
      <c r="G4538">
        <v>212</v>
      </c>
      <c r="H4538">
        <v>296.95</v>
      </c>
      <c r="I4538">
        <v>51</v>
      </c>
      <c r="J4538" t="s">
        <v>15</v>
      </c>
      <c r="K4538">
        <v>62953.4</v>
      </c>
      <c r="L4538" t="str">
        <f t="shared" si="280"/>
        <v>Dec</v>
      </c>
      <c r="M4538">
        <f t="shared" si="281"/>
        <v>2025</v>
      </c>
      <c r="N4538">
        <f t="shared" si="282"/>
        <v>62953.399999999994</v>
      </c>
      <c r="O4538" t="str">
        <f t="shared" si="283"/>
        <v>Moderate Delay</v>
      </c>
    </row>
    <row r="4539" spans="1:15" x14ac:dyDescent="0.25">
      <c r="A4539">
        <v>4538</v>
      </c>
      <c r="B4539" s="2">
        <v>45993</v>
      </c>
      <c r="C4539" t="s">
        <v>31</v>
      </c>
      <c r="D4539" t="s">
        <v>13</v>
      </c>
      <c r="E4539" t="s">
        <v>29</v>
      </c>
      <c r="F4539" t="s">
        <v>21</v>
      </c>
      <c r="G4539">
        <v>242</v>
      </c>
      <c r="H4539">
        <v>614.02</v>
      </c>
      <c r="I4539">
        <v>0</v>
      </c>
      <c r="J4539" t="s">
        <v>30</v>
      </c>
      <c r="K4539">
        <v>148592.84</v>
      </c>
      <c r="L4539" t="str">
        <f t="shared" si="280"/>
        <v>Dec</v>
      </c>
      <c r="M4539">
        <f t="shared" si="281"/>
        <v>2025</v>
      </c>
      <c r="N4539">
        <f t="shared" si="282"/>
        <v>148592.84</v>
      </c>
      <c r="O4539" t="str">
        <f t="shared" si="283"/>
        <v>On Time</v>
      </c>
    </row>
    <row r="4540" spans="1:15" x14ac:dyDescent="0.25">
      <c r="A4540">
        <v>4539</v>
      </c>
      <c r="B4540" s="2">
        <v>45766</v>
      </c>
      <c r="C4540" t="s">
        <v>11</v>
      </c>
      <c r="D4540" t="s">
        <v>17</v>
      </c>
      <c r="E4540" t="s">
        <v>22</v>
      </c>
      <c r="F4540" t="s">
        <v>24</v>
      </c>
      <c r="G4540">
        <v>267</v>
      </c>
      <c r="H4540">
        <v>288.58999999999997</v>
      </c>
      <c r="I4540">
        <v>25</v>
      </c>
      <c r="J4540" t="s">
        <v>15</v>
      </c>
      <c r="K4540">
        <v>77053.53</v>
      </c>
      <c r="L4540" t="str">
        <f t="shared" si="280"/>
        <v>Apr</v>
      </c>
      <c r="M4540">
        <f t="shared" si="281"/>
        <v>2025</v>
      </c>
      <c r="N4540">
        <f t="shared" si="282"/>
        <v>77053.53</v>
      </c>
      <c r="O4540" t="str">
        <f t="shared" si="283"/>
        <v>Minor Delay</v>
      </c>
    </row>
    <row r="4541" spans="1:15" x14ac:dyDescent="0.25">
      <c r="A4541">
        <v>4540</v>
      </c>
      <c r="B4541" s="2">
        <v>45716</v>
      </c>
      <c r="C4541" t="s">
        <v>26</v>
      </c>
      <c r="D4541" t="s">
        <v>27</v>
      </c>
      <c r="E4541" t="s">
        <v>20</v>
      </c>
      <c r="F4541" t="s">
        <v>14</v>
      </c>
      <c r="G4541">
        <v>130</v>
      </c>
      <c r="H4541">
        <v>270.66000000000003</v>
      </c>
      <c r="I4541">
        <v>96</v>
      </c>
      <c r="J4541" t="s">
        <v>15</v>
      </c>
      <c r="K4541">
        <v>35185.800000000003</v>
      </c>
      <c r="L4541" t="str">
        <f t="shared" si="280"/>
        <v>Feb</v>
      </c>
      <c r="M4541">
        <f t="shared" si="281"/>
        <v>2025</v>
      </c>
      <c r="N4541">
        <f t="shared" si="282"/>
        <v>35185.800000000003</v>
      </c>
      <c r="O4541" t="str">
        <f t="shared" si="283"/>
        <v>Major Delay</v>
      </c>
    </row>
    <row r="4542" spans="1:15" x14ac:dyDescent="0.25">
      <c r="A4542">
        <v>4541</v>
      </c>
      <c r="B4542" s="2">
        <v>45716</v>
      </c>
      <c r="C4542" t="s">
        <v>18</v>
      </c>
      <c r="D4542" t="s">
        <v>17</v>
      </c>
      <c r="E4542" t="s">
        <v>12</v>
      </c>
      <c r="F4542" t="s">
        <v>21</v>
      </c>
      <c r="G4542">
        <v>64</v>
      </c>
      <c r="H4542">
        <v>724.45</v>
      </c>
      <c r="I4542">
        <v>9</v>
      </c>
      <c r="J4542" t="s">
        <v>15</v>
      </c>
      <c r="K4542">
        <v>46364.800000000003</v>
      </c>
      <c r="L4542" t="str">
        <f t="shared" si="280"/>
        <v>Feb</v>
      </c>
      <c r="M4542">
        <f t="shared" si="281"/>
        <v>2025</v>
      </c>
      <c r="N4542">
        <f t="shared" si="282"/>
        <v>46364.800000000003</v>
      </c>
      <c r="O4542" t="str">
        <f t="shared" si="283"/>
        <v>Minor Delay</v>
      </c>
    </row>
    <row r="4543" spans="1:15" x14ac:dyDescent="0.25">
      <c r="A4543">
        <v>4542</v>
      </c>
      <c r="B4543" s="2">
        <v>45674</v>
      </c>
      <c r="C4543" t="s">
        <v>26</v>
      </c>
      <c r="D4543" t="s">
        <v>29</v>
      </c>
      <c r="E4543" t="s">
        <v>19</v>
      </c>
      <c r="F4543" t="s">
        <v>14</v>
      </c>
      <c r="G4543">
        <v>61</v>
      </c>
      <c r="H4543">
        <v>521.20000000000005</v>
      </c>
      <c r="I4543">
        <v>0</v>
      </c>
      <c r="J4543" t="s">
        <v>15</v>
      </c>
      <c r="K4543">
        <v>31793.200000000001</v>
      </c>
      <c r="L4543" t="str">
        <f t="shared" si="280"/>
        <v>Jan</v>
      </c>
      <c r="M4543">
        <f t="shared" si="281"/>
        <v>2025</v>
      </c>
      <c r="N4543">
        <f t="shared" si="282"/>
        <v>31793.200000000004</v>
      </c>
      <c r="O4543" t="str">
        <f t="shared" si="283"/>
        <v>On Time</v>
      </c>
    </row>
    <row r="4544" spans="1:15" x14ac:dyDescent="0.25">
      <c r="A4544">
        <v>4543</v>
      </c>
      <c r="B4544" s="2">
        <v>45937</v>
      </c>
      <c r="C4544" t="s">
        <v>25</v>
      </c>
      <c r="D4544" t="s">
        <v>27</v>
      </c>
      <c r="E4544" t="s">
        <v>13</v>
      </c>
      <c r="F4544" t="s">
        <v>14</v>
      </c>
      <c r="G4544">
        <v>122</v>
      </c>
      <c r="H4544">
        <v>524.04999999999995</v>
      </c>
      <c r="I4544">
        <v>8</v>
      </c>
      <c r="J4544" t="s">
        <v>30</v>
      </c>
      <c r="K4544">
        <v>63934.1</v>
      </c>
      <c r="L4544" t="str">
        <f t="shared" si="280"/>
        <v>Oct</v>
      </c>
      <c r="M4544">
        <f t="shared" si="281"/>
        <v>2025</v>
      </c>
      <c r="N4544">
        <f t="shared" si="282"/>
        <v>63934.099999999991</v>
      </c>
      <c r="O4544" t="str">
        <f t="shared" si="283"/>
        <v>Minor Delay</v>
      </c>
    </row>
    <row r="4545" spans="1:15" x14ac:dyDescent="0.25">
      <c r="A4545">
        <v>4544</v>
      </c>
      <c r="B4545" s="2">
        <v>45852</v>
      </c>
      <c r="C4545" t="s">
        <v>25</v>
      </c>
      <c r="D4545" t="s">
        <v>29</v>
      </c>
      <c r="E4545" t="s">
        <v>12</v>
      </c>
      <c r="F4545" t="s">
        <v>21</v>
      </c>
      <c r="G4545">
        <v>53</v>
      </c>
      <c r="H4545">
        <v>78.510000000000005</v>
      </c>
      <c r="I4545">
        <v>14</v>
      </c>
      <c r="J4545" t="s">
        <v>30</v>
      </c>
      <c r="K4545">
        <v>4161.03</v>
      </c>
      <c r="L4545" t="str">
        <f t="shared" si="280"/>
        <v>Jul</v>
      </c>
      <c r="M4545">
        <f t="shared" si="281"/>
        <v>2025</v>
      </c>
      <c r="N4545">
        <f t="shared" si="282"/>
        <v>4161.0300000000007</v>
      </c>
      <c r="O4545" t="str">
        <f t="shared" si="283"/>
        <v>Minor Delay</v>
      </c>
    </row>
    <row r="4546" spans="1:15" x14ac:dyDescent="0.25">
      <c r="A4546">
        <v>4545</v>
      </c>
      <c r="B4546" s="2">
        <v>45793</v>
      </c>
      <c r="C4546" t="s">
        <v>25</v>
      </c>
      <c r="D4546" t="s">
        <v>19</v>
      </c>
      <c r="E4546" t="s">
        <v>29</v>
      </c>
      <c r="F4546" t="s">
        <v>14</v>
      </c>
      <c r="G4546">
        <v>189</v>
      </c>
      <c r="H4546">
        <v>232.74</v>
      </c>
      <c r="I4546">
        <v>2</v>
      </c>
      <c r="J4546" t="s">
        <v>15</v>
      </c>
      <c r="K4546">
        <v>43987.86</v>
      </c>
      <c r="L4546" t="str">
        <f t="shared" si="280"/>
        <v>May</v>
      </c>
      <c r="M4546">
        <f t="shared" si="281"/>
        <v>2025</v>
      </c>
      <c r="N4546">
        <f t="shared" si="282"/>
        <v>43987.86</v>
      </c>
      <c r="O4546" t="str">
        <f t="shared" si="283"/>
        <v>Minor Delay</v>
      </c>
    </row>
    <row r="4547" spans="1:15" x14ac:dyDescent="0.25">
      <c r="A4547">
        <v>4546</v>
      </c>
      <c r="B4547" s="2">
        <v>45740</v>
      </c>
      <c r="C4547" t="s">
        <v>26</v>
      </c>
      <c r="D4547" t="s">
        <v>20</v>
      </c>
      <c r="E4547" t="s">
        <v>17</v>
      </c>
      <c r="F4547" t="s">
        <v>14</v>
      </c>
      <c r="G4547">
        <v>217</v>
      </c>
      <c r="H4547">
        <v>703.02</v>
      </c>
      <c r="I4547">
        <v>0</v>
      </c>
      <c r="J4547" t="s">
        <v>30</v>
      </c>
      <c r="K4547">
        <v>152555.34</v>
      </c>
      <c r="L4547" t="str">
        <f t="shared" ref="L4547:L4610" si="284">TEXT(B4547,"MMM")</f>
        <v>Mar</v>
      </c>
      <c r="M4547">
        <f t="shared" ref="M4547:M4610" si="285">YEAR(B4547)</f>
        <v>2025</v>
      </c>
      <c r="N4547">
        <f t="shared" ref="N4547:N4610" si="286">G4547*H4547</f>
        <v>152555.34</v>
      </c>
      <c r="O4547" t="str">
        <f t="shared" ref="O4547:O4610" si="287">IF(I4547=0,"On Time",IF(I4547&lt;=30,"Minor Delay",IF(I4547&lt;=60,"Moderate Delay","Major Delay")))</f>
        <v>On Time</v>
      </c>
    </row>
    <row r="4548" spans="1:15" x14ac:dyDescent="0.25">
      <c r="A4548">
        <v>4547</v>
      </c>
      <c r="B4548" s="2">
        <v>45715</v>
      </c>
      <c r="C4548" t="s">
        <v>16</v>
      </c>
      <c r="D4548" t="s">
        <v>12</v>
      </c>
      <c r="E4548" t="s">
        <v>23</v>
      </c>
      <c r="F4548" t="s">
        <v>24</v>
      </c>
      <c r="G4548">
        <v>169</v>
      </c>
      <c r="H4548">
        <v>477.36</v>
      </c>
      <c r="I4548">
        <v>17</v>
      </c>
      <c r="J4548" t="s">
        <v>30</v>
      </c>
      <c r="K4548">
        <v>80673.84</v>
      </c>
      <c r="L4548" t="str">
        <f t="shared" si="284"/>
        <v>Feb</v>
      </c>
      <c r="M4548">
        <f t="shared" si="285"/>
        <v>2025</v>
      </c>
      <c r="N4548">
        <f t="shared" si="286"/>
        <v>80673.84</v>
      </c>
      <c r="O4548" t="str">
        <f t="shared" si="287"/>
        <v>Minor Delay</v>
      </c>
    </row>
    <row r="4549" spans="1:15" x14ac:dyDescent="0.25">
      <c r="A4549">
        <v>4548</v>
      </c>
      <c r="B4549" s="2">
        <v>45855</v>
      </c>
      <c r="C4549" t="s">
        <v>18</v>
      </c>
      <c r="D4549" t="s">
        <v>19</v>
      </c>
      <c r="E4549" t="s">
        <v>29</v>
      </c>
      <c r="F4549" t="s">
        <v>21</v>
      </c>
      <c r="G4549">
        <v>56</v>
      </c>
      <c r="H4549">
        <v>135.12</v>
      </c>
      <c r="I4549">
        <v>5</v>
      </c>
      <c r="J4549" t="s">
        <v>15</v>
      </c>
      <c r="K4549">
        <v>7566.72</v>
      </c>
      <c r="L4549" t="str">
        <f t="shared" si="284"/>
        <v>Jul</v>
      </c>
      <c r="M4549">
        <f t="shared" si="285"/>
        <v>2025</v>
      </c>
      <c r="N4549">
        <f t="shared" si="286"/>
        <v>7566.72</v>
      </c>
      <c r="O4549" t="str">
        <f t="shared" si="287"/>
        <v>Minor Delay</v>
      </c>
    </row>
    <row r="4550" spans="1:15" x14ac:dyDescent="0.25">
      <c r="A4550">
        <v>4549</v>
      </c>
      <c r="B4550" s="2">
        <v>45916</v>
      </c>
      <c r="C4550" t="s">
        <v>16</v>
      </c>
      <c r="D4550" t="s">
        <v>17</v>
      </c>
      <c r="E4550" t="s">
        <v>27</v>
      </c>
      <c r="F4550" t="s">
        <v>14</v>
      </c>
      <c r="G4550">
        <v>255</v>
      </c>
      <c r="H4550">
        <v>380.42</v>
      </c>
      <c r="I4550">
        <v>59</v>
      </c>
      <c r="J4550" t="s">
        <v>15</v>
      </c>
      <c r="K4550">
        <v>97007.1</v>
      </c>
      <c r="L4550" t="str">
        <f t="shared" si="284"/>
        <v>Sep</v>
      </c>
      <c r="M4550">
        <f t="shared" si="285"/>
        <v>2025</v>
      </c>
      <c r="N4550">
        <f t="shared" si="286"/>
        <v>97007.1</v>
      </c>
      <c r="O4550" t="str">
        <f t="shared" si="287"/>
        <v>Moderate Delay</v>
      </c>
    </row>
    <row r="4551" spans="1:15" x14ac:dyDescent="0.25">
      <c r="A4551">
        <v>4550</v>
      </c>
      <c r="B4551" s="2">
        <v>45964</v>
      </c>
      <c r="C4551" t="s">
        <v>16</v>
      </c>
      <c r="D4551" t="s">
        <v>17</v>
      </c>
      <c r="E4551" t="s">
        <v>29</v>
      </c>
      <c r="F4551" t="s">
        <v>14</v>
      </c>
      <c r="G4551">
        <v>131</v>
      </c>
      <c r="H4551">
        <v>130.93</v>
      </c>
      <c r="I4551">
        <v>0</v>
      </c>
      <c r="J4551" t="s">
        <v>15</v>
      </c>
      <c r="K4551">
        <v>17151.830000000002</v>
      </c>
      <c r="L4551" t="str">
        <f t="shared" si="284"/>
        <v>Nov</v>
      </c>
      <c r="M4551">
        <f t="shared" si="285"/>
        <v>2025</v>
      </c>
      <c r="N4551">
        <f t="shared" si="286"/>
        <v>17151.830000000002</v>
      </c>
      <c r="O4551" t="str">
        <f t="shared" si="287"/>
        <v>On Time</v>
      </c>
    </row>
    <row r="4552" spans="1:15" x14ac:dyDescent="0.25">
      <c r="A4552">
        <v>4551</v>
      </c>
      <c r="B4552" s="2">
        <v>45744</v>
      </c>
      <c r="C4552" t="s">
        <v>18</v>
      </c>
      <c r="D4552" t="s">
        <v>17</v>
      </c>
      <c r="E4552" t="s">
        <v>23</v>
      </c>
      <c r="F4552" t="s">
        <v>24</v>
      </c>
      <c r="G4552">
        <v>109</v>
      </c>
      <c r="H4552">
        <v>636.99</v>
      </c>
      <c r="I4552">
        <v>23</v>
      </c>
      <c r="J4552" t="s">
        <v>15</v>
      </c>
      <c r="K4552">
        <v>69431.91</v>
      </c>
      <c r="L4552" t="str">
        <f t="shared" si="284"/>
        <v>Mar</v>
      </c>
      <c r="M4552">
        <f t="shared" si="285"/>
        <v>2025</v>
      </c>
      <c r="N4552">
        <f t="shared" si="286"/>
        <v>69431.91</v>
      </c>
      <c r="O4552" t="str">
        <f t="shared" si="287"/>
        <v>Minor Delay</v>
      </c>
    </row>
    <row r="4553" spans="1:15" x14ac:dyDescent="0.25">
      <c r="A4553">
        <v>4552</v>
      </c>
      <c r="B4553" s="2">
        <v>46009</v>
      </c>
      <c r="C4553" t="s">
        <v>26</v>
      </c>
      <c r="D4553" t="s">
        <v>12</v>
      </c>
      <c r="E4553" t="s">
        <v>27</v>
      </c>
      <c r="F4553" t="s">
        <v>14</v>
      </c>
      <c r="G4553">
        <v>214</v>
      </c>
      <c r="H4553">
        <v>694.28</v>
      </c>
      <c r="I4553">
        <v>26</v>
      </c>
      <c r="J4553" t="s">
        <v>15</v>
      </c>
      <c r="K4553">
        <v>148575.92000000001</v>
      </c>
      <c r="L4553" t="str">
        <f t="shared" si="284"/>
        <v>Dec</v>
      </c>
      <c r="M4553">
        <f t="shared" si="285"/>
        <v>2025</v>
      </c>
      <c r="N4553">
        <f t="shared" si="286"/>
        <v>148575.91999999998</v>
      </c>
      <c r="O4553" t="str">
        <f t="shared" si="287"/>
        <v>Minor Delay</v>
      </c>
    </row>
    <row r="4554" spans="1:15" x14ac:dyDescent="0.25">
      <c r="A4554">
        <v>4553</v>
      </c>
      <c r="B4554" s="2">
        <v>45759</v>
      </c>
      <c r="C4554" t="s">
        <v>16</v>
      </c>
      <c r="D4554" t="s">
        <v>13</v>
      </c>
      <c r="E4554" t="s">
        <v>17</v>
      </c>
      <c r="F4554" t="s">
        <v>21</v>
      </c>
      <c r="G4554">
        <v>183</v>
      </c>
      <c r="H4554">
        <v>267.95</v>
      </c>
      <c r="I4554">
        <v>53</v>
      </c>
      <c r="J4554" t="s">
        <v>15</v>
      </c>
      <c r="K4554">
        <v>49034.85</v>
      </c>
      <c r="L4554" t="str">
        <f t="shared" si="284"/>
        <v>Apr</v>
      </c>
      <c r="M4554">
        <f t="shared" si="285"/>
        <v>2025</v>
      </c>
      <c r="N4554">
        <f t="shared" si="286"/>
        <v>49034.85</v>
      </c>
      <c r="O4554" t="str">
        <f t="shared" si="287"/>
        <v>Moderate Delay</v>
      </c>
    </row>
    <row r="4555" spans="1:15" x14ac:dyDescent="0.25">
      <c r="A4555">
        <v>4554</v>
      </c>
      <c r="B4555" s="2">
        <v>45659</v>
      </c>
      <c r="C4555" t="s">
        <v>31</v>
      </c>
      <c r="D4555" t="s">
        <v>22</v>
      </c>
      <c r="E4555" t="s">
        <v>17</v>
      </c>
      <c r="F4555" t="s">
        <v>24</v>
      </c>
      <c r="G4555">
        <v>178</v>
      </c>
      <c r="H4555">
        <v>296.73</v>
      </c>
      <c r="I4555">
        <v>36</v>
      </c>
      <c r="J4555" t="s">
        <v>15</v>
      </c>
      <c r="K4555">
        <v>52817.94</v>
      </c>
      <c r="L4555" t="str">
        <f t="shared" si="284"/>
        <v>Jan</v>
      </c>
      <c r="M4555">
        <f t="shared" si="285"/>
        <v>2025</v>
      </c>
      <c r="N4555">
        <f t="shared" si="286"/>
        <v>52817.94</v>
      </c>
      <c r="O4555" t="str">
        <f t="shared" si="287"/>
        <v>Moderate Delay</v>
      </c>
    </row>
    <row r="4556" spans="1:15" x14ac:dyDescent="0.25">
      <c r="A4556">
        <v>4555</v>
      </c>
      <c r="B4556" s="2">
        <v>45886</v>
      </c>
      <c r="C4556" t="s">
        <v>16</v>
      </c>
      <c r="D4556" t="s">
        <v>17</v>
      </c>
      <c r="E4556" t="s">
        <v>27</v>
      </c>
      <c r="F4556" t="s">
        <v>14</v>
      </c>
      <c r="G4556">
        <v>250</v>
      </c>
      <c r="H4556">
        <v>427.46</v>
      </c>
      <c r="I4556">
        <v>19</v>
      </c>
      <c r="J4556" t="s">
        <v>15</v>
      </c>
      <c r="K4556">
        <v>106865</v>
      </c>
      <c r="L4556" t="str">
        <f t="shared" si="284"/>
        <v>Aug</v>
      </c>
      <c r="M4556">
        <f t="shared" si="285"/>
        <v>2025</v>
      </c>
      <c r="N4556">
        <f t="shared" si="286"/>
        <v>106865</v>
      </c>
      <c r="O4556" t="str">
        <f t="shared" si="287"/>
        <v>Minor Delay</v>
      </c>
    </row>
    <row r="4557" spans="1:15" x14ac:dyDescent="0.25">
      <c r="A4557">
        <v>4556</v>
      </c>
      <c r="B4557" s="2">
        <v>45670</v>
      </c>
      <c r="C4557" t="s">
        <v>25</v>
      </c>
      <c r="D4557" t="s">
        <v>13</v>
      </c>
      <c r="E4557" t="s">
        <v>23</v>
      </c>
      <c r="F4557" t="s">
        <v>24</v>
      </c>
      <c r="G4557">
        <v>150</v>
      </c>
      <c r="H4557">
        <v>261.73</v>
      </c>
      <c r="I4557">
        <v>47</v>
      </c>
      <c r="J4557" t="s">
        <v>15</v>
      </c>
      <c r="K4557">
        <v>39259.5</v>
      </c>
      <c r="L4557" t="str">
        <f t="shared" si="284"/>
        <v>Jan</v>
      </c>
      <c r="M4557">
        <f t="shared" si="285"/>
        <v>2025</v>
      </c>
      <c r="N4557">
        <f t="shared" si="286"/>
        <v>39259.5</v>
      </c>
      <c r="O4557" t="str">
        <f t="shared" si="287"/>
        <v>Moderate Delay</v>
      </c>
    </row>
    <row r="4558" spans="1:15" x14ac:dyDescent="0.25">
      <c r="A4558">
        <v>4557</v>
      </c>
      <c r="B4558" s="2">
        <v>45919</v>
      </c>
      <c r="C4558" t="s">
        <v>11</v>
      </c>
      <c r="D4558" t="s">
        <v>13</v>
      </c>
      <c r="E4558" t="s">
        <v>17</v>
      </c>
      <c r="F4558" t="s">
        <v>24</v>
      </c>
      <c r="G4558">
        <v>133</v>
      </c>
      <c r="H4558">
        <v>591.24</v>
      </c>
      <c r="I4558">
        <v>49</v>
      </c>
      <c r="J4558" t="s">
        <v>15</v>
      </c>
      <c r="K4558">
        <v>78634.92</v>
      </c>
      <c r="L4558" t="str">
        <f t="shared" si="284"/>
        <v>Sep</v>
      </c>
      <c r="M4558">
        <f t="shared" si="285"/>
        <v>2025</v>
      </c>
      <c r="N4558">
        <f t="shared" si="286"/>
        <v>78634.92</v>
      </c>
      <c r="O4558" t="str">
        <f t="shared" si="287"/>
        <v>Moderate Delay</v>
      </c>
    </row>
    <row r="4559" spans="1:15" x14ac:dyDescent="0.25">
      <c r="A4559">
        <v>4558</v>
      </c>
      <c r="B4559" s="2">
        <v>45986</v>
      </c>
      <c r="C4559" t="s">
        <v>31</v>
      </c>
      <c r="D4559" t="s">
        <v>29</v>
      </c>
      <c r="E4559" t="s">
        <v>27</v>
      </c>
      <c r="F4559" t="s">
        <v>24</v>
      </c>
      <c r="G4559">
        <v>112</v>
      </c>
      <c r="H4559">
        <v>748.09</v>
      </c>
      <c r="I4559">
        <v>21</v>
      </c>
      <c r="J4559" t="s">
        <v>15</v>
      </c>
      <c r="K4559">
        <v>83786.080000000002</v>
      </c>
      <c r="L4559" t="str">
        <f t="shared" si="284"/>
        <v>Nov</v>
      </c>
      <c r="M4559">
        <f t="shared" si="285"/>
        <v>2025</v>
      </c>
      <c r="N4559">
        <f t="shared" si="286"/>
        <v>83786.080000000002</v>
      </c>
      <c r="O4559" t="str">
        <f t="shared" si="287"/>
        <v>Minor Delay</v>
      </c>
    </row>
    <row r="4560" spans="1:15" x14ac:dyDescent="0.25">
      <c r="A4560">
        <v>4559</v>
      </c>
      <c r="B4560" s="2">
        <v>45718</v>
      </c>
      <c r="C4560" t="s">
        <v>25</v>
      </c>
      <c r="D4560" t="s">
        <v>29</v>
      </c>
      <c r="E4560" t="s">
        <v>13</v>
      </c>
      <c r="F4560" t="s">
        <v>21</v>
      </c>
      <c r="G4560">
        <v>282</v>
      </c>
      <c r="H4560">
        <v>234.83</v>
      </c>
      <c r="I4560">
        <v>31</v>
      </c>
      <c r="J4560" t="s">
        <v>15</v>
      </c>
      <c r="K4560">
        <v>66222.06</v>
      </c>
      <c r="L4560" t="str">
        <f t="shared" si="284"/>
        <v>Mar</v>
      </c>
      <c r="M4560">
        <f t="shared" si="285"/>
        <v>2025</v>
      </c>
      <c r="N4560">
        <f t="shared" si="286"/>
        <v>66222.06</v>
      </c>
      <c r="O4560" t="str">
        <f t="shared" si="287"/>
        <v>Moderate Delay</v>
      </c>
    </row>
    <row r="4561" spans="1:15" x14ac:dyDescent="0.25">
      <c r="A4561">
        <v>4560</v>
      </c>
      <c r="B4561" s="2">
        <v>45788</v>
      </c>
      <c r="C4561" t="s">
        <v>16</v>
      </c>
      <c r="D4561" t="s">
        <v>12</v>
      </c>
      <c r="E4561" t="s">
        <v>23</v>
      </c>
      <c r="F4561" t="s">
        <v>24</v>
      </c>
      <c r="G4561">
        <v>279</v>
      </c>
      <c r="H4561">
        <v>204.63</v>
      </c>
      <c r="I4561">
        <v>20</v>
      </c>
      <c r="J4561" t="s">
        <v>15</v>
      </c>
      <c r="K4561">
        <v>57091.77</v>
      </c>
      <c r="L4561" t="str">
        <f t="shared" si="284"/>
        <v>May</v>
      </c>
      <c r="M4561">
        <f t="shared" si="285"/>
        <v>2025</v>
      </c>
      <c r="N4561">
        <f t="shared" si="286"/>
        <v>57091.77</v>
      </c>
      <c r="O4561" t="str">
        <f t="shared" si="287"/>
        <v>Minor Delay</v>
      </c>
    </row>
    <row r="4562" spans="1:15" x14ac:dyDescent="0.25">
      <c r="A4562">
        <v>4561</v>
      </c>
      <c r="B4562" s="2">
        <v>45974</v>
      </c>
      <c r="C4562" t="s">
        <v>31</v>
      </c>
      <c r="D4562" t="s">
        <v>13</v>
      </c>
      <c r="E4562" t="s">
        <v>29</v>
      </c>
      <c r="F4562" t="s">
        <v>14</v>
      </c>
      <c r="G4562">
        <v>143</v>
      </c>
      <c r="H4562">
        <v>81.81</v>
      </c>
      <c r="I4562">
        <v>11</v>
      </c>
      <c r="J4562" t="s">
        <v>15</v>
      </c>
      <c r="K4562">
        <v>11698.83</v>
      </c>
      <c r="L4562" t="str">
        <f t="shared" si="284"/>
        <v>Nov</v>
      </c>
      <c r="M4562">
        <f t="shared" si="285"/>
        <v>2025</v>
      </c>
      <c r="N4562">
        <f t="shared" si="286"/>
        <v>11698.83</v>
      </c>
      <c r="O4562" t="str">
        <f t="shared" si="287"/>
        <v>Minor Delay</v>
      </c>
    </row>
    <row r="4563" spans="1:15" x14ac:dyDescent="0.25">
      <c r="A4563">
        <v>4562</v>
      </c>
      <c r="B4563" s="2">
        <v>45901</v>
      </c>
      <c r="C4563" t="s">
        <v>16</v>
      </c>
      <c r="D4563" t="s">
        <v>20</v>
      </c>
      <c r="E4563" t="s">
        <v>23</v>
      </c>
      <c r="F4563" t="s">
        <v>21</v>
      </c>
      <c r="G4563">
        <v>72</v>
      </c>
      <c r="H4563">
        <v>401.06</v>
      </c>
      <c r="I4563">
        <v>43</v>
      </c>
      <c r="J4563" t="s">
        <v>15</v>
      </c>
      <c r="K4563">
        <v>28876.32</v>
      </c>
      <c r="L4563" t="str">
        <f t="shared" si="284"/>
        <v>Sep</v>
      </c>
      <c r="M4563">
        <f t="shared" si="285"/>
        <v>2025</v>
      </c>
      <c r="N4563">
        <f t="shared" si="286"/>
        <v>28876.32</v>
      </c>
      <c r="O4563" t="str">
        <f t="shared" si="287"/>
        <v>Moderate Delay</v>
      </c>
    </row>
    <row r="4564" spans="1:15" x14ac:dyDescent="0.25">
      <c r="A4564">
        <v>4563</v>
      </c>
      <c r="B4564" s="2">
        <v>45883</v>
      </c>
      <c r="C4564" t="s">
        <v>31</v>
      </c>
      <c r="D4564" t="s">
        <v>23</v>
      </c>
      <c r="E4564" t="s">
        <v>17</v>
      </c>
      <c r="F4564" t="s">
        <v>24</v>
      </c>
      <c r="G4564">
        <v>283</v>
      </c>
      <c r="H4564">
        <v>437.56</v>
      </c>
      <c r="I4564">
        <v>6</v>
      </c>
      <c r="J4564" t="s">
        <v>15</v>
      </c>
      <c r="K4564">
        <v>123829.48</v>
      </c>
      <c r="L4564" t="str">
        <f t="shared" si="284"/>
        <v>Aug</v>
      </c>
      <c r="M4564">
        <f t="shared" si="285"/>
        <v>2025</v>
      </c>
      <c r="N4564">
        <f t="shared" si="286"/>
        <v>123829.48</v>
      </c>
      <c r="O4564" t="str">
        <f t="shared" si="287"/>
        <v>Minor Delay</v>
      </c>
    </row>
    <row r="4565" spans="1:15" x14ac:dyDescent="0.25">
      <c r="A4565">
        <v>4564</v>
      </c>
      <c r="B4565" s="2">
        <v>45686</v>
      </c>
      <c r="C4565" t="s">
        <v>18</v>
      </c>
      <c r="D4565" t="s">
        <v>29</v>
      </c>
      <c r="E4565" t="s">
        <v>22</v>
      </c>
      <c r="F4565" t="s">
        <v>21</v>
      </c>
      <c r="G4565">
        <v>219</v>
      </c>
      <c r="H4565">
        <v>507.08</v>
      </c>
      <c r="I4565">
        <v>29</v>
      </c>
      <c r="J4565" t="s">
        <v>15</v>
      </c>
      <c r="K4565">
        <v>111050.52</v>
      </c>
      <c r="L4565" t="str">
        <f t="shared" si="284"/>
        <v>Jan</v>
      </c>
      <c r="M4565">
        <f t="shared" si="285"/>
        <v>2025</v>
      </c>
      <c r="N4565">
        <f t="shared" si="286"/>
        <v>111050.51999999999</v>
      </c>
      <c r="O4565" t="str">
        <f t="shared" si="287"/>
        <v>Minor Delay</v>
      </c>
    </row>
    <row r="4566" spans="1:15" x14ac:dyDescent="0.25">
      <c r="A4566">
        <v>4565</v>
      </c>
      <c r="B4566" s="2">
        <v>45784</v>
      </c>
      <c r="C4566" t="s">
        <v>31</v>
      </c>
      <c r="D4566" t="s">
        <v>23</v>
      </c>
      <c r="E4566" t="s">
        <v>12</v>
      </c>
      <c r="F4566" t="s">
        <v>21</v>
      </c>
      <c r="G4566">
        <v>183</v>
      </c>
      <c r="H4566">
        <v>149.15</v>
      </c>
      <c r="I4566">
        <v>31</v>
      </c>
      <c r="J4566" t="s">
        <v>28</v>
      </c>
      <c r="K4566">
        <v>27294.45</v>
      </c>
      <c r="L4566" t="str">
        <f t="shared" si="284"/>
        <v>May</v>
      </c>
      <c r="M4566">
        <f t="shared" si="285"/>
        <v>2025</v>
      </c>
      <c r="N4566">
        <f t="shared" si="286"/>
        <v>27294.45</v>
      </c>
      <c r="O4566" t="str">
        <f t="shared" si="287"/>
        <v>Moderate Delay</v>
      </c>
    </row>
    <row r="4567" spans="1:15" x14ac:dyDescent="0.25">
      <c r="A4567">
        <v>4566</v>
      </c>
      <c r="B4567" s="2">
        <v>46015</v>
      </c>
      <c r="C4567" t="s">
        <v>18</v>
      </c>
      <c r="D4567" t="s">
        <v>23</v>
      </c>
      <c r="E4567" t="s">
        <v>17</v>
      </c>
      <c r="F4567" t="s">
        <v>24</v>
      </c>
      <c r="G4567">
        <v>253</v>
      </c>
      <c r="H4567">
        <v>574.45000000000005</v>
      </c>
      <c r="I4567">
        <v>24</v>
      </c>
      <c r="J4567" t="s">
        <v>15</v>
      </c>
      <c r="K4567">
        <v>145335.85</v>
      </c>
      <c r="L4567" t="str">
        <f t="shared" si="284"/>
        <v>Dec</v>
      </c>
      <c r="M4567">
        <f t="shared" si="285"/>
        <v>2025</v>
      </c>
      <c r="N4567">
        <f t="shared" si="286"/>
        <v>145335.85</v>
      </c>
      <c r="O4567" t="str">
        <f t="shared" si="287"/>
        <v>Minor Delay</v>
      </c>
    </row>
    <row r="4568" spans="1:15" x14ac:dyDescent="0.25">
      <c r="A4568">
        <v>4567</v>
      </c>
      <c r="B4568" s="2">
        <v>45957</v>
      </c>
      <c r="C4568" t="s">
        <v>26</v>
      </c>
      <c r="D4568" t="s">
        <v>17</v>
      </c>
      <c r="E4568" t="s">
        <v>12</v>
      </c>
      <c r="F4568" t="s">
        <v>14</v>
      </c>
      <c r="G4568">
        <v>118</v>
      </c>
      <c r="H4568">
        <v>477.73</v>
      </c>
      <c r="I4568">
        <v>19</v>
      </c>
      <c r="J4568" t="s">
        <v>15</v>
      </c>
      <c r="K4568">
        <v>56372.14</v>
      </c>
      <c r="L4568" t="str">
        <f t="shared" si="284"/>
        <v>Oct</v>
      </c>
      <c r="M4568">
        <f t="shared" si="285"/>
        <v>2025</v>
      </c>
      <c r="N4568">
        <f t="shared" si="286"/>
        <v>56372.14</v>
      </c>
      <c r="O4568" t="str">
        <f t="shared" si="287"/>
        <v>Minor Delay</v>
      </c>
    </row>
    <row r="4569" spans="1:15" x14ac:dyDescent="0.25">
      <c r="A4569">
        <v>4568</v>
      </c>
      <c r="B4569" s="2">
        <v>45888</v>
      </c>
      <c r="C4569" t="s">
        <v>18</v>
      </c>
      <c r="D4569" t="s">
        <v>29</v>
      </c>
      <c r="E4569" t="s">
        <v>12</v>
      </c>
      <c r="F4569" t="s">
        <v>24</v>
      </c>
      <c r="G4569">
        <v>134</v>
      </c>
      <c r="H4569">
        <v>115.58</v>
      </c>
      <c r="I4569">
        <v>8</v>
      </c>
      <c r="J4569" t="s">
        <v>30</v>
      </c>
      <c r="K4569">
        <v>15487.72</v>
      </c>
      <c r="L4569" t="str">
        <f t="shared" si="284"/>
        <v>Aug</v>
      </c>
      <c r="M4569">
        <f t="shared" si="285"/>
        <v>2025</v>
      </c>
      <c r="N4569">
        <f t="shared" si="286"/>
        <v>15487.72</v>
      </c>
      <c r="O4569" t="str">
        <f t="shared" si="287"/>
        <v>Minor Delay</v>
      </c>
    </row>
    <row r="4570" spans="1:15" x14ac:dyDescent="0.25">
      <c r="A4570">
        <v>4569</v>
      </c>
      <c r="B4570" s="2">
        <v>45724</v>
      </c>
      <c r="C4570" t="s">
        <v>11</v>
      </c>
      <c r="D4570" t="s">
        <v>20</v>
      </c>
      <c r="E4570" t="s">
        <v>13</v>
      </c>
      <c r="F4570" t="s">
        <v>21</v>
      </c>
      <c r="G4570">
        <v>102</v>
      </c>
      <c r="H4570">
        <v>470.79</v>
      </c>
      <c r="I4570">
        <v>19</v>
      </c>
      <c r="J4570" t="s">
        <v>30</v>
      </c>
      <c r="K4570">
        <v>48020.58</v>
      </c>
      <c r="L4570" t="str">
        <f t="shared" si="284"/>
        <v>Mar</v>
      </c>
      <c r="M4570">
        <f t="shared" si="285"/>
        <v>2025</v>
      </c>
      <c r="N4570">
        <f t="shared" si="286"/>
        <v>48020.58</v>
      </c>
      <c r="O4570" t="str">
        <f t="shared" si="287"/>
        <v>Minor Delay</v>
      </c>
    </row>
    <row r="4571" spans="1:15" x14ac:dyDescent="0.25">
      <c r="A4571">
        <v>4570</v>
      </c>
      <c r="B4571" s="2">
        <v>45916</v>
      </c>
      <c r="C4571" t="s">
        <v>11</v>
      </c>
      <c r="D4571" t="s">
        <v>23</v>
      </c>
      <c r="E4571" t="s">
        <v>27</v>
      </c>
      <c r="F4571" t="s">
        <v>24</v>
      </c>
      <c r="G4571">
        <v>167</v>
      </c>
      <c r="H4571">
        <v>546.27</v>
      </c>
      <c r="I4571">
        <v>92</v>
      </c>
      <c r="J4571" t="s">
        <v>15</v>
      </c>
      <c r="K4571">
        <v>91227.09</v>
      </c>
      <c r="L4571" t="str">
        <f t="shared" si="284"/>
        <v>Sep</v>
      </c>
      <c r="M4571">
        <f t="shared" si="285"/>
        <v>2025</v>
      </c>
      <c r="N4571">
        <f t="shared" si="286"/>
        <v>91227.09</v>
      </c>
      <c r="O4571" t="str">
        <f t="shared" si="287"/>
        <v>Major Delay</v>
      </c>
    </row>
    <row r="4572" spans="1:15" x14ac:dyDescent="0.25">
      <c r="A4572">
        <v>4571</v>
      </c>
      <c r="B4572" s="2">
        <v>45688</v>
      </c>
      <c r="C4572" t="s">
        <v>31</v>
      </c>
      <c r="D4572" t="s">
        <v>19</v>
      </c>
      <c r="E4572" t="s">
        <v>29</v>
      </c>
      <c r="F4572" t="s">
        <v>24</v>
      </c>
      <c r="G4572">
        <v>212</v>
      </c>
      <c r="H4572">
        <v>495.16</v>
      </c>
      <c r="I4572">
        <v>8</v>
      </c>
      <c r="J4572" t="s">
        <v>15</v>
      </c>
      <c r="K4572">
        <v>104973.92</v>
      </c>
      <c r="L4572" t="str">
        <f t="shared" si="284"/>
        <v>Jan</v>
      </c>
      <c r="M4572">
        <f t="shared" si="285"/>
        <v>2025</v>
      </c>
      <c r="N4572">
        <f t="shared" si="286"/>
        <v>104973.92</v>
      </c>
      <c r="O4572" t="str">
        <f t="shared" si="287"/>
        <v>Minor Delay</v>
      </c>
    </row>
    <row r="4573" spans="1:15" x14ac:dyDescent="0.25">
      <c r="A4573">
        <v>4572</v>
      </c>
      <c r="B4573" s="2">
        <v>45778</v>
      </c>
      <c r="C4573" t="s">
        <v>26</v>
      </c>
      <c r="D4573" t="s">
        <v>27</v>
      </c>
      <c r="E4573" t="s">
        <v>20</v>
      </c>
      <c r="F4573" t="s">
        <v>21</v>
      </c>
      <c r="G4573">
        <v>178</v>
      </c>
      <c r="H4573">
        <v>429.15</v>
      </c>
      <c r="I4573">
        <v>0</v>
      </c>
      <c r="J4573" t="s">
        <v>30</v>
      </c>
      <c r="K4573">
        <v>76388.7</v>
      </c>
      <c r="L4573" t="str">
        <f t="shared" si="284"/>
        <v>May</v>
      </c>
      <c r="M4573">
        <f t="shared" si="285"/>
        <v>2025</v>
      </c>
      <c r="N4573">
        <f t="shared" si="286"/>
        <v>76388.7</v>
      </c>
      <c r="O4573" t="str">
        <f t="shared" si="287"/>
        <v>On Time</v>
      </c>
    </row>
    <row r="4574" spans="1:15" x14ac:dyDescent="0.25">
      <c r="A4574">
        <v>4573</v>
      </c>
      <c r="B4574" s="2">
        <v>45768</v>
      </c>
      <c r="C4574" t="s">
        <v>25</v>
      </c>
      <c r="D4574" t="s">
        <v>29</v>
      </c>
      <c r="E4574" t="s">
        <v>23</v>
      </c>
      <c r="F4574" t="s">
        <v>21</v>
      </c>
      <c r="G4574">
        <v>136</v>
      </c>
      <c r="H4574">
        <v>578.42999999999995</v>
      </c>
      <c r="I4574">
        <v>47</v>
      </c>
      <c r="J4574" t="s">
        <v>15</v>
      </c>
      <c r="K4574">
        <v>78666.48</v>
      </c>
      <c r="L4574" t="str">
        <f t="shared" si="284"/>
        <v>Apr</v>
      </c>
      <c r="M4574">
        <f t="shared" si="285"/>
        <v>2025</v>
      </c>
      <c r="N4574">
        <f t="shared" si="286"/>
        <v>78666.48</v>
      </c>
      <c r="O4574" t="str">
        <f t="shared" si="287"/>
        <v>Moderate Delay</v>
      </c>
    </row>
    <row r="4575" spans="1:15" x14ac:dyDescent="0.25">
      <c r="A4575">
        <v>4574</v>
      </c>
      <c r="B4575" s="2">
        <v>45971</v>
      </c>
      <c r="C4575" t="s">
        <v>11</v>
      </c>
      <c r="D4575" t="s">
        <v>23</v>
      </c>
      <c r="E4575" t="s">
        <v>13</v>
      </c>
      <c r="F4575" t="s">
        <v>21</v>
      </c>
      <c r="G4575">
        <v>178</v>
      </c>
      <c r="H4575">
        <v>356.65</v>
      </c>
      <c r="I4575">
        <v>0</v>
      </c>
      <c r="J4575" t="s">
        <v>15</v>
      </c>
      <c r="K4575">
        <v>63483.7</v>
      </c>
      <c r="L4575" t="str">
        <f t="shared" si="284"/>
        <v>Nov</v>
      </c>
      <c r="M4575">
        <f t="shared" si="285"/>
        <v>2025</v>
      </c>
      <c r="N4575">
        <f t="shared" si="286"/>
        <v>63483.7</v>
      </c>
      <c r="O4575" t="str">
        <f t="shared" si="287"/>
        <v>On Time</v>
      </c>
    </row>
    <row r="4576" spans="1:15" x14ac:dyDescent="0.25">
      <c r="A4576">
        <v>4575</v>
      </c>
      <c r="B4576" s="2">
        <v>45854</v>
      </c>
      <c r="C4576" t="s">
        <v>26</v>
      </c>
      <c r="D4576" t="s">
        <v>27</v>
      </c>
      <c r="E4576" t="s">
        <v>23</v>
      </c>
      <c r="F4576" t="s">
        <v>21</v>
      </c>
      <c r="G4576">
        <v>123</v>
      </c>
      <c r="H4576">
        <v>257.26</v>
      </c>
      <c r="I4576">
        <v>11</v>
      </c>
      <c r="J4576" t="s">
        <v>15</v>
      </c>
      <c r="K4576">
        <v>31642.98</v>
      </c>
      <c r="L4576" t="str">
        <f t="shared" si="284"/>
        <v>Jul</v>
      </c>
      <c r="M4576">
        <f t="shared" si="285"/>
        <v>2025</v>
      </c>
      <c r="N4576">
        <f t="shared" si="286"/>
        <v>31642.98</v>
      </c>
      <c r="O4576" t="str">
        <f t="shared" si="287"/>
        <v>Minor Delay</v>
      </c>
    </row>
    <row r="4577" spans="1:15" x14ac:dyDescent="0.25">
      <c r="A4577">
        <v>4576</v>
      </c>
      <c r="B4577" s="2">
        <v>46004</v>
      </c>
      <c r="C4577" t="s">
        <v>26</v>
      </c>
      <c r="D4577" t="s">
        <v>22</v>
      </c>
      <c r="E4577" t="s">
        <v>20</v>
      </c>
      <c r="F4577" t="s">
        <v>14</v>
      </c>
      <c r="G4577">
        <v>231</v>
      </c>
      <c r="H4577">
        <v>237.41</v>
      </c>
      <c r="I4577">
        <v>3</v>
      </c>
      <c r="J4577" t="s">
        <v>15</v>
      </c>
      <c r="K4577">
        <v>54841.71</v>
      </c>
      <c r="L4577" t="str">
        <f t="shared" si="284"/>
        <v>Dec</v>
      </c>
      <c r="M4577">
        <f t="shared" si="285"/>
        <v>2025</v>
      </c>
      <c r="N4577">
        <f t="shared" si="286"/>
        <v>54841.71</v>
      </c>
      <c r="O4577" t="str">
        <f t="shared" si="287"/>
        <v>Minor Delay</v>
      </c>
    </row>
    <row r="4578" spans="1:15" x14ac:dyDescent="0.25">
      <c r="A4578">
        <v>4577</v>
      </c>
      <c r="B4578" s="2">
        <v>45996</v>
      </c>
      <c r="C4578" t="s">
        <v>18</v>
      </c>
      <c r="D4578" t="s">
        <v>27</v>
      </c>
      <c r="E4578" t="s">
        <v>17</v>
      </c>
      <c r="F4578" t="s">
        <v>24</v>
      </c>
      <c r="G4578">
        <v>92</v>
      </c>
      <c r="H4578">
        <v>643.89</v>
      </c>
      <c r="I4578">
        <v>30</v>
      </c>
      <c r="J4578" t="s">
        <v>30</v>
      </c>
      <c r="K4578">
        <v>59237.88</v>
      </c>
      <c r="L4578" t="str">
        <f t="shared" si="284"/>
        <v>Dec</v>
      </c>
      <c r="M4578">
        <f t="shared" si="285"/>
        <v>2025</v>
      </c>
      <c r="N4578">
        <f t="shared" si="286"/>
        <v>59237.88</v>
      </c>
      <c r="O4578" t="str">
        <f t="shared" si="287"/>
        <v>Minor Delay</v>
      </c>
    </row>
    <row r="4579" spans="1:15" x14ac:dyDescent="0.25">
      <c r="A4579">
        <v>4578</v>
      </c>
      <c r="B4579" s="2">
        <v>45817</v>
      </c>
      <c r="C4579" t="s">
        <v>16</v>
      </c>
      <c r="D4579" t="s">
        <v>19</v>
      </c>
      <c r="E4579" t="s">
        <v>23</v>
      </c>
      <c r="F4579" t="s">
        <v>24</v>
      </c>
      <c r="G4579">
        <v>211</v>
      </c>
      <c r="H4579">
        <v>176.95</v>
      </c>
      <c r="I4579">
        <v>35</v>
      </c>
      <c r="J4579" t="s">
        <v>30</v>
      </c>
      <c r="K4579">
        <v>37336.449999999997</v>
      </c>
      <c r="L4579" t="str">
        <f t="shared" si="284"/>
        <v>Jun</v>
      </c>
      <c r="M4579">
        <f t="shared" si="285"/>
        <v>2025</v>
      </c>
      <c r="N4579">
        <f t="shared" si="286"/>
        <v>37336.449999999997</v>
      </c>
      <c r="O4579" t="str">
        <f t="shared" si="287"/>
        <v>Moderate Delay</v>
      </c>
    </row>
    <row r="4580" spans="1:15" x14ac:dyDescent="0.25">
      <c r="A4580">
        <v>4579</v>
      </c>
      <c r="B4580" s="2">
        <v>45757</v>
      </c>
      <c r="C4580" t="s">
        <v>11</v>
      </c>
      <c r="D4580" t="s">
        <v>17</v>
      </c>
      <c r="E4580" t="s">
        <v>20</v>
      </c>
      <c r="F4580" t="s">
        <v>24</v>
      </c>
      <c r="G4580">
        <v>249</v>
      </c>
      <c r="H4580">
        <v>103.73</v>
      </c>
      <c r="I4580">
        <v>16</v>
      </c>
      <c r="J4580" t="s">
        <v>15</v>
      </c>
      <c r="K4580">
        <v>25828.77</v>
      </c>
      <c r="L4580" t="str">
        <f t="shared" si="284"/>
        <v>Apr</v>
      </c>
      <c r="M4580">
        <f t="shared" si="285"/>
        <v>2025</v>
      </c>
      <c r="N4580">
        <f t="shared" si="286"/>
        <v>25828.77</v>
      </c>
      <c r="O4580" t="str">
        <f t="shared" si="287"/>
        <v>Minor Delay</v>
      </c>
    </row>
    <row r="4581" spans="1:15" x14ac:dyDescent="0.25">
      <c r="A4581">
        <v>4580</v>
      </c>
      <c r="B4581" s="2">
        <v>45788</v>
      </c>
      <c r="C4581" t="s">
        <v>25</v>
      </c>
      <c r="D4581" t="s">
        <v>17</v>
      </c>
      <c r="E4581" t="s">
        <v>19</v>
      </c>
      <c r="F4581" t="s">
        <v>24</v>
      </c>
      <c r="G4581">
        <v>95</v>
      </c>
      <c r="H4581">
        <v>779.5</v>
      </c>
      <c r="I4581">
        <v>71</v>
      </c>
      <c r="J4581" t="s">
        <v>15</v>
      </c>
      <c r="K4581">
        <v>74052.5</v>
      </c>
      <c r="L4581" t="str">
        <f t="shared" si="284"/>
        <v>May</v>
      </c>
      <c r="M4581">
        <f t="shared" si="285"/>
        <v>2025</v>
      </c>
      <c r="N4581">
        <f t="shared" si="286"/>
        <v>74052.5</v>
      </c>
      <c r="O4581" t="str">
        <f t="shared" si="287"/>
        <v>Major Delay</v>
      </c>
    </row>
    <row r="4582" spans="1:15" x14ac:dyDescent="0.25">
      <c r="A4582">
        <v>4581</v>
      </c>
      <c r="B4582" s="2">
        <v>45928</v>
      </c>
      <c r="C4582" t="s">
        <v>31</v>
      </c>
      <c r="D4582" t="s">
        <v>17</v>
      </c>
      <c r="E4582" t="s">
        <v>29</v>
      </c>
      <c r="F4582" t="s">
        <v>24</v>
      </c>
      <c r="G4582">
        <v>96</v>
      </c>
      <c r="H4582">
        <v>716.3</v>
      </c>
      <c r="I4582">
        <v>29</v>
      </c>
      <c r="J4582" t="s">
        <v>15</v>
      </c>
      <c r="K4582">
        <v>68764.800000000003</v>
      </c>
      <c r="L4582" t="str">
        <f t="shared" si="284"/>
        <v>Sep</v>
      </c>
      <c r="M4582">
        <f t="shared" si="285"/>
        <v>2025</v>
      </c>
      <c r="N4582">
        <f t="shared" si="286"/>
        <v>68764.799999999988</v>
      </c>
      <c r="O4582" t="str">
        <f t="shared" si="287"/>
        <v>Minor Delay</v>
      </c>
    </row>
    <row r="4583" spans="1:15" x14ac:dyDescent="0.25">
      <c r="A4583">
        <v>4582</v>
      </c>
      <c r="B4583" s="2">
        <v>45843</v>
      </c>
      <c r="C4583" t="s">
        <v>25</v>
      </c>
      <c r="D4583" t="s">
        <v>23</v>
      </c>
      <c r="E4583" t="s">
        <v>17</v>
      </c>
      <c r="F4583" t="s">
        <v>14</v>
      </c>
      <c r="G4583">
        <v>239</v>
      </c>
      <c r="H4583">
        <v>731.74</v>
      </c>
      <c r="I4583">
        <v>46</v>
      </c>
      <c r="J4583" t="s">
        <v>15</v>
      </c>
      <c r="K4583">
        <v>174885.86</v>
      </c>
      <c r="L4583" t="str">
        <f t="shared" si="284"/>
        <v>Jul</v>
      </c>
      <c r="M4583">
        <f t="shared" si="285"/>
        <v>2025</v>
      </c>
      <c r="N4583">
        <f t="shared" si="286"/>
        <v>174885.86000000002</v>
      </c>
      <c r="O4583" t="str">
        <f t="shared" si="287"/>
        <v>Moderate Delay</v>
      </c>
    </row>
    <row r="4584" spans="1:15" x14ac:dyDescent="0.25">
      <c r="A4584">
        <v>4583</v>
      </c>
      <c r="B4584" s="2">
        <v>45796</v>
      </c>
      <c r="C4584" t="s">
        <v>26</v>
      </c>
      <c r="D4584" t="s">
        <v>23</v>
      </c>
      <c r="E4584" t="s">
        <v>19</v>
      </c>
      <c r="F4584" t="s">
        <v>14</v>
      </c>
      <c r="G4584">
        <v>71</v>
      </c>
      <c r="H4584">
        <v>117.35</v>
      </c>
      <c r="I4584">
        <v>0</v>
      </c>
      <c r="J4584" t="s">
        <v>15</v>
      </c>
      <c r="K4584">
        <v>8331.85</v>
      </c>
      <c r="L4584" t="str">
        <f t="shared" si="284"/>
        <v>May</v>
      </c>
      <c r="M4584">
        <f t="shared" si="285"/>
        <v>2025</v>
      </c>
      <c r="N4584">
        <f t="shared" si="286"/>
        <v>8331.85</v>
      </c>
      <c r="O4584" t="str">
        <f t="shared" si="287"/>
        <v>On Time</v>
      </c>
    </row>
    <row r="4585" spans="1:15" x14ac:dyDescent="0.25">
      <c r="A4585">
        <v>4584</v>
      </c>
      <c r="B4585" s="2">
        <v>45902</v>
      </c>
      <c r="C4585" t="s">
        <v>25</v>
      </c>
      <c r="D4585" t="s">
        <v>23</v>
      </c>
      <c r="E4585" t="s">
        <v>17</v>
      </c>
      <c r="F4585" t="s">
        <v>24</v>
      </c>
      <c r="G4585">
        <v>92</v>
      </c>
      <c r="H4585">
        <v>626.33000000000004</v>
      </c>
      <c r="I4585">
        <v>24</v>
      </c>
      <c r="J4585" t="s">
        <v>15</v>
      </c>
      <c r="K4585">
        <v>57622.36</v>
      </c>
      <c r="L4585" t="str">
        <f t="shared" si="284"/>
        <v>Sep</v>
      </c>
      <c r="M4585">
        <f t="shared" si="285"/>
        <v>2025</v>
      </c>
      <c r="N4585">
        <f t="shared" si="286"/>
        <v>57622.36</v>
      </c>
      <c r="O4585" t="str">
        <f t="shared" si="287"/>
        <v>Minor Delay</v>
      </c>
    </row>
    <row r="4586" spans="1:15" x14ac:dyDescent="0.25">
      <c r="A4586">
        <v>4585</v>
      </c>
      <c r="B4586" s="2">
        <v>45749</v>
      </c>
      <c r="C4586" t="s">
        <v>25</v>
      </c>
      <c r="D4586" t="s">
        <v>27</v>
      </c>
      <c r="E4586" t="s">
        <v>23</v>
      </c>
      <c r="F4586" t="s">
        <v>24</v>
      </c>
      <c r="G4586">
        <v>146</v>
      </c>
      <c r="H4586">
        <v>235.85</v>
      </c>
      <c r="I4586">
        <v>38</v>
      </c>
      <c r="J4586" t="s">
        <v>15</v>
      </c>
      <c r="K4586">
        <v>34434.1</v>
      </c>
      <c r="L4586" t="str">
        <f t="shared" si="284"/>
        <v>Apr</v>
      </c>
      <c r="M4586">
        <f t="shared" si="285"/>
        <v>2025</v>
      </c>
      <c r="N4586">
        <f t="shared" si="286"/>
        <v>34434.1</v>
      </c>
      <c r="O4586" t="str">
        <f t="shared" si="287"/>
        <v>Moderate Delay</v>
      </c>
    </row>
    <row r="4587" spans="1:15" x14ac:dyDescent="0.25">
      <c r="A4587">
        <v>4586</v>
      </c>
      <c r="B4587" s="2">
        <v>45866</v>
      </c>
      <c r="C4587" t="s">
        <v>26</v>
      </c>
      <c r="D4587" t="s">
        <v>12</v>
      </c>
      <c r="E4587" t="s">
        <v>29</v>
      </c>
      <c r="F4587" t="s">
        <v>24</v>
      </c>
      <c r="G4587">
        <v>214</v>
      </c>
      <c r="H4587">
        <v>511.73</v>
      </c>
      <c r="I4587">
        <v>35</v>
      </c>
      <c r="J4587" t="s">
        <v>30</v>
      </c>
      <c r="K4587">
        <v>109510.22</v>
      </c>
      <c r="L4587" t="str">
        <f t="shared" si="284"/>
        <v>Jul</v>
      </c>
      <c r="M4587">
        <f t="shared" si="285"/>
        <v>2025</v>
      </c>
      <c r="N4587">
        <f t="shared" si="286"/>
        <v>109510.22</v>
      </c>
      <c r="O4587" t="str">
        <f t="shared" si="287"/>
        <v>Moderate Delay</v>
      </c>
    </row>
    <row r="4588" spans="1:15" x14ac:dyDescent="0.25">
      <c r="A4588">
        <v>4587</v>
      </c>
      <c r="B4588" s="2">
        <v>45749</v>
      </c>
      <c r="C4588" t="s">
        <v>31</v>
      </c>
      <c r="D4588" t="s">
        <v>17</v>
      </c>
      <c r="E4588" t="s">
        <v>23</v>
      </c>
      <c r="F4588" t="s">
        <v>21</v>
      </c>
      <c r="G4588">
        <v>274</v>
      </c>
      <c r="H4588">
        <v>430.82</v>
      </c>
      <c r="I4588">
        <v>2</v>
      </c>
      <c r="J4588" t="s">
        <v>15</v>
      </c>
      <c r="K4588">
        <v>118044.68</v>
      </c>
      <c r="L4588" t="str">
        <f t="shared" si="284"/>
        <v>Apr</v>
      </c>
      <c r="M4588">
        <f t="shared" si="285"/>
        <v>2025</v>
      </c>
      <c r="N4588">
        <f t="shared" si="286"/>
        <v>118044.68</v>
      </c>
      <c r="O4588" t="str">
        <f t="shared" si="287"/>
        <v>Minor Delay</v>
      </c>
    </row>
    <row r="4589" spans="1:15" x14ac:dyDescent="0.25">
      <c r="A4589">
        <v>4588</v>
      </c>
      <c r="B4589" s="2">
        <v>45991</v>
      </c>
      <c r="C4589" t="s">
        <v>31</v>
      </c>
      <c r="D4589" t="s">
        <v>22</v>
      </c>
      <c r="E4589" t="s">
        <v>19</v>
      </c>
      <c r="F4589" t="s">
        <v>21</v>
      </c>
      <c r="G4589">
        <v>185</v>
      </c>
      <c r="H4589">
        <v>712.79</v>
      </c>
      <c r="I4589">
        <v>26</v>
      </c>
      <c r="J4589" t="s">
        <v>15</v>
      </c>
      <c r="K4589">
        <v>131866.15</v>
      </c>
      <c r="L4589" t="str">
        <f t="shared" si="284"/>
        <v>Nov</v>
      </c>
      <c r="M4589">
        <f t="shared" si="285"/>
        <v>2025</v>
      </c>
      <c r="N4589">
        <f t="shared" si="286"/>
        <v>131866.15</v>
      </c>
      <c r="O4589" t="str">
        <f t="shared" si="287"/>
        <v>Minor Delay</v>
      </c>
    </row>
    <row r="4590" spans="1:15" x14ac:dyDescent="0.25">
      <c r="A4590">
        <v>4589</v>
      </c>
      <c r="B4590" s="2">
        <v>45780</v>
      </c>
      <c r="C4590" t="s">
        <v>16</v>
      </c>
      <c r="D4590" t="s">
        <v>12</v>
      </c>
      <c r="E4590" t="s">
        <v>17</v>
      </c>
      <c r="F4590" t="s">
        <v>14</v>
      </c>
      <c r="G4590">
        <v>168</v>
      </c>
      <c r="H4590">
        <v>293.89999999999998</v>
      </c>
      <c r="I4590">
        <v>37</v>
      </c>
      <c r="J4590" t="s">
        <v>30</v>
      </c>
      <c r="K4590">
        <v>49375.199999999997</v>
      </c>
      <c r="L4590" t="str">
        <f t="shared" si="284"/>
        <v>May</v>
      </c>
      <c r="M4590">
        <f t="shared" si="285"/>
        <v>2025</v>
      </c>
      <c r="N4590">
        <f t="shared" si="286"/>
        <v>49375.199999999997</v>
      </c>
      <c r="O4590" t="str">
        <f t="shared" si="287"/>
        <v>Moderate Delay</v>
      </c>
    </row>
    <row r="4591" spans="1:15" x14ac:dyDescent="0.25">
      <c r="A4591">
        <v>4590</v>
      </c>
      <c r="B4591" s="2">
        <v>45800</v>
      </c>
      <c r="C4591" t="s">
        <v>18</v>
      </c>
      <c r="D4591" t="s">
        <v>12</v>
      </c>
      <c r="E4591" t="s">
        <v>23</v>
      </c>
      <c r="F4591" t="s">
        <v>21</v>
      </c>
      <c r="G4591">
        <v>95</v>
      </c>
      <c r="H4591">
        <v>738.88</v>
      </c>
      <c r="I4591">
        <v>36</v>
      </c>
      <c r="J4591" t="s">
        <v>30</v>
      </c>
      <c r="K4591">
        <v>70193.600000000006</v>
      </c>
      <c r="L4591" t="str">
        <f t="shared" si="284"/>
        <v>May</v>
      </c>
      <c r="M4591">
        <f t="shared" si="285"/>
        <v>2025</v>
      </c>
      <c r="N4591">
        <f t="shared" si="286"/>
        <v>70193.600000000006</v>
      </c>
      <c r="O4591" t="str">
        <f t="shared" si="287"/>
        <v>Moderate Delay</v>
      </c>
    </row>
    <row r="4592" spans="1:15" x14ac:dyDescent="0.25">
      <c r="A4592">
        <v>4591</v>
      </c>
      <c r="B4592" s="2">
        <v>45896</v>
      </c>
      <c r="C4592" t="s">
        <v>31</v>
      </c>
      <c r="D4592" t="s">
        <v>13</v>
      </c>
      <c r="E4592" t="s">
        <v>17</v>
      </c>
      <c r="F4592" t="s">
        <v>14</v>
      </c>
      <c r="G4592">
        <v>116</v>
      </c>
      <c r="H4592">
        <v>299.97000000000003</v>
      </c>
      <c r="I4592">
        <v>23</v>
      </c>
      <c r="J4592" t="s">
        <v>15</v>
      </c>
      <c r="K4592">
        <v>34796.519999999997</v>
      </c>
      <c r="L4592" t="str">
        <f t="shared" si="284"/>
        <v>Aug</v>
      </c>
      <c r="M4592">
        <f t="shared" si="285"/>
        <v>2025</v>
      </c>
      <c r="N4592">
        <f t="shared" si="286"/>
        <v>34796.520000000004</v>
      </c>
      <c r="O4592" t="str">
        <f t="shared" si="287"/>
        <v>Minor Delay</v>
      </c>
    </row>
    <row r="4593" spans="1:15" x14ac:dyDescent="0.25">
      <c r="A4593">
        <v>4592</v>
      </c>
      <c r="B4593" s="2">
        <v>45786</v>
      </c>
      <c r="C4593" t="s">
        <v>18</v>
      </c>
      <c r="D4593" t="s">
        <v>12</v>
      </c>
      <c r="E4593" t="s">
        <v>19</v>
      </c>
      <c r="F4593" t="s">
        <v>24</v>
      </c>
      <c r="G4593">
        <v>281</v>
      </c>
      <c r="H4593">
        <v>763.11</v>
      </c>
      <c r="I4593">
        <v>29</v>
      </c>
      <c r="J4593" t="s">
        <v>15</v>
      </c>
      <c r="K4593">
        <v>214433.91</v>
      </c>
      <c r="L4593" t="str">
        <f t="shared" si="284"/>
        <v>May</v>
      </c>
      <c r="M4593">
        <f t="shared" si="285"/>
        <v>2025</v>
      </c>
      <c r="N4593">
        <f t="shared" si="286"/>
        <v>214433.91</v>
      </c>
      <c r="O4593" t="str">
        <f t="shared" si="287"/>
        <v>Minor Delay</v>
      </c>
    </row>
    <row r="4594" spans="1:15" x14ac:dyDescent="0.25">
      <c r="A4594">
        <v>4593</v>
      </c>
      <c r="B4594" s="2">
        <v>45744</v>
      </c>
      <c r="C4594" t="s">
        <v>26</v>
      </c>
      <c r="D4594" t="s">
        <v>27</v>
      </c>
      <c r="E4594" t="s">
        <v>17</v>
      </c>
      <c r="F4594" t="s">
        <v>14</v>
      </c>
      <c r="G4594">
        <v>240</v>
      </c>
      <c r="H4594">
        <v>95.11</v>
      </c>
      <c r="I4594">
        <v>23</v>
      </c>
      <c r="J4594" t="s">
        <v>15</v>
      </c>
      <c r="K4594">
        <v>22826.400000000001</v>
      </c>
      <c r="L4594" t="str">
        <f t="shared" si="284"/>
        <v>Mar</v>
      </c>
      <c r="M4594">
        <f t="shared" si="285"/>
        <v>2025</v>
      </c>
      <c r="N4594">
        <f t="shared" si="286"/>
        <v>22826.400000000001</v>
      </c>
      <c r="O4594" t="str">
        <f t="shared" si="287"/>
        <v>Minor Delay</v>
      </c>
    </row>
    <row r="4595" spans="1:15" x14ac:dyDescent="0.25">
      <c r="A4595">
        <v>4594</v>
      </c>
      <c r="B4595" s="2">
        <v>45875</v>
      </c>
      <c r="C4595" t="s">
        <v>18</v>
      </c>
      <c r="D4595" t="s">
        <v>17</v>
      </c>
      <c r="E4595" t="s">
        <v>13</v>
      </c>
      <c r="F4595" t="s">
        <v>21</v>
      </c>
      <c r="G4595">
        <v>240</v>
      </c>
      <c r="H4595">
        <v>496.85</v>
      </c>
      <c r="I4595">
        <v>11</v>
      </c>
      <c r="J4595" t="s">
        <v>15</v>
      </c>
      <c r="K4595">
        <v>119244</v>
      </c>
      <c r="L4595" t="str">
        <f t="shared" si="284"/>
        <v>Aug</v>
      </c>
      <c r="M4595">
        <f t="shared" si="285"/>
        <v>2025</v>
      </c>
      <c r="N4595">
        <f t="shared" si="286"/>
        <v>119244</v>
      </c>
      <c r="O4595" t="str">
        <f t="shared" si="287"/>
        <v>Minor Delay</v>
      </c>
    </row>
    <row r="4596" spans="1:15" x14ac:dyDescent="0.25">
      <c r="A4596">
        <v>4595</v>
      </c>
      <c r="B4596" s="2">
        <v>45962</v>
      </c>
      <c r="C4596" t="s">
        <v>25</v>
      </c>
      <c r="D4596" t="s">
        <v>13</v>
      </c>
      <c r="E4596" t="s">
        <v>20</v>
      </c>
      <c r="F4596" t="s">
        <v>24</v>
      </c>
      <c r="G4596">
        <v>112</v>
      </c>
      <c r="H4596">
        <v>614.96</v>
      </c>
      <c r="I4596">
        <v>49</v>
      </c>
      <c r="J4596" t="s">
        <v>30</v>
      </c>
      <c r="K4596">
        <v>68875.520000000004</v>
      </c>
      <c r="L4596" t="str">
        <f t="shared" si="284"/>
        <v>Nov</v>
      </c>
      <c r="M4596">
        <f t="shared" si="285"/>
        <v>2025</v>
      </c>
      <c r="N4596">
        <f t="shared" si="286"/>
        <v>68875.520000000004</v>
      </c>
      <c r="O4596" t="str">
        <f t="shared" si="287"/>
        <v>Moderate Delay</v>
      </c>
    </row>
    <row r="4597" spans="1:15" x14ac:dyDescent="0.25">
      <c r="A4597">
        <v>4596</v>
      </c>
      <c r="B4597" s="2">
        <v>45923</v>
      </c>
      <c r="C4597" t="s">
        <v>18</v>
      </c>
      <c r="D4597" t="s">
        <v>29</v>
      </c>
      <c r="E4597" t="s">
        <v>12</v>
      </c>
      <c r="F4597" t="s">
        <v>21</v>
      </c>
      <c r="G4597">
        <v>294</v>
      </c>
      <c r="H4597">
        <v>578.04</v>
      </c>
      <c r="I4597">
        <v>2</v>
      </c>
      <c r="J4597" t="s">
        <v>15</v>
      </c>
      <c r="K4597">
        <v>169943.76</v>
      </c>
      <c r="L4597" t="str">
        <f t="shared" si="284"/>
        <v>Sep</v>
      </c>
      <c r="M4597">
        <f t="shared" si="285"/>
        <v>2025</v>
      </c>
      <c r="N4597">
        <f t="shared" si="286"/>
        <v>169943.75999999998</v>
      </c>
      <c r="O4597" t="str">
        <f t="shared" si="287"/>
        <v>Minor Delay</v>
      </c>
    </row>
    <row r="4598" spans="1:15" x14ac:dyDescent="0.25">
      <c r="A4598">
        <v>4597</v>
      </c>
      <c r="B4598" s="2">
        <v>45875</v>
      </c>
      <c r="C4598" t="s">
        <v>16</v>
      </c>
      <c r="D4598" t="s">
        <v>22</v>
      </c>
      <c r="E4598" t="s">
        <v>13</v>
      </c>
      <c r="F4598" t="s">
        <v>24</v>
      </c>
      <c r="G4598">
        <v>162</v>
      </c>
      <c r="H4598">
        <v>121.81</v>
      </c>
      <c r="I4598">
        <v>9</v>
      </c>
      <c r="J4598" t="s">
        <v>30</v>
      </c>
      <c r="K4598">
        <v>19733.22</v>
      </c>
      <c r="L4598" t="str">
        <f t="shared" si="284"/>
        <v>Aug</v>
      </c>
      <c r="M4598">
        <f t="shared" si="285"/>
        <v>2025</v>
      </c>
      <c r="N4598">
        <f t="shared" si="286"/>
        <v>19733.22</v>
      </c>
      <c r="O4598" t="str">
        <f t="shared" si="287"/>
        <v>Minor Delay</v>
      </c>
    </row>
    <row r="4599" spans="1:15" x14ac:dyDescent="0.25">
      <c r="A4599">
        <v>4598</v>
      </c>
      <c r="B4599" s="2">
        <v>45729</v>
      </c>
      <c r="C4599" t="s">
        <v>25</v>
      </c>
      <c r="D4599" t="s">
        <v>22</v>
      </c>
      <c r="E4599" t="s">
        <v>13</v>
      </c>
      <c r="F4599" t="s">
        <v>14</v>
      </c>
      <c r="G4599">
        <v>70</v>
      </c>
      <c r="H4599">
        <v>367.33</v>
      </c>
      <c r="I4599">
        <v>14</v>
      </c>
      <c r="J4599" t="s">
        <v>15</v>
      </c>
      <c r="K4599">
        <v>25713.1</v>
      </c>
      <c r="L4599" t="str">
        <f t="shared" si="284"/>
        <v>Mar</v>
      </c>
      <c r="M4599">
        <f t="shared" si="285"/>
        <v>2025</v>
      </c>
      <c r="N4599">
        <f t="shared" si="286"/>
        <v>25713.1</v>
      </c>
      <c r="O4599" t="str">
        <f t="shared" si="287"/>
        <v>Minor Delay</v>
      </c>
    </row>
    <row r="4600" spans="1:15" x14ac:dyDescent="0.25">
      <c r="A4600">
        <v>4599</v>
      </c>
      <c r="B4600" s="2">
        <v>45753</v>
      </c>
      <c r="C4600" t="s">
        <v>18</v>
      </c>
      <c r="D4600" t="s">
        <v>23</v>
      </c>
      <c r="E4600" t="s">
        <v>13</v>
      </c>
      <c r="F4600" t="s">
        <v>14</v>
      </c>
      <c r="G4600">
        <v>192</v>
      </c>
      <c r="H4600">
        <v>746.98</v>
      </c>
      <c r="I4600">
        <v>1</v>
      </c>
      <c r="J4600" t="s">
        <v>28</v>
      </c>
      <c r="K4600">
        <v>143420.16</v>
      </c>
      <c r="L4600" t="str">
        <f t="shared" si="284"/>
        <v>Apr</v>
      </c>
      <c r="M4600">
        <f t="shared" si="285"/>
        <v>2025</v>
      </c>
      <c r="N4600">
        <f t="shared" si="286"/>
        <v>143420.16</v>
      </c>
      <c r="O4600" t="str">
        <f t="shared" si="287"/>
        <v>Minor Delay</v>
      </c>
    </row>
    <row r="4601" spans="1:15" x14ac:dyDescent="0.25">
      <c r="A4601">
        <v>4600</v>
      </c>
      <c r="B4601" s="2">
        <v>45985</v>
      </c>
      <c r="C4601" t="s">
        <v>11</v>
      </c>
      <c r="D4601" t="s">
        <v>27</v>
      </c>
      <c r="E4601" t="s">
        <v>19</v>
      </c>
      <c r="F4601" t="s">
        <v>14</v>
      </c>
      <c r="G4601">
        <v>286</v>
      </c>
      <c r="H4601">
        <v>187.76</v>
      </c>
      <c r="I4601">
        <v>2</v>
      </c>
      <c r="J4601" t="s">
        <v>15</v>
      </c>
      <c r="K4601">
        <v>53699.360000000001</v>
      </c>
      <c r="L4601" t="str">
        <f t="shared" si="284"/>
        <v>Nov</v>
      </c>
      <c r="M4601">
        <f t="shared" si="285"/>
        <v>2025</v>
      </c>
      <c r="N4601">
        <f t="shared" si="286"/>
        <v>53699.360000000001</v>
      </c>
      <c r="O4601" t="str">
        <f t="shared" si="287"/>
        <v>Minor Delay</v>
      </c>
    </row>
    <row r="4602" spans="1:15" x14ac:dyDescent="0.25">
      <c r="A4602">
        <v>4601</v>
      </c>
      <c r="B4602" s="2">
        <v>46017</v>
      </c>
      <c r="C4602" t="s">
        <v>31</v>
      </c>
      <c r="D4602" t="s">
        <v>12</v>
      </c>
      <c r="E4602" t="s">
        <v>22</v>
      </c>
      <c r="F4602" t="s">
        <v>21</v>
      </c>
      <c r="G4602">
        <v>125</v>
      </c>
      <c r="H4602">
        <v>164.35</v>
      </c>
      <c r="I4602">
        <v>47</v>
      </c>
      <c r="J4602" t="s">
        <v>15</v>
      </c>
      <c r="K4602">
        <v>20543.75</v>
      </c>
      <c r="L4602" t="str">
        <f t="shared" si="284"/>
        <v>Dec</v>
      </c>
      <c r="M4602">
        <f t="shared" si="285"/>
        <v>2025</v>
      </c>
      <c r="N4602">
        <f t="shared" si="286"/>
        <v>20543.75</v>
      </c>
      <c r="O4602" t="str">
        <f t="shared" si="287"/>
        <v>Moderate Delay</v>
      </c>
    </row>
    <row r="4603" spans="1:15" x14ac:dyDescent="0.25">
      <c r="A4603">
        <v>4602</v>
      </c>
      <c r="B4603" s="2">
        <v>45916</v>
      </c>
      <c r="C4603" t="s">
        <v>26</v>
      </c>
      <c r="D4603" t="s">
        <v>17</v>
      </c>
      <c r="E4603" t="s">
        <v>27</v>
      </c>
      <c r="F4603" t="s">
        <v>14</v>
      </c>
      <c r="G4603">
        <v>58</v>
      </c>
      <c r="H4603">
        <v>749.26</v>
      </c>
      <c r="I4603">
        <v>26</v>
      </c>
      <c r="J4603" t="s">
        <v>15</v>
      </c>
      <c r="K4603">
        <v>43457.08</v>
      </c>
      <c r="L4603" t="str">
        <f t="shared" si="284"/>
        <v>Sep</v>
      </c>
      <c r="M4603">
        <f t="shared" si="285"/>
        <v>2025</v>
      </c>
      <c r="N4603">
        <f t="shared" si="286"/>
        <v>43457.08</v>
      </c>
      <c r="O4603" t="str">
        <f t="shared" si="287"/>
        <v>Minor Delay</v>
      </c>
    </row>
    <row r="4604" spans="1:15" x14ac:dyDescent="0.25">
      <c r="A4604">
        <v>4603</v>
      </c>
      <c r="B4604" s="2">
        <v>45800</v>
      </c>
      <c r="C4604" t="s">
        <v>26</v>
      </c>
      <c r="D4604" t="s">
        <v>23</v>
      </c>
      <c r="E4604" t="s">
        <v>12</v>
      </c>
      <c r="F4604" t="s">
        <v>14</v>
      </c>
      <c r="G4604">
        <v>115</v>
      </c>
      <c r="H4604">
        <v>350.27</v>
      </c>
      <c r="I4604">
        <v>8</v>
      </c>
      <c r="J4604" t="s">
        <v>15</v>
      </c>
      <c r="K4604">
        <v>40281.050000000003</v>
      </c>
      <c r="L4604" t="str">
        <f t="shared" si="284"/>
        <v>May</v>
      </c>
      <c r="M4604">
        <f t="shared" si="285"/>
        <v>2025</v>
      </c>
      <c r="N4604">
        <f t="shared" si="286"/>
        <v>40281.049999999996</v>
      </c>
      <c r="O4604" t="str">
        <f t="shared" si="287"/>
        <v>Minor Delay</v>
      </c>
    </row>
    <row r="4605" spans="1:15" x14ac:dyDescent="0.25">
      <c r="A4605">
        <v>4604</v>
      </c>
      <c r="B4605" s="2">
        <v>45692</v>
      </c>
      <c r="C4605" t="s">
        <v>25</v>
      </c>
      <c r="D4605" t="s">
        <v>19</v>
      </c>
      <c r="E4605" t="s">
        <v>20</v>
      </c>
      <c r="F4605" t="s">
        <v>24</v>
      </c>
      <c r="G4605">
        <v>198</v>
      </c>
      <c r="H4605">
        <v>332.48</v>
      </c>
      <c r="I4605">
        <v>6</v>
      </c>
      <c r="J4605" t="s">
        <v>15</v>
      </c>
      <c r="K4605">
        <v>65831.039999999994</v>
      </c>
      <c r="L4605" t="str">
        <f t="shared" si="284"/>
        <v>Feb</v>
      </c>
      <c r="M4605">
        <f t="shared" si="285"/>
        <v>2025</v>
      </c>
      <c r="N4605">
        <f t="shared" si="286"/>
        <v>65831.040000000008</v>
      </c>
      <c r="O4605" t="str">
        <f t="shared" si="287"/>
        <v>Minor Delay</v>
      </c>
    </row>
    <row r="4606" spans="1:15" x14ac:dyDescent="0.25">
      <c r="A4606">
        <v>4605</v>
      </c>
      <c r="B4606" s="2">
        <v>45891</v>
      </c>
      <c r="C4606" t="s">
        <v>26</v>
      </c>
      <c r="D4606" t="s">
        <v>22</v>
      </c>
      <c r="E4606" t="s">
        <v>23</v>
      </c>
      <c r="F4606" t="s">
        <v>21</v>
      </c>
      <c r="G4606">
        <v>170</v>
      </c>
      <c r="H4606">
        <v>576.16999999999996</v>
      </c>
      <c r="I4606">
        <v>29</v>
      </c>
      <c r="J4606" t="s">
        <v>15</v>
      </c>
      <c r="K4606">
        <v>97948.9</v>
      </c>
      <c r="L4606" t="str">
        <f t="shared" si="284"/>
        <v>Aug</v>
      </c>
      <c r="M4606">
        <f t="shared" si="285"/>
        <v>2025</v>
      </c>
      <c r="N4606">
        <f t="shared" si="286"/>
        <v>97948.9</v>
      </c>
      <c r="O4606" t="str">
        <f t="shared" si="287"/>
        <v>Minor Delay</v>
      </c>
    </row>
    <row r="4607" spans="1:15" x14ac:dyDescent="0.25">
      <c r="A4607">
        <v>4606</v>
      </c>
      <c r="B4607" s="2">
        <v>45961</v>
      </c>
      <c r="C4607" t="s">
        <v>11</v>
      </c>
      <c r="D4607" t="s">
        <v>27</v>
      </c>
      <c r="E4607" t="s">
        <v>29</v>
      </c>
      <c r="F4607" t="s">
        <v>14</v>
      </c>
      <c r="G4607">
        <v>137</v>
      </c>
      <c r="H4607">
        <v>292.64999999999998</v>
      </c>
      <c r="I4607">
        <v>60</v>
      </c>
      <c r="J4607" t="s">
        <v>15</v>
      </c>
      <c r="K4607">
        <v>40093.050000000003</v>
      </c>
      <c r="L4607" t="str">
        <f t="shared" si="284"/>
        <v>Oct</v>
      </c>
      <c r="M4607">
        <f t="shared" si="285"/>
        <v>2025</v>
      </c>
      <c r="N4607">
        <f t="shared" si="286"/>
        <v>40093.049999999996</v>
      </c>
      <c r="O4607" t="str">
        <f t="shared" si="287"/>
        <v>Moderate Delay</v>
      </c>
    </row>
    <row r="4608" spans="1:15" x14ac:dyDescent="0.25">
      <c r="A4608">
        <v>4607</v>
      </c>
      <c r="B4608" s="2">
        <v>45857</v>
      </c>
      <c r="C4608" t="s">
        <v>18</v>
      </c>
      <c r="D4608" t="s">
        <v>20</v>
      </c>
      <c r="E4608" t="s">
        <v>19</v>
      </c>
      <c r="F4608" t="s">
        <v>24</v>
      </c>
      <c r="G4608">
        <v>54</v>
      </c>
      <c r="H4608">
        <v>407.09</v>
      </c>
      <c r="I4608">
        <v>17</v>
      </c>
      <c r="J4608" t="s">
        <v>15</v>
      </c>
      <c r="K4608">
        <v>21982.86</v>
      </c>
      <c r="L4608" t="str">
        <f t="shared" si="284"/>
        <v>Jul</v>
      </c>
      <c r="M4608">
        <f t="shared" si="285"/>
        <v>2025</v>
      </c>
      <c r="N4608">
        <f t="shared" si="286"/>
        <v>21982.859999999997</v>
      </c>
      <c r="O4608" t="str">
        <f t="shared" si="287"/>
        <v>Minor Delay</v>
      </c>
    </row>
    <row r="4609" spans="1:15" x14ac:dyDescent="0.25">
      <c r="A4609">
        <v>4608</v>
      </c>
      <c r="B4609" s="2">
        <v>46002</v>
      </c>
      <c r="C4609" t="s">
        <v>31</v>
      </c>
      <c r="D4609" t="s">
        <v>19</v>
      </c>
      <c r="E4609" t="s">
        <v>22</v>
      </c>
      <c r="F4609" t="s">
        <v>14</v>
      </c>
      <c r="G4609">
        <v>131</v>
      </c>
      <c r="H4609">
        <v>63.29</v>
      </c>
      <c r="I4609">
        <v>8</v>
      </c>
      <c r="J4609" t="s">
        <v>15</v>
      </c>
      <c r="K4609">
        <v>8290.99</v>
      </c>
      <c r="L4609" t="str">
        <f t="shared" si="284"/>
        <v>Dec</v>
      </c>
      <c r="M4609">
        <f t="shared" si="285"/>
        <v>2025</v>
      </c>
      <c r="N4609">
        <f t="shared" si="286"/>
        <v>8290.99</v>
      </c>
      <c r="O4609" t="str">
        <f t="shared" si="287"/>
        <v>Minor Delay</v>
      </c>
    </row>
    <row r="4610" spans="1:15" x14ac:dyDescent="0.25">
      <c r="A4610">
        <v>4609</v>
      </c>
      <c r="B4610" s="2">
        <v>45779</v>
      </c>
      <c r="C4610" t="s">
        <v>26</v>
      </c>
      <c r="D4610" t="s">
        <v>19</v>
      </c>
      <c r="E4610" t="s">
        <v>13</v>
      </c>
      <c r="F4610" t="s">
        <v>24</v>
      </c>
      <c r="G4610">
        <v>239</v>
      </c>
      <c r="H4610">
        <v>78.81</v>
      </c>
      <c r="I4610">
        <v>35</v>
      </c>
      <c r="J4610" t="s">
        <v>15</v>
      </c>
      <c r="K4610">
        <v>18835.59</v>
      </c>
      <c r="L4610" t="str">
        <f t="shared" si="284"/>
        <v>May</v>
      </c>
      <c r="M4610">
        <f t="shared" si="285"/>
        <v>2025</v>
      </c>
      <c r="N4610">
        <f t="shared" si="286"/>
        <v>18835.59</v>
      </c>
      <c r="O4610" t="str">
        <f t="shared" si="287"/>
        <v>Moderate Delay</v>
      </c>
    </row>
    <row r="4611" spans="1:15" x14ac:dyDescent="0.25">
      <c r="A4611">
        <v>4610</v>
      </c>
      <c r="B4611" s="2">
        <v>45875</v>
      </c>
      <c r="C4611" t="s">
        <v>25</v>
      </c>
      <c r="D4611" t="s">
        <v>17</v>
      </c>
      <c r="E4611" t="s">
        <v>20</v>
      </c>
      <c r="F4611" t="s">
        <v>14</v>
      </c>
      <c r="G4611">
        <v>268</v>
      </c>
      <c r="H4611">
        <v>516.88</v>
      </c>
      <c r="I4611">
        <v>37</v>
      </c>
      <c r="J4611" t="s">
        <v>15</v>
      </c>
      <c r="K4611">
        <v>138523.84</v>
      </c>
      <c r="L4611" t="str">
        <f t="shared" ref="L4611:L4674" si="288">TEXT(B4611,"MMM")</f>
        <v>Aug</v>
      </c>
      <c r="M4611">
        <f t="shared" ref="M4611:M4674" si="289">YEAR(B4611)</f>
        <v>2025</v>
      </c>
      <c r="N4611">
        <f t="shared" ref="N4611:N4674" si="290">G4611*H4611</f>
        <v>138523.84</v>
      </c>
      <c r="O4611" t="str">
        <f t="shared" ref="O4611:O4674" si="291">IF(I4611=0,"On Time",IF(I4611&lt;=30,"Minor Delay",IF(I4611&lt;=60,"Moderate Delay","Major Delay")))</f>
        <v>Moderate Delay</v>
      </c>
    </row>
    <row r="4612" spans="1:15" x14ac:dyDescent="0.25">
      <c r="A4612">
        <v>4611</v>
      </c>
      <c r="B4612" s="2">
        <v>45859</v>
      </c>
      <c r="C4612" t="s">
        <v>16</v>
      </c>
      <c r="D4612" t="s">
        <v>23</v>
      </c>
      <c r="E4612" t="s">
        <v>27</v>
      </c>
      <c r="F4612" t="s">
        <v>24</v>
      </c>
      <c r="G4612">
        <v>133</v>
      </c>
      <c r="H4612">
        <v>685.49</v>
      </c>
      <c r="I4612">
        <v>23</v>
      </c>
      <c r="J4612" t="s">
        <v>15</v>
      </c>
      <c r="K4612">
        <v>91170.17</v>
      </c>
      <c r="L4612" t="str">
        <f t="shared" si="288"/>
        <v>Jul</v>
      </c>
      <c r="M4612">
        <f t="shared" si="289"/>
        <v>2025</v>
      </c>
      <c r="N4612">
        <f t="shared" si="290"/>
        <v>91170.17</v>
      </c>
      <c r="O4612" t="str">
        <f t="shared" si="291"/>
        <v>Minor Delay</v>
      </c>
    </row>
    <row r="4613" spans="1:15" x14ac:dyDescent="0.25">
      <c r="A4613">
        <v>4612</v>
      </c>
      <c r="B4613" s="2">
        <v>45857</v>
      </c>
      <c r="C4613" t="s">
        <v>11</v>
      </c>
      <c r="D4613" t="s">
        <v>23</v>
      </c>
      <c r="E4613" t="s">
        <v>29</v>
      </c>
      <c r="F4613" t="s">
        <v>21</v>
      </c>
      <c r="G4613">
        <v>85</v>
      </c>
      <c r="H4613">
        <v>340.97</v>
      </c>
      <c r="I4613">
        <v>9</v>
      </c>
      <c r="J4613" t="s">
        <v>30</v>
      </c>
      <c r="K4613">
        <v>28982.45</v>
      </c>
      <c r="L4613" t="str">
        <f t="shared" si="288"/>
        <v>Jul</v>
      </c>
      <c r="M4613">
        <f t="shared" si="289"/>
        <v>2025</v>
      </c>
      <c r="N4613">
        <f t="shared" si="290"/>
        <v>28982.45</v>
      </c>
      <c r="O4613" t="str">
        <f t="shared" si="291"/>
        <v>Minor Delay</v>
      </c>
    </row>
    <row r="4614" spans="1:15" x14ac:dyDescent="0.25">
      <c r="A4614">
        <v>4613</v>
      </c>
      <c r="B4614" s="2">
        <v>45927</v>
      </c>
      <c r="C4614" t="s">
        <v>16</v>
      </c>
      <c r="D4614" t="s">
        <v>23</v>
      </c>
      <c r="E4614" t="s">
        <v>12</v>
      </c>
      <c r="F4614" t="s">
        <v>14</v>
      </c>
      <c r="G4614">
        <v>268</v>
      </c>
      <c r="H4614">
        <v>265.29000000000002</v>
      </c>
      <c r="I4614">
        <v>12</v>
      </c>
      <c r="J4614" t="s">
        <v>15</v>
      </c>
      <c r="K4614">
        <v>71097.72</v>
      </c>
      <c r="L4614" t="str">
        <f t="shared" si="288"/>
        <v>Sep</v>
      </c>
      <c r="M4614">
        <f t="shared" si="289"/>
        <v>2025</v>
      </c>
      <c r="N4614">
        <f t="shared" si="290"/>
        <v>71097.72</v>
      </c>
      <c r="O4614" t="str">
        <f t="shared" si="291"/>
        <v>Minor Delay</v>
      </c>
    </row>
    <row r="4615" spans="1:15" x14ac:dyDescent="0.25">
      <c r="A4615">
        <v>4614</v>
      </c>
      <c r="B4615" s="2">
        <v>45865</v>
      </c>
      <c r="C4615" t="s">
        <v>26</v>
      </c>
      <c r="D4615" t="s">
        <v>19</v>
      </c>
      <c r="E4615" t="s">
        <v>17</v>
      </c>
      <c r="F4615" t="s">
        <v>14</v>
      </c>
      <c r="G4615">
        <v>136</v>
      </c>
      <c r="H4615">
        <v>176.53</v>
      </c>
      <c r="I4615">
        <v>15</v>
      </c>
      <c r="J4615" t="s">
        <v>15</v>
      </c>
      <c r="K4615">
        <v>24008.080000000002</v>
      </c>
      <c r="L4615" t="str">
        <f t="shared" si="288"/>
        <v>Jul</v>
      </c>
      <c r="M4615">
        <f t="shared" si="289"/>
        <v>2025</v>
      </c>
      <c r="N4615">
        <f t="shared" si="290"/>
        <v>24008.080000000002</v>
      </c>
      <c r="O4615" t="str">
        <f t="shared" si="291"/>
        <v>Minor Delay</v>
      </c>
    </row>
    <row r="4616" spans="1:15" x14ac:dyDescent="0.25">
      <c r="A4616">
        <v>4615</v>
      </c>
      <c r="B4616" s="2">
        <v>45890</v>
      </c>
      <c r="C4616" t="s">
        <v>25</v>
      </c>
      <c r="D4616" t="s">
        <v>19</v>
      </c>
      <c r="E4616" t="s">
        <v>27</v>
      </c>
      <c r="F4616" t="s">
        <v>21</v>
      </c>
      <c r="G4616">
        <v>134</v>
      </c>
      <c r="H4616">
        <v>88.17</v>
      </c>
      <c r="I4616">
        <v>0</v>
      </c>
      <c r="J4616" t="s">
        <v>30</v>
      </c>
      <c r="K4616">
        <v>11814.78</v>
      </c>
      <c r="L4616" t="str">
        <f t="shared" si="288"/>
        <v>Aug</v>
      </c>
      <c r="M4616">
        <f t="shared" si="289"/>
        <v>2025</v>
      </c>
      <c r="N4616">
        <f t="shared" si="290"/>
        <v>11814.78</v>
      </c>
      <c r="O4616" t="str">
        <f t="shared" si="291"/>
        <v>On Time</v>
      </c>
    </row>
    <row r="4617" spans="1:15" x14ac:dyDescent="0.25">
      <c r="A4617">
        <v>4616</v>
      </c>
      <c r="B4617" s="2">
        <v>45892</v>
      </c>
      <c r="C4617" t="s">
        <v>11</v>
      </c>
      <c r="D4617" t="s">
        <v>22</v>
      </c>
      <c r="E4617" t="s">
        <v>17</v>
      </c>
      <c r="F4617" t="s">
        <v>24</v>
      </c>
      <c r="G4617">
        <v>274</v>
      </c>
      <c r="H4617">
        <v>696.19</v>
      </c>
      <c r="I4617">
        <v>37</v>
      </c>
      <c r="J4617" t="s">
        <v>15</v>
      </c>
      <c r="K4617">
        <v>190756.06</v>
      </c>
      <c r="L4617" t="str">
        <f t="shared" si="288"/>
        <v>Aug</v>
      </c>
      <c r="M4617">
        <f t="shared" si="289"/>
        <v>2025</v>
      </c>
      <c r="N4617">
        <f t="shared" si="290"/>
        <v>190756.06000000003</v>
      </c>
      <c r="O4617" t="str">
        <f t="shared" si="291"/>
        <v>Moderate Delay</v>
      </c>
    </row>
    <row r="4618" spans="1:15" x14ac:dyDescent="0.25">
      <c r="A4618">
        <v>4617</v>
      </c>
      <c r="B4618" s="2">
        <v>45827</v>
      </c>
      <c r="C4618" t="s">
        <v>16</v>
      </c>
      <c r="D4618" t="s">
        <v>22</v>
      </c>
      <c r="E4618" t="s">
        <v>29</v>
      </c>
      <c r="F4618" t="s">
        <v>14</v>
      </c>
      <c r="G4618">
        <v>93</v>
      </c>
      <c r="H4618">
        <v>757.94</v>
      </c>
      <c r="I4618">
        <v>58</v>
      </c>
      <c r="J4618" t="s">
        <v>30</v>
      </c>
      <c r="K4618">
        <v>70488.42</v>
      </c>
      <c r="L4618" t="str">
        <f t="shared" si="288"/>
        <v>Jun</v>
      </c>
      <c r="M4618">
        <f t="shared" si="289"/>
        <v>2025</v>
      </c>
      <c r="N4618">
        <f t="shared" si="290"/>
        <v>70488.42</v>
      </c>
      <c r="O4618" t="str">
        <f t="shared" si="291"/>
        <v>Moderate Delay</v>
      </c>
    </row>
    <row r="4619" spans="1:15" x14ac:dyDescent="0.25">
      <c r="A4619">
        <v>4618</v>
      </c>
      <c r="B4619" s="2">
        <v>45961</v>
      </c>
      <c r="C4619" t="s">
        <v>25</v>
      </c>
      <c r="D4619" t="s">
        <v>17</v>
      </c>
      <c r="E4619" t="s">
        <v>27</v>
      </c>
      <c r="F4619" t="s">
        <v>14</v>
      </c>
      <c r="G4619">
        <v>71</v>
      </c>
      <c r="H4619">
        <v>548.16</v>
      </c>
      <c r="I4619">
        <v>4</v>
      </c>
      <c r="J4619" t="s">
        <v>30</v>
      </c>
      <c r="K4619">
        <v>38919.360000000001</v>
      </c>
      <c r="L4619" t="str">
        <f t="shared" si="288"/>
        <v>Oct</v>
      </c>
      <c r="M4619">
        <f t="shared" si="289"/>
        <v>2025</v>
      </c>
      <c r="N4619">
        <f t="shared" si="290"/>
        <v>38919.360000000001</v>
      </c>
      <c r="O4619" t="str">
        <f t="shared" si="291"/>
        <v>Minor Delay</v>
      </c>
    </row>
    <row r="4620" spans="1:15" x14ac:dyDescent="0.25">
      <c r="A4620">
        <v>4619</v>
      </c>
      <c r="B4620" s="2">
        <v>45903</v>
      </c>
      <c r="C4620" t="s">
        <v>31</v>
      </c>
      <c r="D4620" t="s">
        <v>29</v>
      </c>
      <c r="E4620" t="s">
        <v>19</v>
      </c>
      <c r="F4620" t="s">
        <v>21</v>
      </c>
      <c r="G4620">
        <v>282</v>
      </c>
      <c r="H4620">
        <v>189.62</v>
      </c>
      <c r="I4620">
        <v>14</v>
      </c>
      <c r="J4620" t="s">
        <v>30</v>
      </c>
      <c r="K4620">
        <v>53472.84</v>
      </c>
      <c r="L4620" t="str">
        <f t="shared" si="288"/>
        <v>Sep</v>
      </c>
      <c r="M4620">
        <f t="shared" si="289"/>
        <v>2025</v>
      </c>
      <c r="N4620">
        <f t="shared" si="290"/>
        <v>53472.840000000004</v>
      </c>
      <c r="O4620" t="str">
        <f t="shared" si="291"/>
        <v>Minor Delay</v>
      </c>
    </row>
    <row r="4621" spans="1:15" x14ac:dyDescent="0.25">
      <c r="A4621">
        <v>4620</v>
      </c>
      <c r="B4621" s="2">
        <v>45740</v>
      </c>
      <c r="C4621" t="s">
        <v>11</v>
      </c>
      <c r="D4621" t="s">
        <v>17</v>
      </c>
      <c r="E4621" t="s">
        <v>22</v>
      </c>
      <c r="F4621" t="s">
        <v>21</v>
      </c>
      <c r="G4621">
        <v>151</v>
      </c>
      <c r="H4621">
        <v>427.3</v>
      </c>
      <c r="I4621">
        <v>57</v>
      </c>
      <c r="J4621" t="s">
        <v>15</v>
      </c>
      <c r="K4621">
        <v>64522.3</v>
      </c>
      <c r="L4621" t="str">
        <f t="shared" si="288"/>
        <v>Mar</v>
      </c>
      <c r="M4621">
        <f t="shared" si="289"/>
        <v>2025</v>
      </c>
      <c r="N4621">
        <f t="shared" si="290"/>
        <v>64522.3</v>
      </c>
      <c r="O4621" t="str">
        <f t="shared" si="291"/>
        <v>Moderate Delay</v>
      </c>
    </row>
    <row r="4622" spans="1:15" x14ac:dyDescent="0.25">
      <c r="A4622">
        <v>4621</v>
      </c>
      <c r="B4622" s="2">
        <v>45688</v>
      </c>
      <c r="C4622" t="s">
        <v>11</v>
      </c>
      <c r="D4622" t="s">
        <v>13</v>
      </c>
      <c r="E4622" t="s">
        <v>19</v>
      </c>
      <c r="F4622" t="s">
        <v>21</v>
      </c>
      <c r="G4622">
        <v>182</v>
      </c>
      <c r="H4622">
        <v>311.17</v>
      </c>
      <c r="I4622">
        <v>21</v>
      </c>
      <c r="J4622" t="s">
        <v>15</v>
      </c>
      <c r="K4622">
        <v>56632.94</v>
      </c>
      <c r="L4622" t="str">
        <f t="shared" si="288"/>
        <v>Jan</v>
      </c>
      <c r="M4622">
        <f t="shared" si="289"/>
        <v>2025</v>
      </c>
      <c r="N4622">
        <f t="shared" si="290"/>
        <v>56632.94</v>
      </c>
      <c r="O4622" t="str">
        <f t="shared" si="291"/>
        <v>Minor Delay</v>
      </c>
    </row>
    <row r="4623" spans="1:15" x14ac:dyDescent="0.25">
      <c r="A4623">
        <v>4622</v>
      </c>
      <c r="B4623" s="2">
        <v>45950</v>
      </c>
      <c r="C4623" t="s">
        <v>25</v>
      </c>
      <c r="D4623" t="s">
        <v>12</v>
      </c>
      <c r="E4623" t="s">
        <v>17</v>
      </c>
      <c r="F4623" t="s">
        <v>14</v>
      </c>
      <c r="G4623">
        <v>290</v>
      </c>
      <c r="H4623">
        <v>155.38999999999999</v>
      </c>
      <c r="I4623">
        <v>20</v>
      </c>
      <c r="J4623" t="s">
        <v>15</v>
      </c>
      <c r="K4623">
        <v>45063.1</v>
      </c>
      <c r="L4623" t="str">
        <f t="shared" si="288"/>
        <v>Oct</v>
      </c>
      <c r="M4623">
        <f t="shared" si="289"/>
        <v>2025</v>
      </c>
      <c r="N4623">
        <f t="shared" si="290"/>
        <v>45063.1</v>
      </c>
      <c r="O4623" t="str">
        <f t="shared" si="291"/>
        <v>Minor Delay</v>
      </c>
    </row>
    <row r="4624" spans="1:15" x14ac:dyDescent="0.25">
      <c r="A4624">
        <v>4623</v>
      </c>
      <c r="B4624" s="2">
        <v>45821</v>
      </c>
      <c r="C4624" t="s">
        <v>11</v>
      </c>
      <c r="D4624" t="s">
        <v>22</v>
      </c>
      <c r="E4624" t="s">
        <v>27</v>
      </c>
      <c r="F4624" t="s">
        <v>21</v>
      </c>
      <c r="G4624">
        <v>189</v>
      </c>
      <c r="H4624">
        <v>312.12</v>
      </c>
      <c r="I4624">
        <v>15</v>
      </c>
      <c r="J4624" t="s">
        <v>30</v>
      </c>
      <c r="K4624">
        <v>58990.68</v>
      </c>
      <c r="L4624" t="str">
        <f t="shared" si="288"/>
        <v>Jun</v>
      </c>
      <c r="M4624">
        <f t="shared" si="289"/>
        <v>2025</v>
      </c>
      <c r="N4624">
        <f t="shared" si="290"/>
        <v>58990.68</v>
      </c>
      <c r="O4624" t="str">
        <f t="shared" si="291"/>
        <v>Minor Delay</v>
      </c>
    </row>
    <row r="4625" spans="1:15" x14ac:dyDescent="0.25">
      <c r="A4625">
        <v>4624</v>
      </c>
      <c r="B4625" s="2">
        <v>46019</v>
      </c>
      <c r="C4625" t="s">
        <v>11</v>
      </c>
      <c r="D4625" t="s">
        <v>20</v>
      </c>
      <c r="E4625" t="s">
        <v>17</v>
      </c>
      <c r="F4625" t="s">
        <v>24</v>
      </c>
      <c r="G4625">
        <v>91</v>
      </c>
      <c r="H4625">
        <v>515.12</v>
      </c>
      <c r="I4625">
        <v>3</v>
      </c>
      <c r="J4625" t="s">
        <v>15</v>
      </c>
      <c r="K4625">
        <v>46875.92</v>
      </c>
      <c r="L4625" t="str">
        <f t="shared" si="288"/>
        <v>Dec</v>
      </c>
      <c r="M4625">
        <f t="shared" si="289"/>
        <v>2025</v>
      </c>
      <c r="N4625">
        <f t="shared" si="290"/>
        <v>46875.92</v>
      </c>
      <c r="O4625" t="str">
        <f t="shared" si="291"/>
        <v>Minor Delay</v>
      </c>
    </row>
    <row r="4626" spans="1:15" x14ac:dyDescent="0.25">
      <c r="A4626">
        <v>4625</v>
      </c>
      <c r="B4626" s="2">
        <v>45880</v>
      </c>
      <c r="C4626" t="s">
        <v>25</v>
      </c>
      <c r="D4626" t="s">
        <v>23</v>
      </c>
      <c r="E4626" t="s">
        <v>29</v>
      </c>
      <c r="F4626" t="s">
        <v>14</v>
      </c>
      <c r="G4626">
        <v>55</v>
      </c>
      <c r="H4626">
        <v>260.63</v>
      </c>
      <c r="I4626">
        <v>6</v>
      </c>
      <c r="J4626" t="s">
        <v>15</v>
      </c>
      <c r="K4626">
        <v>14334.65</v>
      </c>
      <c r="L4626" t="str">
        <f t="shared" si="288"/>
        <v>Aug</v>
      </c>
      <c r="M4626">
        <f t="shared" si="289"/>
        <v>2025</v>
      </c>
      <c r="N4626">
        <f t="shared" si="290"/>
        <v>14334.65</v>
      </c>
      <c r="O4626" t="str">
        <f t="shared" si="291"/>
        <v>Minor Delay</v>
      </c>
    </row>
    <row r="4627" spans="1:15" x14ac:dyDescent="0.25">
      <c r="A4627">
        <v>4626</v>
      </c>
      <c r="B4627" s="2">
        <v>45792</v>
      </c>
      <c r="C4627" t="s">
        <v>18</v>
      </c>
      <c r="D4627" t="s">
        <v>19</v>
      </c>
      <c r="E4627" t="s">
        <v>23</v>
      </c>
      <c r="F4627" t="s">
        <v>14</v>
      </c>
      <c r="G4627">
        <v>67</v>
      </c>
      <c r="H4627">
        <v>450.14</v>
      </c>
      <c r="I4627">
        <v>19</v>
      </c>
      <c r="J4627" t="s">
        <v>15</v>
      </c>
      <c r="K4627">
        <v>30159.38</v>
      </c>
      <c r="L4627" t="str">
        <f t="shared" si="288"/>
        <v>May</v>
      </c>
      <c r="M4627">
        <f t="shared" si="289"/>
        <v>2025</v>
      </c>
      <c r="N4627">
        <f t="shared" si="290"/>
        <v>30159.379999999997</v>
      </c>
      <c r="O4627" t="str">
        <f t="shared" si="291"/>
        <v>Minor Delay</v>
      </c>
    </row>
    <row r="4628" spans="1:15" x14ac:dyDescent="0.25">
      <c r="A4628">
        <v>4627</v>
      </c>
      <c r="B4628" s="2">
        <v>45887</v>
      </c>
      <c r="C4628" t="s">
        <v>11</v>
      </c>
      <c r="D4628" t="s">
        <v>20</v>
      </c>
      <c r="E4628" t="s">
        <v>19</v>
      </c>
      <c r="F4628" t="s">
        <v>21</v>
      </c>
      <c r="G4628">
        <v>95</v>
      </c>
      <c r="H4628">
        <v>541.52</v>
      </c>
      <c r="I4628">
        <v>88</v>
      </c>
      <c r="J4628" t="s">
        <v>30</v>
      </c>
      <c r="K4628">
        <v>51444.4</v>
      </c>
      <c r="L4628" t="str">
        <f t="shared" si="288"/>
        <v>Aug</v>
      </c>
      <c r="M4628">
        <f t="shared" si="289"/>
        <v>2025</v>
      </c>
      <c r="N4628">
        <f t="shared" si="290"/>
        <v>51444.4</v>
      </c>
      <c r="O4628" t="str">
        <f t="shared" si="291"/>
        <v>Major Delay</v>
      </c>
    </row>
    <row r="4629" spans="1:15" x14ac:dyDescent="0.25">
      <c r="A4629">
        <v>4628</v>
      </c>
      <c r="B4629" s="2">
        <v>46012</v>
      </c>
      <c r="C4629" t="s">
        <v>31</v>
      </c>
      <c r="D4629" t="s">
        <v>19</v>
      </c>
      <c r="E4629" t="s">
        <v>23</v>
      </c>
      <c r="F4629" t="s">
        <v>14</v>
      </c>
      <c r="G4629">
        <v>123</v>
      </c>
      <c r="H4629">
        <v>135.78</v>
      </c>
      <c r="I4629">
        <v>0</v>
      </c>
      <c r="J4629" t="s">
        <v>30</v>
      </c>
      <c r="K4629">
        <v>16700.939999999999</v>
      </c>
      <c r="L4629" t="str">
        <f t="shared" si="288"/>
        <v>Dec</v>
      </c>
      <c r="M4629">
        <f t="shared" si="289"/>
        <v>2025</v>
      </c>
      <c r="N4629">
        <f t="shared" si="290"/>
        <v>16700.939999999999</v>
      </c>
      <c r="O4629" t="str">
        <f t="shared" si="291"/>
        <v>On Time</v>
      </c>
    </row>
    <row r="4630" spans="1:15" x14ac:dyDescent="0.25">
      <c r="A4630">
        <v>4629</v>
      </c>
      <c r="B4630" s="2">
        <v>45701</v>
      </c>
      <c r="C4630" t="s">
        <v>18</v>
      </c>
      <c r="D4630" t="s">
        <v>12</v>
      </c>
      <c r="E4630" t="s">
        <v>27</v>
      </c>
      <c r="F4630" t="s">
        <v>14</v>
      </c>
      <c r="G4630">
        <v>112</v>
      </c>
      <c r="H4630">
        <v>209.73</v>
      </c>
      <c r="I4630">
        <v>41</v>
      </c>
      <c r="J4630" t="s">
        <v>15</v>
      </c>
      <c r="K4630">
        <v>23489.759999999998</v>
      </c>
      <c r="L4630" t="str">
        <f t="shared" si="288"/>
        <v>Feb</v>
      </c>
      <c r="M4630">
        <f t="shared" si="289"/>
        <v>2025</v>
      </c>
      <c r="N4630">
        <f t="shared" si="290"/>
        <v>23489.759999999998</v>
      </c>
      <c r="O4630" t="str">
        <f t="shared" si="291"/>
        <v>Moderate Delay</v>
      </c>
    </row>
    <row r="4631" spans="1:15" x14ac:dyDescent="0.25">
      <c r="A4631">
        <v>4630</v>
      </c>
      <c r="B4631" s="2">
        <v>45807</v>
      </c>
      <c r="C4631" t="s">
        <v>26</v>
      </c>
      <c r="D4631" t="s">
        <v>27</v>
      </c>
      <c r="E4631" t="s">
        <v>22</v>
      </c>
      <c r="F4631" t="s">
        <v>14</v>
      </c>
      <c r="G4631">
        <v>185</v>
      </c>
      <c r="H4631">
        <v>541.08000000000004</v>
      </c>
      <c r="I4631">
        <v>0</v>
      </c>
      <c r="J4631" t="s">
        <v>15</v>
      </c>
      <c r="K4631">
        <v>100099.8</v>
      </c>
      <c r="L4631" t="str">
        <f t="shared" si="288"/>
        <v>May</v>
      </c>
      <c r="M4631">
        <f t="shared" si="289"/>
        <v>2025</v>
      </c>
      <c r="N4631">
        <f t="shared" si="290"/>
        <v>100099.8</v>
      </c>
      <c r="O4631" t="str">
        <f t="shared" si="291"/>
        <v>On Time</v>
      </c>
    </row>
    <row r="4632" spans="1:15" x14ac:dyDescent="0.25">
      <c r="A4632">
        <v>4631</v>
      </c>
      <c r="B4632" s="2">
        <v>45998</v>
      </c>
      <c r="C4632" t="s">
        <v>11</v>
      </c>
      <c r="D4632" t="s">
        <v>17</v>
      </c>
      <c r="E4632" t="s">
        <v>13</v>
      </c>
      <c r="F4632" t="s">
        <v>21</v>
      </c>
      <c r="G4632">
        <v>54</v>
      </c>
      <c r="H4632">
        <v>526.54</v>
      </c>
      <c r="I4632">
        <v>29</v>
      </c>
      <c r="J4632" t="s">
        <v>15</v>
      </c>
      <c r="K4632">
        <v>28433.16</v>
      </c>
      <c r="L4632" t="str">
        <f t="shared" si="288"/>
        <v>Dec</v>
      </c>
      <c r="M4632">
        <f t="shared" si="289"/>
        <v>2025</v>
      </c>
      <c r="N4632">
        <f t="shared" si="290"/>
        <v>28433.159999999996</v>
      </c>
      <c r="O4632" t="str">
        <f t="shared" si="291"/>
        <v>Minor Delay</v>
      </c>
    </row>
    <row r="4633" spans="1:15" x14ac:dyDescent="0.25">
      <c r="A4633">
        <v>4632</v>
      </c>
      <c r="B4633" s="2">
        <v>45739</v>
      </c>
      <c r="C4633" t="s">
        <v>25</v>
      </c>
      <c r="D4633" t="s">
        <v>27</v>
      </c>
      <c r="E4633" t="s">
        <v>13</v>
      </c>
      <c r="F4633" t="s">
        <v>14</v>
      </c>
      <c r="G4633">
        <v>58</v>
      </c>
      <c r="H4633">
        <v>489.46</v>
      </c>
      <c r="I4633">
        <v>14</v>
      </c>
      <c r="J4633" t="s">
        <v>30</v>
      </c>
      <c r="K4633">
        <v>28388.68</v>
      </c>
      <c r="L4633" t="str">
        <f t="shared" si="288"/>
        <v>Mar</v>
      </c>
      <c r="M4633">
        <f t="shared" si="289"/>
        <v>2025</v>
      </c>
      <c r="N4633">
        <f t="shared" si="290"/>
        <v>28388.68</v>
      </c>
      <c r="O4633" t="str">
        <f t="shared" si="291"/>
        <v>Minor Delay</v>
      </c>
    </row>
    <row r="4634" spans="1:15" x14ac:dyDescent="0.25">
      <c r="A4634">
        <v>4633</v>
      </c>
      <c r="B4634" s="2">
        <v>45913</v>
      </c>
      <c r="C4634" t="s">
        <v>18</v>
      </c>
      <c r="D4634" t="s">
        <v>20</v>
      </c>
      <c r="E4634" t="s">
        <v>17</v>
      </c>
      <c r="F4634" t="s">
        <v>24</v>
      </c>
      <c r="G4634">
        <v>166</v>
      </c>
      <c r="H4634">
        <v>237.72</v>
      </c>
      <c r="I4634">
        <v>0</v>
      </c>
      <c r="J4634" t="s">
        <v>15</v>
      </c>
      <c r="K4634">
        <v>39461.519999999997</v>
      </c>
      <c r="L4634" t="str">
        <f t="shared" si="288"/>
        <v>Sep</v>
      </c>
      <c r="M4634">
        <f t="shared" si="289"/>
        <v>2025</v>
      </c>
      <c r="N4634">
        <f t="shared" si="290"/>
        <v>39461.519999999997</v>
      </c>
      <c r="O4634" t="str">
        <f t="shared" si="291"/>
        <v>On Time</v>
      </c>
    </row>
    <row r="4635" spans="1:15" x14ac:dyDescent="0.25">
      <c r="A4635">
        <v>4634</v>
      </c>
      <c r="B4635" s="2">
        <v>45836</v>
      </c>
      <c r="C4635" t="s">
        <v>26</v>
      </c>
      <c r="D4635" t="s">
        <v>23</v>
      </c>
      <c r="E4635" t="s">
        <v>17</v>
      </c>
      <c r="F4635" t="s">
        <v>24</v>
      </c>
      <c r="G4635">
        <v>208</v>
      </c>
      <c r="H4635">
        <v>715.36</v>
      </c>
      <c r="I4635">
        <v>41</v>
      </c>
      <c r="J4635" t="s">
        <v>15</v>
      </c>
      <c r="K4635">
        <v>148794.88</v>
      </c>
      <c r="L4635" t="str">
        <f t="shared" si="288"/>
        <v>Jun</v>
      </c>
      <c r="M4635">
        <f t="shared" si="289"/>
        <v>2025</v>
      </c>
      <c r="N4635">
        <f t="shared" si="290"/>
        <v>148794.88</v>
      </c>
      <c r="O4635" t="str">
        <f t="shared" si="291"/>
        <v>Moderate Delay</v>
      </c>
    </row>
    <row r="4636" spans="1:15" x14ac:dyDescent="0.25">
      <c r="A4636">
        <v>4635</v>
      </c>
      <c r="B4636" s="2">
        <v>45972</v>
      </c>
      <c r="C4636" t="s">
        <v>26</v>
      </c>
      <c r="D4636" t="s">
        <v>27</v>
      </c>
      <c r="E4636" t="s">
        <v>12</v>
      </c>
      <c r="F4636" t="s">
        <v>21</v>
      </c>
      <c r="G4636">
        <v>114</v>
      </c>
      <c r="H4636">
        <v>209.51</v>
      </c>
      <c r="I4636">
        <v>25</v>
      </c>
      <c r="J4636" t="s">
        <v>15</v>
      </c>
      <c r="K4636">
        <v>23884.14</v>
      </c>
      <c r="L4636" t="str">
        <f t="shared" si="288"/>
        <v>Nov</v>
      </c>
      <c r="M4636">
        <f t="shared" si="289"/>
        <v>2025</v>
      </c>
      <c r="N4636">
        <f t="shared" si="290"/>
        <v>23884.14</v>
      </c>
      <c r="O4636" t="str">
        <f t="shared" si="291"/>
        <v>Minor Delay</v>
      </c>
    </row>
    <row r="4637" spans="1:15" x14ac:dyDescent="0.25">
      <c r="A4637">
        <v>4636</v>
      </c>
      <c r="B4637" s="2">
        <v>45853</v>
      </c>
      <c r="C4637" t="s">
        <v>31</v>
      </c>
      <c r="D4637" t="s">
        <v>13</v>
      </c>
      <c r="E4637" t="s">
        <v>19</v>
      </c>
      <c r="F4637" t="s">
        <v>14</v>
      </c>
      <c r="G4637">
        <v>196</v>
      </c>
      <c r="H4637">
        <v>293.2</v>
      </c>
      <c r="I4637">
        <v>0</v>
      </c>
      <c r="J4637" t="s">
        <v>15</v>
      </c>
      <c r="K4637">
        <v>57467.199999999997</v>
      </c>
      <c r="L4637" t="str">
        <f t="shared" si="288"/>
        <v>Jul</v>
      </c>
      <c r="M4637">
        <f t="shared" si="289"/>
        <v>2025</v>
      </c>
      <c r="N4637">
        <f t="shared" si="290"/>
        <v>57467.199999999997</v>
      </c>
      <c r="O4637" t="str">
        <f t="shared" si="291"/>
        <v>On Time</v>
      </c>
    </row>
    <row r="4638" spans="1:15" x14ac:dyDescent="0.25">
      <c r="A4638">
        <v>4637</v>
      </c>
      <c r="B4638" s="2">
        <v>45756</v>
      </c>
      <c r="C4638" t="s">
        <v>25</v>
      </c>
      <c r="D4638" t="s">
        <v>13</v>
      </c>
      <c r="E4638" t="s">
        <v>19</v>
      </c>
      <c r="F4638" t="s">
        <v>14</v>
      </c>
      <c r="G4638">
        <v>98</v>
      </c>
      <c r="H4638">
        <v>543.07000000000005</v>
      </c>
      <c r="I4638">
        <v>32</v>
      </c>
      <c r="J4638" t="s">
        <v>15</v>
      </c>
      <c r="K4638">
        <v>53220.86</v>
      </c>
      <c r="L4638" t="str">
        <f t="shared" si="288"/>
        <v>Apr</v>
      </c>
      <c r="M4638">
        <f t="shared" si="289"/>
        <v>2025</v>
      </c>
      <c r="N4638">
        <f t="shared" si="290"/>
        <v>53220.860000000008</v>
      </c>
      <c r="O4638" t="str">
        <f t="shared" si="291"/>
        <v>Moderate Delay</v>
      </c>
    </row>
    <row r="4639" spans="1:15" x14ac:dyDescent="0.25">
      <c r="A4639">
        <v>4638</v>
      </c>
      <c r="B4639" s="2">
        <v>45993</v>
      </c>
      <c r="C4639" t="s">
        <v>31</v>
      </c>
      <c r="D4639" t="s">
        <v>12</v>
      </c>
      <c r="E4639" t="s">
        <v>22</v>
      </c>
      <c r="F4639" t="s">
        <v>24</v>
      </c>
      <c r="G4639">
        <v>136</v>
      </c>
      <c r="H4639">
        <v>612.57000000000005</v>
      </c>
      <c r="I4639">
        <v>8</v>
      </c>
      <c r="J4639" t="s">
        <v>15</v>
      </c>
      <c r="K4639">
        <v>83309.52</v>
      </c>
      <c r="L4639" t="str">
        <f t="shared" si="288"/>
        <v>Dec</v>
      </c>
      <c r="M4639">
        <f t="shared" si="289"/>
        <v>2025</v>
      </c>
      <c r="N4639">
        <f t="shared" si="290"/>
        <v>83309.52</v>
      </c>
      <c r="O4639" t="str">
        <f t="shared" si="291"/>
        <v>Minor Delay</v>
      </c>
    </row>
    <row r="4640" spans="1:15" x14ac:dyDescent="0.25">
      <c r="A4640">
        <v>4639</v>
      </c>
      <c r="B4640" s="2">
        <v>45850</v>
      </c>
      <c r="C4640" t="s">
        <v>26</v>
      </c>
      <c r="D4640" t="s">
        <v>13</v>
      </c>
      <c r="E4640" t="s">
        <v>19</v>
      </c>
      <c r="F4640" t="s">
        <v>14</v>
      </c>
      <c r="G4640">
        <v>160</v>
      </c>
      <c r="H4640">
        <v>162.57</v>
      </c>
      <c r="I4640">
        <v>21</v>
      </c>
      <c r="J4640" t="s">
        <v>15</v>
      </c>
      <c r="K4640">
        <v>26011.200000000001</v>
      </c>
      <c r="L4640" t="str">
        <f t="shared" si="288"/>
        <v>Jul</v>
      </c>
      <c r="M4640">
        <f t="shared" si="289"/>
        <v>2025</v>
      </c>
      <c r="N4640">
        <f t="shared" si="290"/>
        <v>26011.199999999997</v>
      </c>
      <c r="O4640" t="str">
        <f t="shared" si="291"/>
        <v>Minor Delay</v>
      </c>
    </row>
    <row r="4641" spans="1:15" x14ac:dyDescent="0.25">
      <c r="A4641">
        <v>4640</v>
      </c>
      <c r="B4641" s="2">
        <v>45981</v>
      </c>
      <c r="C4641" t="s">
        <v>16</v>
      </c>
      <c r="D4641" t="s">
        <v>12</v>
      </c>
      <c r="E4641" t="s">
        <v>17</v>
      </c>
      <c r="F4641" t="s">
        <v>21</v>
      </c>
      <c r="G4641">
        <v>261</v>
      </c>
      <c r="H4641">
        <v>279.75</v>
      </c>
      <c r="I4641">
        <v>15</v>
      </c>
      <c r="J4641" t="s">
        <v>30</v>
      </c>
      <c r="K4641">
        <v>73014.75</v>
      </c>
      <c r="L4641" t="str">
        <f t="shared" si="288"/>
        <v>Nov</v>
      </c>
      <c r="M4641">
        <f t="shared" si="289"/>
        <v>2025</v>
      </c>
      <c r="N4641">
        <f t="shared" si="290"/>
        <v>73014.75</v>
      </c>
      <c r="O4641" t="str">
        <f t="shared" si="291"/>
        <v>Minor Delay</v>
      </c>
    </row>
    <row r="4642" spans="1:15" x14ac:dyDescent="0.25">
      <c r="A4642">
        <v>4641</v>
      </c>
      <c r="B4642" s="2">
        <v>45738</v>
      </c>
      <c r="C4642" t="s">
        <v>16</v>
      </c>
      <c r="D4642" t="s">
        <v>20</v>
      </c>
      <c r="E4642" t="s">
        <v>17</v>
      </c>
      <c r="F4642" t="s">
        <v>24</v>
      </c>
      <c r="G4642">
        <v>295</v>
      </c>
      <c r="H4642">
        <v>271.38</v>
      </c>
      <c r="I4642">
        <v>60</v>
      </c>
      <c r="J4642" t="s">
        <v>15</v>
      </c>
      <c r="K4642">
        <v>80057.100000000006</v>
      </c>
      <c r="L4642" t="str">
        <f t="shared" si="288"/>
        <v>Mar</v>
      </c>
      <c r="M4642">
        <f t="shared" si="289"/>
        <v>2025</v>
      </c>
      <c r="N4642">
        <f t="shared" si="290"/>
        <v>80057.100000000006</v>
      </c>
      <c r="O4642" t="str">
        <f t="shared" si="291"/>
        <v>Moderate Delay</v>
      </c>
    </row>
    <row r="4643" spans="1:15" x14ac:dyDescent="0.25">
      <c r="A4643">
        <v>4642</v>
      </c>
      <c r="B4643" s="2">
        <v>46014</v>
      </c>
      <c r="C4643" t="s">
        <v>31</v>
      </c>
      <c r="D4643" t="s">
        <v>29</v>
      </c>
      <c r="E4643" t="s">
        <v>27</v>
      </c>
      <c r="F4643" t="s">
        <v>24</v>
      </c>
      <c r="G4643">
        <v>113</v>
      </c>
      <c r="H4643">
        <v>100.35</v>
      </c>
      <c r="I4643">
        <v>15</v>
      </c>
      <c r="J4643" t="s">
        <v>15</v>
      </c>
      <c r="K4643">
        <v>11339.55</v>
      </c>
      <c r="L4643" t="str">
        <f t="shared" si="288"/>
        <v>Dec</v>
      </c>
      <c r="M4643">
        <f t="shared" si="289"/>
        <v>2025</v>
      </c>
      <c r="N4643">
        <f t="shared" si="290"/>
        <v>11339.55</v>
      </c>
      <c r="O4643" t="str">
        <f t="shared" si="291"/>
        <v>Minor Delay</v>
      </c>
    </row>
    <row r="4644" spans="1:15" x14ac:dyDescent="0.25">
      <c r="A4644">
        <v>4643</v>
      </c>
      <c r="B4644" s="2">
        <v>45948</v>
      </c>
      <c r="C4644" t="s">
        <v>26</v>
      </c>
      <c r="D4644" t="s">
        <v>13</v>
      </c>
      <c r="E4644" t="s">
        <v>20</v>
      </c>
      <c r="F4644" t="s">
        <v>24</v>
      </c>
      <c r="G4644">
        <v>285</v>
      </c>
      <c r="H4644">
        <v>184.97</v>
      </c>
      <c r="I4644">
        <v>23</v>
      </c>
      <c r="J4644" t="s">
        <v>15</v>
      </c>
      <c r="K4644">
        <v>52716.45</v>
      </c>
      <c r="L4644" t="str">
        <f t="shared" si="288"/>
        <v>Oct</v>
      </c>
      <c r="M4644">
        <f t="shared" si="289"/>
        <v>2025</v>
      </c>
      <c r="N4644">
        <f t="shared" si="290"/>
        <v>52716.45</v>
      </c>
      <c r="O4644" t="str">
        <f t="shared" si="291"/>
        <v>Minor Delay</v>
      </c>
    </row>
    <row r="4645" spans="1:15" x14ac:dyDescent="0.25">
      <c r="A4645">
        <v>4644</v>
      </c>
      <c r="B4645" s="2">
        <v>45890</v>
      </c>
      <c r="C4645" t="s">
        <v>18</v>
      </c>
      <c r="D4645" t="s">
        <v>22</v>
      </c>
      <c r="E4645" t="s">
        <v>19</v>
      </c>
      <c r="F4645" t="s">
        <v>14</v>
      </c>
      <c r="G4645">
        <v>91</v>
      </c>
      <c r="H4645">
        <v>336.94</v>
      </c>
      <c r="I4645">
        <v>25</v>
      </c>
      <c r="J4645" t="s">
        <v>15</v>
      </c>
      <c r="K4645">
        <v>30661.54</v>
      </c>
      <c r="L4645" t="str">
        <f t="shared" si="288"/>
        <v>Aug</v>
      </c>
      <c r="M4645">
        <f t="shared" si="289"/>
        <v>2025</v>
      </c>
      <c r="N4645">
        <f t="shared" si="290"/>
        <v>30661.54</v>
      </c>
      <c r="O4645" t="str">
        <f t="shared" si="291"/>
        <v>Minor Delay</v>
      </c>
    </row>
    <row r="4646" spans="1:15" x14ac:dyDescent="0.25">
      <c r="A4646">
        <v>4645</v>
      </c>
      <c r="B4646" s="2">
        <v>45960</v>
      </c>
      <c r="C4646" t="s">
        <v>25</v>
      </c>
      <c r="D4646" t="s">
        <v>23</v>
      </c>
      <c r="E4646" t="s">
        <v>12</v>
      </c>
      <c r="F4646" t="s">
        <v>21</v>
      </c>
      <c r="G4646">
        <v>200</v>
      </c>
      <c r="H4646">
        <v>765.75</v>
      </c>
      <c r="I4646">
        <v>9</v>
      </c>
      <c r="J4646" t="s">
        <v>30</v>
      </c>
      <c r="K4646">
        <v>153150</v>
      </c>
      <c r="L4646" t="str">
        <f t="shared" si="288"/>
        <v>Oct</v>
      </c>
      <c r="M4646">
        <f t="shared" si="289"/>
        <v>2025</v>
      </c>
      <c r="N4646">
        <f t="shared" si="290"/>
        <v>153150</v>
      </c>
      <c r="O4646" t="str">
        <f t="shared" si="291"/>
        <v>Minor Delay</v>
      </c>
    </row>
    <row r="4647" spans="1:15" x14ac:dyDescent="0.25">
      <c r="A4647">
        <v>4646</v>
      </c>
      <c r="B4647" s="2">
        <v>45977</v>
      </c>
      <c r="C4647" t="s">
        <v>31</v>
      </c>
      <c r="D4647" t="s">
        <v>17</v>
      </c>
      <c r="E4647" t="s">
        <v>22</v>
      </c>
      <c r="F4647" t="s">
        <v>14</v>
      </c>
      <c r="G4647">
        <v>241</v>
      </c>
      <c r="H4647">
        <v>583.08000000000004</v>
      </c>
      <c r="I4647">
        <v>52</v>
      </c>
      <c r="J4647" t="s">
        <v>15</v>
      </c>
      <c r="K4647">
        <v>140522.28</v>
      </c>
      <c r="L4647" t="str">
        <f t="shared" si="288"/>
        <v>Nov</v>
      </c>
      <c r="M4647">
        <f t="shared" si="289"/>
        <v>2025</v>
      </c>
      <c r="N4647">
        <f t="shared" si="290"/>
        <v>140522.28</v>
      </c>
      <c r="O4647" t="str">
        <f t="shared" si="291"/>
        <v>Moderate Delay</v>
      </c>
    </row>
    <row r="4648" spans="1:15" x14ac:dyDescent="0.25">
      <c r="A4648">
        <v>4647</v>
      </c>
      <c r="B4648" s="2">
        <v>45994</v>
      </c>
      <c r="C4648" t="s">
        <v>26</v>
      </c>
      <c r="D4648" t="s">
        <v>22</v>
      </c>
      <c r="E4648" t="s">
        <v>20</v>
      </c>
      <c r="F4648" t="s">
        <v>24</v>
      </c>
      <c r="G4648">
        <v>160</v>
      </c>
      <c r="H4648">
        <v>246.05</v>
      </c>
      <c r="I4648">
        <v>11</v>
      </c>
      <c r="J4648" t="s">
        <v>15</v>
      </c>
      <c r="K4648">
        <v>39368</v>
      </c>
      <c r="L4648" t="str">
        <f t="shared" si="288"/>
        <v>Dec</v>
      </c>
      <c r="M4648">
        <f t="shared" si="289"/>
        <v>2025</v>
      </c>
      <c r="N4648">
        <f t="shared" si="290"/>
        <v>39368</v>
      </c>
      <c r="O4648" t="str">
        <f t="shared" si="291"/>
        <v>Minor Delay</v>
      </c>
    </row>
    <row r="4649" spans="1:15" x14ac:dyDescent="0.25">
      <c r="A4649">
        <v>4648</v>
      </c>
      <c r="B4649" s="2">
        <v>45695</v>
      </c>
      <c r="C4649" t="s">
        <v>26</v>
      </c>
      <c r="D4649" t="s">
        <v>13</v>
      </c>
      <c r="E4649" t="s">
        <v>22</v>
      </c>
      <c r="F4649" t="s">
        <v>14</v>
      </c>
      <c r="G4649">
        <v>127</v>
      </c>
      <c r="H4649">
        <v>706.04</v>
      </c>
      <c r="I4649">
        <v>36</v>
      </c>
      <c r="J4649" t="s">
        <v>30</v>
      </c>
      <c r="K4649">
        <v>89667.08</v>
      </c>
      <c r="L4649" t="str">
        <f t="shared" si="288"/>
        <v>Feb</v>
      </c>
      <c r="M4649">
        <f t="shared" si="289"/>
        <v>2025</v>
      </c>
      <c r="N4649">
        <f t="shared" si="290"/>
        <v>89667.08</v>
      </c>
      <c r="O4649" t="str">
        <f t="shared" si="291"/>
        <v>Moderate Delay</v>
      </c>
    </row>
    <row r="4650" spans="1:15" x14ac:dyDescent="0.25">
      <c r="A4650">
        <v>4649</v>
      </c>
      <c r="B4650" s="2">
        <v>45911</v>
      </c>
      <c r="C4650" t="s">
        <v>31</v>
      </c>
      <c r="D4650" t="s">
        <v>27</v>
      </c>
      <c r="E4650" t="s">
        <v>17</v>
      </c>
      <c r="F4650" t="s">
        <v>24</v>
      </c>
      <c r="G4650">
        <v>134</v>
      </c>
      <c r="H4650">
        <v>249.18</v>
      </c>
      <c r="I4650">
        <v>54</v>
      </c>
      <c r="J4650" t="s">
        <v>15</v>
      </c>
      <c r="K4650">
        <v>33390.120000000003</v>
      </c>
      <c r="L4650" t="str">
        <f t="shared" si="288"/>
        <v>Sep</v>
      </c>
      <c r="M4650">
        <f t="shared" si="289"/>
        <v>2025</v>
      </c>
      <c r="N4650">
        <f t="shared" si="290"/>
        <v>33390.120000000003</v>
      </c>
      <c r="O4650" t="str">
        <f t="shared" si="291"/>
        <v>Moderate Delay</v>
      </c>
    </row>
    <row r="4651" spans="1:15" x14ac:dyDescent="0.25">
      <c r="A4651">
        <v>4650</v>
      </c>
      <c r="B4651" s="2">
        <v>45964</v>
      </c>
      <c r="C4651" t="s">
        <v>25</v>
      </c>
      <c r="D4651" t="s">
        <v>20</v>
      </c>
      <c r="E4651" t="s">
        <v>27</v>
      </c>
      <c r="F4651" t="s">
        <v>24</v>
      </c>
      <c r="G4651">
        <v>245</v>
      </c>
      <c r="H4651">
        <v>93.34</v>
      </c>
      <c r="I4651">
        <v>0</v>
      </c>
      <c r="J4651" t="s">
        <v>30</v>
      </c>
      <c r="K4651">
        <v>22868.3</v>
      </c>
      <c r="L4651" t="str">
        <f t="shared" si="288"/>
        <v>Nov</v>
      </c>
      <c r="M4651">
        <f t="shared" si="289"/>
        <v>2025</v>
      </c>
      <c r="N4651">
        <f t="shared" si="290"/>
        <v>22868.3</v>
      </c>
      <c r="O4651" t="str">
        <f t="shared" si="291"/>
        <v>On Time</v>
      </c>
    </row>
    <row r="4652" spans="1:15" x14ac:dyDescent="0.25">
      <c r="A4652">
        <v>4651</v>
      </c>
      <c r="B4652" s="2">
        <v>45889</v>
      </c>
      <c r="C4652" t="s">
        <v>16</v>
      </c>
      <c r="D4652" t="s">
        <v>23</v>
      </c>
      <c r="E4652" t="s">
        <v>20</v>
      </c>
      <c r="F4652" t="s">
        <v>21</v>
      </c>
      <c r="G4652">
        <v>288</v>
      </c>
      <c r="H4652">
        <v>515.89</v>
      </c>
      <c r="I4652">
        <v>20</v>
      </c>
      <c r="J4652" t="s">
        <v>15</v>
      </c>
      <c r="K4652">
        <v>148576.32000000001</v>
      </c>
      <c r="L4652" t="str">
        <f t="shared" si="288"/>
        <v>Aug</v>
      </c>
      <c r="M4652">
        <f t="shared" si="289"/>
        <v>2025</v>
      </c>
      <c r="N4652">
        <f t="shared" si="290"/>
        <v>148576.32000000001</v>
      </c>
      <c r="O4652" t="str">
        <f t="shared" si="291"/>
        <v>Minor Delay</v>
      </c>
    </row>
    <row r="4653" spans="1:15" x14ac:dyDescent="0.25">
      <c r="A4653">
        <v>4652</v>
      </c>
      <c r="B4653" s="2">
        <v>45723</v>
      </c>
      <c r="C4653" t="s">
        <v>31</v>
      </c>
      <c r="D4653" t="s">
        <v>22</v>
      </c>
      <c r="E4653" t="s">
        <v>13</v>
      </c>
      <c r="F4653" t="s">
        <v>21</v>
      </c>
      <c r="G4653">
        <v>57</v>
      </c>
      <c r="H4653">
        <v>102.4</v>
      </c>
      <c r="I4653">
        <v>0</v>
      </c>
      <c r="J4653" t="s">
        <v>15</v>
      </c>
      <c r="K4653">
        <v>5836.8</v>
      </c>
      <c r="L4653" t="str">
        <f t="shared" si="288"/>
        <v>Mar</v>
      </c>
      <c r="M4653">
        <f t="shared" si="289"/>
        <v>2025</v>
      </c>
      <c r="N4653">
        <f t="shared" si="290"/>
        <v>5836.8</v>
      </c>
      <c r="O4653" t="str">
        <f t="shared" si="291"/>
        <v>On Time</v>
      </c>
    </row>
    <row r="4654" spans="1:15" x14ac:dyDescent="0.25">
      <c r="A4654">
        <v>4653</v>
      </c>
      <c r="B4654" s="2">
        <v>45905</v>
      </c>
      <c r="C4654" t="s">
        <v>25</v>
      </c>
      <c r="D4654" t="s">
        <v>12</v>
      </c>
      <c r="E4654" t="s">
        <v>27</v>
      </c>
      <c r="F4654" t="s">
        <v>14</v>
      </c>
      <c r="G4654">
        <v>262</v>
      </c>
      <c r="H4654">
        <v>530.08000000000004</v>
      </c>
      <c r="I4654">
        <v>22</v>
      </c>
      <c r="J4654" t="s">
        <v>15</v>
      </c>
      <c r="K4654">
        <v>138880.95999999999</v>
      </c>
      <c r="L4654" t="str">
        <f t="shared" si="288"/>
        <v>Sep</v>
      </c>
      <c r="M4654">
        <f t="shared" si="289"/>
        <v>2025</v>
      </c>
      <c r="N4654">
        <f t="shared" si="290"/>
        <v>138880.96000000002</v>
      </c>
      <c r="O4654" t="str">
        <f t="shared" si="291"/>
        <v>Minor Delay</v>
      </c>
    </row>
    <row r="4655" spans="1:15" x14ac:dyDescent="0.25">
      <c r="A4655">
        <v>4654</v>
      </c>
      <c r="B4655" s="2">
        <v>45869</v>
      </c>
      <c r="C4655" t="s">
        <v>16</v>
      </c>
      <c r="D4655" t="s">
        <v>19</v>
      </c>
      <c r="E4655" t="s">
        <v>12</v>
      </c>
      <c r="F4655" t="s">
        <v>14</v>
      </c>
      <c r="G4655">
        <v>219</v>
      </c>
      <c r="H4655">
        <v>280.57</v>
      </c>
      <c r="I4655">
        <v>58</v>
      </c>
      <c r="J4655" t="s">
        <v>15</v>
      </c>
      <c r="K4655">
        <v>61444.83</v>
      </c>
      <c r="L4655" t="str">
        <f t="shared" si="288"/>
        <v>Jul</v>
      </c>
      <c r="M4655">
        <f t="shared" si="289"/>
        <v>2025</v>
      </c>
      <c r="N4655">
        <f t="shared" si="290"/>
        <v>61444.83</v>
      </c>
      <c r="O4655" t="str">
        <f t="shared" si="291"/>
        <v>Moderate Delay</v>
      </c>
    </row>
    <row r="4656" spans="1:15" x14ac:dyDescent="0.25">
      <c r="A4656">
        <v>4655</v>
      </c>
      <c r="B4656" s="2">
        <v>45855</v>
      </c>
      <c r="C4656" t="s">
        <v>26</v>
      </c>
      <c r="D4656" t="s">
        <v>29</v>
      </c>
      <c r="E4656" t="s">
        <v>12</v>
      </c>
      <c r="F4656" t="s">
        <v>24</v>
      </c>
      <c r="G4656">
        <v>173</v>
      </c>
      <c r="H4656">
        <v>299.47000000000003</v>
      </c>
      <c r="I4656">
        <v>30</v>
      </c>
      <c r="J4656" t="s">
        <v>15</v>
      </c>
      <c r="K4656">
        <v>51808.31</v>
      </c>
      <c r="L4656" t="str">
        <f t="shared" si="288"/>
        <v>Jul</v>
      </c>
      <c r="M4656">
        <f t="shared" si="289"/>
        <v>2025</v>
      </c>
      <c r="N4656">
        <f t="shared" si="290"/>
        <v>51808.310000000005</v>
      </c>
      <c r="O4656" t="str">
        <f t="shared" si="291"/>
        <v>Minor Delay</v>
      </c>
    </row>
    <row r="4657" spans="1:15" x14ac:dyDescent="0.25">
      <c r="A4657">
        <v>4656</v>
      </c>
      <c r="B4657" s="2">
        <v>45722</v>
      </c>
      <c r="C4657" t="s">
        <v>31</v>
      </c>
      <c r="D4657" t="s">
        <v>27</v>
      </c>
      <c r="E4657" t="s">
        <v>19</v>
      </c>
      <c r="F4657" t="s">
        <v>24</v>
      </c>
      <c r="G4657">
        <v>175</v>
      </c>
      <c r="H4657">
        <v>568.58000000000004</v>
      </c>
      <c r="I4657">
        <v>40</v>
      </c>
      <c r="J4657" t="s">
        <v>15</v>
      </c>
      <c r="K4657">
        <v>99501.5</v>
      </c>
      <c r="L4657" t="str">
        <f t="shared" si="288"/>
        <v>Mar</v>
      </c>
      <c r="M4657">
        <f t="shared" si="289"/>
        <v>2025</v>
      </c>
      <c r="N4657">
        <f t="shared" si="290"/>
        <v>99501.5</v>
      </c>
      <c r="O4657" t="str">
        <f t="shared" si="291"/>
        <v>Moderate Delay</v>
      </c>
    </row>
    <row r="4658" spans="1:15" x14ac:dyDescent="0.25">
      <c r="A4658">
        <v>4657</v>
      </c>
      <c r="B4658" s="2">
        <v>46006</v>
      </c>
      <c r="C4658" t="s">
        <v>16</v>
      </c>
      <c r="D4658" t="s">
        <v>12</v>
      </c>
      <c r="E4658" t="s">
        <v>17</v>
      </c>
      <c r="F4658" t="s">
        <v>24</v>
      </c>
      <c r="G4658">
        <v>282</v>
      </c>
      <c r="H4658">
        <v>714.54</v>
      </c>
      <c r="I4658">
        <v>0</v>
      </c>
      <c r="J4658" t="s">
        <v>15</v>
      </c>
      <c r="K4658">
        <v>201500.28</v>
      </c>
      <c r="L4658" t="str">
        <f t="shared" si="288"/>
        <v>Dec</v>
      </c>
      <c r="M4658">
        <f t="shared" si="289"/>
        <v>2025</v>
      </c>
      <c r="N4658">
        <f t="shared" si="290"/>
        <v>201500.28</v>
      </c>
      <c r="O4658" t="str">
        <f t="shared" si="291"/>
        <v>On Time</v>
      </c>
    </row>
    <row r="4659" spans="1:15" x14ac:dyDescent="0.25">
      <c r="A4659">
        <v>4658</v>
      </c>
      <c r="B4659" s="2">
        <v>46012</v>
      </c>
      <c r="C4659" t="s">
        <v>26</v>
      </c>
      <c r="D4659" t="s">
        <v>20</v>
      </c>
      <c r="E4659" t="s">
        <v>12</v>
      </c>
      <c r="F4659" t="s">
        <v>24</v>
      </c>
      <c r="G4659">
        <v>263</v>
      </c>
      <c r="H4659">
        <v>367.75</v>
      </c>
      <c r="I4659">
        <v>16</v>
      </c>
      <c r="J4659" t="s">
        <v>15</v>
      </c>
      <c r="K4659">
        <v>96718.25</v>
      </c>
      <c r="L4659" t="str">
        <f t="shared" si="288"/>
        <v>Dec</v>
      </c>
      <c r="M4659">
        <f t="shared" si="289"/>
        <v>2025</v>
      </c>
      <c r="N4659">
        <f t="shared" si="290"/>
        <v>96718.25</v>
      </c>
      <c r="O4659" t="str">
        <f t="shared" si="291"/>
        <v>Minor Delay</v>
      </c>
    </row>
    <row r="4660" spans="1:15" x14ac:dyDescent="0.25">
      <c r="A4660">
        <v>4659</v>
      </c>
      <c r="B4660" s="2">
        <v>45944</v>
      </c>
      <c r="C4660" t="s">
        <v>31</v>
      </c>
      <c r="D4660" t="s">
        <v>17</v>
      </c>
      <c r="E4660" t="s">
        <v>20</v>
      </c>
      <c r="F4660" t="s">
        <v>24</v>
      </c>
      <c r="G4660">
        <v>300</v>
      </c>
      <c r="H4660">
        <v>91.93</v>
      </c>
      <c r="I4660">
        <v>23</v>
      </c>
      <c r="J4660" t="s">
        <v>15</v>
      </c>
      <c r="K4660">
        <v>27579</v>
      </c>
      <c r="L4660" t="str">
        <f t="shared" si="288"/>
        <v>Oct</v>
      </c>
      <c r="M4660">
        <f t="shared" si="289"/>
        <v>2025</v>
      </c>
      <c r="N4660">
        <f t="shared" si="290"/>
        <v>27579.000000000004</v>
      </c>
      <c r="O4660" t="str">
        <f t="shared" si="291"/>
        <v>Minor Delay</v>
      </c>
    </row>
    <row r="4661" spans="1:15" x14ac:dyDescent="0.25">
      <c r="A4661">
        <v>4660</v>
      </c>
      <c r="B4661" s="2">
        <v>45985</v>
      </c>
      <c r="C4661" t="s">
        <v>16</v>
      </c>
      <c r="D4661" t="s">
        <v>23</v>
      </c>
      <c r="E4661" t="s">
        <v>20</v>
      </c>
      <c r="F4661" t="s">
        <v>24</v>
      </c>
      <c r="G4661">
        <v>195</v>
      </c>
      <c r="H4661">
        <v>713.13</v>
      </c>
      <c r="I4661">
        <v>78</v>
      </c>
      <c r="J4661" t="s">
        <v>15</v>
      </c>
      <c r="K4661">
        <v>139060.35</v>
      </c>
      <c r="L4661" t="str">
        <f t="shared" si="288"/>
        <v>Nov</v>
      </c>
      <c r="M4661">
        <f t="shared" si="289"/>
        <v>2025</v>
      </c>
      <c r="N4661">
        <f t="shared" si="290"/>
        <v>139060.35</v>
      </c>
      <c r="O4661" t="str">
        <f t="shared" si="291"/>
        <v>Major Delay</v>
      </c>
    </row>
    <row r="4662" spans="1:15" x14ac:dyDescent="0.25">
      <c r="A4662">
        <v>4661</v>
      </c>
      <c r="B4662" s="2">
        <v>45694</v>
      </c>
      <c r="C4662" t="s">
        <v>11</v>
      </c>
      <c r="D4662" t="s">
        <v>17</v>
      </c>
      <c r="E4662" t="s">
        <v>12</v>
      </c>
      <c r="F4662" t="s">
        <v>14</v>
      </c>
      <c r="G4662">
        <v>200</v>
      </c>
      <c r="H4662">
        <v>307.32</v>
      </c>
      <c r="I4662">
        <v>36</v>
      </c>
      <c r="J4662" t="s">
        <v>15</v>
      </c>
      <c r="K4662">
        <v>61464</v>
      </c>
      <c r="L4662" t="str">
        <f t="shared" si="288"/>
        <v>Feb</v>
      </c>
      <c r="M4662">
        <f t="shared" si="289"/>
        <v>2025</v>
      </c>
      <c r="N4662">
        <f t="shared" si="290"/>
        <v>61464</v>
      </c>
      <c r="O4662" t="str">
        <f t="shared" si="291"/>
        <v>Moderate Delay</v>
      </c>
    </row>
    <row r="4663" spans="1:15" x14ac:dyDescent="0.25">
      <c r="A4663">
        <v>4662</v>
      </c>
      <c r="B4663" s="2">
        <v>45919</v>
      </c>
      <c r="C4663" t="s">
        <v>11</v>
      </c>
      <c r="D4663" t="s">
        <v>22</v>
      </c>
      <c r="E4663" t="s">
        <v>12</v>
      </c>
      <c r="F4663" t="s">
        <v>24</v>
      </c>
      <c r="G4663">
        <v>151</v>
      </c>
      <c r="H4663">
        <v>509.17</v>
      </c>
      <c r="I4663">
        <v>18</v>
      </c>
      <c r="J4663" t="s">
        <v>15</v>
      </c>
      <c r="K4663">
        <v>76884.67</v>
      </c>
      <c r="L4663" t="str">
        <f t="shared" si="288"/>
        <v>Sep</v>
      </c>
      <c r="M4663">
        <f t="shared" si="289"/>
        <v>2025</v>
      </c>
      <c r="N4663">
        <f t="shared" si="290"/>
        <v>76884.67</v>
      </c>
      <c r="O4663" t="str">
        <f t="shared" si="291"/>
        <v>Minor Delay</v>
      </c>
    </row>
    <row r="4664" spans="1:15" x14ac:dyDescent="0.25">
      <c r="A4664">
        <v>4663</v>
      </c>
      <c r="B4664" s="2">
        <v>45732</v>
      </c>
      <c r="C4664" t="s">
        <v>25</v>
      </c>
      <c r="D4664" t="s">
        <v>29</v>
      </c>
      <c r="E4664" t="s">
        <v>12</v>
      </c>
      <c r="F4664" t="s">
        <v>21</v>
      </c>
      <c r="G4664">
        <v>159</v>
      </c>
      <c r="H4664">
        <v>728.62</v>
      </c>
      <c r="I4664">
        <v>0</v>
      </c>
      <c r="J4664" t="s">
        <v>15</v>
      </c>
      <c r="K4664">
        <v>115850.58</v>
      </c>
      <c r="L4664" t="str">
        <f t="shared" si="288"/>
        <v>Mar</v>
      </c>
      <c r="M4664">
        <f t="shared" si="289"/>
        <v>2025</v>
      </c>
      <c r="N4664">
        <f t="shared" si="290"/>
        <v>115850.58</v>
      </c>
      <c r="O4664" t="str">
        <f t="shared" si="291"/>
        <v>On Time</v>
      </c>
    </row>
    <row r="4665" spans="1:15" x14ac:dyDescent="0.25">
      <c r="A4665">
        <v>4664</v>
      </c>
      <c r="B4665" s="2">
        <v>45941</v>
      </c>
      <c r="C4665" t="s">
        <v>26</v>
      </c>
      <c r="D4665" t="s">
        <v>17</v>
      </c>
      <c r="E4665" t="s">
        <v>27</v>
      </c>
      <c r="F4665" t="s">
        <v>21</v>
      </c>
      <c r="G4665">
        <v>173</v>
      </c>
      <c r="H4665">
        <v>482.59</v>
      </c>
      <c r="I4665">
        <v>32</v>
      </c>
      <c r="J4665" t="s">
        <v>30</v>
      </c>
      <c r="K4665">
        <v>83488.070000000007</v>
      </c>
      <c r="L4665" t="str">
        <f t="shared" si="288"/>
        <v>Oct</v>
      </c>
      <c r="M4665">
        <f t="shared" si="289"/>
        <v>2025</v>
      </c>
      <c r="N4665">
        <f t="shared" si="290"/>
        <v>83488.069999999992</v>
      </c>
      <c r="O4665" t="str">
        <f t="shared" si="291"/>
        <v>Moderate Delay</v>
      </c>
    </row>
    <row r="4666" spans="1:15" x14ac:dyDescent="0.25">
      <c r="A4666">
        <v>4665</v>
      </c>
      <c r="B4666" s="2">
        <v>45701</v>
      </c>
      <c r="C4666" t="s">
        <v>31</v>
      </c>
      <c r="D4666" t="s">
        <v>17</v>
      </c>
      <c r="E4666" t="s">
        <v>19</v>
      </c>
      <c r="F4666" t="s">
        <v>24</v>
      </c>
      <c r="G4666">
        <v>288</v>
      </c>
      <c r="H4666">
        <v>226.11</v>
      </c>
      <c r="I4666">
        <v>3</v>
      </c>
      <c r="J4666" t="s">
        <v>15</v>
      </c>
      <c r="K4666">
        <v>65119.68</v>
      </c>
      <c r="L4666" t="str">
        <f t="shared" si="288"/>
        <v>Feb</v>
      </c>
      <c r="M4666">
        <f t="shared" si="289"/>
        <v>2025</v>
      </c>
      <c r="N4666">
        <f t="shared" si="290"/>
        <v>65119.680000000008</v>
      </c>
      <c r="O4666" t="str">
        <f t="shared" si="291"/>
        <v>Minor Delay</v>
      </c>
    </row>
    <row r="4667" spans="1:15" x14ac:dyDescent="0.25">
      <c r="A4667">
        <v>4666</v>
      </c>
      <c r="B4667" s="2">
        <v>45950</v>
      </c>
      <c r="C4667" t="s">
        <v>11</v>
      </c>
      <c r="D4667" t="s">
        <v>19</v>
      </c>
      <c r="E4667" t="s">
        <v>20</v>
      </c>
      <c r="F4667" t="s">
        <v>14</v>
      </c>
      <c r="G4667">
        <v>245</v>
      </c>
      <c r="H4667">
        <v>317.18</v>
      </c>
      <c r="I4667">
        <v>43</v>
      </c>
      <c r="J4667" t="s">
        <v>15</v>
      </c>
      <c r="K4667">
        <v>77709.100000000006</v>
      </c>
      <c r="L4667" t="str">
        <f t="shared" si="288"/>
        <v>Oct</v>
      </c>
      <c r="M4667">
        <f t="shared" si="289"/>
        <v>2025</v>
      </c>
      <c r="N4667">
        <f t="shared" si="290"/>
        <v>77709.100000000006</v>
      </c>
      <c r="O4667" t="str">
        <f t="shared" si="291"/>
        <v>Moderate Delay</v>
      </c>
    </row>
    <row r="4668" spans="1:15" x14ac:dyDescent="0.25">
      <c r="A4668">
        <v>4667</v>
      </c>
      <c r="B4668" s="2">
        <v>45786</v>
      </c>
      <c r="C4668" t="s">
        <v>11</v>
      </c>
      <c r="D4668" t="s">
        <v>12</v>
      </c>
      <c r="E4668" t="s">
        <v>20</v>
      </c>
      <c r="F4668" t="s">
        <v>14</v>
      </c>
      <c r="G4668">
        <v>51</v>
      </c>
      <c r="H4668">
        <v>756.56</v>
      </c>
      <c r="I4668">
        <v>33</v>
      </c>
      <c r="J4668" t="s">
        <v>15</v>
      </c>
      <c r="K4668">
        <v>38584.559999999998</v>
      </c>
      <c r="L4668" t="str">
        <f t="shared" si="288"/>
        <v>May</v>
      </c>
      <c r="M4668">
        <f t="shared" si="289"/>
        <v>2025</v>
      </c>
      <c r="N4668">
        <f t="shared" si="290"/>
        <v>38584.559999999998</v>
      </c>
      <c r="O4668" t="str">
        <f t="shared" si="291"/>
        <v>Moderate Delay</v>
      </c>
    </row>
    <row r="4669" spans="1:15" x14ac:dyDescent="0.25">
      <c r="A4669">
        <v>4668</v>
      </c>
      <c r="B4669" s="2">
        <v>45907</v>
      </c>
      <c r="C4669" t="s">
        <v>18</v>
      </c>
      <c r="D4669" t="s">
        <v>13</v>
      </c>
      <c r="E4669" t="s">
        <v>29</v>
      </c>
      <c r="F4669" t="s">
        <v>14</v>
      </c>
      <c r="G4669">
        <v>299</v>
      </c>
      <c r="H4669">
        <v>139.86000000000001</v>
      </c>
      <c r="I4669">
        <v>35</v>
      </c>
      <c r="J4669" t="s">
        <v>15</v>
      </c>
      <c r="K4669">
        <v>41818.14</v>
      </c>
      <c r="L4669" t="str">
        <f t="shared" si="288"/>
        <v>Sep</v>
      </c>
      <c r="M4669">
        <f t="shared" si="289"/>
        <v>2025</v>
      </c>
      <c r="N4669">
        <f t="shared" si="290"/>
        <v>41818.140000000007</v>
      </c>
      <c r="O4669" t="str">
        <f t="shared" si="291"/>
        <v>Moderate Delay</v>
      </c>
    </row>
    <row r="4670" spans="1:15" x14ac:dyDescent="0.25">
      <c r="A4670">
        <v>4669</v>
      </c>
      <c r="B4670" s="2">
        <v>45782</v>
      </c>
      <c r="C4670" t="s">
        <v>18</v>
      </c>
      <c r="D4670" t="s">
        <v>27</v>
      </c>
      <c r="E4670" t="s">
        <v>17</v>
      </c>
      <c r="F4670" t="s">
        <v>21</v>
      </c>
      <c r="G4670">
        <v>216</v>
      </c>
      <c r="H4670">
        <v>72.56</v>
      </c>
      <c r="I4670">
        <v>0</v>
      </c>
      <c r="J4670" t="s">
        <v>15</v>
      </c>
      <c r="K4670">
        <v>15672.96</v>
      </c>
      <c r="L4670" t="str">
        <f t="shared" si="288"/>
        <v>May</v>
      </c>
      <c r="M4670">
        <f t="shared" si="289"/>
        <v>2025</v>
      </c>
      <c r="N4670">
        <f t="shared" si="290"/>
        <v>15672.960000000001</v>
      </c>
      <c r="O4670" t="str">
        <f t="shared" si="291"/>
        <v>On Time</v>
      </c>
    </row>
    <row r="4671" spans="1:15" x14ac:dyDescent="0.25">
      <c r="A4671">
        <v>4670</v>
      </c>
      <c r="B4671" s="2">
        <v>45873</v>
      </c>
      <c r="C4671" t="s">
        <v>11</v>
      </c>
      <c r="D4671" t="s">
        <v>17</v>
      </c>
      <c r="E4671" t="s">
        <v>13</v>
      </c>
      <c r="F4671" t="s">
        <v>14</v>
      </c>
      <c r="G4671">
        <v>99</v>
      </c>
      <c r="H4671">
        <v>68.930000000000007</v>
      </c>
      <c r="I4671">
        <v>14</v>
      </c>
      <c r="J4671" t="s">
        <v>15</v>
      </c>
      <c r="K4671">
        <v>6824.07</v>
      </c>
      <c r="L4671" t="str">
        <f t="shared" si="288"/>
        <v>Aug</v>
      </c>
      <c r="M4671">
        <f t="shared" si="289"/>
        <v>2025</v>
      </c>
      <c r="N4671">
        <f t="shared" si="290"/>
        <v>6824.0700000000006</v>
      </c>
      <c r="O4671" t="str">
        <f t="shared" si="291"/>
        <v>Minor Delay</v>
      </c>
    </row>
    <row r="4672" spans="1:15" x14ac:dyDescent="0.25">
      <c r="A4672">
        <v>4671</v>
      </c>
      <c r="B4672" s="2">
        <v>45763</v>
      </c>
      <c r="C4672" t="s">
        <v>25</v>
      </c>
      <c r="D4672" t="s">
        <v>17</v>
      </c>
      <c r="E4672" t="s">
        <v>27</v>
      </c>
      <c r="F4672" t="s">
        <v>21</v>
      </c>
      <c r="G4672">
        <v>140</v>
      </c>
      <c r="H4672">
        <v>422.85</v>
      </c>
      <c r="I4672">
        <v>0</v>
      </c>
      <c r="J4672" t="s">
        <v>15</v>
      </c>
      <c r="K4672">
        <v>59199</v>
      </c>
      <c r="L4672" t="str">
        <f t="shared" si="288"/>
        <v>Apr</v>
      </c>
      <c r="M4672">
        <f t="shared" si="289"/>
        <v>2025</v>
      </c>
      <c r="N4672">
        <f t="shared" si="290"/>
        <v>59199</v>
      </c>
      <c r="O4672" t="str">
        <f t="shared" si="291"/>
        <v>On Time</v>
      </c>
    </row>
    <row r="4673" spans="1:15" x14ac:dyDescent="0.25">
      <c r="A4673">
        <v>4672</v>
      </c>
      <c r="B4673" s="2">
        <v>45691</v>
      </c>
      <c r="C4673" t="s">
        <v>16</v>
      </c>
      <c r="D4673" t="s">
        <v>27</v>
      </c>
      <c r="E4673" t="s">
        <v>23</v>
      </c>
      <c r="F4673" t="s">
        <v>24</v>
      </c>
      <c r="G4673">
        <v>275</v>
      </c>
      <c r="H4673">
        <v>66.22</v>
      </c>
      <c r="I4673">
        <v>44</v>
      </c>
      <c r="J4673" t="s">
        <v>30</v>
      </c>
      <c r="K4673">
        <v>18210.5</v>
      </c>
      <c r="L4673" t="str">
        <f t="shared" si="288"/>
        <v>Feb</v>
      </c>
      <c r="M4673">
        <f t="shared" si="289"/>
        <v>2025</v>
      </c>
      <c r="N4673">
        <f t="shared" si="290"/>
        <v>18210.5</v>
      </c>
      <c r="O4673" t="str">
        <f t="shared" si="291"/>
        <v>Moderate Delay</v>
      </c>
    </row>
    <row r="4674" spans="1:15" x14ac:dyDescent="0.25">
      <c r="A4674">
        <v>4673</v>
      </c>
      <c r="B4674" s="2">
        <v>45739</v>
      </c>
      <c r="C4674" t="s">
        <v>18</v>
      </c>
      <c r="D4674" t="s">
        <v>13</v>
      </c>
      <c r="E4674" t="s">
        <v>23</v>
      </c>
      <c r="F4674" t="s">
        <v>14</v>
      </c>
      <c r="G4674">
        <v>54</v>
      </c>
      <c r="H4674">
        <v>221.32</v>
      </c>
      <c r="I4674">
        <v>49</v>
      </c>
      <c r="J4674" t="s">
        <v>15</v>
      </c>
      <c r="K4674">
        <v>11951.28</v>
      </c>
      <c r="L4674" t="str">
        <f t="shared" si="288"/>
        <v>Mar</v>
      </c>
      <c r="M4674">
        <f t="shared" si="289"/>
        <v>2025</v>
      </c>
      <c r="N4674">
        <f t="shared" si="290"/>
        <v>11951.279999999999</v>
      </c>
      <c r="O4674" t="str">
        <f t="shared" si="291"/>
        <v>Moderate Delay</v>
      </c>
    </row>
    <row r="4675" spans="1:15" x14ac:dyDescent="0.25">
      <c r="A4675">
        <v>4674</v>
      </c>
      <c r="B4675" s="2">
        <v>46013</v>
      </c>
      <c r="C4675" t="s">
        <v>18</v>
      </c>
      <c r="D4675" t="s">
        <v>20</v>
      </c>
      <c r="E4675" t="s">
        <v>23</v>
      </c>
      <c r="F4675" t="s">
        <v>14</v>
      </c>
      <c r="G4675">
        <v>241</v>
      </c>
      <c r="H4675">
        <v>647.41</v>
      </c>
      <c r="I4675">
        <v>50</v>
      </c>
      <c r="J4675" t="s">
        <v>15</v>
      </c>
      <c r="K4675">
        <v>156025.81</v>
      </c>
      <c r="L4675" t="str">
        <f t="shared" ref="L4675:L4738" si="292">TEXT(B4675,"MMM")</f>
        <v>Dec</v>
      </c>
      <c r="M4675">
        <f t="shared" ref="M4675:M4738" si="293">YEAR(B4675)</f>
        <v>2025</v>
      </c>
      <c r="N4675">
        <f t="shared" ref="N4675:N4738" si="294">G4675*H4675</f>
        <v>156025.81</v>
      </c>
      <c r="O4675" t="str">
        <f t="shared" ref="O4675:O4738" si="295">IF(I4675=0,"On Time",IF(I4675&lt;=30,"Minor Delay",IF(I4675&lt;=60,"Moderate Delay","Major Delay")))</f>
        <v>Moderate Delay</v>
      </c>
    </row>
    <row r="4676" spans="1:15" x14ac:dyDescent="0.25">
      <c r="A4676">
        <v>4675</v>
      </c>
      <c r="B4676" s="2">
        <v>45869</v>
      </c>
      <c r="C4676" t="s">
        <v>16</v>
      </c>
      <c r="D4676" t="s">
        <v>19</v>
      </c>
      <c r="E4676" t="s">
        <v>17</v>
      </c>
      <c r="F4676" t="s">
        <v>14</v>
      </c>
      <c r="G4676">
        <v>192</v>
      </c>
      <c r="H4676">
        <v>440.99</v>
      </c>
      <c r="I4676">
        <v>20</v>
      </c>
      <c r="J4676" t="s">
        <v>15</v>
      </c>
      <c r="K4676">
        <v>84670.080000000002</v>
      </c>
      <c r="L4676" t="str">
        <f t="shared" si="292"/>
        <v>Jul</v>
      </c>
      <c r="M4676">
        <f t="shared" si="293"/>
        <v>2025</v>
      </c>
      <c r="N4676">
        <f t="shared" si="294"/>
        <v>84670.080000000002</v>
      </c>
      <c r="O4676" t="str">
        <f t="shared" si="295"/>
        <v>Minor Delay</v>
      </c>
    </row>
    <row r="4677" spans="1:15" x14ac:dyDescent="0.25">
      <c r="A4677">
        <v>4676</v>
      </c>
      <c r="B4677" s="2">
        <v>46009</v>
      </c>
      <c r="C4677" t="s">
        <v>18</v>
      </c>
      <c r="D4677" t="s">
        <v>27</v>
      </c>
      <c r="E4677" t="s">
        <v>13</v>
      </c>
      <c r="F4677" t="s">
        <v>21</v>
      </c>
      <c r="G4677">
        <v>230</v>
      </c>
      <c r="H4677">
        <v>592.71</v>
      </c>
      <c r="I4677">
        <v>15</v>
      </c>
      <c r="J4677" t="s">
        <v>15</v>
      </c>
      <c r="K4677">
        <v>136323.29999999999</v>
      </c>
      <c r="L4677" t="str">
        <f t="shared" si="292"/>
        <v>Dec</v>
      </c>
      <c r="M4677">
        <f t="shared" si="293"/>
        <v>2025</v>
      </c>
      <c r="N4677">
        <f t="shared" si="294"/>
        <v>136323.30000000002</v>
      </c>
      <c r="O4677" t="str">
        <f t="shared" si="295"/>
        <v>Minor Delay</v>
      </c>
    </row>
    <row r="4678" spans="1:15" x14ac:dyDescent="0.25">
      <c r="A4678">
        <v>4677</v>
      </c>
      <c r="B4678" s="2">
        <v>45996</v>
      </c>
      <c r="C4678" t="s">
        <v>16</v>
      </c>
      <c r="D4678" t="s">
        <v>17</v>
      </c>
      <c r="E4678" t="s">
        <v>29</v>
      </c>
      <c r="F4678" t="s">
        <v>21</v>
      </c>
      <c r="G4678">
        <v>135</v>
      </c>
      <c r="H4678">
        <v>207.9</v>
      </c>
      <c r="I4678">
        <v>0</v>
      </c>
      <c r="J4678" t="s">
        <v>15</v>
      </c>
      <c r="K4678">
        <v>28066.5</v>
      </c>
      <c r="L4678" t="str">
        <f t="shared" si="292"/>
        <v>Dec</v>
      </c>
      <c r="M4678">
        <f t="shared" si="293"/>
        <v>2025</v>
      </c>
      <c r="N4678">
        <f t="shared" si="294"/>
        <v>28066.5</v>
      </c>
      <c r="O4678" t="str">
        <f t="shared" si="295"/>
        <v>On Time</v>
      </c>
    </row>
    <row r="4679" spans="1:15" x14ac:dyDescent="0.25">
      <c r="A4679">
        <v>4678</v>
      </c>
      <c r="B4679" s="2">
        <v>45993</v>
      </c>
      <c r="C4679" t="s">
        <v>11</v>
      </c>
      <c r="D4679" t="s">
        <v>12</v>
      </c>
      <c r="E4679" t="s">
        <v>29</v>
      </c>
      <c r="F4679" t="s">
        <v>21</v>
      </c>
      <c r="G4679">
        <v>245</v>
      </c>
      <c r="H4679">
        <v>118.17</v>
      </c>
      <c r="I4679">
        <v>0</v>
      </c>
      <c r="J4679" t="s">
        <v>15</v>
      </c>
      <c r="K4679">
        <v>28951.65</v>
      </c>
      <c r="L4679" t="str">
        <f t="shared" si="292"/>
        <v>Dec</v>
      </c>
      <c r="M4679">
        <f t="shared" si="293"/>
        <v>2025</v>
      </c>
      <c r="N4679">
        <f t="shared" si="294"/>
        <v>28951.65</v>
      </c>
      <c r="O4679" t="str">
        <f t="shared" si="295"/>
        <v>On Time</v>
      </c>
    </row>
    <row r="4680" spans="1:15" x14ac:dyDescent="0.25">
      <c r="A4680">
        <v>4679</v>
      </c>
      <c r="B4680" s="2">
        <v>45984</v>
      </c>
      <c r="C4680" t="s">
        <v>18</v>
      </c>
      <c r="D4680" t="s">
        <v>13</v>
      </c>
      <c r="E4680" t="s">
        <v>23</v>
      </c>
      <c r="F4680" t="s">
        <v>24</v>
      </c>
      <c r="G4680">
        <v>148</v>
      </c>
      <c r="H4680">
        <v>351</v>
      </c>
      <c r="I4680">
        <v>0</v>
      </c>
      <c r="J4680" t="s">
        <v>15</v>
      </c>
      <c r="K4680">
        <v>51948</v>
      </c>
      <c r="L4680" t="str">
        <f t="shared" si="292"/>
        <v>Nov</v>
      </c>
      <c r="M4680">
        <f t="shared" si="293"/>
        <v>2025</v>
      </c>
      <c r="N4680">
        <f t="shared" si="294"/>
        <v>51948</v>
      </c>
      <c r="O4680" t="str">
        <f t="shared" si="295"/>
        <v>On Time</v>
      </c>
    </row>
    <row r="4681" spans="1:15" x14ac:dyDescent="0.25">
      <c r="A4681">
        <v>4680</v>
      </c>
      <c r="B4681" s="2">
        <v>45917</v>
      </c>
      <c r="C4681" t="s">
        <v>16</v>
      </c>
      <c r="D4681" t="s">
        <v>20</v>
      </c>
      <c r="E4681" t="s">
        <v>29</v>
      </c>
      <c r="F4681" t="s">
        <v>21</v>
      </c>
      <c r="G4681">
        <v>113</v>
      </c>
      <c r="H4681">
        <v>177.19</v>
      </c>
      <c r="I4681">
        <v>44</v>
      </c>
      <c r="J4681" t="s">
        <v>30</v>
      </c>
      <c r="K4681">
        <v>20022.47</v>
      </c>
      <c r="L4681" t="str">
        <f t="shared" si="292"/>
        <v>Sep</v>
      </c>
      <c r="M4681">
        <f t="shared" si="293"/>
        <v>2025</v>
      </c>
      <c r="N4681">
        <f t="shared" si="294"/>
        <v>20022.47</v>
      </c>
      <c r="O4681" t="str">
        <f t="shared" si="295"/>
        <v>Moderate Delay</v>
      </c>
    </row>
    <row r="4682" spans="1:15" x14ac:dyDescent="0.25">
      <c r="A4682">
        <v>4681</v>
      </c>
      <c r="B4682" s="2">
        <v>45830</v>
      </c>
      <c r="C4682" t="s">
        <v>16</v>
      </c>
      <c r="D4682" t="s">
        <v>22</v>
      </c>
      <c r="E4682" t="s">
        <v>23</v>
      </c>
      <c r="F4682" t="s">
        <v>14</v>
      </c>
      <c r="G4682">
        <v>101</v>
      </c>
      <c r="H4682">
        <v>783.11</v>
      </c>
      <c r="I4682">
        <v>12</v>
      </c>
      <c r="J4682" t="s">
        <v>15</v>
      </c>
      <c r="K4682">
        <v>79094.11</v>
      </c>
      <c r="L4682" t="str">
        <f t="shared" si="292"/>
        <v>Jun</v>
      </c>
      <c r="M4682">
        <f t="shared" si="293"/>
        <v>2025</v>
      </c>
      <c r="N4682">
        <f t="shared" si="294"/>
        <v>79094.11</v>
      </c>
      <c r="O4682" t="str">
        <f t="shared" si="295"/>
        <v>Minor Delay</v>
      </c>
    </row>
    <row r="4683" spans="1:15" x14ac:dyDescent="0.25">
      <c r="A4683">
        <v>4682</v>
      </c>
      <c r="B4683" s="2">
        <v>45773</v>
      </c>
      <c r="C4683" t="s">
        <v>18</v>
      </c>
      <c r="D4683" t="s">
        <v>23</v>
      </c>
      <c r="E4683" t="s">
        <v>13</v>
      </c>
      <c r="F4683" t="s">
        <v>24</v>
      </c>
      <c r="G4683">
        <v>105</v>
      </c>
      <c r="H4683">
        <v>315.33</v>
      </c>
      <c r="I4683">
        <v>20</v>
      </c>
      <c r="J4683" t="s">
        <v>15</v>
      </c>
      <c r="K4683">
        <v>33109.65</v>
      </c>
      <c r="L4683" t="str">
        <f t="shared" si="292"/>
        <v>Apr</v>
      </c>
      <c r="M4683">
        <f t="shared" si="293"/>
        <v>2025</v>
      </c>
      <c r="N4683">
        <f t="shared" si="294"/>
        <v>33109.65</v>
      </c>
      <c r="O4683" t="str">
        <f t="shared" si="295"/>
        <v>Minor Delay</v>
      </c>
    </row>
    <row r="4684" spans="1:15" x14ac:dyDescent="0.25">
      <c r="A4684">
        <v>4683</v>
      </c>
      <c r="B4684" s="2">
        <v>45737</v>
      </c>
      <c r="C4684" t="s">
        <v>25</v>
      </c>
      <c r="D4684" t="s">
        <v>12</v>
      </c>
      <c r="E4684" t="s">
        <v>23</v>
      </c>
      <c r="F4684" t="s">
        <v>24</v>
      </c>
      <c r="G4684">
        <v>239</v>
      </c>
      <c r="H4684">
        <v>313.77999999999997</v>
      </c>
      <c r="I4684">
        <v>35</v>
      </c>
      <c r="J4684" t="s">
        <v>15</v>
      </c>
      <c r="K4684">
        <v>74993.42</v>
      </c>
      <c r="L4684" t="str">
        <f t="shared" si="292"/>
        <v>Mar</v>
      </c>
      <c r="M4684">
        <f t="shared" si="293"/>
        <v>2025</v>
      </c>
      <c r="N4684">
        <f t="shared" si="294"/>
        <v>74993.42</v>
      </c>
      <c r="O4684" t="str">
        <f t="shared" si="295"/>
        <v>Moderate Delay</v>
      </c>
    </row>
    <row r="4685" spans="1:15" x14ac:dyDescent="0.25">
      <c r="A4685">
        <v>4684</v>
      </c>
      <c r="B4685" s="2">
        <v>45708</v>
      </c>
      <c r="C4685" t="s">
        <v>31</v>
      </c>
      <c r="D4685" t="s">
        <v>17</v>
      </c>
      <c r="E4685" t="s">
        <v>27</v>
      </c>
      <c r="F4685" t="s">
        <v>21</v>
      </c>
      <c r="G4685">
        <v>137</v>
      </c>
      <c r="H4685">
        <v>95.1</v>
      </c>
      <c r="I4685">
        <v>0</v>
      </c>
      <c r="J4685" t="s">
        <v>30</v>
      </c>
      <c r="K4685">
        <v>13028.7</v>
      </c>
      <c r="L4685" t="str">
        <f t="shared" si="292"/>
        <v>Feb</v>
      </c>
      <c r="M4685">
        <f t="shared" si="293"/>
        <v>2025</v>
      </c>
      <c r="N4685">
        <f t="shared" si="294"/>
        <v>13028.699999999999</v>
      </c>
      <c r="O4685" t="str">
        <f t="shared" si="295"/>
        <v>On Time</v>
      </c>
    </row>
    <row r="4686" spans="1:15" x14ac:dyDescent="0.25">
      <c r="A4686">
        <v>4685</v>
      </c>
      <c r="B4686" s="2">
        <v>45847</v>
      </c>
      <c r="C4686" t="s">
        <v>18</v>
      </c>
      <c r="D4686" t="s">
        <v>19</v>
      </c>
      <c r="E4686" t="s">
        <v>13</v>
      </c>
      <c r="F4686" t="s">
        <v>21</v>
      </c>
      <c r="G4686">
        <v>166</v>
      </c>
      <c r="H4686">
        <v>471.03</v>
      </c>
      <c r="I4686">
        <v>11</v>
      </c>
      <c r="J4686" t="s">
        <v>15</v>
      </c>
      <c r="K4686">
        <v>78190.98</v>
      </c>
      <c r="L4686" t="str">
        <f t="shared" si="292"/>
        <v>Jul</v>
      </c>
      <c r="M4686">
        <f t="shared" si="293"/>
        <v>2025</v>
      </c>
      <c r="N4686">
        <f t="shared" si="294"/>
        <v>78190.98</v>
      </c>
      <c r="O4686" t="str">
        <f t="shared" si="295"/>
        <v>Minor Delay</v>
      </c>
    </row>
    <row r="4687" spans="1:15" x14ac:dyDescent="0.25">
      <c r="A4687">
        <v>4686</v>
      </c>
      <c r="B4687" s="2">
        <v>45735</v>
      </c>
      <c r="C4687" t="s">
        <v>26</v>
      </c>
      <c r="D4687" t="s">
        <v>17</v>
      </c>
      <c r="E4687" t="s">
        <v>22</v>
      </c>
      <c r="F4687" t="s">
        <v>21</v>
      </c>
      <c r="G4687">
        <v>124</v>
      </c>
      <c r="H4687">
        <v>648.66</v>
      </c>
      <c r="I4687">
        <v>22</v>
      </c>
      <c r="J4687" t="s">
        <v>15</v>
      </c>
      <c r="K4687">
        <v>80433.84</v>
      </c>
      <c r="L4687" t="str">
        <f t="shared" si="292"/>
        <v>Mar</v>
      </c>
      <c r="M4687">
        <f t="shared" si="293"/>
        <v>2025</v>
      </c>
      <c r="N4687">
        <f t="shared" si="294"/>
        <v>80433.84</v>
      </c>
      <c r="O4687" t="str">
        <f t="shared" si="295"/>
        <v>Minor Delay</v>
      </c>
    </row>
    <row r="4688" spans="1:15" x14ac:dyDescent="0.25">
      <c r="A4688">
        <v>4687</v>
      </c>
      <c r="B4688" s="2">
        <v>45739</v>
      </c>
      <c r="C4688" t="s">
        <v>25</v>
      </c>
      <c r="D4688" t="s">
        <v>27</v>
      </c>
      <c r="E4688" t="s">
        <v>22</v>
      </c>
      <c r="F4688" t="s">
        <v>21</v>
      </c>
      <c r="G4688">
        <v>294</v>
      </c>
      <c r="H4688">
        <v>433.95</v>
      </c>
      <c r="I4688">
        <v>0</v>
      </c>
      <c r="J4688" t="s">
        <v>30</v>
      </c>
      <c r="K4688">
        <v>127581.3</v>
      </c>
      <c r="L4688" t="str">
        <f t="shared" si="292"/>
        <v>Mar</v>
      </c>
      <c r="M4688">
        <f t="shared" si="293"/>
        <v>2025</v>
      </c>
      <c r="N4688">
        <f t="shared" si="294"/>
        <v>127581.3</v>
      </c>
      <c r="O4688" t="str">
        <f t="shared" si="295"/>
        <v>On Time</v>
      </c>
    </row>
    <row r="4689" spans="1:15" x14ac:dyDescent="0.25">
      <c r="A4689">
        <v>4688</v>
      </c>
      <c r="B4689" s="2">
        <v>45719</v>
      </c>
      <c r="C4689" t="s">
        <v>26</v>
      </c>
      <c r="D4689" t="s">
        <v>12</v>
      </c>
      <c r="E4689" t="s">
        <v>17</v>
      </c>
      <c r="F4689" t="s">
        <v>21</v>
      </c>
      <c r="G4689">
        <v>169</v>
      </c>
      <c r="H4689">
        <v>386.87</v>
      </c>
      <c r="I4689">
        <v>17</v>
      </c>
      <c r="J4689" t="s">
        <v>15</v>
      </c>
      <c r="K4689">
        <v>65381.03</v>
      </c>
      <c r="L4689" t="str">
        <f t="shared" si="292"/>
        <v>Mar</v>
      </c>
      <c r="M4689">
        <f t="shared" si="293"/>
        <v>2025</v>
      </c>
      <c r="N4689">
        <f t="shared" si="294"/>
        <v>65381.03</v>
      </c>
      <c r="O4689" t="str">
        <f t="shared" si="295"/>
        <v>Minor Delay</v>
      </c>
    </row>
    <row r="4690" spans="1:15" x14ac:dyDescent="0.25">
      <c r="A4690">
        <v>4689</v>
      </c>
      <c r="B4690" s="2">
        <v>45862</v>
      </c>
      <c r="C4690" t="s">
        <v>25</v>
      </c>
      <c r="D4690" t="s">
        <v>12</v>
      </c>
      <c r="E4690" t="s">
        <v>23</v>
      </c>
      <c r="F4690" t="s">
        <v>14</v>
      </c>
      <c r="G4690">
        <v>154</v>
      </c>
      <c r="H4690">
        <v>694.27</v>
      </c>
      <c r="I4690">
        <v>0</v>
      </c>
      <c r="J4690" t="s">
        <v>15</v>
      </c>
      <c r="K4690">
        <v>106917.58</v>
      </c>
      <c r="L4690" t="str">
        <f t="shared" si="292"/>
        <v>Jul</v>
      </c>
      <c r="M4690">
        <f t="shared" si="293"/>
        <v>2025</v>
      </c>
      <c r="N4690">
        <f t="shared" si="294"/>
        <v>106917.58</v>
      </c>
      <c r="O4690" t="str">
        <f t="shared" si="295"/>
        <v>On Time</v>
      </c>
    </row>
    <row r="4691" spans="1:15" x14ac:dyDescent="0.25">
      <c r="A4691">
        <v>4690</v>
      </c>
      <c r="B4691" s="2">
        <v>46018</v>
      </c>
      <c r="C4691" t="s">
        <v>18</v>
      </c>
      <c r="D4691" t="s">
        <v>29</v>
      </c>
      <c r="E4691" t="s">
        <v>19</v>
      </c>
      <c r="F4691" t="s">
        <v>14</v>
      </c>
      <c r="G4691">
        <v>264</v>
      </c>
      <c r="H4691">
        <v>479.95</v>
      </c>
      <c r="I4691">
        <v>37</v>
      </c>
      <c r="J4691" t="s">
        <v>15</v>
      </c>
      <c r="K4691">
        <v>126706.8</v>
      </c>
      <c r="L4691" t="str">
        <f t="shared" si="292"/>
        <v>Dec</v>
      </c>
      <c r="M4691">
        <f t="shared" si="293"/>
        <v>2025</v>
      </c>
      <c r="N4691">
        <f t="shared" si="294"/>
        <v>126706.8</v>
      </c>
      <c r="O4691" t="str">
        <f t="shared" si="295"/>
        <v>Moderate Delay</v>
      </c>
    </row>
    <row r="4692" spans="1:15" x14ac:dyDescent="0.25">
      <c r="A4692">
        <v>4691</v>
      </c>
      <c r="B4692" s="2">
        <v>45725</v>
      </c>
      <c r="C4692" t="s">
        <v>31</v>
      </c>
      <c r="D4692" t="s">
        <v>23</v>
      </c>
      <c r="E4692" t="s">
        <v>13</v>
      </c>
      <c r="F4692" t="s">
        <v>24</v>
      </c>
      <c r="G4692">
        <v>193</v>
      </c>
      <c r="H4692">
        <v>693.33</v>
      </c>
      <c r="I4692">
        <v>1</v>
      </c>
      <c r="J4692" t="s">
        <v>15</v>
      </c>
      <c r="K4692">
        <v>133812.69</v>
      </c>
      <c r="L4692" t="str">
        <f t="shared" si="292"/>
        <v>Mar</v>
      </c>
      <c r="M4692">
        <f t="shared" si="293"/>
        <v>2025</v>
      </c>
      <c r="N4692">
        <f t="shared" si="294"/>
        <v>133812.69</v>
      </c>
      <c r="O4692" t="str">
        <f t="shared" si="295"/>
        <v>Minor Delay</v>
      </c>
    </row>
    <row r="4693" spans="1:15" x14ac:dyDescent="0.25">
      <c r="A4693">
        <v>4692</v>
      </c>
      <c r="B4693" s="2">
        <v>45892</v>
      </c>
      <c r="C4693" t="s">
        <v>18</v>
      </c>
      <c r="D4693" t="s">
        <v>23</v>
      </c>
      <c r="E4693" t="s">
        <v>17</v>
      </c>
      <c r="F4693" t="s">
        <v>24</v>
      </c>
      <c r="G4693">
        <v>271</v>
      </c>
      <c r="H4693">
        <v>352.37</v>
      </c>
      <c r="I4693">
        <v>9</v>
      </c>
      <c r="J4693" t="s">
        <v>15</v>
      </c>
      <c r="K4693">
        <v>95492.27</v>
      </c>
      <c r="L4693" t="str">
        <f t="shared" si="292"/>
        <v>Aug</v>
      </c>
      <c r="M4693">
        <f t="shared" si="293"/>
        <v>2025</v>
      </c>
      <c r="N4693">
        <f t="shared" si="294"/>
        <v>95492.27</v>
      </c>
      <c r="O4693" t="str">
        <f t="shared" si="295"/>
        <v>Minor Delay</v>
      </c>
    </row>
    <row r="4694" spans="1:15" x14ac:dyDescent="0.25">
      <c r="A4694">
        <v>4693</v>
      </c>
      <c r="B4694" s="2">
        <v>45833</v>
      </c>
      <c r="C4694" t="s">
        <v>25</v>
      </c>
      <c r="D4694" t="s">
        <v>19</v>
      </c>
      <c r="E4694" t="s">
        <v>20</v>
      </c>
      <c r="F4694" t="s">
        <v>24</v>
      </c>
      <c r="G4694">
        <v>54</v>
      </c>
      <c r="H4694">
        <v>634.94000000000005</v>
      </c>
      <c r="I4694">
        <v>73</v>
      </c>
      <c r="J4694" t="s">
        <v>15</v>
      </c>
      <c r="K4694">
        <v>34286.76</v>
      </c>
      <c r="L4694" t="str">
        <f t="shared" si="292"/>
        <v>Jun</v>
      </c>
      <c r="M4694">
        <f t="shared" si="293"/>
        <v>2025</v>
      </c>
      <c r="N4694">
        <f t="shared" si="294"/>
        <v>34286.76</v>
      </c>
      <c r="O4694" t="str">
        <f t="shared" si="295"/>
        <v>Major Delay</v>
      </c>
    </row>
    <row r="4695" spans="1:15" x14ac:dyDescent="0.25">
      <c r="A4695">
        <v>4694</v>
      </c>
      <c r="B4695" s="2">
        <v>45962</v>
      </c>
      <c r="C4695" t="s">
        <v>26</v>
      </c>
      <c r="D4695" t="s">
        <v>12</v>
      </c>
      <c r="E4695" t="s">
        <v>17</v>
      </c>
      <c r="F4695" t="s">
        <v>21</v>
      </c>
      <c r="G4695">
        <v>152</v>
      </c>
      <c r="H4695">
        <v>611.16</v>
      </c>
      <c r="I4695">
        <v>5</v>
      </c>
      <c r="J4695" t="s">
        <v>15</v>
      </c>
      <c r="K4695">
        <v>92896.320000000007</v>
      </c>
      <c r="L4695" t="str">
        <f t="shared" si="292"/>
        <v>Nov</v>
      </c>
      <c r="M4695">
        <f t="shared" si="293"/>
        <v>2025</v>
      </c>
      <c r="N4695">
        <f t="shared" si="294"/>
        <v>92896.319999999992</v>
      </c>
      <c r="O4695" t="str">
        <f t="shared" si="295"/>
        <v>Minor Delay</v>
      </c>
    </row>
    <row r="4696" spans="1:15" x14ac:dyDescent="0.25">
      <c r="A4696">
        <v>4695</v>
      </c>
      <c r="B4696" s="2">
        <v>45946</v>
      </c>
      <c r="C4696" t="s">
        <v>25</v>
      </c>
      <c r="D4696" t="s">
        <v>29</v>
      </c>
      <c r="E4696" t="s">
        <v>23</v>
      </c>
      <c r="F4696" t="s">
        <v>21</v>
      </c>
      <c r="G4696">
        <v>299</v>
      </c>
      <c r="H4696">
        <v>608.52</v>
      </c>
      <c r="I4696">
        <v>25</v>
      </c>
      <c r="J4696" t="s">
        <v>15</v>
      </c>
      <c r="K4696">
        <v>181947.48</v>
      </c>
      <c r="L4696" t="str">
        <f t="shared" si="292"/>
        <v>Oct</v>
      </c>
      <c r="M4696">
        <f t="shared" si="293"/>
        <v>2025</v>
      </c>
      <c r="N4696">
        <f t="shared" si="294"/>
        <v>181947.47999999998</v>
      </c>
      <c r="O4696" t="str">
        <f t="shared" si="295"/>
        <v>Minor Delay</v>
      </c>
    </row>
    <row r="4697" spans="1:15" x14ac:dyDescent="0.25">
      <c r="A4697">
        <v>4696</v>
      </c>
      <c r="B4697" s="2">
        <v>45665</v>
      </c>
      <c r="C4697" t="s">
        <v>16</v>
      </c>
      <c r="D4697" t="s">
        <v>19</v>
      </c>
      <c r="E4697" t="s">
        <v>20</v>
      </c>
      <c r="F4697" t="s">
        <v>21</v>
      </c>
      <c r="G4697">
        <v>249</v>
      </c>
      <c r="H4697">
        <v>270.73</v>
      </c>
      <c r="I4697">
        <v>0</v>
      </c>
      <c r="J4697" t="s">
        <v>15</v>
      </c>
      <c r="K4697">
        <v>67411.77</v>
      </c>
      <c r="L4697" t="str">
        <f t="shared" si="292"/>
        <v>Jan</v>
      </c>
      <c r="M4697">
        <f t="shared" si="293"/>
        <v>2025</v>
      </c>
      <c r="N4697">
        <f t="shared" si="294"/>
        <v>67411.77</v>
      </c>
      <c r="O4697" t="str">
        <f t="shared" si="295"/>
        <v>On Time</v>
      </c>
    </row>
    <row r="4698" spans="1:15" x14ac:dyDescent="0.25">
      <c r="A4698">
        <v>4697</v>
      </c>
      <c r="B4698" s="2">
        <v>45870</v>
      </c>
      <c r="C4698" t="s">
        <v>18</v>
      </c>
      <c r="D4698" t="s">
        <v>20</v>
      </c>
      <c r="E4698" t="s">
        <v>13</v>
      </c>
      <c r="F4698" t="s">
        <v>14</v>
      </c>
      <c r="G4698">
        <v>193</v>
      </c>
      <c r="H4698">
        <v>633.5</v>
      </c>
      <c r="I4698">
        <v>7</v>
      </c>
      <c r="J4698" t="s">
        <v>15</v>
      </c>
      <c r="K4698">
        <v>122265.5</v>
      </c>
      <c r="L4698" t="str">
        <f t="shared" si="292"/>
        <v>Aug</v>
      </c>
      <c r="M4698">
        <f t="shared" si="293"/>
        <v>2025</v>
      </c>
      <c r="N4698">
        <f t="shared" si="294"/>
        <v>122265.5</v>
      </c>
      <c r="O4698" t="str">
        <f t="shared" si="295"/>
        <v>Minor Delay</v>
      </c>
    </row>
    <row r="4699" spans="1:15" x14ac:dyDescent="0.25">
      <c r="A4699">
        <v>4698</v>
      </c>
      <c r="B4699" s="2">
        <v>45882</v>
      </c>
      <c r="C4699" t="s">
        <v>11</v>
      </c>
      <c r="D4699" t="s">
        <v>20</v>
      </c>
      <c r="E4699" t="s">
        <v>13</v>
      </c>
      <c r="F4699" t="s">
        <v>14</v>
      </c>
      <c r="G4699">
        <v>221</v>
      </c>
      <c r="H4699">
        <v>163.49</v>
      </c>
      <c r="I4699">
        <v>0</v>
      </c>
      <c r="J4699" t="s">
        <v>30</v>
      </c>
      <c r="K4699">
        <v>36131.29</v>
      </c>
      <c r="L4699" t="str">
        <f t="shared" si="292"/>
        <v>Aug</v>
      </c>
      <c r="M4699">
        <f t="shared" si="293"/>
        <v>2025</v>
      </c>
      <c r="N4699">
        <f t="shared" si="294"/>
        <v>36131.29</v>
      </c>
      <c r="O4699" t="str">
        <f t="shared" si="295"/>
        <v>On Time</v>
      </c>
    </row>
    <row r="4700" spans="1:15" x14ac:dyDescent="0.25">
      <c r="A4700">
        <v>4699</v>
      </c>
      <c r="B4700" s="2">
        <v>45939</v>
      </c>
      <c r="C4700" t="s">
        <v>31</v>
      </c>
      <c r="D4700" t="s">
        <v>19</v>
      </c>
      <c r="E4700" t="s">
        <v>23</v>
      </c>
      <c r="F4700" t="s">
        <v>14</v>
      </c>
      <c r="G4700">
        <v>291</v>
      </c>
      <c r="H4700">
        <v>109.35</v>
      </c>
      <c r="I4700">
        <v>75</v>
      </c>
      <c r="J4700" t="s">
        <v>15</v>
      </c>
      <c r="K4700">
        <v>31820.85</v>
      </c>
      <c r="L4700" t="str">
        <f t="shared" si="292"/>
        <v>Oct</v>
      </c>
      <c r="M4700">
        <f t="shared" si="293"/>
        <v>2025</v>
      </c>
      <c r="N4700">
        <f t="shared" si="294"/>
        <v>31820.85</v>
      </c>
      <c r="O4700" t="str">
        <f t="shared" si="295"/>
        <v>Major Delay</v>
      </c>
    </row>
    <row r="4701" spans="1:15" x14ac:dyDescent="0.25">
      <c r="A4701">
        <v>4700</v>
      </c>
      <c r="B4701" s="2">
        <v>45877</v>
      </c>
      <c r="C4701" t="s">
        <v>11</v>
      </c>
      <c r="D4701" t="s">
        <v>17</v>
      </c>
      <c r="E4701" t="s">
        <v>27</v>
      </c>
      <c r="F4701" t="s">
        <v>24</v>
      </c>
      <c r="G4701">
        <v>91</v>
      </c>
      <c r="H4701">
        <v>758.75</v>
      </c>
      <c r="I4701">
        <v>23</v>
      </c>
      <c r="J4701" t="s">
        <v>15</v>
      </c>
      <c r="K4701">
        <v>69046.25</v>
      </c>
      <c r="L4701" t="str">
        <f t="shared" si="292"/>
        <v>Aug</v>
      </c>
      <c r="M4701">
        <f t="shared" si="293"/>
        <v>2025</v>
      </c>
      <c r="N4701">
        <f t="shared" si="294"/>
        <v>69046.25</v>
      </c>
      <c r="O4701" t="str">
        <f t="shared" si="295"/>
        <v>Minor Delay</v>
      </c>
    </row>
    <row r="4702" spans="1:15" x14ac:dyDescent="0.25">
      <c r="A4702">
        <v>4701</v>
      </c>
      <c r="B4702" s="2">
        <v>45809</v>
      </c>
      <c r="C4702" t="s">
        <v>26</v>
      </c>
      <c r="D4702" t="s">
        <v>20</v>
      </c>
      <c r="E4702" t="s">
        <v>19</v>
      </c>
      <c r="F4702" t="s">
        <v>21</v>
      </c>
      <c r="G4702">
        <v>107</v>
      </c>
      <c r="H4702">
        <v>790.33</v>
      </c>
      <c r="I4702">
        <v>1</v>
      </c>
      <c r="J4702" t="s">
        <v>15</v>
      </c>
      <c r="K4702">
        <v>84565.31</v>
      </c>
      <c r="L4702" t="str">
        <f t="shared" si="292"/>
        <v>Jun</v>
      </c>
      <c r="M4702">
        <f t="shared" si="293"/>
        <v>2025</v>
      </c>
      <c r="N4702">
        <f t="shared" si="294"/>
        <v>84565.31</v>
      </c>
      <c r="O4702" t="str">
        <f t="shared" si="295"/>
        <v>Minor Delay</v>
      </c>
    </row>
    <row r="4703" spans="1:15" x14ac:dyDescent="0.25">
      <c r="A4703">
        <v>4702</v>
      </c>
      <c r="B4703" s="2">
        <v>45835</v>
      </c>
      <c r="C4703" t="s">
        <v>18</v>
      </c>
      <c r="D4703" t="s">
        <v>12</v>
      </c>
      <c r="E4703" t="s">
        <v>13</v>
      </c>
      <c r="F4703" t="s">
        <v>21</v>
      </c>
      <c r="G4703">
        <v>269</v>
      </c>
      <c r="H4703">
        <v>301.22000000000003</v>
      </c>
      <c r="I4703">
        <v>38</v>
      </c>
      <c r="J4703" t="s">
        <v>30</v>
      </c>
      <c r="K4703">
        <v>81028.179999999993</v>
      </c>
      <c r="L4703" t="str">
        <f t="shared" si="292"/>
        <v>Jun</v>
      </c>
      <c r="M4703">
        <f t="shared" si="293"/>
        <v>2025</v>
      </c>
      <c r="N4703">
        <f t="shared" si="294"/>
        <v>81028.180000000008</v>
      </c>
      <c r="O4703" t="str">
        <f t="shared" si="295"/>
        <v>Moderate Delay</v>
      </c>
    </row>
    <row r="4704" spans="1:15" x14ac:dyDescent="0.25">
      <c r="A4704">
        <v>4703</v>
      </c>
      <c r="B4704" s="2">
        <v>45908</v>
      </c>
      <c r="C4704" t="s">
        <v>18</v>
      </c>
      <c r="D4704" t="s">
        <v>19</v>
      </c>
      <c r="E4704" t="s">
        <v>20</v>
      </c>
      <c r="F4704" t="s">
        <v>14</v>
      </c>
      <c r="G4704">
        <v>131</v>
      </c>
      <c r="H4704">
        <v>252.87</v>
      </c>
      <c r="I4704">
        <v>27</v>
      </c>
      <c r="J4704" t="s">
        <v>15</v>
      </c>
      <c r="K4704">
        <v>33125.97</v>
      </c>
      <c r="L4704" t="str">
        <f t="shared" si="292"/>
        <v>Sep</v>
      </c>
      <c r="M4704">
        <f t="shared" si="293"/>
        <v>2025</v>
      </c>
      <c r="N4704">
        <f t="shared" si="294"/>
        <v>33125.97</v>
      </c>
      <c r="O4704" t="str">
        <f t="shared" si="295"/>
        <v>Minor Delay</v>
      </c>
    </row>
    <row r="4705" spans="1:15" x14ac:dyDescent="0.25">
      <c r="A4705">
        <v>4704</v>
      </c>
      <c r="B4705" s="2">
        <v>45963</v>
      </c>
      <c r="C4705" t="s">
        <v>16</v>
      </c>
      <c r="D4705" t="s">
        <v>17</v>
      </c>
      <c r="E4705" t="s">
        <v>23</v>
      </c>
      <c r="F4705" t="s">
        <v>21</v>
      </c>
      <c r="G4705">
        <v>292</v>
      </c>
      <c r="H4705">
        <v>609.59</v>
      </c>
      <c r="I4705">
        <v>4</v>
      </c>
      <c r="J4705" t="s">
        <v>15</v>
      </c>
      <c r="K4705">
        <v>178000.28</v>
      </c>
      <c r="L4705" t="str">
        <f t="shared" si="292"/>
        <v>Nov</v>
      </c>
      <c r="M4705">
        <f t="shared" si="293"/>
        <v>2025</v>
      </c>
      <c r="N4705">
        <f t="shared" si="294"/>
        <v>178000.28</v>
      </c>
      <c r="O4705" t="str">
        <f t="shared" si="295"/>
        <v>Minor Delay</v>
      </c>
    </row>
    <row r="4706" spans="1:15" x14ac:dyDescent="0.25">
      <c r="A4706">
        <v>4705</v>
      </c>
      <c r="B4706" s="2">
        <v>45781</v>
      </c>
      <c r="C4706" t="s">
        <v>25</v>
      </c>
      <c r="D4706" t="s">
        <v>17</v>
      </c>
      <c r="E4706" t="s">
        <v>27</v>
      </c>
      <c r="F4706" t="s">
        <v>21</v>
      </c>
      <c r="G4706">
        <v>62</v>
      </c>
      <c r="H4706">
        <v>618.74</v>
      </c>
      <c r="I4706">
        <v>0</v>
      </c>
      <c r="J4706" t="s">
        <v>15</v>
      </c>
      <c r="K4706">
        <v>38361.879999999997</v>
      </c>
      <c r="L4706" t="str">
        <f t="shared" si="292"/>
        <v>May</v>
      </c>
      <c r="M4706">
        <f t="shared" si="293"/>
        <v>2025</v>
      </c>
      <c r="N4706">
        <f t="shared" si="294"/>
        <v>38361.879999999997</v>
      </c>
      <c r="O4706" t="str">
        <f t="shared" si="295"/>
        <v>On Time</v>
      </c>
    </row>
    <row r="4707" spans="1:15" x14ac:dyDescent="0.25">
      <c r="A4707">
        <v>4706</v>
      </c>
      <c r="B4707" s="2">
        <v>45827</v>
      </c>
      <c r="C4707" t="s">
        <v>11</v>
      </c>
      <c r="D4707" t="s">
        <v>13</v>
      </c>
      <c r="E4707" t="s">
        <v>19</v>
      </c>
      <c r="F4707" t="s">
        <v>14</v>
      </c>
      <c r="G4707">
        <v>84</v>
      </c>
      <c r="H4707">
        <v>776.03</v>
      </c>
      <c r="I4707">
        <v>16</v>
      </c>
      <c r="J4707" t="s">
        <v>30</v>
      </c>
      <c r="K4707">
        <v>65186.52</v>
      </c>
      <c r="L4707" t="str">
        <f t="shared" si="292"/>
        <v>Jun</v>
      </c>
      <c r="M4707">
        <f t="shared" si="293"/>
        <v>2025</v>
      </c>
      <c r="N4707">
        <f t="shared" si="294"/>
        <v>65186.52</v>
      </c>
      <c r="O4707" t="str">
        <f t="shared" si="295"/>
        <v>Minor Delay</v>
      </c>
    </row>
    <row r="4708" spans="1:15" x14ac:dyDescent="0.25">
      <c r="A4708">
        <v>4707</v>
      </c>
      <c r="B4708" s="2">
        <v>45723</v>
      </c>
      <c r="C4708" t="s">
        <v>26</v>
      </c>
      <c r="D4708" t="s">
        <v>17</v>
      </c>
      <c r="E4708" t="s">
        <v>20</v>
      </c>
      <c r="F4708" t="s">
        <v>24</v>
      </c>
      <c r="G4708">
        <v>176</v>
      </c>
      <c r="H4708">
        <v>635.24</v>
      </c>
      <c r="I4708">
        <v>50</v>
      </c>
      <c r="J4708" t="s">
        <v>15</v>
      </c>
      <c r="K4708">
        <v>111802.24000000001</v>
      </c>
      <c r="L4708" t="str">
        <f t="shared" si="292"/>
        <v>Mar</v>
      </c>
      <c r="M4708">
        <f t="shared" si="293"/>
        <v>2025</v>
      </c>
      <c r="N4708">
        <f t="shared" si="294"/>
        <v>111802.24000000001</v>
      </c>
      <c r="O4708" t="str">
        <f t="shared" si="295"/>
        <v>Moderate Delay</v>
      </c>
    </row>
    <row r="4709" spans="1:15" x14ac:dyDescent="0.25">
      <c r="A4709">
        <v>4708</v>
      </c>
      <c r="B4709" s="2">
        <v>45814</v>
      </c>
      <c r="C4709" t="s">
        <v>16</v>
      </c>
      <c r="D4709" t="s">
        <v>27</v>
      </c>
      <c r="E4709" t="s">
        <v>13</v>
      </c>
      <c r="F4709" t="s">
        <v>14</v>
      </c>
      <c r="G4709">
        <v>249</v>
      </c>
      <c r="H4709">
        <v>277.47000000000003</v>
      </c>
      <c r="I4709">
        <v>0</v>
      </c>
      <c r="J4709" t="s">
        <v>15</v>
      </c>
      <c r="K4709">
        <v>69090.03</v>
      </c>
      <c r="L4709" t="str">
        <f t="shared" si="292"/>
        <v>Jun</v>
      </c>
      <c r="M4709">
        <f t="shared" si="293"/>
        <v>2025</v>
      </c>
      <c r="N4709">
        <f t="shared" si="294"/>
        <v>69090.030000000013</v>
      </c>
      <c r="O4709" t="str">
        <f t="shared" si="295"/>
        <v>On Time</v>
      </c>
    </row>
    <row r="4710" spans="1:15" x14ac:dyDescent="0.25">
      <c r="A4710">
        <v>4709</v>
      </c>
      <c r="B4710" s="2">
        <v>45664</v>
      </c>
      <c r="C4710" t="s">
        <v>16</v>
      </c>
      <c r="D4710" t="s">
        <v>22</v>
      </c>
      <c r="E4710" t="s">
        <v>27</v>
      </c>
      <c r="F4710" t="s">
        <v>14</v>
      </c>
      <c r="G4710">
        <v>68</v>
      </c>
      <c r="H4710">
        <v>738.11</v>
      </c>
      <c r="I4710">
        <v>0</v>
      </c>
      <c r="J4710" t="s">
        <v>30</v>
      </c>
      <c r="K4710">
        <v>50191.48</v>
      </c>
      <c r="L4710" t="str">
        <f t="shared" si="292"/>
        <v>Jan</v>
      </c>
      <c r="M4710">
        <f t="shared" si="293"/>
        <v>2025</v>
      </c>
      <c r="N4710">
        <f t="shared" si="294"/>
        <v>50191.48</v>
      </c>
      <c r="O4710" t="str">
        <f t="shared" si="295"/>
        <v>On Time</v>
      </c>
    </row>
    <row r="4711" spans="1:15" x14ac:dyDescent="0.25">
      <c r="A4711">
        <v>4710</v>
      </c>
      <c r="B4711" s="2">
        <v>45923</v>
      </c>
      <c r="C4711" t="s">
        <v>31</v>
      </c>
      <c r="D4711" t="s">
        <v>20</v>
      </c>
      <c r="E4711" t="s">
        <v>19</v>
      </c>
      <c r="F4711" t="s">
        <v>24</v>
      </c>
      <c r="G4711">
        <v>115</v>
      </c>
      <c r="H4711">
        <v>350.44</v>
      </c>
      <c r="I4711">
        <v>0</v>
      </c>
      <c r="J4711" t="s">
        <v>30</v>
      </c>
      <c r="K4711">
        <v>40300.6</v>
      </c>
      <c r="L4711" t="str">
        <f t="shared" si="292"/>
        <v>Sep</v>
      </c>
      <c r="M4711">
        <f t="shared" si="293"/>
        <v>2025</v>
      </c>
      <c r="N4711">
        <f t="shared" si="294"/>
        <v>40300.6</v>
      </c>
      <c r="O4711" t="str">
        <f t="shared" si="295"/>
        <v>On Time</v>
      </c>
    </row>
    <row r="4712" spans="1:15" x14ac:dyDescent="0.25">
      <c r="A4712">
        <v>4711</v>
      </c>
      <c r="B4712" s="2">
        <v>45912</v>
      </c>
      <c r="C4712" t="s">
        <v>26</v>
      </c>
      <c r="D4712" t="s">
        <v>19</v>
      </c>
      <c r="E4712" t="s">
        <v>22</v>
      </c>
      <c r="F4712" t="s">
        <v>14</v>
      </c>
      <c r="G4712">
        <v>266</v>
      </c>
      <c r="H4712">
        <v>357.39</v>
      </c>
      <c r="I4712">
        <v>0</v>
      </c>
      <c r="J4712" t="s">
        <v>15</v>
      </c>
      <c r="K4712">
        <v>95065.74</v>
      </c>
      <c r="L4712" t="str">
        <f t="shared" si="292"/>
        <v>Sep</v>
      </c>
      <c r="M4712">
        <f t="shared" si="293"/>
        <v>2025</v>
      </c>
      <c r="N4712">
        <f t="shared" si="294"/>
        <v>95065.739999999991</v>
      </c>
      <c r="O4712" t="str">
        <f t="shared" si="295"/>
        <v>On Time</v>
      </c>
    </row>
    <row r="4713" spans="1:15" x14ac:dyDescent="0.25">
      <c r="A4713">
        <v>4712</v>
      </c>
      <c r="B4713" s="2">
        <v>45711</v>
      </c>
      <c r="C4713" t="s">
        <v>11</v>
      </c>
      <c r="D4713" t="s">
        <v>13</v>
      </c>
      <c r="E4713" t="s">
        <v>22</v>
      </c>
      <c r="F4713" t="s">
        <v>14</v>
      </c>
      <c r="G4713">
        <v>197</v>
      </c>
      <c r="H4713">
        <v>453.04</v>
      </c>
      <c r="I4713">
        <v>0</v>
      </c>
      <c r="J4713" t="s">
        <v>30</v>
      </c>
      <c r="K4713">
        <v>89248.88</v>
      </c>
      <c r="L4713" t="str">
        <f t="shared" si="292"/>
        <v>Feb</v>
      </c>
      <c r="M4713">
        <f t="shared" si="293"/>
        <v>2025</v>
      </c>
      <c r="N4713">
        <f t="shared" si="294"/>
        <v>89248.88</v>
      </c>
      <c r="O4713" t="str">
        <f t="shared" si="295"/>
        <v>On Time</v>
      </c>
    </row>
    <row r="4714" spans="1:15" x14ac:dyDescent="0.25">
      <c r="A4714">
        <v>4713</v>
      </c>
      <c r="B4714" s="2">
        <v>45692</v>
      </c>
      <c r="C4714" t="s">
        <v>31</v>
      </c>
      <c r="D4714" t="s">
        <v>17</v>
      </c>
      <c r="E4714" t="s">
        <v>27</v>
      </c>
      <c r="F4714" t="s">
        <v>14</v>
      </c>
      <c r="G4714">
        <v>86</v>
      </c>
      <c r="H4714">
        <v>140.82</v>
      </c>
      <c r="I4714">
        <v>42</v>
      </c>
      <c r="J4714" t="s">
        <v>15</v>
      </c>
      <c r="K4714">
        <v>12110.52</v>
      </c>
      <c r="L4714" t="str">
        <f t="shared" si="292"/>
        <v>Feb</v>
      </c>
      <c r="M4714">
        <f t="shared" si="293"/>
        <v>2025</v>
      </c>
      <c r="N4714">
        <f t="shared" si="294"/>
        <v>12110.519999999999</v>
      </c>
      <c r="O4714" t="str">
        <f t="shared" si="295"/>
        <v>Moderate Delay</v>
      </c>
    </row>
    <row r="4715" spans="1:15" x14ac:dyDescent="0.25">
      <c r="A4715">
        <v>4714</v>
      </c>
      <c r="B4715" s="2">
        <v>45993</v>
      </c>
      <c r="C4715" t="s">
        <v>25</v>
      </c>
      <c r="D4715" t="s">
        <v>27</v>
      </c>
      <c r="E4715" t="s">
        <v>23</v>
      </c>
      <c r="F4715" t="s">
        <v>14</v>
      </c>
      <c r="G4715">
        <v>141</v>
      </c>
      <c r="H4715">
        <v>526.39</v>
      </c>
      <c r="I4715">
        <v>14</v>
      </c>
      <c r="J4715" t="s">
        <v>15</v>
      </c>
      <c r="K4715">
        <v>74220.990000000005</v>
      </c>
      <c r="L4715" t="str">
        <f t="shared" si="292"/>
        <v>Dec</v>
      </c>
      <c r="M4715">
        <f t="shared" si="293"/>
        <v>2025</v>
      </c>
      <c r="N4715">
        <f t="shared" si="294"/>
        <v>74220.990000000005</v>
      </c>
      <c r="O4715" t="str">
        <f t="shared" si="295"/>
        <v>Minor Delay</v>
      </c>
    </row>
    <row r="4716" spans="1:15" x14ac:dyDescent="0.25">
      <c r="A4716">
        <v>4715</v>
      </c>
      <c r="B4716" s="2">
        <v>45838</v>
      </c>
      <c r="C4716" t="s">
        <v>31</v>
      </c>
      <c r="D4716" t="s">
        <v>13</v>
      </c>
      <c r="E4716" t="s">
        <v>23</v>
      </c>
      <c r="F4716" t="s">
        <v>24</v>
      </c>
      <c r="G4716">
        <v>270</v>
      </c>
      <c r="H4716">
        <v>613.51</v>
      </c>
      <c r="I4716">
        <v>6</v>
      </c>
      <c r="J4716" t="s">
        <v>15</v>
      </c>
      <c r="K4716">
        <v>165647.70000000001</v>
      </c>
      <c r="L4716" t="str">
        <f t="shared" si="292"/>
        <v>Jun</v>
      </c>
      <c r="M4716">
        <f t="shared" si="293"/>
        <v>2025</v>
      </c>
      <c r="N4716">
        <f t="shared" si="294"/>
        <v>165647.70000000001</v>
      </c>
      <c r="O4716" t="str">
        <f t="shared" si="295"/>
        <v>Minor Delay</v>
      </c>
    </row>
    <row r="4717" spans="1:15" x14ac:dyDescent="0.25">
      <c r="A4717">
        <v>4716</v>
      </c>
      <c r="B4717" s="2">
        <v>45818</v>
      </c>
      <c r="C4717" t="s">
        <v>31</v>
      </c>
      <c r="D4717" t="s">
        <v>12</v>
      </c>
      <c r="E4717" t="s">
        <v>19</v>
      </c>
      <c r="F4717" t="s">
        <v>24</v>
      </c>
      <c r="G4717">
        <v>209</v>
      </c>
      <c r="H4717">
        <v>522.39</v>
      </c>
      <c r="I4717">
        <v>12</v>
      </c>
      <c r="J4717" t="s">
        <v>30</v>
      </c>
      <c r="K4717">
        <v>109179.51</v>
      </c>
      <c r="L4717" t="str">
        <f t="shared" si="292"/>
        <v>Jun</v>
      </c>
      <c r="M4717">
        <f t="shared" si="293"/>
        <v>2025</v>
      </c>
      <c r="N4717">
        <f t="shared" si="294"/>
        <v>109179.51</v>
      </c>
      <c r="O4717" t="str">
        <f t="shared" si="295"/>
        <v>Minor Delay</v>
      </c>
    </row>
    <row r="4718" spans="1:15" x14ac:dyDescent="0.25">
      <c r="A4718">
        <v>4717</v>
      </c>
      <c r="B4718" s="2">
        <v>45729</v>
      </c>
      <c r="C4718" t="s">
        <v>11</v>
      </c>
      <c r="D4718" t="s">
        <v>13</v>
      </c>
      <c r="E4718" t="s">
        <v>23</v>
      </c>
      <c r="F4718" t="s">
        <v>21</v>
      </c>
      <c r="G4718">
        <v>188</v>
      </c>
      <c r="H4718">
        <v>585.19000000000005</v>
      </c>
      <c r="I4718">
        <v>0</v>
      </c>
      <c r="J4718" t="s">
        <v>15</v>
      </c>
      <c r="K4718">
        <v>110015.72</v>
      </c>
      <c r="L4718" t="str">
        <f t="shared" si="292"/>
        <v>Mar</v>
      </c>
      <c r="M4718">
        <f t="shared" si="293"/>
        <v>2025</v>
      </c>
      <c r="N4718">
        <f t="shared" si="294"/>
        <v>110015.72000000002</v>
      </c>
      <c r="O4718" t="str">
        <f t="shared" si="295"/>
        <v>On Time</v>
      </c>
    </row>
    <row r="4719" spans="1:15" x14ac:dyDescent="0.25">
      <c r="A4719">
        <v>4718</v>
      </c>
      <c r="B4719" s="2">
        <v>45981</v>
      </c>
      <c r="C4719" t="s">
        <v>18</v>
      </c>
      <c r="D4719" t="s">
        <v>17</v>
      </c>
      <c r="E4719" t="s">
        <v>13</v>
      </c>
      <c r="F4719" t="s">
        <v>14</v>
      </c>
      <c r="G4719">
        <v>265</v>
      </c>
      <c r="H4719">
        <v>598.66</v>
      </c>
      <c r="I4719">
        <v>0</v>
      </c>
      <c r="J4719" t="s">
        <v>15</v>
      </c>
      <c r="K4719">
        <v>158644.9</v>
      </c>
      <c r="L4719" t="str">
        <f t="shared" si="292"/>
        <v>Nov</v>
      </c>
      <c r="M4719">
        <f t="shared" si="293"/>
        <v>2025</v>
      </c>
      <c r="N4719">
        <f t="shared" si="294"/>
        <v>158644.9</v>
      </c>
      <c r="O4719" t="str">
        <f t="shared" si="295"/>
        <v>On Time</v>
      </c>
    </row>
    <row r="4720" spans="1:15" x14ac:dyDescent="0.25">
      <c r="A4720">
        <v>4719</v>
      </c>
      <c r="B4720" s="2">
        <v>45761</v>
      </c>
      <c r="C4720" t="s">
        <v>26</v>
      </c>
      <c r="D4720" t="s">
        <v>22</v>
      </c>
      <c r="E4720" t="s">
        <v>12</v>
      </c>
      <c r="F4720" t="s">
        <v>14</v>
      </c>
      <c r="G4720">
        <v>215</v>
      </c>
      <c r="H4720">
        <v>217.21</v>
      </c>
      <c r="I4720">
        <v>0</v>
      </c>
      <c r="J4720" t="s">
        <v>15</v>
      </c>
      <c r="K4720">
        <v>46700.15</v>
      </c>
      <c r="L4720" t="str">
        <f t="shared" si="292"/>
        <v>Apr</v>
      </c>
      <c r="M4720">
        <f t="shared" si="293"/>
        <v>2025</v>
      </c>
      <c r="N4720">
        <f t="shared" si="294"/>
        <v>46700.15</v>
      </c>
      <c r="O4720" t="str">
        <f t="shared" si="295"/>
        <v>On Time</v>
      </c>
    </row>
    <row r="4721" spans="1:15" x14ac:dyDescent="0.25">
      <c r="A4721">
        <v>4720</v>
      </c>
      <c r="B4721" s="2">
        <v>45804</v>
      </c>
      <c r="C4721" t="s">
        <v>26</v>
      </c>
      <c r="D4721" t="s">
        <v>27</v>
      </c>
      <c r="E4721" t="s">
        <v>20</v>
      </c>
      <c r="F4721" t="s">
        <v>21</v>
      </c>
      <c r="G4721">
        <v>229</v>
      </c>
      <c r="H4721">
        <v>542.83000000000004</v>
      </c>
      <c r="I4721">
        <v>0</v>
      </c>
      <c r="J4721" t="s">
        <v>15</v>
      </c>
      <c r="K4721">
        <v>124308.07</v>
      </c>
      <c r="L4721" t="str">
        <f t="shared" si="292"/>
        <v>May</v>
      </c>
      <c r="M4721">
        <f t="shared" si="293"/>
        <v>2025</v>
      </c>
      <c r="N4721">
        <f t="shared" si="294"/>
        <v>124308.07</v>
      </c>
      <c r="O4721" t="str">
        <f t="shared" si="295"/>
        <v>On Time</v>
      </c>
    </row>
    <row r="4722" spans="1:15" x14ac:dyDescent="0.25">
      <c r="A4722">
        <v>4721</v>
      </c>
      <c r="B4722" s="2">
        <v>45866</v>
      </c>
      <c r="C4722" t="s">
        <v>11</v>
      </c>
      <c r="D4722" t="s">
        <v>12</v>
      </c>
      <c r="E4722" t="s">
        <v>23</v>
      </c>
      <c r="F4722" t="s">
        <v>14</v>
      </c>
      <c r="G4722">
        <v>226</v>
      </c>
      <c r="H4722">
        <v>619.61</v>
      </c>
      <c r="I4722">
        <v>1</v>
      </c>
      <c r="J4722" t="s">
        <v>30</v>
      </c>
      <c r="K4722">
        <v>140031.85999999999</v>
      </c>
      <c r="L4722" t="str">
        <f t="shared" si="292"/>
        <v>Jul</v>
      </c>
      <c r="M4722">
        <f t="shared" si="293"/>
        <v>2025</v>
      </c>
      <c r="N4722">
        <f t="shared" si="294"/>
        <v>140031.86000000002</v>
      </c>
      <c r="O4722" t="str">
        <f t="shared" si="295"/>
        <v>Minor Delay</v>
      </c>
    </row>
    <row r="4723" spans="1:15" x14ac:dyDescent="0.25">
      <c r="A4723">
        <v>4722</v>
      </c>
      <c r="B4723" s="2">
        <v>45750</v>
      </c>
      <c r="C4723" t="s">
        <v>18</v>
      </c>
      <c r="D4723" t="s">
        <v>20</v>
      </c>
      <c r="E4723" t="s">
        <v>13</v>
      </c>
      <c r="F4723" t="s">
        <v>24</v>
      </c>
      <c r="G4723">
        <v>112</v>
      </c>
      <c r="H4723">
        <v>437.25</v>
      </c>
      <c r="I4723">
        <v>0</v>
      </c>
      <c r="J4723" t="s">
        <v>30</v>
      </c>
      <c r="K4723">
        <v>48972</v>
      </c>
      <c r="L4723" t="str">
        <f t="shared" si="292"/>
        <v>Apr</v>
      </c>
      <c r="M4723">
        <f t="shared" si="293"/>
        <v>2025</v>
      </c>
      <c r="N4723">
        <f t="shared" si="294"/>
        <v>48972</v>
      </c>
      <c r="O4723" t="str">
        <f t="shared" si="295"/>
        <v>On Time</v>
      </c>
    </row>
    <row r="4724" spans="1:15" x14ac:dyDescent="0.25">
      <c r="A4724">
        <v>4723</v>
      </c>
      <c r="B4724" s="2">
        <v>45836</v>
      </c>
      <c r="C4724" t="s">
        <v>26</v>
      </c>
      <c r="D4724" t="s">
        <v>20</v>
      </c>
      <c r="E4724" t="s">
        <v>12</v>
      </c>
      <c r="F4724" t="s">
        <v>21</v>
      </c>
      <c r="G4724">
        <v>70</v>
      </c>
      <c r="H4724">
        <v>467.69</v>
      </c>
      <c r="I4724">
        <v>33</v>
      </c>
      <c r="J4724" t="s">
        <v>30</v>
      </c>
      <c r="K4724">
        <v>32738.3</v>
      </c>
      <c r="L4724" t="str">
        <f t="shared" si="292"/>
        <v>Jun</v>
      </c>
      <c r="M4724">
        <f t="shared" si="293"/>
        <v>2025</v>
      </c>
      <c r="N4724">
        <f t="shared" si="294"/>
        <v>32738.3</v>
      </c>
      <c r="O4724" t="str">
        <f t="shared" si="295"/>
        <v>Moderate Delay</v>
      </c>
    </row>
    <row r="4725" spans="1:15" x14ac:dyDescent="0.25">
      <c r="A4725">
        <v>4724</v>
      </c>
      <c r="B4725" s="2">
        <v>45918</v>
      </c>
      <c r="C4725" t="s">
        <v>18</v>
      </c>
      <c r="D4725" t="s">
        <v>12</v>
      </c>
      <c r="E4725" t="s">
        <v>27</v>
      </c>
      <c r="F4725" t="s">
        <v>14</v>
      </c>
      <c r="G4725">
        <v>137</v>
      </c>
      <c r="H4725">
        <v>383.91</v>
      </c>
      <c r="I4725">
        <v>31</v>
      </c>
      <c r="J4725" t="s">
        <v>15</v>
      </c>
      <c r="K4725">
        <v>52595.67</v>
      </c>
      <c r="L4725" t="str">
        <f t="shared" si="292"/>
        <v>Sep</v>
      </c>
      <c r="M4725">
        <f t="shared" si="293"/>
        <v>2025</v>
      </c>
      <c r="N4725">
        <f t="shared" si="294"/>
        <v>52595.670000000006</v>
      </c>
      <c r="O4725" t="str">
        <f t="shared" si="295"/>
        <v>Moderate Delay</v>
      </c>
    </row>
    <row r="4726" spans="1:15" x14ac:dyDescent="0.25">
      <c r="A4726">
        <v>4725</v>
      </c>
      <c r="B4726" s="2">
        <v>45694</v>
      </c>
      <c r="C4726" t="s">
        <v>31</v>
      </c>
      <c r="D4726" t="s">
        <v>20</v>
      </c>
      <c r="E4726" t="s">
        <v>27</v>
      </c>
      <c r="F4726" t="s">
        <v>14</v>
      </c>
      <c r="G4726">
        <v>230</v>
      </c>
      <c r="H4726">
        <v>638.85</v>
      </c>
      <c r="I4726">
        <v>32</v>
      </c>
      <c r="J4726" t="s">
        <v>15</v>
      </c>
      <c r="K4726">
        <v>146935.5</v>
      </c>
      <c r="L4726" t="str">
        <f t="shared" si="292"/>
        <v>Feb</v>
      </c>
      <c r="M4726">
        <f t="shared" si="293"/>
        <v>2025</v>
      </c>
      <c r="N4726">
        <f t="shared" si="294"/>
        <v>146935.5</v>
      </c>
      <c r="O4726" t="str">
        <f t="shared" si="295"/>
        <v>Moderate Delay</v>
      </c>
    </row>
    <row r="4727" spans="1:15" x14ac:dyDescent="0.25">
      <c r="A4727">
        <v>4726</v>
      </c>
      <c r="B4727" s="2">
        <v>45688</v>
      </c>
      <c r="C4727" t="s">
        <v>11</v>
      </c>
      <c r="D4727" t="s">
        <v>13</v>
      </c>
      <c r="E4727" t="s">
        <v>23</v>
      </c>
      <c r="F4727" t="s">
        <v>21</v>
      </c>
      <c r="G4727">
        <v>298</v>
      </c>
      <c r="H4727">
        <v>787.1</v>
      </c>
      <c r="I4727">
        <v>0</v>
      </c>
      <c r="J4727" t="s">
        <v>15</v>
      </c>
      <c r="K4727">
        <v>234555.8</v>
      </c>
      <c r="L4727" t="str">
        <f t="shared" si="292"/>
        <v>Jan</v>
      </c>
      <c r="M4727">
        <f t="shared" si="293"/>
        <v>2025</v>
      </c>
      <c r="N4727">
        <f t="shared" si="294"/>
        <v>234555.80000000002</v>
      </c>
      <c r="O4727" t="str">
        <f t="shared" si="295"/>
        <v>On Time</v>
      </c>
    </row>
    <row r="4728" spans="1:15" x14ac:dyDescent="0.25">
      <c r="A4728">
        <v>4727</v>
      </c>
      <c r="B4728" s="2">
        <v>45675</v>
      </c>
      <c r="C4728" t="s">
        <v>26</v>
      </c>
      <c r="D4728" t="s">
        <v>20</v>
      </c>
      <c r="E4728" t="s">
        <v>23</v>
      </c>
      <c r="F4728" t="s">
        <v>21</v>
      </c>
      <c r="G4728">
        <v>209</v>
      </c>
      <c r="H4728">
        <v>616.78</v>
      </c>
      <c r="I4728">
        <v>34</v>
      </c>
      <c r="J4728" t="s">
        <v>15</v>
      </c>
      <c r="K4728">
        <v>128907.02</v>
      </c>
      <c r="L4728" t="str">
        <f t="shared" si="292"/>
        <v>Jan</v>
      </c>
      <c r="M4728">
        <f t="shared" si="293"/>
        <v>2025</v>
      </c>
      <c r="N4728">
        <f t="shared" si="294"/>
        <v>128907.01999999999</v>
      </c>
      <c r="O4728" t="str">
        <f t="shared" si="295"/>
        <v>Moderate Delay</v>
      </c>
    </row>
    <row r="4729" spans="1:15" x14ac:dyDescent="0.25">
      <c r="A4729">
        <v>4728</v>
      </c>
      <c r="B4729" s="2">
        <v>45851</v>
      </c>
      <c r="C4729" t="s">
        <v>18</v>
      </c>
      <c r="D4729" t="s">
        <v>17</v>
      </c>
      <c r="E4729" t="s">
        <v>13</v>
      </c>
      <c r="F4729" t="s">
        <v>24</v>
      </c>
      <c r="G4729">
        <v>185</v>
      </c>
      <c r="H4729">
        <v>416.81</v>
      </c>
      <c r="I4729">
        <v>54</v>
      </c>
      <c r="J4729" t="s">
        <v>15</v>
      </c>
      <c r="K4729">
        <v>77109.850000000006</v>
      </c>
      <c r="L4729" t="str">
        <f t="shared" si="292"/>
        <v>Jul</v>
      </c>
      <c r="M4729">
        <f t="shared" si="293"/>
        <v>2025</v>
      </c>
      <c r="N4729">
        <f t="shared" si="294"/>
        <v>77109.850000000006</v>
      </c>
      <c r="O4729" t="str">
        <f t="shared" si="295"/>
        <v>Moderate Delay</v>
      </c>
    </row>
    <row r="4730" spans="1:15" x14ac:dyDescent="0.25">
      <c r="A4730">
        <v>4729</v>
      </c>
      <c r="B4730" s="2">
        <v>45963</v>
      </c>
      <c r="C4730" t="s">
        <v>18</v>
      </c>
      <c r="D4730" t="s">
        <v>29</v>
      </c>
      <c r="E4730" t="s">
        <v>22</v>
      </c>
      <c r="F4730" t="s">
        <v>21</v>
      </c>
      <c r="G4730">
        <v>287</v>
      </c>
      <c r="H4730">
        <v>189.48</v>
      </c>
      <c r="I4730">
        <v>1</v>
      </c>
      <c r="J4730" t="s">
        <v>15</v>
      </c>
      <c r="K4730">
        <v>54380.76</v>
      </c>
      <c r="L4730" t="str">
        <f t="shared" si="292"/>
        <v>Nov</v>
      </c>
      <c r="M4730">
        <f t="shared" si="293"/>
        <v>2025</v>
      </c>
      <c r="N4730">
        <f t="shared" si="294"/>
        <v>54380.759999999995</v>
      </c>
      <c r="O4730" t="str">
        <f t="shared" si="295"/>
        <v>Minor Delay</v>
      </c>
    </row>
    <row r="4731" spans="1:15" x14ac:dyDescent="0.25">
      <c r="A4731">
        <v>4730</v>
      </c>
      <c r="B4731" s="2">
        <v>45802</v>
      </c>
      <c r="C4731" t="s">
        <v>31</v>
      </c>
      <c r="D4731" t="s">
        <v>19</v>
      </c>
      <c r="E4731" t="s">
        <v>20</v>
      </c>
      <c r="F4731" t="s">
        <v>24</v>
      </c>
      <c r="G4731">
        <v>172</v>
      </c>
      <c r="H4731">
        <v>761.54</v>
      </c>
      <c r="I4731">
        <v>57</v>
      </c>
      <c r="J4731" t="s">
        <v>15</v>
      </c>
      <c r="K4731">
        <v>130984.88</v>
      </c>
      <c r="L4731" t="str">
        <f t="shared" si="292"/>
        <v>May</v>
      </c>
      <c r="M4731">
        <f t="shared" si="293"/>
        <v>2025</v>
      </c>
      <c r="N4731">
        <f t="shared" si="294"/>
        <v>130984.87999999999</v>
      </c>
      <c r="O4731" t="str">
        <f t="shared" si="295"/>
        <v>Moderate Delay</v>
      </c>
    </row>
    <row r="4732" spans="1:15" x14ac:dyDescent="0.25">
      <c r="A4732">
        <v>4731</v>
      </c>
      <c r="B4732" s="2">
        <v>45819</v>
      </c>
      <c r="C4732" t="s">
        <v>11</v>
      </c>
      <c r="D4732" t="s">
        <v>12</v>
      </c>
      <c r="E4732" t="s">
        <v>22</v>
      </c>
      <c r="F4732" t="s">
        <v>24</v>
      </c>
      <c r="G4732">
        <v>141</v>
      </c>
      <c r="H4732">
        <v>626.48</v>
      </c>
      <c r="I4732">
        <v>0</v>
      </c>
      <c r="J4732" t="s">
        <v>30</v>
      </c>
      <c r="K4732">
        <v>88333.68</v>
      </c>
      <c r="L4732" t="str">
        <f t="shared" si="292"/>
        <v>Jun</v>
      </c>
      <c r="M4732">
        <f t="shared" si="293"/>
        <v>2025</v>
      </c>
      <c r="N4732">
        <f t="shared" si="294"/>
        <v>88333.680000000008</v>
      </c>
      <c r="O4732" t="str">
        <f t="shared" si="295"/>
        <v>On Time</v>
      </c>
    </row>
    <row r="4733" spans="1:15" x14ac:dyDescent="0.25">
      <c r="A4733">
        <v>4732</v>
      </c>
      <c r="B4733" s="2">
        <v>45823</v>
      </c>
      <c r="C4733" t="s">
        <v>11</v>
      </c>
      <c r="D4733" t="s">
        <v>23</v>
      </c>
      <c r="E4733" t="s">
        <v>29</v>
      </c>
      <c r="F4733" t="s">
        <v>21</v>
      </c>
      <c r="G4733">
        <v>157</v>
      </c>
      <c r="H4733">
        <v>544.47</v>
      </c>
      <c r="I4733">
        <v>51</v>
      </c>
      <c r="J4733" t="s">
        <v>30</v>
      </c>
      <c r="K4733">
        <v>85481.79</v>
      </c>
      <c r="L4733" t="str">
        <f t="shared" si="292"/>
        <v>Jun</v>
      </c>
      <c r="M4733">
        <f t="shared" si="293"/>
        <v>2025</v>
      </c>
      <c r="N4733">
        <f t="shared" si="294"/>
        <v>85481.790000000008</v>
      </c>
      <c r="O4733" t="str">
        <f t="shared" si="295"/>
        <v>Moderate Delay</v>
      </c>
    </row>
    <row r="4734" spans="1:15" x14ac:dyDescent="0.25">
      <c r="A4734">
        <v>4733</v>
      </c>
      <c r="B4734" s="2">
        <v>45924</v>
      </c>
      <c r="C4734" t="s">
        <v>26</v>
      </c>
      <c r="D4734" t="s">
        <v>13</v>
      </c>
      <c r="E4734" t="s">
        <v>29</v>
      </c>
      <c r="F4734" t="s">
        <v>14</v>
      </c>
      <c r="G4734">
        <v>245</v>
      </c>
      <c r="H4734">
        <v>744.86</v>
      </c>
      <c r="I4734">
        <v>29</v>
      </c>
      <c r="J4734" t="s">
        <v>15</v>
      </c>
      <c r="K4734">
        <v>182490.7</v>
      </c>
      <c r="L4734" t="str">
        <f t="shared" si="292"/>
        <v>Sep</v>
      </c>
      <c r="M4734">
        <f t="shared" si="293"/>
        <v>2025</v>
      </c>
      <c r="N4734">
        <f t="shared" si="294"/>
        <v>182490.7</v>
      </c>
      <c r="O4734" t="str">
        <f t="shared" si="295"/>
        <v>Minor Delay</v>
      </c>
    </row>
    <row r="4735" spans="1:15" x14ac:dyDescent="0.25">
      <c r="A4735">
        <v>4734</v>
      </c>
      <c r="B4735" s="2">
        <v>45936</v>
      </c>
      <c r="C4735" t="s">
        <v>26</v>
      </c>
      <c r="D4735" t="s">
        <v>19</v>
      </c>
      <c r="E4735" t="s">
        <v>23</v>
      </c>
      <c r="F4735" t="s">
        <v>14</v>
      </c>
      <c r="G4735">
        <v>131</v>
      </c>
      <c r="H4735">
        <v>400.36</v>
      </c>
      <c r="I4735">
        <v>0</v>
      </c>
      <c r="J4735" t="s">
        <v>15</v>
      </c>
      <c r="K4735">
        <v>52447.16</v>
      </c>
      <c r="L4735" t="str">
        <f t="shared" si="292"/>
        <v>Oct</v>
      </c>
      <c r="M4735">
        <f t="shared" si="293"/>
        <v>2025</v>
      </c>
      <c r="N4735">
        <f t="shared" si="294"/>
        <v>52447.16</v>
      </c>
      <c r="O4735" t="str">
        <f t="shared" si="295"/>
        <v>On Time</v>
      </c>
    </row>
    <row r="4736" spans="1:15" x14ac:dyDescent="0.25">
      <c r="A4736">
        <v>4735</v>
      </c>
      <c r="B4736" s="2">
        <v>45676</v>
      </c>
      <c r="C4736" t="s">
        <v>25</v>
      </c>
      <c r="D4736" t="s">
        <v>17</v>
      </c>
      <c r="E4736" t="s">
        <v>27</v>
      </c>
      <c r="F4736" t="s">
        <v>24</v>
      </c>
      <c r="G4736">
        <v>65</v>
      </c>
      <c r="H4736">
        <v>549.15</v>
      </c>
      <c r="I4736">
        <v>20</v>
      </c>
      <c r="J4736" t="s">
        <v>15</v>
      </c>
      <c r="K4736">
        <v>35694.75</v>
      </c>
      <c r="L4736" t="str">
        <f t="shared" si="292"/>
        <v>Jan</v>
      </c>
      <c r="M4736">
        <f t="shared" si="293"/>
        <v>2025</v>
      </c>
      <c r="N4736">
        <f t="shared" si="294"/>
        <v>35694.75</v>
      </c>
      <c r="O4736" t="str">
        <f t="shared" si="295"/>
        <v>Minor Delay</v>
      </c>
    </row>
    <row r="4737" spans="1:15" x14ac:dyDescent="0.25">
      <c r="A4737">
        <v>4736</v>
      </c>
      <c r="B4737" s="2">
        <v>45916</v>
      </c>
      <c r="C4737" t="s">
        <v>25</v>
      </c>
      <c r="D4737" t="s">
        <v>27</v>
      </c>
      <c r="E4737" t="s">
        <v>19</v>
      </c>
      <c r="F4737" t="s">
        <v>14</v>
      </c>
      <c r="G4737">
        <v>67</v>
      </c>
      <c r="H4737">
        <v>696.02</v>
      </c>
      <c r="I4737">
        <v>0</v>
      </c>
      <c r="J4737" t="s">
        <v>15</v>
      </c>
      <c r="K4737">
        <v>46633.34</v>
      </c>
      <c r="L4737" t="str">
        <f t="shared" si="292"/>
        <v>Sep</v>
      </c>
      <c r="M4737">
        <f t="shared" si="293"/>
        <v>2025</v>
      </c>
      <c r="N4737">
        <f t="shared" si="294"/>
        <v>46633.34</v>
      </c>
      <c r="O4737" t="str">
        <f t="shared" si="295"/>
        <v>On Time</v>
      </c>
    </row>
    <row r="4738" spans="1:15" x14ac:dyDescent="0.25">
      <c r="A4738">
        <v>4737</v>
      </c>
      <c r="B4738" s="2">
        <v>46017</v>
      </c>
      <c r="C4738" t="s">
        <v>16</v>
      </c>
      <c r="D4738" t="s">
        <v>17</v>
      </c>
      <c r="E4738" t="s">
        <v>22</v>
      </c>
      <c r="F4738" t="s">
        <v>14</v>
      </c>
      <c r="G4738">
        <v>244</v>
      </c>
      <c r="H4738">
        <v>418.8</v>
      </c>
      <c r="I4738">
        <v>0</v>
      </c>
      <c r="J4738" t="s">
        <v>15</v>
      </c>
      <c r="K4738">
        <v>102187.2</v>
      </c>
      <c r="L4738" t="str">
        <f t="shared" si="292"/>
        <v>Dec</v>
      </c>
      <c r="M4738">
        <f t="shared" si="293"/>
        <v>2025</v>
      </c>
      <c r="N4738">
        <f t="shared" si="294"/>
        <v>102187.2</v>
      </c>
      <c r="O4738" t="str">
        <f t="shared" si="295"/>
        <v>On Time</v>
      </c>
    </row>
    <row r="4739" spans="1:15" x14ac:dyDescent="0.25">
      <c r="A4739">
        <v>4738</v>
      </c>
      <c r="B4739" s="2">
        <v>45850</v>
      </c>
      <c r="C4739" t="s">
        <v>11</v>
      </c>
      <c r="D4739" t="s">
        <v>23</v>
      </c>
      <c r="E4739" t="s">
        <v>17</v>
      </c>
      <c r="F4739" t="s">
        <v>21</v>
      </c>
      <c r="G4739">
        <v>111</v>
      </c>
      <c r="H4739">
        <v>692.04</v>
      </c>
      <c r="I4739">
        <v>18</v>
      </c>
      <c r="J4739" t="s">
        <v>15</v>
      </c>
      <c r="K4739">
        <v>76816.44</v>
      </c>
      <c r="L4739" t="str">
        <f t="shared" ref="L4739:L4802" si="296">TEXT(B4739,"MMM")</f>
        <v>Jul</v>
      </c>
      <c r="M4739">
        <f t="shared" ref="M4739:M4802" si="297">YEAR(B4739)</f>
        <v>2025</v>
      </c>
      <c r="N4739">
        <f t="shared" ref="N4739:N4802" si="298">G4739*H4739</f>
        <v>76816.44</v>
      </c>
      <c r="O4739" t="str">
        <f t="shared" ref="O4739:O4802" si="299">IF(I4739=0,"On Time",IF(I4739&lt;=30,"Minor Delay",IF(I4739&lt;=60,"Moderate Delay","Major Delay")))</f>
        <v>Minor Delay</v>
      </c>
    </row>
    <row r="4740" spans="1:15" x14ac:dyDescent="0.25">
      <c r="A4740">
        <v>4739</v>
      </c>
      <c r="B4740" s="2">
        <v>45811</v>
      </c>
      <c r="C4740" t="s">
        <v>31</v>
      </c>
      <c r="D4740" t="s">
        <v>29</v>
      </c>
      <c r="E4740" t="s">
        <v>23</v>
      </c>
      <c r="F4740" t="s">
        <v>24</v>
      </c>
      <c r="G4740">
        <v>85</v>
      </c>
      <c r="H4740">
        <v>266.38</v>
      </c>
      <c r="I4740">
        <v>16</v>
      </c>
      <c r="J4740" t="s">
        <v>15</v>
      </c>
      <c r="K4740">
        <v>22642.3</v>
      </c>
      <c r="L4740" t="str">
        <f t="shared" si="296"/>
        <v>Jun</v>
      </c>
      <c r="M4740">
        <f t="shared" si="297"/>
        <v>2025</v>
      </c>
      <c r="N4740">
        <f t="shared" si="298"/>
        <v>22642.3</v>
      </c>
      <c r="O4740" t="str">
        <f t="shared" si="299"/>
        <v>Minor Delay</v>
      </c>
    </row>
    <row r="4741" spans="1:15" x14ac:dyDescent="0.25">
      <c r="A4741">
        <v>4740</v>
      </c>
      <c r="B4741" s="2">
        <v>45929</v>
      </c>
      <c r="C4741" t="s">
        <v>25</v>
      </c>
      <c r="D4741" t="s">
        <v>22</v>
      </c>
      <c r="E4741" t="s">
        <v>27</v>
      </c>
      <c r="F4741" t="s">
        <v>14</v>
      </c>
      <c r="G4741">
        <v>153</v>
      </c>
      <c r="H4741">
        <v>202.36</v>
      </c>
      <c r="I4741">
        <v>27</v>
      </c>
      <c r="J4741" t="s">
        <v>15</v>
      </c>
      <c r="K4741">
        <v>30961.08</v>
      </c>
      <c r="L4741" t="str">
        <f t="shared" si="296"/>
        <v>Sep</v>
      </c>
      <c r="M4741">
        <f t="shared" si="297"/>
        <v>2025</v>
      </c>
      <c r="N4741">
        <f t="shared" si="298"/>
        <v>30961.08</v>
      </c>
      <c r="O4741" t="str">
        <f t="shared" si="299"/>
        <v>Minor Delay</v>
      </c>
    </row>
    <row r="4742" spans="1:15" x14ac:dyDescent="0.25">
      <c r="A4742">
        <v>4741</v>
      </c>
      <c r="B4742" s="2">
        <v>45795</v>
      </c>
      <c r="C4742" t="s">
        <v>25</v>
      </c>
      <c r="D4742" t="s">
        <v>19</v>
      </c>
      <c r="E4742" t="s">
        <v>29</v>
      </c>
      <c r="F4742" t="s">
        <v>21</v>
      </c>
      <c r="G4742">
        <v>273</v>
      </c>
      <c r="H4742">
        <v>731.92</v>
      </c>
      <c r="I4742">
        <v>0</v>
      </c>
      <c r="J4742" t="s">
        <v>15</v>
      </c>
      <c r="K4742">
        <v>199814.16</v>
      </c>
      <c r="L4742" t="str">
        <f t="shared" si="296"/>
        <v>May</v>
      </c>
      <c r="M4742">
        <f t="shared" si="297"/>
        <v>2025</v>
      </c>
      <c r="N4742">
        <f t="shared" si="298"/>
        <v>199814.15999999997</v>
      </c>
      <c r="O4742" t="str">
        <f t="shared" si="299"/>
        <v>On Time</v>
      </c>
    </row>
    <row r="4743" spans="1:15" x14ac:dyDescent="0.25">
      <c r="A4743">
        <v>4742</v>
      </c>
      <c r="B4743" s="2">
        <v>46010</v>
      </c>
      <c r="C4743" t="s">
        <v>31</v>
      </c>
      <c r="D4743" t="s">
        <v>17</v>
      </c>
      <c r="E4743" t="s">
        <v>29</v>
      </c>
      <c r="F4743" t="s">
        <v>21</v>
      </c>
      <c r="G4743">
        <v>146</v>
      </c>
      <c r="H4743">
        <v>489.2</v>
      </c>
      <c r="I4743">
        <v>25</v>
      </c>
      <c r="J4743" t="s">
        <v>15</v>
      </c>
      <c r="K4743">
        <v>71423.199999999997</v>
      </c>
      <c r="L4743" t="str">
        <f t="shared" si="296"/>
        <v>Dec</v>
      </c>
      <c r="M4743">
        <f t="shared" si="297"/>
        <v>2025</v>
      </c>
      <c r="N4743">
        <f t="shared" si="298"/>
        <v>71423.199999999997</v>
      </c>
      <c r="O4743" t="str">
        <f t="shared" si="299"/>
        <v>Minor Delay</v>
      </c>
    </row>
    <row r="4744" spans="1:15" x14ac:dyDescent="0.25">
      <c r="A4744">
        <v>4743</v>
      </c>
      <c r="B4744" s="2">
        <v>45871</v>
      </c>
      <c r="C4744" t="s">
        <v>25</v>
      </c>
      <c r="D4744" t="s">
        <v>23</v>
      </c>
      <c r="E4744" t="s">
        <v>27</v>
      </c>
      <c r="F4744" t="s">
        <v>14</v>
      </c>
      <c r="G4744">
        <v>293</v>
      </c>
      <c r="H4744">
        <v>720.28</v>
      </c>
      <c r="I4744">
        <v>26</v>
      </c>
      <c r="J4744" t="s">
        <v>15</v>
      </c>
      <c r="K4744">
        <v>211042.04</v>
      </c>
      <c r="L4744" t="str">
        <f t="shared" si="296"/>
        <v>Aug</v>
      </c>
      <c r="M4744">
        <f t="shared" si="297"/>
        <v>2025</v>
      </c>
      <c r="N4744">
        <f t="shared" si="298"/>
        <v>211042.03999999998</v>
      </c>
      <c r="O4744" t="str">
        <f t="shared" si="299"/>
        <v>Minor Delay</v>
      </c>
    </row>
    <row r="4745" spans="1:15" x14ac:dyDescent="0.25">
      <c r="A4745">
        <v>4744</v>
      </c>
      <c r="B4745" s="2">
        <v>45991</v>
      </c>
      <c r="C4745" t="s">
        <v>26</v>
      </c>
      <c r="D4745" t="s">
        <v>27</v>
      </c>
      <c r="E4745" t="s">
        <v>22</v>
      </c>
      <c r="F4745" t="s">
        <v>24</v>
      </c>
      <c r="G4745">
        <v>193</v>
      </c>
      <c r="H4745">
        <v>620.49</v>
      </c>
      <c r="I4745">
        <v>47</v>
      </c>
      <c r="J4745" t="s">
        <v>15</v>
      </c>
      <c r="K4745">
        <v>119754.57</v>
      </c>
      <c r="L4745" t="str">
        <f t="shared" si="296"/>
        <v>Nov</v>
      </c>
      <c r="M4745">
        <f t="shared" si="297"/>
        <v>2025</v>
      </c>
      <c r="N4745">
        <f t="shared" si="298"/>
        <v>119754.57</v>
      </c>
      <c r="O4745" t="str">
        <f t="shared" si="299"/>
        <v>Moderate Delay</v>
      </c>
    </row>
    <row r="4746" spans="1:15" x14ac:dyDescent="0.25">
      <c r="A4746">
        <v>4745</v>
      </c>
      <c r="B4746" s="2">
        <v>45927</v>
      </c>
      <c r="C4746" t="s">
        <v>16</v>
      </c>
      <c r="D4746" t="s">
        <v>29</v>
      </c>
      <c r="E4746" t="s">
        <v>20</v>
      </c>
      <c r="F4746" t="s">
        <v>21</v>
      </c>
      <c r="G4746">
        <v>272</v>
      </c>
      <c r="H4746">
        <v>200.02</v>
      </c>
      <c r="I4746">
        <v>44</v>
      </c>
      <c r="J4746" t="s">
        <v>15</v>
      </c>
      <c r="K4746">
        <v>54405.440000000002</v>
      </c>
      <c r="L4746" t="str">
        <f t="shared" si="296"/>
        <v>Sep</v>
      </c>
      <c r="M4746">
        <f t="shared" si="297"/>
        <v>2025</v>
      </c>
      <c r="N4746">
        <f t="shared" si="298"/>
        <v>54405.440000000002</v>
      </c>
      <c r="O4746" t="str">
        <f t="shared" si="299"/>
        <v>Moderate Delay</v>
      </c>
    </row>
    <row r="4747" spans="1:15" x14ac:dyDescent="0.25">
      <c r="A4747">
        <v>4746</v>
      </c>
      <c r="B4747" s="2">
        <v>46022</v>
      </c>
      <c r="C4747" t="s">
        <v>11</v>
      </c>
      <c r="D4747" t="s">
        <v>23</v>
      </c>
      <c r="E4747" t="s">
        <v>12</v>
      </c>
      <c r="F4747" t="s">
        <v>21</v>
      </c>
      <c r="G4747">
        <v>107</v>
      </c>
      <c r="H4747">
        <v>163.22999999999999</v>
      </c>
      <c r="I4747">
        <v>43</v>
      </c>
      <c r="J4747" t="s">
        <v>15</v>
      </c>
      <c r="K4747">
        <v>17465.61</v>
      </c>
      <c r="L4747" t="str">
        <f t="shared" si="296"/>
        <v>Dec</v>
      </c>
      <c r="M4747">
        <f t="shared" si="297"/>
        <v>2025</v>
      </c>
      <c r="N4747">
        <f t="shared" si="298"/>
        <v>17465.61</v>
      </c>
      <c r="O4747" t="str">
        <f t="shared" si="299"/>
        <v>Moderate Delay</v>
      </c>
    </row>
    <row r="4748" spans="1:15" x14ac:dyDescent="0.25">
      <c r="A4748">
        <v>4747</v>
      </c>
      <c r="B4748" s="2">
        <v>45752</v>
      </c>
      <c r="C4748" t="s">
        <v>26</v>
      </c>
      <c r="D4748" t="s">
        <v>13</v>
      </c>
      <c r="E4748" t="s">
        <v>20</v>
      </c>
      <c r="F4748" t="s">
        <v>14</v>
      </c>
      <c r="G4748">
        <v>225</v>
      </c>
      <c r="H4748">
        <v>489.03</v>
      </c>
      <c r="I4748">
        <v>27</v>
      </c>
      <c r="J4748" t="s">
        <v>15</v>
      </c>
      <c r="K4748">
        <v>110031.75</v>
      </c>
      <c r="L4748" t="str">
        <f t="shared" si="296"/>
        <v>Apr</v>
      </c>
      <c r="M4748">
        <f t="shared" si="297"/>
        <v>2025</v>
      </c>
      <c r="N4748">
        <f t="shared" si="298"/>
        <v>110031.75</v>
      </c>
      <c r="O4748" t="str">
        <f t="shared" si="299"/>
        <v>Minor Delay</v>
      </c>
    </row>
    <row r="4749" spans="1:15" x14ac:dyDescent="0.25">
      <c r="A4749">
        <v>4748</v>
      </c>
      <c r="B4749" s="2">
        <v>45846</v>
      </c>
      <c r="C4749" t="s">
        <v>26</v>
      </c>
      <c r="D4749" t="s">
        <v>23</v>
      </c>
      <c r="E4749" t="s">
        <v>17</v>
      </c>
      <c r="F4749" t="s">
        <v>14</v>
      </c>
      <c r="G4749">
        <v>265</v>
      </c>
      <c r="H4749">
        <v>458.98</v>
      </c>
      <c r="I4749">
        <v>11</v>
      </c>
      <c r="J4749" t="s">
        <v>15</v>
      </c>
      <c r="K4749">
        <v>121629.7</v>
      </c>
      <c r="L4749" t="str">
        <f t="shared" si="296"/>
        <v>Jul</v>
      </c>
      <c r="M4749">
        <f t="shared" si="297"/>
        <v>2025</v>
      </c>
      <c r="N4749">
        <f t="shared" si="298"/>
        <v>121629.70000000001</v>
      </c>
      <c r="O4749" t="str">
        <f t="shared" si="299"/>
        <v>Minor Delay</v>
      </c>
    </row>
    <row r="4750" spans="1:15" x14ac:dyDescent="0.25">
      <c r="A4750">
        <v>4749</v>
      </c>
      <c r="B4750" s="2">
        <v>45701</v>
      </c>
      <c r="C4750" t="s">
        <v>26</v>
      </c>
      <c r="D4750" t="s">
        <v>27</v>
      </c>
      <c r="E4750" t="s">
        <v>19</v>
      </c>
      <c r="F4750" t="s">
        <v>14</v>
      </c>
      <c r="G4750">
        <v>63</v>
      </c>
      <c r="H4750">
        <v>719</v>
      </c>
      <c r="I4750">
        <v>9</v>
      </c>
      <c r="J4750" t="s">
        <v>15</v>
      </c>
      <c r="K4750">
        <v>45297</v>
      </c>
      <c r="L4750" t="str">
        <f t="shared" si="296"/>
        <v>Feb</v>
      </c>
      <c r="M4750">
        <f t="shared" si="297"/>
        <v>2025</v>
      </c>
      <c r="N4750">
        <f t="shared" si="298"/>
        <v>45297</v>
      </c>
      <c r="O4750" t="str">
        <f t="shared" si="299"/>
        <v>Minor Delay</v>
      </c>
    </row>
    <row r="4751" spans="1:15" x14ac:dyDescent="0.25">
      <c r="A4751">
        <v>4750</v>
      </c>
      <c r="B4751" s="2">
        <v>45878</v>
      </c>
      <c r="C4751" t="s">
        <v>18</v>
      </c>
      <c r="D4751" t="s">
        <v>29</v>
      </c>
      <c r="E4751" t="s">
        <v>19</v>
      </c>
      <c r="F4751" t="s">
        <v>14</v>
      </c>
      <c r="G4751">
        <v>133</v>
      </c>
      <c r="H4751">
        <v>554.13</v>
      </c>
      <c r="I4751">
        <v>34</v>
      </c>
      <c r="J4751" t="s">
        <v>30</v>
      </c>
      <c r="K4751">
        <v>73699.289999999994</v>
      </c>
      <c r="L4751" t="str">
        <f t="shared" si="296"/>
        <v>Aug</v>
      </c>
      <c r="M4751">
        <f t="shared" si="297"/>
        <v>2025</v>
      </c>
      <c r="N4751">
        <f t="shared" si="298"/>
        <v>73699.289999999994</v>
      </c>
      <c r="O4751" t="str">
        <f t="shared" si="299"/>
        <v>Moderate Delay</v>
      </c>
    </row>
    <row r="4752" spans="1:15" x14ac:dyDescent="0.25">
      <c r="A4752">
        <v>4751</v>
      </c>
      <c r="B4752" s="2">
        <v>45886</v>
      </c>
      <c r="C4752" t="s">
        <v>31</v>
      </c>
      <c r="D4752" t="s">
        <v>13</v>
      </c>
      <c r="E4752" t="s">
        <v>22</v>
      </c>
      <c r="F4752" t="s">
        <v>21</v>
      </c>
      <c r="G4752">
        <v>293</v>
      </c>
      <c r="H4752">
        <v>341.42</v>
      </c>
      <c r="I4752">
        <v>0</v>
      </c>
      <c r="J4752" t="s">
        <v>15</v>
      </c>
      <c r="K4752">
        <v>100036.06</v>
      </c>
      <c r="L4752" t="str">
        <f t="shared" si="296"/>
        <v>Aug</v>
      </c>
      <c r="M4752">
        <f t="shared" si="297"/>
        <v>2025</v>
      </c>
      <c r="N4752">
        <f t="shared" si="298"/>
        <v>100036.06</v>
      </c>
      <c r="O4752" t="str">
        <f t="shared" si="299"/>
        <v>On Time</v>
      </c>
    </row>
    <row r="4753" spans="1:15" x14ac:dyDescent="0.25">
      <c r="A4753">
        <v>4752</v>
      </c>
      <c r="B4753" s="2">
        <v>45705</v>
      </c>
      <c r="C4753" t="s">
        <v>11</v>
      </c>
      <c r="D4753" t="s">
        <v>17</v>
      </c>
      <c r="E4753" t="s">
        <v>29</v>
      </c>
      <c r="F4753" t="s">
        <v>14</v>
      </c>
      <c r="G4753">
        <v>249</v>
      </c>
      <c r="H4753">
        <v>606.97</v>
      </c>
      <c r="I4753">
        <v>29</v>
      </c>
      <c r="J4753" t="s">
        <v>15</v>
      </c>
      <c r="K4753">
        <v>151135.53</v>
      </c>
      <c r="L4753" t="str">
        <f t="shared" si="296"/>
        <v>Feb</v>
      </c>
      <c r="M4753">
        <f t="shared" si="297"/>
        <v>2025</v>
      </c>
      <c r="N4753">
        <f t="shared" si="298"/>
        <v>151135.53</v>
      </c>
      <c r="O4753" t="str">
        <f t="shared" si="299"/>
        <v>Minor Delay</v>
      </c>
    </row>
    <row r="4754" spans="1:15" x14ac:dyDescent="0.25">
      <c r="A4754">
        <v>4753</v>
      </c>
      <c r="B4754" s="2">
        <v>45746</v>
      </c>
      <c r="C4754" t="s">
        <v>31</v>
      </c>
      <c r="D4754" t="s">
        <v>27</v>
      </c>
      <c r="E4754" t="s">
        <v>17</v>
      </c>
      <c r="F4754" t="s">
        <v>24</v>
      </c>
      <c r="G4754">
        <v>282</v>
      </c>
      <c r="H4754">
        <v>456.82</v>
      </c>
      <c r="I4754">
        <v>0</v>
      </c>
      <c r="J4754" t="s">
        <v>15</v>
      </c>
      <c r="K4754">
        <v>128823.24</v>
      </c>
      <c r="L4754" t="str">
        <f t="shared" si="296"/>
        <v>Mar</v>
      </c>
      <c r="M4754">
        <f t="shared" si="297"/>
        <v>2025</v>
      </c>
      <c r="N4754">
        <f t="shared" si="298"/>
        <v>128823.24</v>
      </c>
      <c r="O4754" t="str">
        <f t="shared" si="299"/>
        <v>On Time</v>
      </c>
    </row>
    <row r="4755" spans="1:15" x14ac:dyDescent="0.25">
      <c r="A4755">
        <v>4754</v>
      </c>
      <c r="B4755" s="2">
        <v>45683</v>
      </c>
      <c r="C4755" t="s">
        <v>25</v>
      </c>
      <c r="D4755" t="s">
        <v>20</v>
      </c>
      <c r="E4755" t="s">
        <v>17</v>
      </c>
      <c r="F4755" t="s">
        <v>21</v>
      </c>
      <c r="G4755">
        <v>184</v>
      </c>
      <c r="H4755">
        <v>669.76</v>
      </c>
      <c r="I4755">
        <v>61</v>
      </c>
      <c r="J4755" t="s">
        <v>30</v>
      </c>
      <c r="K4755">
        <v>123235.84</v>
      </c>
      <c r="L4755" t="str">
        <f t="shared" si="296"/>
        <v>Jan</v>
      </c>
      <c r="M4755">
        <f t="shared" si="297"/>
        <v>2025</v>
      </c>
      <c r="N4755">
        <f t="shared" si="298"/>
        <v>123235.84</v>
      </c>
      <c r="O4755" t="str">
        <f t="shared" si="299"/>
        <v>Major Delay</v>
      </c>
    </row>
    <row r="4756" spans="1:15" x14ac:dyDescent="0.25">
      <c r="A4756">
        <v>4755</v>
      </c>
      <c r="B4756" s="2">
        <v>45668</v>
      </c>
      <c r="C4756" t="s">
        <v>31</v>
      </c>
      <c r="D4756" t="s">
        <v>29</v>
      </c>
      <c r="E4756" t="s">
        <v>23</v>
      </c>
      <c r="F4756" t="s">
        <v>14</v>
      </c>
      <c r="G4756">
        <v>267</v>
      </c>
      <c r="H4756">
        <v>327.51</v>
      </c>
      <c r="I4756">
        <v>0</v>
      </c>
      <c r="J4756" t="s">
        <v>15</v>
      </c>
      <c r="K4756">
        <v>87445.17</v>
      </c>
      <c r="L4756" t="str">
        <f t="shared" si="296"/>
        <v>Jan</v>
      </c>
      <c r="M4756">
        <f t="shared" si="297"/>
        <v>2025</v>
      </c>
      <c r="N4756">
        <f t="shared" si="298"/>
        <v>87445.17</v>
      </c>
      <c r="O4756" t="str">
        <f t="shared" si="299"/>
        <v>On Time</v>
      </c>
    </row>
    <row r="4757" spans="1:15" x14ac:dyDescent="0.25">
      <c r="A4757">
        <v>4756</v>
      </c>
      <c r="B4757" s="2">
        <v>45897</v>
      </c>
      <c r="C4757" t="s">
        <v>25</v>
      </c>
      <c r="D4757" t="s">
        <v>23</v>
      </c>
      <c r="E4757" t="s">
        <v>20</v>
      </c>
      <c r="F4757" t="s">
        <v>14</v>
      </c>
      <c r="G4757">
        <v>150</v>
      </c>
      <c r="H4757">
        <v>214.91</v>
      </c>
      <c r="I4757">
        <v>31</v>
      </c>
      <c r="J4757" t="s">
        <v>15</v>
      </c>
      <c r="K4757">
        <v>32236.5</v>
      </c>
      <c r="L4757" t="str">
        <f t="shared" si="296"/>
        <v>Aug</v>
      </c>
      <c r="M4757">
        <f t="shared" si="297"/>
        <v>2025</v>
      </c>
      <c r="N4757">
        <f t="shared" si="298"/>
        <v>32236.5</v>
      </c>
      <c r="O4757" t="str">
        <f t="shared" si="299"/>
        <v>Moderate Delay</v>
      </c>
    </row>
    <row r="4758" spans="1:15" x14ac:dyDescent="0.25">
      <c r="A4758">
        <v>4757</v>
      </c>
      <c r="B4758" s="2">
        <v>45941</v>
      </c>
      <c r="C4758" t="s">
        <v>26</v>
      </c>
      <c r="D4758" t="s">
        <v>19</v>
      </c>
      <c r="E4758" t="s">
        <v>13</v>
      </c>
      <c r="F4758" t="s">
        <v>24</v>
      </c>
      <c r="G4758">
        <v>60</v>
      </c>
      <c r="H4758">
        <v>136.31</v>
      </c>
      <c r="I4758">
        <v>33</v>
      </c>
      <c r="J4758" t="s">
        <v>30</v>
      </c>
      <c r="K4758">
        <v>8178.6</v>
      </c>
      <c r="L4758" t="str">
        <f t="shared" si="296"/>
        <v>Oct</v>
      </c>
      <c r="M4758">
        <f t="shared" si="297"/>
        <v>2025</v>
      </c>
      <c r="N4758">
        <f t="shared" si="298"/>
        <v>8178.6</v>
      </c>
      <c r="O4758" t="str">
        <f t="shared" si="299"/>
        <v>Moderate Delay</v>
      </c>
    </row>
    <row r="4759" spans="1:15" x14ac:dyDescent="0.25">
      <c r="A4759">
        <v>4758</v>
      </c>
      <c r="B4759" s="2">
        <v>45778</v>
      </c>
      <c r="C4759" t="s">
        <v>11</v>
      </c>
      <c r="D4759" t="s">
        <v>27</v>
      </c>
      <c r="E4759" t="s">
        <v>13</v>
      </c>
      <c r="F4759" t="s">
        <v>21</v>
      </c>
      <c r="G4759">
        <v>277</v>
      </c>
      <c r="H4759">
        <v>359.87</v>
      </c>
      <c r="I4759">
        <v>40</v>
      </c>
      <c r="J4759" t="s">
        <v>15</v>
      </c>
      <c r="K4759">
        <v>99683.99</v>
      </c>
      <c r="L4759" t="str">
        <f t="shared" si="296"/>
        <v>May</v>
      </c>
      <c r="M4759">
        <f t="shared" si="297"/>
        <v>2025</v>
      </c>
      <c r="N4759">
        <f t="shared" si="298"/>
        <v>99683.99</v>
      </c>
      <c r="O4759" t="str">
        <f t="shared" si="299"/>
        <v>Moderate Delay</v>
      </c>
    </row>
    <row r="4760" spans="1:15" x14ac:dyDescent="0.25">
      <c r="A4760">
        <v>4759</v>
      </c>
      <c r="B4760" s="2">
        <v>45999</v>
      </c>
      <c r="C4760" t="s">
        <v>18</v>
      </c>
      <c r="D4760" t="s">
        <v>27</v>
      </c>
      <c r="E4760" t="s">
        <v>23</v>
      </c>
      <c r="F4760" t="s">
        <v>24</v>
      </c>
      <c r="G4760">
        <v>196</v>
      </c>
      <c r="H4760">
        <v>119.74</v>
      </c>
      <c r="I4760">
        <v>58</v>
      </c>
      <c r="J4760" t="s">
        <v>15</v>
      </c>
      <c r="K4760">
        <v>23469.040000000001</v>
      </c>
      <c r="L4760" t="str">
        <f t="shared" si="296"/>
        <v>Dec</v>
      </c>
      <c r="M4760">
        <f t="shared" si="297"/>
        <v>2025</v>
      </c>
      <c r="N4760">
        <f t="shared" si="298"/>
        <v>23469.039999999997</v>
      </c>
      <c r="O4760" t="str">
        <f t="shared" si="299"/>
        <v>Moderate Delay</v>
      </c>
    </row>
    <row r="4761" spans="1:15" x14ac:dyDescent="0.25">
      <c r="A4761">
        <v>4760</v>
      </c>
      <c r="B4761" s="2">
        <v>45775</v>
      </c>
      <c r="C4761" t="s">
        <v>16</v>
      </c>
      <c r="D4761" t="s">
        <v>19</v>
      </c>
      <c r="E4761" t="s">
        <v>13</v>
      </c>
      <c r="F4761" t="s">
        <v>14</v>
      </c>
      <c r="G4761">
        <v>232</v>
      </c>
      <c r="H4761">
        <v>763.55</v>
      </c>
      <c r="I4761">
        <v>44</v>
      </c>
      <c r="J4761" t="s">
        <v>15</v>
      </c>
      <c r="K4761">
        <v>177143.6</v>
      </c>
      <c r="L4761" t="str">
        <f t="shared" si="296"/>
        <v>Apr</v>
      </c>
      <c r="M4761">
        <f t="shared" si="297"/>
        <v>2025</v>
      </c>
      <c r="N4761">
        <f t="shared" si="298"/>
        <v>177143.59999999998</v>
      </c>
      <c r="O4761" t="str">
        <f t="shared" si="299"/>
        <v>Moderate Delay</v>
      </c>
    </row>
    <row r="4762" spans="1:15" x14ac:dyDescent="0.25">
      <c r="A4762">
        <v>4761</v>
      </c>
      <c r="B4762" s="2">
        <v>45850</v>
      </c>
      <c r="C4762" t="s">
        <v>18</v>
      </c>
      <c r="D4762" t="s">
        <v>17</v>
      </c>
      <c r="E4762" t="s">
        <v>19</v>
      </c>
      <c r="F4762" t="s">
        <v>14</v>
      </c>
      <c r="G4762">
        <v>242</v>
      </c>
      <c r="H4762">
        <v>778.61</v>
      </c>
      <c r="I4762">
        <v>0</v>
      </c>
      <c r="J4762" t="s">
        <v>15</v>
      </c>
      <c r="K4762">
        <v>188423.62</v>
      </c>
      <c r="L4762" t="str">
        <f t="shared" si="296"/>
        <v>Jul</v>
      </c>
      <c r="M4762">
        <f t="shared" si="297"/>
        <v>2025</v>
      </c>
      <c r="N4762">
        <f t="shared" si="298"/>
        <v>188423.62</v>
      </c>
      <c r="O4762" t="str">
        <f t="shared" si="299"/>
        <v>On Time</v>
      </c>
    </row>
    <row r="4763" spans="1:15" x14ac:dyDescent="0.25">
      <c r="A4763">
        <v>4762</v>
      </c>
      <c r="B4763" s="2">
        <v>45659</v>
      </c>
      <c r="C4763" t="s">
        <v>31</v>
      </c>
      <c r="D4763" t="s">
        <v>12</v>
      </c>
      <c r="E4763" t="s">
        <v>22</v>
      </c>
      <c r="F4763" t="s">
        <v>21</v>
      </c>
      <c r="G4763">
        <v>134</v>
      </c>
      <c r="H4763">
        <v>395.75</v>
      </c>
      <c r="I4763">
        <v>16</v>
      </c>
      <c r="J4763" t="s">
        <v>30</v>
      </c>
      <c r="K4763">
        <v>53030.5</v>
      </c>
      <c r="L4763" t="str">
        <f t="shared" si="296"/>
        <v>Jan</v>
      </c>
      <c r="M4763">
        <f t="shared" si="297"/>
        <v>2025</v>
      </c>
      <c r="N4763">
        <f t="shared" si="298"/>
        <v>53030.5</v>
      </c>
      <c r="O4763" t="str">
        <f t="shared" si="299"/>
        <v>Minor Delay</v>
      </c>
    </row>
    <row r="4764" spans="1:15" x14ac:dyDescent="0.25">
      <c r="A4764">
        <v>4763</v>
      </c>
      <c r="B4764" s="2">
        <v>45741</v>
      </c>
      <c r="C4764" t="s">
        <v>31</v>
      </c>
      <c r="D4764" t="s">
        <v>17</v>
      </c>
      <c r="E4764" t="s">
        <v>29</v>
      </c>
      <c r="F4764" t="s">
        <v>24</v>
      </c>
      <c r="G4764">
        <v>69</v>
      </c>
      <c r="H4764">
        <v>625.22</v>
      </c>
      <c r="I4764">
        <v>21</v>
      </c>
      <c r="J4764" t="s">
        <v>15</v>
      </c>
      <c r="K4764">
        <v>43140.18</v>
      </c>
      <c r="L4764" t="str">
        <f t="shared" si="296"/>
        <v>Mar</v>
      </c>
      <c r="M4764">
        <f t="shared" si="297"/>
        <v>2025</v>
      </c>
      <c r="N4764">
        <f t="shared" si="298"/>
        <v>43140.18</v>
      </c>
      <c r="O4764" t="str">
        <f t="shared" si="299"/>
        <v>Minor Delay</v>
      </c>
    </row>
    <row r="4765" spans="1:15" x14ac:dyDescent="0.25">
      <c r="A4765">
        <v>4764</v>
      </c>
      <c r="B4765" s="2">
        <v>45676</v>
      </c>
      <c r="C4765" t="s">
        <v>18</v>
      </c>
      <c r="D4765" t="s">
        <v>17</v>
      </c>
      <c r="E4765" t="s">
        <v>12</v>
      </c>
      <c r="F4765" t="s">
        <v>21</v>
      </c>
      <c r="G4765">
        <v>248</v>
      </c>
      <c r="H4765">
        <v>366.78</v>
      </c>
      <c r="I4765">
        <v>20</v>
      </c>
      <c r="J4765" t="s">
        <v>15</v>
      </c>
      <c r="K4765">
        <v>90961.44</v>
      </c>
      <c r="L4765" t="str">
        <f t="shared" si="296"/>
        <v>Jan</v>
      </c>
      <c r="M4765">
        <f t="shared" si="297"/>
        <v>2025</v>
      </c>
      <c r="N4765">
        <f t="shared" si="298"/>
        <v>90961.439999999988</v>
      </c>
      <c r="O4765" t="str">
        <f t="shared" si="299"/>
        <v>Minor Delay</v>
      </c>
    </row>
    <row r="4766" spans="1:15" x14ac:dyDescent="0.25">
      <c r="A4766">
        <v>4765</v>
      </c>
      <c r="B4766" s="2">
        <v>45857</v>
      </c>
      <c r="C4766" t="s">
        <v>16</v>
      </c>
      <c r="D4766" t="s">
        <v>13</v>
      </c>
      <c r="E4766" t="s">
        <v>19</v>
      </c>
      <c r="F4766" t="s">
        <v>24</v>
      </c>
      <c r="G4766">
        <v>157</v>
      </c>
      <c r="H4766">
        <v>497.44</v>
      </c>
      <c r="I4766">
        <v>2</v>
      </c>
      <c r="J4766" t="s">
        <v>15</v>
      </c>
      <c r="K4766">
        <v>78098.080000000002</v>
      </c>
      <c r="L4766" t="str">
        <f t="shared" si="296"/>
        <v>Jul</v>
      </c>
      <c r="M4766">
        <f t="shared" si="297"/>
        <v>2025</v>
      </c>
      <c r="N4766">
        <f t="shared" si="298"/>
        <v>78098.080000000002</v>
      </c>
      <c r="O4766" t="str">
        <f t="shared" si="299"/>
        <v>Minor Delay</v>
      </c>
    </row>
    <row r="4767" spans="1:15" x14ac:dyDescent="0.25">
      <c r="A4767">
        <v>4766</v>
      </c>
      <c r="B4767" s="2">
        <v>45919</v>
      </c>
      <c r="C4767" t="s">
        <v>25</v>
      </c>
      <c r="D4767" t="s">
        <v>22</v>
      </c>
      <c r="E4767" t="s">
        <v>19</v>
      </c>
      <c r="F4767" t="s">
        <v>21</v>
      </c>
      <c r="G4767">
        <v>77</v>
      </c>
      <c r="H4767">
        <v>732.67</v>
      </c>
      <c r="I4767">
        <v>0</v>
      </c>
      <c r="J4767" t="s">
        <v>15</v>
      </c>
      <c r="K4767">
        <v>56415.59</v>
      </c>
      <c r="L4767" t="str">
        <f t="shared" si="296"/>
        <v>Sep</v>
      </c>
      <c r="M4767">
        <f t="shared" si="297"/>
        <v>2025</v>
      </c>
      <c r="N4767">
        <f t="shared" si="298"/>
        <v>56415.59</v>
      </c>
      <c r="O4767" t="str">
        <f t="shared" si="299"/>
        <v>On Time</v>
      </c>
    </row>
    <row r="4768" spans="1:15" x14ac:dyDescent="0.25">
      <c r="A4768">
        <v>4767</v>
      </c>
      <c r="B4768" s="2">
        <v>45800</v>
      </c>
      <c r="C4768" t="s">
        <v>16</v>
      </c>
      <c r="D4768" t="s">
        <v>29</v>
      </c>
      <c r="E4768" t="s">
        <v>22</v>
      </c>
      <c r="F4768" t="s">
        <v>14</v>
      </c>
      <c r="G4768">
        <v>156</v>
      </c>
      <c r="H4768">
        <v>347.76</v>
      </c>
      <c r="I4768">
        <v>0</v>
      </c>
      <c r="J4768" t="s">
        <v>15</v>
      </c>
      <c r="K4768">
        <v>54250.559999999998</v>
      </c>
      <c r="L4768" t="str">
        <f t="shared" si="296"/>
        <v>May</v>
      </c>
      <c r="M4768">
        <f t="shared" si="297"/>
        <v>2025</v>
      </c>
      <c r="N4768">
        <f t="shared" si="298"/>
        <v>54250.559999999998</v>
      </c>
      <c r="O4768" t="str">
        <f t="shared" si="299"/>
        <v>On Time</v>
      </c>
    </row>
    <row r="4769" spans="1:15" x14ac:dyDescent="0.25">
      <c r="A4769">
        <v>4768</v>
      </c>
      <c r="B4769" s="2">
        <v>45733</v>
      </c>
      <c r="C4769" t="s">
        <v>16</v>
      </c>
      <c r="D4769" t="s">
        <v>20</v>
      </c>
      <c r="E4769" t="s">
        <v>19</v>
      </c>
      <c r="F4769" t="s">
        <v>24</v>
      </c>
      <c r="G4769">
        <v>139</v>
      </c>
      <c r="H4769">
        <v>101.42</v>
      </c>
      <c r="I4769">
        <v>21</v>
      </c>
      <c r="J4769" t="s">
        <v>15</v>
      </c>
      <c r="K4769">
        <v>14097.38</v>
      </c>
      <c r="L4769" t="str">
        <f t="shared" si="296"/>
        <v>Mar</v>
      </c>
      <c r="M4769">
        <f t="shared" si="297"/>
        <v>2025</v>
      </c>
      <c r="N4769">
        <f t="shared" si="298"/>
        <v>14097.380000000001</v>
      </c>
      <c r="O4769" t="str">
        <f t="shared" si="299"/>
        <v>Minor Delay</v>
      </c>
    </row>
    <row r="4770" spans="1:15" x14ac:dyDescent="0.25">
      <c r="A4770">
        <v>4769</v>
      </c>
      <c r="B4770" s="2">
        <v>45766</v>
      </c>
      <c r="C4770" t="s">
        <v>31</v>
      </c>
      <c r="D4770" t="s">
        <v>23</v>
      </c>
      <c r="E4770" t="s">
        <v>29</v>
      </c>
      <c r="F4770" t="s">
        <v>21</v>
      </c>
      <c r="G4770">
        <v>99</v>
      </c>
      <c r="H4770">
        <v>316.44</v>
      </c>
      <c r="I4770">
        <v>17</v>
      </c>
      <c r="J4770" t="s">
        <v>15</v>
      </c>
      <c r="K4770">
        <v>31327.56</v>
      </c>
      <c r="L4770" t="str">
        <f t="shared" si="296"/>
        <v>Apr</v>
      </c>
      <c r="M4770">
        <f t="shared" si="297"/>
        <v>2025</v>
      </c>
      <c r="N4770">
        <f t="shared" si="298"/>
        <v>31327.56</v>
      </c>
      <c r="O4770" t="str">
        <f t="shared" si="299"/>
        <v>Minor Delay</v>
      </c>
    </row>
    <row r="4771" spans="1:15" x14ac:dyDescent="0.25">
      <c r="A4771">
        <v>4770</v>
      </c>
      <c r="B4771" s="2">
        <v>45986</v>
      </c>
      <c r="C4771" t="s">
        <v>16</v>
      </c>
      <c r="D4771" t="s">
        <v>12</v>
      </c>
      <c r="E4771" t="s">
        <v>29</v>
      </c>
      <c r="F4771" t="s">
        <v>21</v>
      </c>
      <c r="G4771">
        <v>168</v>
      </c>
      <c r="H4771">
        <v>619.4</v>
      </c>
      <c r="I4771">
        <v>0</v>
      </c>
      <c r="J4771" t="s">
        <v>15</v>
      </c>
      <c r="K4771">
        <v>104059.2</v>
      </c>
      <c r="L4771" t="str">
        <f t="shared" si="296"/>
        <v>Nov</v>
      </c>
      <c r="M4771">
        <f t="shared" si="297"/>
        <v>2025</v>
      </c>
      <c r="N4771">
        <f t="shared" si="298"/>
        <v>104059.2</v>
      </c>
      <c r="O4771" t="str">
        <f t="shared" si="299"/>
        <v>On Time</v>
      </c>
    </row>
    <row r="4772" spans="1:15" x14ac:dyDescent="0.25">
      <c r="A4772">
        <v>4771</v>
      </c>
      <c r="B4772" s="2">
        <v>45744</v>
      </c>
      <c r="C4772" t="s">
        <v>11</v>
      </c>
      <c r="D4772" t="s">
        <v>22</v>
      </c>
      <c r="E4772" t="s">
        <v>13</v>
      </c>
      <c r="F4772" t="s">
        <v>21</v>
      </c>
      <c r="G4772">
        <v>218</v>
      </c>
      <c r="H4772">
        <v>78.900000000000006</v>
      </c>
      <c r="I4772">
        <v>0</v>
      </c>
      <c r="J4772" t="s">
        <v>15</v>
      </c>
      <c r="K4772">
        <v>17200.2</v>
      </c>
      <c r="L4772" t="str">
        <f t="shared" si="296"/>
        <v>Mar</v>
      </c>
      <c r="M4772">
        <f t="shared" si="297"/>
        <v>2025</v>
      </c>
      <c r="N4772">
        <f t="shared" si="298"/>
        <v>17200.2</v>
      </c>
      <c r="O4772" t="str">
        <f t="shared" si="299"/>
        <v>On Time</v>
      </c>
    </row>
    <row r="4773" spans="1:15" x14ac:dyDescent="0.25">
      <c r="A4773">
        <v>4772</v>
      </c>
      <c r="B4773" s="2">
        <v>45885</v>
      </c>
      <c r="C4773" t="s">
        <v>16</v>
      </c>
      <c r="D4773" t="s">
        <v>17</v>
      </c>
      <c r="E4773" t="s">
        <v>20</v>
      </c>
      <c r="F4773" t="s">
        <v>24</v>
      </c>
      <c r="G4773">
        <v>188</v>
      </c>
      <c r="H4773">
        <v>311.47000000000003</v>
      </c>
      <c r="I4773">
        <v>67</v>
      </c>
      <c r="J4773" t="s">
        <v>30</v>
      </c>
      <c r="K4773">
        <v>58556.36</v>
      </c>
      <c r="L4773" t="str">
        <f t="shared" si="296"/>
        <v>Aug</v>
      </c>
      <c r="M4773">
        <f t="shared" si="297"/>
        <v>2025</v>
      </c>
      <c r="N4773">
        <f t="shared" si="298"/>
        <v>58556.360000000008</v>
      </c>
      <c r="O4773" t="str">
        <f t="shared" si="299"/>
        <v>Major Delay</v>
      </c>
    </row>
    <row r="4774" spans="1:15" x14ac:dyDescent="0.25">
      <c r="A4774">
        <v>4773</v>
      </c>
      <c r="B4774" s="2">
        <v>45913</v>
      </c>
      <c r="C4774" t="s">
        <v>16</v>
      </c>
      <c r="D4774" t="s">
        <v>19</v>
      </c>
      <c r="E4774" t="s">
        <v>12</v>
      </c>
      <c r="F4774" t="s">
        <v>24</v>
      </c>
      <c r="G4774">
        <v>166</v>
      </c>
      <c r="H4774">
        <v>485.43</v>
      </c>
      <c r="I4774">
        <v>12</v>
      </c>
      <c r="J4774" t="s">
        <v>30</v>
      </c>
      <c r="K4774">
        <v>80581.38</v>
      </c>
      <c r="L4774" t="str">
        <f t="shared" si="296"/>
        <v>Sep</v>
      </c>
      <c r="M4774">
        <f t="shared" si="297"/>
        <v>2025</v>
      </c>
      <c r="N4774">
        <f t="shared" si="298"/>
        <v>80581.38</v>
      </c>
      <c r="O4774" t="str">
        <f t="shared" si="299"/>
        <v>Minor Delay</v>
      </c>
    </row>
    <row r="4775" spans="1:15" x14ac:dyDescent="0.25">
      <c r="A4775">
        <v>4774</v>
      </c>
      <c r="B4775" s="2">
        <v>45807</v>
      </c>
      <c r="C4775" t="s">
        <v>31</v>
      </c>
      <c r="D4775" t="s">
        <v>29</v>
      </c>
      <c r="E4775" t="s">
        <v>19</v>
      </c>
      <c r="F4775" t="s">
        <v>14</v>
      </c>
      <c r="G4775">
        <v>90</v>
      </c>
      <c r="H4775">
        <v>64.28</v>
      </c>
      <c r="I4775">
        <v>37</v>
      </c>
      <c r="J4775" t="s">
        <v>15</v>
      </c>
      <c r="K4775">
        <v>5785.2</v>
      </c>
      <c r="L4775" t="str">
        <f t="shared" si="296"/>
        <v>May</v>
      </c>
      <c r="M4775">
        <f t="shared" si="297"/>
        <v>2025</v>
      </c>
      <c r="N4775">
        <f t="shared" si="298"/>
        <v>5785.2</v>
      </c>
      <c r="O4775" t="str">
        <f t="shared" si="299"/>
        <v>Moderate Delay</v>
      </c>
    </row>
    <row r="4776" spans="1:15" x14ac:dyDescent="0.25">
      <c r="A4776">
        <v>4775</v>
      </c>
      <c r="B4776" s="2">
        <v>45840</v>
      </c>
      <c r="C4776" t="s">
        <v>25</v>
      </c>
      <c r="D4776" t="s">
        <v>27</v>
      </c>
      <c r="E4776" t="s">
        <v>12</v>
      </c>
      <c r="F4776" t="s">
        <v>14</v>
      </c>
      <c r="G4776">
        <v>62</v>
      </c>
      <c r="H4776">
        <v>436.67</v>
      </c>
      <c r="I4776">
        <v>43</v>
      </c>
      <c r="J4776" t="s">
        <v>15</v>
      </c>
      <c r="K4776">
        <v>27073.54</v>
      </c>
      <c r="L4776" t="str">
        <f t="shared" si="296"/>
        <v>Jul</v>
      </c>
      <c r="M4776">
        <f t="shared" si="297"/>
        <v>2025</v>
      </c>
      <c r="N4776">
        <f t="shared" si="298"/>
        <v>27073.54</v>
      </c>
      <c r="O4776" t="str">
        <f t="shared" si="299"/>
        <v>Moderate Delay</v>
      </c>
    </row>
    <row r="4777" spans="1:15" x14ac:dyDescent="0.25">
      <c r="A4777">
        <v>4776</v>
      </c>
      <c r="B4777" s="2">
        <v>45938</v>
      </c>
      <c r="C4777" t="s">
        <v>16</v>
      </c>
      <c r="D4777" t="s">
        <v>20</v>
      </c>
      <c r="E4777" t="s">
        <v>17</v>
      </c>
      <c r="F4777" t="s">
        <v>14</v>
      </c>
      <c r="G4777">
        <v>298</v>
      </c>
      <c r="H4777">
        <v>663.36</v>
      </c>
      <c r="I4777">
        <v>0</v>
      </c>
      <c r="J4777" t="s">
        <v>15</v>
      </c>
      <c r="K4777">
        <v>197681.28</v>
      </c>
      <c r="L4777" t="str">
        <f t="shared" si="296"/>
        <v>Oct</v>
      </c>
      <c r="M4777">
        <f t="shared" si="297"/>
        <v>2025</v>
      </c>
      <c r="N4777">
        <f t="shared" si="298"/>
        <v>197681.28</v>
      </c>
      <c r="O4777" t="str">
        <f t="shared" si="299"/>
        <v>On Time</v>
      </c>
    </row>
    <row r="4778" spans="1:15" x14ac:dyDescent="0.25">
      <c r="A4778">
        <v>4777</v>
      </c>
      <c r="B4778" s="2">
        <v>45829</v>
      </c>
      <c r="C4778" t="s">
        <v>16</v>
      </c>
      <c r="D4778" t="s">
        <v>17</v>
      </c>
      <c r="E4778" t="s">
        <v>29</v>
      </c>
      <c r="F4778" t="s">
        <v>24</v>
      </c>
      <c r="G4778">
        <v>244</v>
      </c>
      <c r="H4778">
        <v>102.21</v>
      </c>
      <c r="I4778">
        <v>13</v>
      </c>
      <c r="J4778" t="s">
        <v>15</v>
      </c>
      <c r="K4778">
        <v>24939.24</v>
      </c>
      <c r="L4778" t="str">
        <f t="shared" si="296"/>
        <v>Jun</v>
      </c>
      <c r="M4778">
        <f t="shared" si="297"/>
        <v>2025</v>
      </c>
      <c r="N4778">
        <f t="shared" si="298"/>
        <v>24939.239999999998</v>
      </c>
      <c r="O4778" t="str">
        <f t="shared" si="299"/>
        <v>Minor Delay</v>
      </c>
    </row>
    <row r="4779" spans="1:15" x14ac:dyDescent="0.25">
      <c r="A4779">
        <v>4778</v>
      </c>
      <c r="B4779" s="2">
        <v>45965</v>
      </c>
      <c r="C4779" t="s">
        <v>26</v>
      </c>
      <c r="D4779" t="s">
        <v>12</v>
      </c>
      <c r="E4779" t="s">
        <v>23</v>
      </c>
      <c r="F4779" t="s">
        <v>14</v>
      </c>
      <c r="G4779">
        <v>63</v>
      </c>
      <c r="H4779">
        <v>242.83</v>
      </c>
      <c r="I4779">
        <v>0</v>
      </c>
      <c r="J4779" t="s">
        <v>30</v>
      </c>
      <c r="K4779">
        <v>15298.29</v>
      </c>
      <c r="L4779" t="str">
        <f t="shared" si="296"/>
        <v>Nov</v>
      </c>
      <c r="M4779">
        <f t="shared" si="297"/>
        <v>2025</v>
      </c>
      <c r="N4779">
        <f t="shared" si="298"/>
        <v>15298.29</v>
      </c>
      <c r="O4779" t="str">
        <f t="shared" si="299"/>
        <v>On Time</v>
      </c>
    </row>
    <row r="4780" spans="1:15" x14ac:dyDescent="0.25">
      <c r="A4780">
        <v>4779</v>
      </c>
      <c r="B4780" s="2">
        <v>45681</v>
      </c>
      <c r="C4780" t="s">
        <v>25</v>
      </c>
      <c r="D4780" t="s">
        <v>29</v>
      </c>
      <c r="E4780" t="s">
        <v>17</v>
      </c>
      <c r="F4780" t="s">
        <v>14</v>
      </c>
      <c r="G4780">
        <v>174</v>
      </c>
      <c r="H4780">
        <v>245.45</v>
      </c>
      <c r="I4780">
        <v>8</v>
      </c>
      <c r="J4780" t="s">
        <v>30</v>
      </c>
      <c r="K4780">
        <v>42708.3</v>
      </c>
      <c r="L4780" t="str">
        <f t="shared" si="296"/>
        <v>Jan</v>
      </c>
      <c r="M4780">
        <f t="shared" si="297"/>
        <v>2025</v>
      </c>
      <c r="N4780">
        <f t="shared" si="298"/>
        <v>42708.299999999996</v>
      </c>
      <c r="O4780" t="str">
        <f t="shared" si="299"/>
        <v>Minor Delay</v>
      </c>
    </row>
    <row r="4781" spans="1:15" x14ac:dyDescent="0.25">
      <c r="A4781">
        <v>4780</v>
      </c>
      <c r="B4781" s="2">
        <v>45916</v>
      </c>
      <c r="C4781" t="s">
        <v>26</v>
      </c>
      <c r="D4781" t="s">
        <v>27</v>
      </c>
      <c r="E4781" t="s">
        <v>19</v>
      </c>
      <c r="F4781" t="s">
        <v>24</v>
      </c>
      <c r="G4781">
        <v>62</v>
      </c>
      <c r="H4781">
        <v>621.42999999999995</v>
      </c>
      <c r="I4781">
        <v>28</v>
      </c>
      <c r="J4781" t="s">
        <v>30</v>
      </c>
      <c r="K4781">
        <v>38528.660000000003</v>
      </c>
      <c r="L4781" t="str">
        <f t="shared" si="296"/>
        <v>Sep</v>
      </c>
      <c r="M4781">
        <f t="shared" si="297"/>
        <v>2025</v>
      </c>
      <c r="N4781">
        <f t="shared" si="298"/>
        <v>38528.659999999996</v>
      </c>
      <c r="O4781" t="str">
        <f t="shared" si="299"/>
        <v>Minor Delay</v>
      </c>
    </row>
    <row r="4782" spans="1:15" x14ac:dyDescent="0.25">
      <c r="A4782">
        <v>4781</v>
      </c>
      <c r="B4782" s="2">
        <v>45986</v>
      </c>
      <c r="C4782" t="s">
        <v>18</v>
      </c>
      <c r="D4782" t="s">
        <v>19</v>
      </c>
      <c r="E4782" t="s">
        <v>27</v>
      </c>
      <c r="F4782" t="s">
        <v>24</v>
      </c>
      <c r="G4782">
        <v>115</v>
      </c>
      <c r="H4782">
        <v>215.76</v>
      </c>
      <c r="I4782">
        <v>3</v>
      </c>
      <c r="J4782" t="s">
        <v>30</v>
      </c>
      <c r="K4782">
        <v>24812.400000000001</v>
      </c>
      <c r="L4782" t="str">
        <f t="shared" si="296"/>
        <v>Nov</v>
      </c>
      <c r="M4782">
        <f t="shared" si="297"/>
        <v>2025</v>
      </c>
      <c r="N4782">
        <f t="shared" si="298"/>
        <v>24812.399999999998</v>
      </c>
      <c r="O4782" t="str">
        <f t="shared" si="299"/>
        <v>Minor Delay</v>
      </c>
    </row>
    <row r="4783" spans="1:15" x14ac:dyDescent="0.25">
      <c r="A4783">
        <v>4782</v>
      </c>
      <c r="B4783" s="2">
        <v>45926</v>
      </c>
      <c r="C4783" t="s">
        <v>16</v>
      </c>
      <c r="D4783" t="s">
        <v>27</v>
      </c>
      <c r="E4783" t="s">
        <v>22</v>
      </c>
      <c r="F4783" t="s">
        <v>14</v>
      </c>
      <c r="G4783">
        <v>107</v>
      </c>
      <c r="H4783">
        <v>789.15</v>
      </c>
      <c r="I4783">
        <v>10</v>
      </c>
      <c r="J4783" t="s">
        <v>15</v>
      </c>
      <c r="K4783">
        <v>84439.05</v>
      </c>
      <c r="L4783" t="str">
        <f t="shared" si="296"/>
        <v>Sep</v>
      </c>
      <c r="M4783">
        <f t="shared" si="297"/>
        <v>2025</v>
      </c>
      <c r="N4783">
        <f t="shared" si="298"/>
        <v>84439.05</v>
      </c>
      <c r="O4783" t="str">
        <f t="shared" si="299"/>
        <v>Minor Delay</v>
      </c>
    </row>
    <row r="4784" spans="1:15" x14ac:dyDescent="0.25">
      <c r="A4784">
        <v>4783</v>
      </c>
      <c r="B4784" s="2">
        <v>45805</v>
      </c>
      <c r="C4784" t="s">
        <v>31</v>
      </c>
      <c r="D4784" t="s">
        <v>23</v>
      </c>
      <c r="E4784" t="s">
        <v>12</v>
      </c>
      <c r="F4784" t="s">
        <v>24</v>
      </c>
      <c r="G4784">
        <v>217</v>
      </c>
      <c r="H4784">
        <v>241.89</v>
      </c>
      <c r="I4784">
        <v>45</v>
      </c>
      <c r="J4784" t="s">
        <v>15</v>
      </c>
      <c r="K4784">
        <v>52490.13</v>
      </c>
      <c r="L4784" t="str">
        <f t="shared" si="296"/>
        <v>May</v>
      </c>
      <c r="M4784">
        <f t="shared" si="297"/>
        <v>2025</v>
      </c>
      <c r="N4784">
        <f t="shared" si="298"/>
        <v>52490.13</v>
      </c>
      <c r="O4784" t="str">
        <f t="shared" si="299"/>
        <v>Moderate Delay</v>
      </c>
    </row>
    <row r="4785" spans="1:15" x14ac:dyDescent="0.25">
      <c r="A4785">
        <v>4784</v>
      </c>
      <c r="B4785" s="2">
        <v>45687</v>
      </c>
      <c r="C4785" t="s">
        <v>26</v>
      </c>
      <c r="D4785" t="s">
        <v>13</v>
      </c>
      <c r="E4785" t="s">
        <v>17</v>
      </c>
      <c r="F4785" t="s">
        <v>21</v>
      </c>
      <c r="G4785">
        <v>180</v>
      </c>
      <c r="H4785">
        <v>692.66</v>
      </c>
      <c r="I4785">
        <v>46</v>
      </c>
      <c r="J4785" t="s">
        <v>15</v>
      </c>
      <c r="K4785">
        <v>124678.8</v>
      </c>
      <c r="L4785" t="str">
        <f t="shared" si="296"/>
        <v>Jan</v>
      </c>
      <c r="M4785">
        <f t="shared" si="297"/>
        <v>2025</v>
      </c>
      <c r="N4785">
        <f t="shared" si="298"/>
        <v>124678.79999999999</v>
      </c>
      <c r="O4785" t="str">
        <f t="shared" si="299"/>
        <v>Moderate Delay</v>
      </c>
    </row>
    <row r="4786" spans="1:15" x14ac:dyDescent="0.25">
      <c r="A4786">
        <v>4785</v>
      </c>
      <c r="B4786" s="2">
        <v>45819</v>
      </c>
      <c r="C4786" t="s">
        <v>16</v>
      </c>
      <c r="D4786" t="s">
        <v>22</v>
      </c>
      <c r="E4786" t="s">
        <v>13</v>
      </c>
      <c r="F4786" t="s">
        <v>21</v>
      </c>
      <c r="G4786">
        <v>82</v>
      </c>
      <c r="H4786">
        <v>734.37</v>
      </c>
      <c r="I4786">
        <v>5</v>
      </c>
      <c r="J4786" t="s">
        <v>15</v>
      </c>
      <c r="K4786">
        <v>60218.34</v>
      </c>
      <c r="L4786" t="str">
        <f t="shared" si="296"/>
        <v>Jun</v>
      </c>
      <c r="M4786">
        <f t="shared" si="297"/>
        <v>2025</v>
      </c>
      <c r="N4786">
        <f t="shared" si="298"/>
        <v>60218.340000000004</v>
      </c>
      <c r="O4786" t="str">
        <f t="shared" si="299"/>
        <v>Minor Delay</v>
      </c>
    </row>
    <row r="4787" spans="1:15" x14ac:dyDescent="0.25">
      <c r="A4787">
        <v>4786</v>
      </c>
      <c r="B4787" s="2">
        <v>45787</v>
      </c>
      <c r="C4787" t="s">
        <v>26</v>
      </c>
      <c r="D4787" t="s">
        <v>13</v>
      </c>
      <c r="E4787" t="s">
        <v>27</v>
      </c>
      <c r="F4787" t="s">
        <v>24</v>
      </c>
      <c r="G4787">
        <v>170</v>
      </c>
      <c r="H4787">
        <v>483.57</v>
      </c>
      <c r="I4787">
        <v>23</v>
      </c>
      <c r="J4787" t="s">
        <v>15</v>
      </c>
      <c r="K4787">
        <v>82206.899999999994</v>
      </c>
      <c r="L4787" t="str">
        <f t="shared" si="296"/>
        <v>May</v>
      </c>
      <c r="M4787">
        <f t="shared" si="297"/>
        <v>2025</v>
      </c>
      <c r="N4787">
        <f t="shared" si="298"/>
        <v>82206.899999999994</v>
      </c>
      <c r="O4787" t="str">
        <f t="shared" si="299"/>
        <v>Minor Delay</v>
      </c>
    </row>
    <row r="4788" spans="1:15" x14ac:dyDescent="0.25">
      <c r="A4788">
        <v>4787</v>
      </c>
      <c r="B4788" s="2">
        <v>45899</v>
      </c>
      <c r="C4788" t="s">
        <v>16</v>
      </c>
      <c r="D4788" t="s">
        <v>12</v>
      </c>
      <c r="E4788" t="s">
        <v>29</v>
      </c>
      <c r="F4788" t="s">
        <v>24</v>
      </c>
      <c r="G4788">
        <v>290</v>
      </c>
      <c r="H4788">
        <v>246.05</v>
      </c>
      <c r="I4788">
        <v>18</v>
      </c>
      <c r="J4788" t="s">
        <v>15</v>
      </c>
      <c r="K4788">
        <v>71354.5</v>
      </c>
      <c r="L4788" t="str">
        <f t="shared" si="296"/>
        <v>Aug</v>
      </c>
      <c r="M4788">
        <f t="shared" si="297"/>
        <v>2025</v>
      </c>
      <c r="N4788">
        <f t="shared" si="298"/>
        <v>71354.5</v>
      </c>
      <c r="O4788" t="str">
        <f t="shared" si="299"/>
        <v>Minor Delay</v>
      </c>
    </row>
    <row r="4789" spans="1:15" x14ac:dyDescent="0.25">
      <c r="A4789">
        <v>4788</v>
      </c>
      <c r="B4789" s="2">
        <v>45928</v>
      </c>
      <c r="C4789" t="s">
        <v>25</v>
      </c>
      <c r="D4789" t="s">
        <v>22</v>
      </c>
      <c r="E4789" t="s">
        <v>20</v>
      </c>
      <c r="F4789" t="s">
        <v>21</v>
      </c>
      <c r="G4789">
        <v>226</v>
      </c>
      <c r="H4789">
        <v>265.01</v>
      </c>
      <c r="I4789">
        <v>14</v>
      </c>
      <c r="J4789" t="s">
        <v>30</v>
      </c>
      <c r="K4789">
        <v>59892.26</v>
      </c>
      <c r="L4789" t="str">
        <f t="shared" si="296"/>
        <v>Sep</v>
      </c>
      <c r="M4789">
        <f t="shared" si="297"/>
        <v>2025</v>
      </c>
      <c r="N4789">
        <f t="shared" si="298"/>
        <v>59892.259999999995</v>
      </c>
      <c r="O4789" t="str">
        <f t="shared" si="299"/>
        <v>Minor Delay</v>
      </c>
    </row>
    <row r="4790" spans="1:15" x14ac:dyDescent="0.25">
      <c r="A4790">
        <v>4789</v>
      </c>
      <c r="B4790" s="2">
        <v>46003</v>
      </c>
      <c r="C4790" t="s">
        <v>18</v>
      </c>
      <c r="D4790" t="s">
        <v>17</v>
      </c>
      <c r="E4790" t="s">
        <v>22</v>
      </c>
      <c r="F4790" t="s">
        <v>14</v>
      </c>
      <c r="G4790">
        <v>172</v>
      </c>
      <c r="H4790">
        <v>277.39</v>
      </c>
      <c r="I4790">
        <v>15</v>
      </c>
      <c r="J4790" t="s">
        <v>15</v>
      </c>
      <c r="K4790">
        <v>47711.08</v>
      </c>
      <c r="L4790" t="str">
        <f t="shared" si="296"/>
        <v>Dec</v>
      </c>
      <c r="M4790">
        <f t="shared" si="297"/>
        <v>2025</v>
      </c>
      <c r="N4790">
        <f t="shared" si="298"/>
        <v>47711.079999999994</v>
      </c>
      <c r="O4790" t="str">
        <f t="shared" si="299"/>
        <v>Minor Delay</v>
      </c>
    </row>
    <row r="4791" spans="1:15" x14ac:dyDescent="0.25">
      <c r="A4791">
        <v>4790</v>
      </c>
      <c r="B4791" s="2">
        <v>45727</v>
      </c>
      <c r="C4791" t="s">
        <v>11</v>
      </c>
      <c r="D4791" t="s">
        <v>13</v>
      </c>
      <c r="E4791" t="s">
        <v>27</v>
      </c>
      <c r="F4791" t="s">
        <v>24</v>
      </c>
      <c r="G4791">
        <v>146</v>
      </c>
      <c r="H4791">
        <v>599.91</v>
      </c>
      <c r="I4791">
        <v>43</v>
      </c>
      <c r="J4791" t="s">
        <v>15</v>
      </c>
      <c r="K4791">
        <v>87586.86</v>
      </c>
      <c r="L4791" t="str">
        <f t="shared" si="296"/>
        <v>Mar</v>
      </c>
      <c r="M4791">
        <f t="shared" si="297"/>
        <v>2025</v>
      </c>
      <c r="N4791">
        <f t="shared" si="298"/>
        <v>87586.86</v>
      </c>
      <c r="O4791" t="str">
        <f t="shared" si="299"/>
        <v>Moderate Delay</v>
      </c>
    </row>
    <row r="4792" spans="1:15" x14ac:dyDescent="0.25">
      <c r="A4792">
        <v>4791</v>
      </c>
      <c r="B4792" s="2">
        <v>45711</v>
      </c>
      <c r="C4792" t="s">
        <v>11</v>
      </c>
      <c r="D4792" t="s">
        <v>20</v>
      </c>
      <c r="E4792" t="s">
        <v>23</v>
      </c>
      <c r="F4792" t="s">
        <v>14</v>
      </c>
      <c r="G4792">
        <v>192</v>
      </c>
      <c r="H4792">
        <v>138.16</v>
      </c>
      <c r="I4792">
        <v>46</v>
      </c>
      <c r="J4792" t="s">
        <v>15</v>
      </c>
      <c r="K4792">
        <v>26526.720000000001</v>
      </c>
      <c r="L4792" t="str">
        <f t="shared" si="296"/>
        <v>Feb</v>
      </c>
      <c r="M4792">
        <f t="shared" si="297"/>
        <v>2025</v>
      </c>
      <c r="N4792">
        <f t="shared" si="298"/>
        <v>26526.720000000001</v>
      </c>
      <c r="O4792" t="str">
        <f t="shared" si="299"/>
        <v>Moderate Delay</v>
      </c>
    </row>
    <row r="4793" spans="1:15" x14ac:dyDescent="0.25">
      <c r="A4793">
        <v>4792</v>
      </c>
      <c r="B4793" s="2">
        <v>45840</v>
      </c>
      <c r="C4793" t="s">
        <v>11</v>
      </c>
      <c r="D4793" t="s">
        <v>27</v>
      </c>
      <c r="E4793" t="s">
        <v>29</v>
      </c>
      <c r="F4793" t="s">
        <v>21</v>
      </c>
      <c r="G4793">
        <v>223</v>
      </c>
      <c r="H4793">
        <v>758.65</v>
      </c>
      <c r="I4793">
        <v>20</v>
      </c>
      <c r="J4793" t="s">
        <v>15</v>
      </c>
      <c r="K4793">
        <v>169178.95</v>
      </c>
      <c r="L4793" t="str">
        <f t="shared" si="296"/>
        <v>Jul</v>
      </c>
      <c r="M4793">
        <f t="shared" si="297"/>
        <v>2025</v>
      </c>
      <c r="N4793">
        <f t="shared" si="298"/>
        <v>169178.94999999998</v>
      </c>
      <c r="O4793" t="str">
        <f t="shared" si="299"/>
        <v>Minor Delay</v>
      </c>
    </row>
    <row r="4794" spans="1:15" x14ac:dyDescent="0.25">
      <c r="A4794">
        <v>4793</v>
      </c>
      <c r="B4794" s="2">
        <v>45768</v>
      </c>
      <c r="C4794" t="s">
        <v>31</v>
      </c>
      <c r="D4794" t="s">
        <v>13</v>
      </c>
      <c r="E4794" t="s">
        <v>22</v>
      </c>
      <c r="F4794" t="s">
        <v>14</v>
      </c>
      <c r="G4794">
        <v>248</v>
      </c>
      <c r="H4794">
        <v>330.11</v>
      </c>
      <c r="I4794">
        <v>8</v>
      </c>
      <c r="J4794" t="s">
        <v>15</v>
      </c>
      <c r="K4794">
        <v>81867.28</v>
      </c>
      <c r="L4794" t="str">
        <f t="shared" si="296"/>
        <v>Apr</v>
      </c>
      <c r="M4794">
        <f t="shared" si="297"/>
        <v>2025</v>
      </c>
      <c r="N4794">
        <f t="shared" si="298"/>
        <v>81867.28</v>
      </c>
      <c r="O4794" t="str">
        <f t="shared" si="299"/>
        <v>Minor Delay</v>
      </c>
    </row>
    <row r="4795" spans="1:15" x14ac:dyDescent="0.25">
      <c r="A4795">
        <v>4794</v>
      </c>
      <c r="B4795" s="2">
        <v>45883</v>
      </c>
      <c r="C4795" t="s">
        <v>26</v>
      </c>
      <c r="D4795" t="s">
        <v>22</v>
      </c>
      <c r="E4795" t="s">
        <v>27</v>
      </c>
      <c r="F4795" t="s">
        <v>14</v>
      </c>
      <c r="G4795">
        <v>226</v>
      </c>
      <c r="H4795">
        <v>739.34</v>
      </c>
      <c r="I4795">
        <v>27</v>
      </c>
      <c r="J4795" t="s">
        <v>15</v>
      </c>
      <c r="K4795">
        <v>167090.84</v>
      </c>
      <c r="L4795" t="str">
        <f t="shared" si="296"/>
        <v>Aug</v>
      </c>
      <c r="M4795">
        <f t="shared" si="297"/>
        <v>2025</v>
      </c>
      <c r="N4795">
        <f t="shared" si="298"/>
        <v>167090.84</v>
      </c>
      <c r="O4795" t="str">
        <f t="shared" si="299"/>
        <v>Minor Delay</v>
      </c>
    </row>
    <row r="4796" spans="1:15" x14ac:dyDescent="0.25">
      <c r="A4796">
        <v>4795</v>
      </c>
      <c r="B4796" s="2">
        <v>45769</v>
      </c>
      <c r="C4796" t="s">
        <v>25</v>
      </c>
      <c r="D4796" t="s">
        <v>23</v>
      </c>
      <c r="E4796" t="s">
        <v>13</v>
      </c>
      <c r="F4796" t="s">
        <v>21</v>
      </c>
      <c r="G4796">
        <v>75</v>
      </c>
      <c r="H4796">
        <v>376.24</v>
      </c>
      <c r="I4796">
        <v>0</v>
      </c>
      <c r="J4796" t="s">
        <v>15</v>
      </c>
      <c r="K4796">
        <v>28218</v>
      </c>
      <c r="L4796" t="str">
        <f t="shared" si="296"/>
        <v>Apr</v>
      </c>
      <c r="M4796">
        <f t="shared" si="297"/>
        <v>2025</v>
      </c>
      <c r="N4796">
        <f t="shared" si="298"/>
        <v>28218</v>
      </c>
      <c r="O4796" t="str">
        <f t="shared" si="299"/>
        <v>On Time</v>
      </c>
    </row>
    <row r="4797" spans="1:15" x14ac:dyDescent="0.25">
      <c r="A4797">
        <v>4796</v>
      </c>
      <c r="B4797" s="2">
        <v>45989</v>
      </c>
      <c r="C4797" t="s">
        <v>31</v>
      </c>
      <c r="D4797" t="s">
        <v>29</v>
      </c>
      <c r="E4797" t="s">
        <v>22</v>
      </c>
      <c r="F4797" t="s">
        <v>14</v>
      </c>
      <c r="G4797">
        <v>113</v>
      </c>
      <c r="H4797">
        <v>310.33999999999997</v>
      </c>
      <c r="I4797">
        <v>37</v>
      </c>
      <c r="J4797" t="s">
        <v>15</v>
      </c>
      <c r="K4797">
        <v>35068.42</v>
      </c>
      <c r="L4797" t="str">
        <f t="shared" si="296"/>
        <v>Nov</v>
      </c>
      <c r="M4797">
        <f t="shared" si="297"/>
        <v>2025</v>
      </c>
      <c r="N4797">
        <f t="shared" si="298"/>
        <v>35068.42</v>
      </c>
      <c r="O4797" t="str">
        <f t="shared" si="299"/>
        <v>Moderate Delay</v>
      </c>
    </row>
    <row r="4798" spans="1:15" x14ac:dyDescent="0.25">
      <c r="A4798">
        <v>4797</v>
      </c>
      <c r="B4798" s="2">
        <v>45970</v>
      </c>
      <c r="C4798" t="s">
        <v>31</v>
      </c>
      <c r="D4798" t="s">
        <v>23</v>
      </c>
      <c r="E4798" t="s">
        <v>29</v>
      </c>
      <c r="F4798" t="s">
        <v>14</v>
      </c>
      <c r="G4798">
        <v>243</v>
      </c>
      <c r="H4798">
        <v>513.82000000000005</v>
      </c>
      <c r="I4798">
        <v>82</v>
      </c>
      <c r="J4798" t="s">
        <v>15</v>
      </c>
      <c r="K4798">
        <v>124858.26</v>
      </c>
      <c r="L4798" t="str">
        <f t="shared" si="296"/>
        <v>Nov</v>
      </c>
      <c r="M4798">
        <f t="shared" si="297"/>
        <v>2025</v>
      </c>
      <c r="N4798">
        <f t="shared" si="298"/>
        <v>124858.26000000001</v>
      </c>
      <c r="O4798" t="str">
        <f t="shared" si="299"/>
        <v>Major Delay</v>
      </c>
    </row>
    <row r="4799" spans="1:15" x14ac:dyDescent="0.25">
      <c r="A4799">
        <v>4798</v>
      </c>
      <c r="B4799" s="2">
        <v>45964</v>
      </c>
      <c r="C4799" t="s">
        <v>26</v>
      </c>
      <c r="D4799" t="s">
        <v>22</v>
      </c>
      <c r="E4799" t="s">
        <v>19</v>
      </c>
      <c r="F4799" t="s">
        <v>14</v>
      </c>
      <c r="G4799">
        <v>239</v>
      </c>
      <c r="H4799">
        <v>576.66</v>
      </c>
      <c r="I4799">
        <v>24</v>
      </c>
      <c r="J4799" t="s">
        <v>30</v>
      </c>
      <c r="K4799">
        <v>137821.74</v>
      </c>
      <c r="L4799" t="str">
        <f t="shared" si="296"/>
        <v>Nov</v>
      </c>
      <c r="M4799">
        <f t="shared" si="297"/>
        <v>2025</v>
      </c>
      <c r="N4799">
        <f t="shared" si="298"/>
        <v>137821.74</v>
      </c>
      <c r="O4799" t="str">
        <f t="shared" si="299"/>
        <v>Minor Delay</v>
      </c>
    </row>
    <row r="4800" spans="1:15" x14ac:dyDescent="0.25">
      <c r="A4800">
        <v>4799</v>
      </c>
      <c r="B4800" s="2">
        <v>45754</v>
      </c>
      <c r="C4800" t="s">
        <v>11</v>
      </c>
      <c r="D4800" t="s">
        <v>13</v>
      </c>
      <c r="E4800" t="s">
        <v>17</v>
      </c>
      <c r="F4800" t="s">
        <v>21</v>
      </c>
      <c r="G4800">
        <v>256</v>
      </c>
      <c r="H4800">
        <v>473.55</v>
      </c>
      <c r="I4800">
        <v>1</v>
      </c>
      <c r="J4800" t="s">
        <v>15</v>
      </c>
      <c r="K4800">
        <v>121228.8</v>
      </c>
      <c r="L4800" t="str">
        <f t="shared" si="296"/>
        <v>Apr</v>
      </c>
      <c r="M4800">
        <f t="shared" si="297"/>
        <v>2025</v>
      </c>
      <c r="N4800">
        <f t="shared" si="298"/>
        <v>121228.8</v>
      </c>
      <c r="O4800" t="str">
        <f t="shared" si="299"/>
        <v>Minor Delay</v>
      </c>
    </row>
    <row r="4801" spans="1:15" x14ac:dyDescent="0.25">
      <c r="A4801">
        <v>4800</v>
      </c>
      <c r="B4801" s="2">
        <v>45701</v>
      </c>
      <c r="C4801" t="s">
        <v>26</v>
      </c>
      <c r="D4801" t="s">
        <v>13</v>
      </c>
      <c r="E4801" t="s">
        <v>29</v>
      </c>
      <c r="F4801" t="s">
        <v>21</v>
      </c>
      <c r="G4801">
        <v>257</v>
      </c>
      <c r="H4801">
        <v>505.78</v>
      </c>
      <c r="I4801">
        <v>23</v>
      </c>
      <c r="J4801" t="s">
        <v>30</v>
      </c>
      <c r="K4801">
        <v>129985.46</v>
      </c>
      <c r="L4801" t="str">
        <f t="shared" si="296"/>
        <v>Feb</v>
      </c>
      <c r="M4801">
        <f t="shared" si="297"/>
        <v>2025</v>
      </c>
      <c r="N4801">
        <f t="shared" si="298"/>
        <v>129985.45999999999</v>
      </c>
      <c r="O4801" t="str">
        <f t="shared" si="299"/>
        <v>Minor Delay</v>
      </c>
    </row>
    <row r="4802" spans="1:15" x14ac:dyDescent="0.25">
      <c r="A4802">
        <v>4801</v>
      </c>
      <c r="B4802" s="2">
        <v>45826</v>
      </c>
      <c r="C4802" t="s">
        <v>26</v>
      </c>
      <c r="D4802" t="s">
        <v>23</v>
      </c>
      <c r="E4802" t="s">
        <v>27</v>
      </c>
      <c r="F4802" t="s">
        <v>21</v>
      </c>
      <c r="G4802">
        <v>175</v>
      </c>
      <c r="H4802">
        <v>209.26</v>
      </c>
      <c r="I4802">
        <v>38</v>
      </c>
      <c r="J4802" t="s">
        <v>15</v>
      </c>
      <c r="K4802">
        <v>36620.5</v>
      </c>
      <c r="L4802" t="str">
        <f t="shared" si="296"/>
        <v>Jun</v>
      </c>
      <c r="M4802">
        <f t="shared" si="297"/>
        <v>2025</v>
      </c>
      <c r="N4802">
        <f t="shared" si="298"/>
        <v>36620.5</v>
      </c>
      <c r="O4802" t="str">
        <f t="shared" si="299"/>
        <v>Moderate Delay</v>
      </c>
    </row>
    <row r="4803" spans="1:15" x14ac:dyDescent="0.25">
      <c r="A4803">
        <v>4802</v>
      </c>
      <c r="B4803" s="2">
        <v>45952</v>
      </c>
      <c r="C4803" t="s">
        <v>18</v>
      </c>
      <c r="D4803" t="s">
        <v>23</v>
      </c>
      <c r="E4803" t="s">
        <v>13</v>
      </c>
      <c r="F4803" t="s">
        <v>24</v>
      </c>
      <c r="G4803">
        <v>186</v>
      </c>
      <c r="H4803">
        <v>110.21</v>
      </c>
      <c r="I4803">
        <v>0</v>
      </c>
      <c r="J4803" t="s">
        <v>15</v>
      </c>
      <c r="K4803">
        <v>20499.060000000001</v>
      </c>
      <c r="L4803" t="str">
        <f t="shared" ref="L4803:L4866" si="300">TEXT(B4803,"MMM")</f>
        <v>Oct</v>
      </c>
      <c r="M4803">
        <f t="shared" ref="M4803:M4866" si="301">YEAR(B4803)</f>
        <v>2025</v>
      </c>
      <c r="N4803">
        <f t="shared" ref="N4803:N4866" si="302">G4803*H4803</f>
        <v>20499.059999999998</v>
      </c>
      <c r="O4803" t="str">
        <f t="shared" ref="O4803:O4866" si="303">IF(I4803=0,"On Time",IF(I4803&lt;=30,"Minor Delay",IF(I4803&lt;=60,"Moderate Delay","Major Delay")))</f>
        <v>On Time</v>
      </c>
    </row>
    <row r="4804" spans="1:15" x14ac:dyDescent="0.25">
      <c r="A4804">
        <v>4803</v>
      </c>
      <c r="B4804" s="2">
        <v>45952</v>
      </c>
      <c r="C4804" t="s">
        <v>18</v>
      </c>
      <c r="D4804" t="s">
        <v>17</v>
      </c>
      <c r="E4804" t="s">
        <v>22</v>
      </c>
      <c r="F4804" t="s">
        <v>24</v>
      </c>
      <c r="G4804">
        <v>109</v>
      </c>
      <c r="H4804">
        <v>511.1</v>
      </c>
      <c r="I4804">
        <v>67</v>
      </c>
      <c r="J4804" t="s">
        <v>15</v>
      </c>
      <c r="K4804">
        <v>55709.9</v>
      </c>
      <c r="L4804" t="str">
        <f t="shared" si="300"/>
        <v>Oct</v>
      </c>
      <c r="M4804">
        <f t="shared" si="301"/>
        <v>2025</v>
      </c>
      <c r="N4804">
        <f t="shared" si="302"/>
        <v>55709.9</v>
      </c>
      <c r="O4804" t="str">
        <f t="shared" si="303"/>
        <v>Major Delay</v>
      </c>
    </row>
    <row r="4805" spans="1:15" x14ac:dyDescent="0.25">
      <c r="A4805">
        <v>4804</v>
      </c>
      <c r="B4805" s="2">
        <v>45833</v>
      </c>
      <c r="C4805" t="s">
        <v>18</v>
      </c>
      <c r="D4805" t="s">
        <v>23</v>
      </c>
      <c r="E4805" t="s">
        <v>13</v>
      </c>
      <c r="F4805" t="s">
        <v>14</v>
      </c>
      <c r="G4805">
        <v>282</v>
      </c>
      <c r="H4805">
        <v>723.79</v>
      </c>
      <c r="I4805">
        <v>52</v>
      </c>
      <c r="J4805" t="s">
        <v>15</v>
      </c>
      <c r="K4805">
        <v>204108.78</v>
      </c>
      <c r="L4805" t="str">
        <f t="shared" si="300"/>
        <v>Jun</v>
      </c>
      <c r="M4805">
        <f t="shared" si="301"/>
        <v>2025</v>
      </c>
      <c r="N4805">
        <f t="shared" si="302"/>
        <v>204108.78</v>
      </c>
      <c r="O4805" t="str">
        <f t="shared" si="303"/>
        <v>Moderate Delay</v>
      </c>
    </row>
    <row r="4806" spans="1:15" x14ac:dyDescent="0.25">
      <c r="A4806">
        <v>4805</v>
      </c>
      <c r="B4806" s="2">
        <v>45923</v>
      </c>
      <c r="C4806" t="s">
        <v>25</v>
      </c>
      <c r="D4806" t="s">
        <v>12</v>
      </c>
      <c r="E4806" t="s">
        <v>13</v>
      </c>
      <c r="F4806" t="s">
        <v>14</v>
      </c>
      <c r="G4806">
        <v>125</v>
      </c>
      <c r="H4806">
        <v>659.66</v>
      </c>
      <c r="I4806">
        <v>11</v>
      </c>
      <c r="J4806" t="s">
        <v>30</v>
      </c>
      <c r="K4806">
        <v>82457.5</v>
      </c>
      <c r="L4806" t="str">
        <f t="shared" si="300"/>
        <v>Sep</v>
      </c>
      <c r="M4806">
        <f t="shared" si="301"/>
        <v>2025</v>
      </c>
      <c r="N4806">
        <f t="shared" si="302"/>
        <v>82457.5</v>
      </c>
      <c r="O4806" t="str">
        <f t="shared" si="303"/>
        <v>Minor Delay</v>
      </c>
    </row>
    <row r="4807" spans="1:15" x14ac:dyDescent="0.25">
      <c r="A4807">
        <v>4806</v>
      </c>
      <c r="B4807" s="2">
        <v>45767</v>
      </c>
      <c r="C4807" t="s">
        <v>16</v>
      </c>
      <c r="D4807" t="s">
        <v>17</v>
      </c>
      <c r="E4807" t="s">
        <v>23</v>
      </c>
      <c r="F4807" t="s">
        <v>24</v>
      </c>
      <c r="G4807">
        <v>269</v>
      </c>
      <c r="H4807">
        <v>587.91999999999996</v>
      </c>
      <c r="I4807">
        <v>0</v>
      </c>
      <c r="J4807" t="s">
        <v>15</v>
      </c>
      <c r="K4807">
        <v>158150.48000000001</v>
      </c>
      <c r="L4807" t="str">
        <f t="shared" si="300"/>
        <v>Apr</v>
      </c>
      <c r="M4807">
        <f t="shared" si="301"/>
        <v>2025</v>
      </c>
      <c r="N4807">
        <f t="shared" si="302"/>
        <v>158150.47999999998</v>
      </c>
      <c r="O4807" t="str">
        <f t="shared" si="303"/>
        <v>On Time</v>
      </c>
    </row>
    <row r="4808" spans="1:15" x14ac:dyDescent="0.25">
      <c r="A4808">
        <v>4807</v>
      </c>
      <c r="B4808" s="2">
        <v>45996</v>
      </c>
      <c r="C4808" t="s">
        <v>18</v>
      </c>
      <c r="D4808" t="s">
        <v>12</v>
      </c>
      <c r="E4808" t="s">
        <v>27</v>
      </c>
      <c r="F4808" t="s">
        <v>14</v>
      </c>
      <c r="G4808">
        <v>223</v>
      </c>
      <c r="H4808">
        <v>591.99</v>
      </c>
      <c r="I4808">
        <v>51</v>
      </c>
      <c r="J4808" t="s">
        <v>15</v>
      </c>
      <c r="K4808">
        <v>132013.76999999999</v>
      </c>
      <c r="L4808" t="str">
        <f t="shared" si="300"/>
        <v>Dec</v>
      </c>
      <c r="M4808">
        <f t="shared" si="301"/>
        <v>2025</v>
      </c>
      <c r="N4808">
        <f t="shared" si="302"/>
        <v>132013.76999999999</v>
      </c>
      <c r="O4808" t="str">
        <f t="shared" si="303"/>
        <v>Moderate Delay</v>
      </c>
    </row>
    <row r="4809" spans="1:15" x14ac:dyDescent="0.25">
      <c r="A4809">
        <v>4808</v>
      </c>
      <c r="B4809" s="2">
        <v>45750</v>
      </c>
      <c r="C4809" t="s">
        <v>11</v>
      </c>
      <c r="D4809" t="s">
        <v>22</v>
      </c>
      <c r="E4809" t="s">
        <v>27</v>
      </c>
      <c r="F4809" t="s">
        <v>24</v>
      </c>
      <c r="G4809">
        <v>113</v>
      </c>
      <c r="H4809">
        <v>288.07</v>
      </c>
      <c r="I4809">
        <v>10</v>
      </c>
      <c r="J4809" t="s">
        <v>15</v>
      </c>
      <c r="K4809">
        <v>32551.91</v>
      </c>
      <c r="L4809" t="str">
        <f t="shared" si="300"/>
        <v>Apr</v>
      </c>
      <c r="M4809">
        <f t="shared" si="301"/>
        <v>2025</v>
      </c>
      <c r="N4809">
        <f t="shared" si="302"/>
        <v>32551.91</v>
      </c>
      <c r="O4809" t="str">
        <f t="shared" si="303"/>
        <v>Minor Delay</v>
      </c>
    </row>
    <row r="4810" spans="1:15" x14ac:dyDescent="0.25">
      <c r="A4810">
        <v>4809</v>
      </c>
      <c r="B4810" s="2">
        <v>45933</v>
      </c>
      <c r="C4810" t="s">
        <v>26</v>
      </c>
      <c r="D4810" t="s">
        <v>13</v>
      </c>
      <c r="E4810" t="s">
        <v>22</v>
      </c>
      <c r="F4810" t="s">
        <v>24</v>
      </c>
      <c r="G4810">
        <v>192</v>
      </c>
      <c r="H4810">
        <v>738.73</v>
      </c>
      <c r="I4810">
        <v>0</v>
      </c>
      <c r="J4810" t="s">
        <v>15</v>
      </c>
      <c r="K4810">
        <v>141836.16</v>
      </c>
      <c r="L4810" t="str">
        <f t="shared" si="300"/>
        <v>Oct</v>
      </c>
      <c r="M4810">
        <f t="shared" si="301"/>
        <v>2025</v>
      </c>
      <c r="N4810">
        <f t="shared" si="302"/>
        <v>141836.16</v>
      </c>
      <c r="O4810" t="str">
        <f t="shared" si="303"/>
        <v>On Time</v>
      </c>
    </row>
    <row r="4811" spans="1:15" x14ac:dyDescent="0.25">
      <c r="A4811">
        <v>4810</v>
      </c>
      <c r="B4811" s="2">
        <v>45825</v>
      </c>
      <c r="C4811" t="s">
        <v>18</v>
      </c>
      <c r="D4811" t="s">
        <v>29</v>
      </c>
      <c r="E4811" t="s">
        <v>20</v>
      </c>
      <c r="F4811" t="s">
        <v>21</v>
      </c>
      <c r="G4811">
        <v>90</v>
      </c>
      <c r="H4811">
        <v>466.42</v>
      </c>
      <c r="I4811">
        <v>48</v>
      </c>
      <c r="J4811" t="s">
        <v>15</v>
      </c>
      <c r="K4811">
        <v>41977.8</v>
      </c>
      <c r="L4811" t="str">
        <f t="shared" si="300"/>
        <v>Jun</v>
      </c>
      <c r="M4811">
        <f t="shared" si="301"/>
        <v>2025</v>
      </c>
      <c r="N4811">
        <f t="shared" si="302"/>
        <v>41977.8</v>
      </c>
      <c r="O4811" t="str">
        <f t="shared" si="303"/>
        <v>Moderate Delay</v>
      </c>
    </row>
    <row r="4812" spans="1:15" x14ac:dyDescent="0.25">
      <c r="A4812">
        <v>4811</v>
      </c>
      <c r="B4812" s="2">
        <v>45743</v>
      </c>
      <c r="C4812" t="s">
        <v>18</v>
      </c>
      <c r="D4812" t="s">
        <v>29</v>
      </c>
      <c r="E4812" t="s">
        <v>12</v>
      </c>
      <c r="F4812" t="s">
        <v>21</v>
      </c>
      <c r="G4812">
        <v>209</v>
      </c>
      <c r="H4812">
        <v>534.59</v>
      </c>
      <c r="I4812">
        <v>0</v>
      </c>
      <c r="J4812" t="s">
        <v>15</v>
      </c>
      <c r="K4812">
        <v>111729.31</v>
      </c>
      <c r="L4812" t="str">
        <f t="shared" si="300"/>
        <v>Mar</v>
      </c>
      <c r="M4812">
        <f t="shared" si="301"/>
        <v>2025</v>
      </c>
      <c r="N4812">
        <f t="shared" si="302"/>
        <v>111729.31000000001</v>
      </c>
      <c r="O4812" t="str">
        <f t="shared" si="303"/>
        <v>On Time</v>
      </c>
    </row>
    <row r="4813" spans="1:15" x14ac:dyDescent="0.25">
      <c r="A4813">
        <v>4812</v>
      </c>
      <c r="B4813" s="2">
        <v>45977</v>
      </c>
      <c r="C4813" t="s">
        <v>18</v>
      </c>
      <c r="D4813" t="s">
        <v>23</v>
      </c>
      <c r="E4813" t="s">
        <v>12</v>
      </c>
      <c r="F4813" t="s">
        <v>14</v>
      </c>
      <c r="G4813">
        <v>213</v>
      </c>
      <c r="H4813">
        <v>452.07</v>
      </c>
      <c r="I4813">
        <v>14</v>
      </c>
      <c r="J4813" t="s">
        <v>15</v>
      </c>
      <c r="K4813">
        <v>96290.91</v>
      </c>
      <c r="L4813" t="str">
        <f t="shared" si="300"/>
        <v>Nov</v>
      </c>
      <c r="M4813">
        <f t="shared" si="301"/>
        <v>2025</v>
      </c>
      <c r="N4813">
        <f t="shared" si="302"/>
        <v>96290.91</v>
      </c>
      <c r="O4813" t="str">
        <f t="shared" si="303"/>
        <v>Minor Delay</v>
      </c>
    </row>
    <row r="4814" spans="1:15" x14ac:dyDescent="0.25">
      <c r="A4814">
        <v>4813</v>
      </c>
      <c r="B4814" s="2">
        <v>45846</v>
      </c>
      <c r="C4814" t="s">
        <v>11</v>
      </c>
      <c r="D4814" t="s">
        <v>22</v>
      </c>
      <c r="E4814" t="s">
        <v>17</v>
      </c>
      <c r="F4814" t="s">
        <v>24</v>
      </c>
      <c r="G4814">
        <v>232</v>
      </c>
      <c r="H4814">
        <v>227.91</v>
      </c>
      <c r="I4814">
        <v>14</v>
      </c>
      <c r="J4814" t="s">
        <v>15</v>
      </c>
      <c r="K4814">
        <v>52875.12</v>
      </c>
      <c r="L4814" t="str">
        <f t="shared" si="300"/>
        <v>Jul</v>
      </c>
      <c r="M4814">
        <f t="shared" si="301"/>
        <v>2025</v>
      </c>
      <c r="N4814">
        <f t="shared" si="302"/>
        <v>52875.12</v>
      </c>
      <c r="O4814" t="str">
        <f t="shared" si="303"/>
        <v>Minor Delay</v>
      </c>
    </row>
    <row r="4815" spans="1:15" x14ac:dyDescent="0.25">
      <c r="A4815">
        <v>4814</v>
      </c>
      <c r="B4815" s="2">
        <v>45721</v>
      </c>
      <c r="C4815" t="s">
        <v>31</v>
      </c>
      <c r="D4815" t="s">
        <v>17</v>
      </c>
      <c r="E4815" t="s">
        <v>19</v>
      </c>
      <c r="F4815" t="s">
        <v>24</v>
      </c>
      <c r="G4815">
        <v>144</v>
      </c>
      <c r="H4815">
        <v>478.46</v>
      </c>
      <c r="I4815">
        <v>0</v>
      </c>
      <c r="J4815" t="s">
        <v>30</v>
      </c>
      <c r="K4815">
        <v>68898.240000000005</v>
      </c>
      <c r="L4815" t="str">
        <f t="shared" si="300"/>
        <v>Mar</v>
      </c>
      <c r="M4815">
        <f t="shared" si="301"/>
        <v>2025</v>
      </c>
      <c r="N4815">
        <f t="shared" si="302"/>
        <v>68898.239999999991</v>
      </c>
      <c r="O4815" t="str">
        <f t="shared" si="303"/>
        <v>On Time</v>
      </c>
    </row>
    <row r="4816" spans="1:15" x14ac:dyDescent="0.25">
      <c r="A4816">
        <v>4815</v>
      </c>
      <c r="B4816" s="2">
        <v>45721</v>
      </c>
      <c r="C4816" t="s">
        <v>18</v>
      </c>
      <c r="D4816" t="s">
        <v>13</v>
      </c>
      <c r="E4816" t="s">
        <v>27</v>
      </c>
      <c r="F4816" t="s">
        <v>21</v>
      </c>
      <c r="G4816">
        <v>263</v>
      </c>
      <c r="H4816">
        <v>249.03</v>
      </c>
      <c r="I4816">
        <v>0</v>
      </c>
      <c r="J4816" t="s">
        <v>15</v>
      </c>
      <c r="K4816">
        <v>65494.89</v>
      </c>
      <c r="L4816" t="str">
        <f t="shared" si="300"/>
        <v>Mar</v>
      </c>
      <c r="M4816">
        <f t="shared" si="301"/>
        <v>2025</v>
      </c>
      <c r="N4816">
        <f t="shared" si="302"/>
        <v>65494.89</v>
      </c>
      <c r="O4816" t="str">
        <f t="shared" si="303"/>
        <v>On Time</v>
      </c>
    </row>
    <row r="4817" spans="1:15" x14ac:dyDescent="0.25">
      <c r="A4817">
        <v>4816</v>
      </c>
      <c r="B4817" s="2">
        <v>45660</v>
      </c>
      <c r="C4817" t="s">
        <v>16</v>
      </c>
      <c r="D4817" t="s">
        <v>23</v>
      </c>
      <c r="E4817" t="s">
        <v>13</v>
      </c>
      <c r="F4817" t="s">
        <v>21</v>
      </c>
      <c r="G4817">
        <v>237</v>
      </c>
      <c r="H4817">
        <v>261.08</v>
      </c>
      <c r="I4817">
        <v>3</v>
      </c>
      <c r="J4817" t="s">
        <v>15</v>
      </c>
      <c r="K4817">
        <v>61875.96</v>
      </c>
      <c r="L4817" t="str">
        <f t="shared" si="300"/>
        <v>Jan</v>
      </c>
      <c r="M4817">
        <f t="shared" si="301"/>
        <v>2025</v>
      </c>
      <c r="N4817">
        <f t="shared" si="302"/>
        <v>61875.96</v>
      </c>
      <c r="O4817" t="str">
        <f t="shared" si="303"/>
        <v>Minor Delay</v>
      </c>
    </row>
    <row r="4818" spans="1:15" x14ac:dyDescent="0.25">
      <c r="A4818">
        <v>4817</v>
      </c>
      <c r="B4818" s="2">
        <v>45681</v>
      </c>
      <c r="C4818" t="s">
        <v>11</v>
      </c>
      <c r="D4818" t="s">
        <v>22</v>
      </c>
      <c r="E4818" t="s">
        <v>20</v>
      </c>
      <c r="F4818" t="s">
        <v>14</v>
      </c>
      <c r="G4818">
        <v>248</v>
      </c>
      <c r="H4818">
        <v>697.47</v>
      </c>
      <c r="I4818">
        <v>48</v>
      </c>
      <c r="J4818" t="s">
        <v>15</v>
      </c>
      <c r="K4818">
        <v>172972.56</v>
      </c>
      <c r="L4818" t="str">
        <f t="shared" si="300"/>
        <v>Jan</v>
      </c>
      <c r="M4818">
        <f t="shared" si="301"/>
        <v>2025</v>
      </c>
      <c r="N4818">
        <f t="shared" si="302"/>
        <v>172972.56</v>
      </c>
      <c r="O4818" t="str">
        <f t="shared" si="303"/>
        <v>Moderate Delay</v>
      </c>
    </row>
    <row r="4819" spans="1:15" x14ac:dyDescent="0.25">
      <c r="A4819">
        <v>4818</v>
      </c>
      <c r="B4819" s="2">
        <v>45968</v>
      </c>
      <c r="C4819" t="s">
        <v>18</v>
      </c>
      <c r="D4819" t="s">
        <v>13</v>
      </c>
      <c r="E4819" t="s">
        <v>27</v>
      </c>
      <c r="F4819" t="s">
        <v>14</v>
      </c>
      <c r="G4819">
        <v>199</v>
      </c>
      <c r="H4819">
        <v>364.23</v>
      </c>
      <c r="I4819">
        <v>48</v>
      </c>
      <c r="J4819" t="s">
        <v>15</v>
      </c>
      <c r="K4819">
        <v>72481.77</v>
      </c>
      <c r="L4819" t="str">
        <f t="shared" si="300"/>
        <v>Nov</v>
      </c>
      <c r="M4819">
        <f t="shared" si="301"/>
        <v>2025</v>
      </c>
      <c r="N4819">
        <f t="shared" si="302"/>
        <v>72481.77</v>
      </c>
      <c r="O4819" t="str">
        <f t="shared" si="303"/>
        <v>Moderate Delay</v>
      </c>
    </row>
    <row r="4820" spans="1:15" x14ac:dyDescent="0.25">
      <c r="A4820">
        <v>4819</v>
      </c>
      <c r="B4820" s="2">
        <v>45814</v>
      </c>
      <c r="C4820" t="s">
        <v>11</v>
      </c>
      <c r="D4820" t="s">
        <v>29</v>
      </c>
      <c r="E4820" t="s">
        <v>17</v>
      </c>
      <c r="F4820" t="s">
        <v>24</v>
      </c>
      <c r="G4820">
        <v>286</v>
      </c>
      <c r="H4820">
        <v>212.54</v>
      </c>
      <c r="I4820">
        <v>11</v>
      </c>
      <c r="J4820" t="s">
        <v>15</v>
      </c>
      <c r="K4820">
        <v>60786.44</v>
      </c>
      <c r="L4820" t="str">
        <f t="shared" si="300"/>
        <v>Jun</v>
      </c>
      <c r="M4820">
        <f t="shared" si="301"/>
        <v>2025</v>
      </c>
      <c r="N4820">
        <f t="shared" si="302"/>
        <v>60786.439999999995</v>
      </c>
      <c r="O4820" t="str">
        <f t="shared" si="303"/>
        <v>Minor Delay</v>
      </c>
    </row>
    <row r="4821" spans="1:15" x14ac:dyDescent="0.25">
      <c r="A4821">
        <v>4820</v>
      </c>
      <c r="B4821" s="2">
        <v>45716</v>
      </c>
      <c r="C4821" t="s">
        <v>25</v>
      </c>
      <c r="D4821" t="s">
        <v>29</v>
      </c>
      <c r="E4821" t="s">
        <v>17</v>
      </c>
      <c r="F4821" t="s">
        <v>21</v>
      </c>
      <c r="G4821">
        <v>172</v>
      </c>
      <c r="H4821">
        <v>570.34</v>
      </c>
      <c r="I4821">
        <v>100</v>
      </c>
      <c r="J4821" t="s">
        <v>30</v>
      </c>
      <c r="K4821">
        <v>98098.48</v>
      </c>
      <c r="L4821" t="str">
        <f t="shared" si="300"/>
        <v>Feb</v>
      </c>
      <c r="M4821">
        <f t="shared" si="301"/>
        <v>2025</v>
      </c>
      <c r="N4821">
        <f t="shared" si="302"/>
        <v>98098.48000000001</v>
      </c>
      <c r="O4821" t="str">
        <f t="shared" si="303"/>
        <v>Major Delay</v>
      </c>
    </row>
    <row r="4822" spans="1:15" x14ac:dyDescent="0.25">
      <c r="A4822">
        <v>4821</v>
      </c>
      <c r="B4822" s="2">
        <v>45799</v>
      </c>
      <c r="C4822" t="s">
        <v>18</v>
      </c>
      <c r="D4822" t="s">
        <v>17</v>
      </c>
      <c r="E4822" t="s">
        <v>22</v>
      </c>
      <c r="F4822" t="s">
        <v>21</v>
      </c>
      <c r="G4822">
        <v>290</v>
      </c>
      <c r="H4822">
        <v>331.01</v>
      </c>
      <c r="I4822">
        <v>42</v>
      </c>
      <c r="J4822" t="s">
        <v>15</v>
      </c>
      <c r="K4822">
        <v>95992.9</v>
      </c>
      <c r="L4822" t="str">
        <f t="shared" si="300"/>
        <v>May</v>
      </c>
      <c r="M4822">
        <f t="shared" si="301"/>
        <v>2025</v>
      </c>
      <c r="N4822">
        <f t="shared" si="302"/>
        <v>95992.9</v>
      </c>
      <c r="O4822" t="str">
        <f t="shared" si="303"/>
        <v>Moderate Delay</v>
      </c>
    </row>
    <row r="4823" spans="1:15" x14ac:dyDescent="0.25">
      <c r="A4823">
        <v>4822</v>
      </c>
      <c r="B4823" s="2">
        <v>45692</v>
      </c>
      <c r="C4823" t="s">
        <v>16</v>
      </c>
      <c r="D4823" t="s">
        <v>19</v>
      </c>
      <c r="E4823" t="s">
        <v>27</v>
      </c>
      <c r="F4823" t="s">
        <v>21</v>
      </c>
      <c r="G4823">
        <v>132</v>
      </c>
      <c r="H4823">
        <v>198.76</v>
      </c>
      <c r="I4823">
        <v>3</v>
      </c>
      <c r="J4823" t="s">
        <v>15</v>
      </c>
      <c r="K4823">
        <v>26236.32</v>
      </c>
      <c r="L4823" t="str">
        <f t="shared" si="300"/>
        <v>Feb</v>
      </c>
      <c r="M4823">
        <f t="shared" si="301"/>
        <v>2025</v>
      </c>
      <c r="N4823">
        <f t="shared" si="302"/>
        <v>26236.32</v>
      </c>
      <c r="O4823" t="str">
        <f t="shared" si="303"/>
        <v>Minor Delay</v>
      </c>
    </row>
    <row r="4824" spans="1:15" x14ac:dyDescent="0.25">
      <c r="A4824">
        <v>4823</v>
      </c>
      <c r="B4824" s="2">
        <v>45989</v>
      </c>
      <c r="C4824" t="s">
        <v>25</v>
      </c>
      <c r="D4824" t="s">
        <v>29</v>
      </c>
      <c r="E4824" t="s">
        <v>17</v>
      </c>
      <c r="F4824" t="s">
        <v>21</v>
      </c>
      <c r="G4824">
        <v>64</v>
      </c>
      <c r="H4824">
        <v>649.11</v>
      </c>
      <c r="I4824">
        <v>9</v>
      </c>
      <c r="J4824" t="s">
        <v>15</v>
      </c>
      <c r="K4824">
        <v>41543.040000000001</v>
      </c>
      <c r="L4824" t="str">
        <f t="shared" si="300"/>
        <v>Nov</v>
      </c>
      <c r="M4824">
        <f t="shared" si="301"/>
        <v>2025</v>
      </c>
      <c r="N4824">
        <f t="shared" si="302"/>
        <v>41543.040000000001</v>
      </c>
      <c r="O4824" t="str">
        <f t="shared" si="303"/>
        <v>Minor Delay</v>
      </c>
    </row>
    <row r="4825" spans="1:15" x14ac:dyDescent="0.25">
      <c r="A4825">
        <v>4824</v>
      </c>
      <c r="B4825" s="2">
        <v>45863</v>
      </c>
      <c r="C4825" t="s">
        <v>16</v>
      </c>
      <c r="D4825" t="s">
        <v>22</v>
      </c>
      <c r="E4825" t="s">
        <v>19</v>
      </c>
      <c r="F4825" t="s">
        <v>21</v>
      </c>
      <c r="G4825">
        <v>77</v>
      </c>
      <c r="H4825">
        <v>411.84</v>
      </c>
      <c r="I4825">
        <v>0</v>
      </c>
      <c r="J4825" t="s">
        <v>30</v>
      </c>
      <c r="K4825">
        <v>31711.68</v>
      </c>
      <c r="L4825" t="str">
        <f t="shared" si="300"/>
        <v>Jul</v>
      </c>
      <c r="M4825">
        <f t="shared" si="301"/>
        <v>2025</v>
      </c>
      <c r="N4825">
        <f t="shared" si="302"/>
        <v>31711.679999999997</v>
      </c>
      <c r="O4825" t="str">
        <f t="shared" si="303"/>
        <v>On Time</v>
      </c>
    </row>
    <row r="4826" spans="1:15" x14ac:dyDescent="0.25">
      <c r="A4826">
        <v>4825</v>
      </c>
      <c r="B4826" s="2">
        <v>45689</v>
      </c>
      <c r="C4826" t="s">
        <v>11</v>
      </c>
      <c r="D4826" t="s">
        <v>13</v>
      </c>
      <c r="E4826" t="s">
        <v>22</v>
      </c>
      <c r="F4826" t="s">
        <v>24</v>
      </c>
      <c r="G4826">
        <v>146</v>
      </c>
      <c r="H4826">
        <v>766.03</v>
      </c>
      <c r="I4826">
        <v>39</v>
      </c>
      <c r="J4826" t="s">
        <v>15</v>
      </c>
      <c r="K4826">
        <v>111840.38</v>
      </c>
      <c r="L4826" t="str">
        <f t="shared" si="300"/>
        <v>Feb</v>
      </c>
      <c r="M4826">
        <f t="shared" si="301"/>
        <v>2025</v>
      </c>
      <c r="N4826">
        <f t="shared" si="302"/>
        <v>111840.37999999999</v>
      </c>
      <c r="O4826" t="str">
        <f t="shared" si="303"/>
        <v>Moderate Delay</v>
      </c>
    </row>
    <row r="4827" spans="1:15" x14ac:dyDescent="0.25">
      <c r="A4827">
        <v>4826</v>
      </c>
      <c r="B4827" s="2">
        <v>46007</v>
      </c>
      <c r="C4827" t="s">
        <v>18</v>
      </c>
      <c r="D4827" t="s">
        <v>12</v>
      </c>
      <c r="E4827" t="s">
        <v>20</v>
      </c>
      <c r="F4827" t="s">
        <v>24</v>
      </c>
      <c r="G4827">
        <v>169</v>
      </c>
      <c r="H4827">
        <v>320.57</v>
      </c>
      <c r="I4827">
        <v>27</v>
      </c>
      <c r="J4827" t="s">
        <v>15</v>
      </c>
      <c r="K4827">
        <v>54176.33</v>
      </c>
      <c r="L4827" t="str">
        <f t="shared" si="300"/>
        <v>Dec</v>
      </c>
      <c r="M4827">
        <f t="shared" si="301"/>
        <v>2025</v>
      </c>
      <c r="N4827">
        <f t="shared" si="302"/>
        <v>54176.33</v>
      </c>
      <c r="O4827" t="str">
        <f t="shared" si="303"/>
        <v>Minor Delay</v>
      </c>
    </row>
    <row r="4828" spans="1:15" x14ac:dyDescent="0.25">
      <c r="A4828">
        <v>4827</v>
      </c>
      <c r="B4828" s="2">
        <v>45714</v>
      </c>
      <c r="C4828" t="s">
        <v>11</v>
      </c>
      <c r="D4828" t="s">
        <v>13</v>
      </c>
      <c r="E4828" t="s">
        <v>27</v>
      </c>
      <c r="F4828" t="s">
        <v>24</v>
      </c>
      <c r="G4828">
        <v>197</v>
      </c>
      <c r="H4828">
        <v>794.73</v>
      </c>
      <c r="I4828">
        <v>17</v>
      </c>
      <c r="J4828" t="s">
        <v>15</v>
      </c>
      <c r="K4828">
        <v>156561.81</v>
      </c>
      <c r="L4828" t="str">
        <f t="shared" si="300"/>
        <v>Feb</v>
      </c>
      <c r="M4828">
        <f t="shared" si="301"/>
        <v>2025</v>
      </c>
      <c r="N4828">
        <f t="shared" si="302"/>
        <v>156561.81</v>
      </c>
      <c r="O4828" t="str">
        <f t="shared" si="303"/>
        <v>Minor Delay</v>
      </c>
    </row>
    <row r="4829" spans="1:15" x14ac:dyDescent="0.25">
      <c r="A4829">
        <v>4828</v>
      </c>
      <c r="B4829" s="2">
        <v>45662</v>
      </c>
      <c r="C4829" t="s">
        <v>18</v>
      </c>
      <c r="D4829" t="s">
        <v>19</v>
      </c>
      <c r="E4829" t="s">
        <v>17</v>
      </c>
      <c r="F4829" t="s">
        <v>24</v>
      </c>
      <c r="G4829">
        <v>95</v>
      </c>
      <c r="H4829">
        <v>799.69</v>
      </c>
      <c r="I4829">
        <v>0</v>
      </c>
      <c r="J4829" t="s">
        <v>15</v>
      </c>
      <c r="K4829">
        <v>75970.55</v>
      </c>
      <c r="L4829" t="str">
        <f t="shared" si="300"/>
        <v>Jan</v>
      </c>
      <c r="M4829">
        <f t="shared" si="301"/>
        <v>2025</v>
      </c>
      <c r="N4829">
        <f t="shared" si="302"/>
        <v>75970.55</v>
      </c>
      <c r="O4829" t="str">
        <f t="shared" si="303"/>
        <v>On Time</v>
      </c>
    </row>
    <row r="4830" spans="1:15" x14ac:dyDescent="0.25">
      <c r="A4830">
        <v>4829</v>
      </c>
      <c r="B4830" s="2">
        <v>45765</v>
      </c>
      <c r="C4830" t="s">
        <v>31</v>
      </c>
      <c r="D4830" t="s">
        <v>13</v>
      </c>
      <c r="E4830" t="s">
        <v>22</v>
      </c>
      <c r="F4830" t="s">
        <v>21</v>
      </c>
      <c r="G4830">
        <v>211</v>
      </c>
      <c r="H4830">
        <v>134.51</v>
      </c>
      <c r="I4830">
        <v>41</v>
      </c>
      <c r="J4830" t="s">
        <v>15</v>
      </c>
      <c r="K4830">
        <v>28381.61</v>
      </c>
      <c r="L4830" t="str">
        <f t="shared" si="300"/>
        <v>Apr</v>
      </c>
      <c r="M4830">
        <f t="shared" si="301"/>
        <v>2025</v>
      </c>
      <c r="N4830">
        <f t="shared" si="302"/>
        <v>28381.609999999997</v>
      </c>
      <c r="O4830" t="str">
        <f t="shared" si="303"/>
        <v>Moderate Delay</v>
      </c>
    </row>
    <row r="4831" spans="1:15" x14ac:dyDescent="0.25">
      <c r="A4831">
        <v>4830</v>
      </c>
      <c r="B4831" s="2">
        <v>45675</v>
      </c>
      <c r="C4831" t="s">
        <v>11</v>
      </c>
      <c r="D4831" t="s">
        <v>29</v>
      </c>
      <c r="E4831" t="s">
        <v>27</v>
      </c>
      <c r="F4831" t="s">
        <v>21</v>
      </c>
      <c r="G4831">
        <v>139</v>
      </c>
      <c r="H4831">
        <v>290.89</v>
      </c>
      <c r="I4831">
        <v>6</v>
      </c>
      <c r="J4831" t="s">
        <v>30</v>
      </c>
      <c r="K4831">
        <v>40433.71</v>
      </c>
      <c r="L4831" t="str">
        <f t="shared" si="300"/>
        <v>Jan</v>
      </c>
      <c r="M4831">
        <f t="shared" si="301"/>
        <v>2025</v>
      </c>
      <c r="N4831">
        <f t="shared" si="302"/>
        <v>40433.71</v>
      </c>
      <c r="O4831" t="str">
        <f t="shared" si="303"/>
        <v>Minor Delay</v>
      </c>
    </row>
    <row r="4832" spans="1:15" x14ac:dyDescent="0.25">
      <c r="A4832">
        <v>4831</v>
      </c>
      <c r="B4832" s="2">
        <v>45952</v>
      </c>
      <c r="C4832" t="s">
        <v>16</v>
      </c>
      <c r="D4832" t="s">
        <v>17</v>
      </c>
      <c r="E4832" t="s">
        <v>19</v>
      </c>
      <c r="F4832" t="s">
        <v>24</v>
      </c>
      <c r="G4832">
        <v>180</v>
      </c>
      <c r="H4832">
        <v>288.64999999999998</v>
      </c>
      <c r="I4832">
        <v>0</v>
      </c>
      <c r="J4832" t="s">
        <v>15</v>
      </c>
      <c r="K4832">
        <v>51957</v>
      </c>
      <c r="L4832" t="str">
        <f t="shared" si="300"/>
        <v>Oct</v>
      </c>
      <c r="M4832">
        <f t="shared" si="301"/>
        <v>2025</v>
      </c>
      <c r="N4832">
        <f t="shared" si="302"/>
        <v>51956.999999999993</v>
      </c>
      <c r="O4832" t="str">
        <f t="shared" si="303"/>
        <v>On Time</v>
      </c>
    </row>
    <row r="4833" spans="1:15" x14ac:dyDescent="0.25">
      <c r="A4833">
        <v>4832</v>
      </c>
      <c r="B4833" s="2">
        <v>45802</v>
      </c>
      <c r="C4833" t="s">
        <v>18</v>
      </c>
      <c r="D4833" t="s">
        <v>17</v>
      </c>
      <c r="E4833" t="s">
        <v>13</v>
      </c>
      <c r="F4833" t="s">
        <v>24</v>
      </c>
      <c r="G4833">
        <v>278</v>
      </c>
      <c r="H4833">
        <v>439.16</v>
      </c>
      <c r="I4833">
        <v>44</v>
      </c>
      <c r="J4833" t="s">
        <v>28</v>
      </c>
      <c r="K4833">
        <v>122086.48</v>
      </c>
      <c r="L4833" t="str">
        <f t="shared" si="300"/>
        <v>May</v>
      </c>
      <c r="M4833">
        <f t="shared" si="301"/>
        <v>2025</v>
      </c>
      <c r="N4833">
        <f t="shared" si="302"/>
        <v>122086.48000000001</v>
      </c>
      <c r="O4833" t="str">
        <f t="shared" si="303"/>
        <v>Moderate Delay</v>
      </c>
    </row>
    <row r="4834" spans="1:15" x14ac:dyDescent="0.25">
      <c r="A4834">
        <v>4833</v>
      </c>
      <c r="B4834" s="2">
        <v>45881</v>
      </c>
      <c r="C4834" t="s">
        <v>31</v>
      </c>
      <c r="D4834" t="s">
        <v>13</v>
      </c>
      <c r="E4834" t="s">
        <v>23</v>
      </c>
      <c r="F4834" t="s">
        <v>14</v>
      </c>
      <c r="G4834">
        <v>150</v>
      </c>
      <c r="H4834">
        <v>573.34</v>
      </c>
      <c r="I4834">
        <v>50</v>
      </c>
      <c r="J4834" t="s">
        <v>15</v>
      </c>
      <c r="K4834">
        <v>86001</v>
      </c>
      <c r="L4834" t="str">
        <f t="shared" si="300"/>
        <v>Aug</v>
      </c>
      <c r="M4834">
        <f t="shared" si="301"/>
        <v>2025</v>
      </c>
      <c r="N4834">
        <f t="shared" si="302"/>
        <v>86001</v>
      </c>
      <c r="O4834" t="str">
        <f t="shared" si="303"/>
        <v>Moderate Delay</v>
      </c>
    </row>
    <row r="4835" spans="1:15" x14ac:dyDescent="0.25">
      <c r="A4835">
        <v>4834</v>
      </c>
      <c r="B4835" s="2">
        <v>45859</v>
      </c>
      <c r="C4835" t="s">
        <v>16</v>
      </c>
      <c r="D4835" t="s">
        <v>13</v>
      </c>
      <c r="E4835" t="s">
        <v>19</v>
      </c>
      <c r="F4835" t="s">
        <v>14</v>
      </c>
      <c r="G4835">
        <v>115</v>
      </c>
      <c r="H4835">
        <v>81.84</v>
      </c>
      <c r="I4835">
        <v>44</v>
      </c>
      <c r="J4835" t="s">
        <v>15</v>
      </c>
      <c r="K4835">
        <v>9411.6</v>
      </c>
      <c r="L4835" t="str">
        <f t="shared" si="300"/>
        <v>Jul</v>
      </c>
      <c r="M4835">
        <f t="shared" si="301"/>
        <v>2025</v>
      </c>
      <c r="N4835">
        <f t="shared" si="302"/>
        <v>9411.6</v>
      </c>
      <c r="O4835" t="str">
        <f t="shared" si="303"/>
        <v>Moderate Delay</v>
      </c>
    </row>
    <row r="4836" spans="1:15" x14ac:dyDescent="0.25">
      <c r="A4836">
        <v>4835</v>
      </c>
      <c r="B4836" s="2">
        <v>45705</v>
      </c>
      <c r="C4836" t="s">
        <v>11</v>
      </c>
      <c r="D4836" t="s">
        <v>20</v>
      </c>
      <c r="E4836" t="s">
        <v>19</v>
      </c>
      <c r="F4836" t="s">
        <v>14</v>
      </c>
      <c r="G4836">
        <v>252</v>
      </c>
      <c r="H4836">
        <v>630.39</v>
      </c>
      <c r="I4836">
        <v>63</v>
      </c>
      <c r="J4836" t="s">
        <v>15</v>
      </c>
      <c r="K4836">
        <v>158858.28</v>
      </c>
      <c r="L4836" t="str">
        <f t="shared" si="300"/>
        <v>Feb</v>
      </c>
      <c r="M4836">
        <f t="shared" si="301"/>
        <v>2025</v>
      </c>
      <c r="N4836">
        <f t="shared" si="302"/>
        <v>158858.28</v>
      </c>
      <c r="O4836" t="str">
        <f t="shared" si="303"/>
        <v>Major Delay</v>
      </c>
    </row>
    <row r="4837" spans="1:15" x14ac:dyDescent="0.25">
      <c r="A4837">
        <v>4836</v>
      </c>
      <c r="B4837" s="2">
        <v>45865</v>
      </c>
      <c r="C4837" t="s">
        <v>26</v>
      </c>
      <c r="D4837" t="s">
        <v>20</v>
      </c>
      <c r="E4837" t="s">
        <v>17</v>
      </c>
      <c r="F4837" t="s">
        <v>24</v>
      </c>
      <c r="G4837">
        <v>217</v>
      </c>
      <c r="H4837">
        <v>63.15</v>
      </c>
      <c r="I4837">
        <v>35</v>
      </c>
      <c r="J4837" t="s">
        <v>15</v>
      </c>
      <c r="K4837">
        <v>13703.55</v>
      </c>
      <c r="L4837" t="str">
        <f t="shared" si="300"/>
        <v>Jul</v>
      </c>
      <c r="M4837">
        <f t="shared" si="301"/>
        <v>2025</v>
      </c>
      <c r="N4837">
        <f t="shared" si="302"/>
        <v>13703.55</v>
      </c>
      <c r="O4837" t="str">
        <f t="shared" si="303"/>
        <v>Moderate Delay</v>
      </c>
    </row>
    <row r="4838" spans="1:15" x14ac:dyDescent="0.25">
      <c r="A4838">
        <v>4837</v>
      </c>
      <c r="B4838" s="2">
        <v>45738</v>
      </c>
      <c r="C4838" t="s">
        <v>25</v>
      </c>
      <c r="D4838" t="s">
        <v>29</v>
      </c>
      <c r="E4838" t="s">
        <v>22</v>
      </c>
      <c r="F4838" t="s">
        <v>21</v>
      </c>
      <c r="G4838">
        <v>79</v>
      </c>
      <c r="H4838">
        <v>571.79</v>
      </c>
      <c r="I4838">
        <v>0</v>
      </c>
      <c r="J4838" t="s">
        <v>15</v>
      </c>
      <c r="K4838">
        <v>45171.41</v>
      </c>
      <c r="L4838" t="str">
        <f t="shared" si="300"/>
        <v>Mar</v>
      </c>
      <c r="M4838">
        <f t="shared" si="301"/>
        <v>2025</v>
      </c>
      <c r="N4838">
        <f t="shared" si="302"/>
        <v>45171.409999999996</v>
      </c>
      <c r="O4838" t="str">
        <f t="shared" si="303"/>
        <v>On Time</v>
      </c>
    </row>
    <row r="4839" spans="1:15" x14ac:dyDescent="0.25">
      <c r="A4839">
        <v>4838</v>
      </c>
      <c r="B4839" s="2">
        <v>45914</v>
      </c>
      <c r="C4839" t="s">
        <v>25</v>
      </c>
      <c r="D4839" t="s">
        <v>19</v>
      </c>
      <c r="E4839" t="s">
        <v>29</v>
      </c>
      <c r="F4839" t="s">
        <v>24</v>
      </c>
      <c r="G4839">
        <v>283</v>
      </c>
      <c r="H4839">
        <v>114.23</v>
      </c>
      <c r="I4839">
        <v>36</v>
      </c>
      <c r="J4839" t="s">
        <v>15</v>
      </c>
      <c r="K4839">
        <v>32327.09</v>
      </c>
      <c r="L4839" t="str">
        <f t="shared" si="300"/>
        <v>Sep</v>
      </c>
      <c r="M4839">
        <f t="shared" si="301"/>
        <v>2025</v>
      </c>
      <c r="N4839">
        <f t="shared" si="302"/>
        <v>32327.09</v>
      </c>
      <c r="O4839" t="str">
        <f t="shared" si="303"/>
        <v>Moderate Delay</v>
      </c>
    </row>
    <row r="4840" spans="1:15" x14ac:dyDescent="0.25">
      <c r="A4840">
        <v>4839</v>
      </c>
      <c r="B4840" s="2">
        <v>45941</v>
      </c>
      <c r="C4840" t="s">
        <v>16</v>
      </c>
      <c r="D4840" t="s">
        <v>13</v>
      </c>
      <c r="E4840" t="s">
        <v>17</v>
      </c>
      <c r="F4840" t="s">
        <v>14</v>
      </c>
      <c r="G4840">
        <v>299</v>
      </c>
      <c r="H4840">
        <v>775.59</v>
      </c>
      <c r="I4840">
        <v>42</v>
      </c>
      <c r="J4840" t="s">
        <v>15</v>
      </c>
      <c r="K4840">
        <v>231901.41</v>
      </c>
      <c r="L4840" t="str">
        <f t="shared" si="300"/>
        <v>Oct</v>
      </c>
      <c r="M4840">
        <f t="shared" si="301"/>
        <v>2025</v>
      </c>
      <c r="N4840">
        <f t="shared" si="302"/>
        <v>231901.41</v>
      </c>
      <c r="O4840" t="str">
        <f t="shared" si="303"/>
        <v>Moderate Delay</v>
      </c>
    </row>
    <row r="4841" spans="1:15" x14ac:dyDescent="0.25">
      <c r="A4841">
        <v>4840</v>
      </c>
      <c r="B4841" s="2">
        <v>45851</v>
      </c>
      <c r="C4841" t="s">
        <v>18</v>
      </c>
      <c r="D4841" t="s">
        <v>12</v>
      </c>
      <c r="E4841" t="s">
        <v>23</v>
      </c>
      <c r="F4841" t="s">
        <v>21</v>
      </c>
      <c r="G4841">
        <v>243</v>
      </c>
      <c r="H4841">
        <v>752.18</v>
      </c>
      <c r="I4841">
        <v>24</v>
      </c>
      <c r="J4841" t="s">
        <v>15</v>
      </c>
      <c r="K4841">
        <v>182779.74</v>
      </c>
      <c r="L4841" t="str">
        <f t="shared" si="300"/>
        <v>Jul</v>
      </c>
      <c r="M4841">
        <f t="shared" si="301"/>
        <v>2025</v>
      </c>
      <c r="N4841">
        <f t="shared" si="302"/>
        <v>182779.74</v>
      </c>
      <c r="O4841" t="str">
        <f t="shared" si="303"/>
        <v>Minor Delay</v>
      </c>
    </row>
    <row r="4842" spans="1:15" x14ac:dyDescent="0.25">
      <c r="A4842">
        <v>4841</v>
      </c>
      <c r="B4842" s="2">
        <v>45840</v>
      </c>
      <c r="C4842" t="s">
        <v>26</v>
      </c>
      <c r="D4842" t="s">
        <v>17</v>
      </c>
      <c r="E4842" t="s">
        <v>23</v>
      </c>
      <c r="F4842" t="s">
        <v>24</v>
      </c>
      <c r="G4842">
        <v>84</v>
      </c>
      <c r="H4842">
        <v>362.48</v>
      </c>
      <c r="I4842">
        <v>17</v>
      </c>
      <c r="J4842" t="s">
        <v>15</v>
      </c>
      <c r="K4842">
        <v>30448.32</v>
      </c>
      <c r="L4842" t="str">
        <f t="shared" si="300"/>
        <v>Jul</v>
      </c>
      <c r="M4842">
        <f t="shared" si="301"/>
        <v>2025</v>
      </c>
      <c r="N4842">
        <f t="shared" si="302"/>
        <v>30448.32</v>
      </c>
      <c r="O4842" t="str">
        <f t="shared" si="303"/>
        <v>Minor Delay</v>
      </c>
    </row>
    <row r="4843" spans="1:15" x14ac:dyDescent="0.25">
      <c r="A4843">
        <v>4842</v>
      </c>
      <c r="B4843" s="2">
        <v>45912</v>
      </c>
      <c r="C4843" t="s">
        <v>16</v>
      </c>
      <c r="D4843" t="s">
        <v>22</v>
      </c>
      <c r="E4843" t="s">
        <v>17</v>
      </c>
      <c r="F4843" t="s">
        <v>24</v>
      </c>
      <c r="G4843">
        <v>296</v>
      </c>
      <c r="H4843">
        <v>768.14</v>
      </c>
      <c r="I4843">
        <v>25</v>
      </c>
      <c r="J4843" t="s">
        <v>15</v>
      </c>
      <c r="K4843">
        <v>227369.44</v>
      </c>
      <c r="L4843" t="str">
        <f t="shared" si="300"/>
        <v>Sep</v>
      </c>
      <c r="M4843">
        <f t="shared" si="301"/>
        <v>2025</v>
      </c>
      <c r="N4843">
        <f t="shared" si="302"/>
        <v>227369.44</v>
      </c>
      <c r="O4843" t="str">
        <f t="shared" si="303"/>
        <v>Minor Delay</v>
      </c>
    </row>
    <row r="4844" spans="1:15" x14ac:dyDescent="0.25">
      <c r="A4844">
        <v>4843</v>
      </c>
      <c r="B4844" s="2">
        <v>45945</v>
      </c>
      <c r="C4844" t="s">
        <v>18</v>
      </c>
      <c r="D4844" t="s">
        <v>22</v>
      </c>
      <c r="E4844" t="s">
        <v>13</v>
      </c>
      <c r="F4844" t="s">
        <v>21</v>
      </c>
      <c r="G4844">
        <v>176</v>
      </c>
      <c r="H4844">
        <v>718.22</v>
      </c>
      <c r="I4844">
        <v>18</v>
      </c>
      <c r="J4844" t="s">
        <v>15</v>
      </c>
      <c r="K4844">
        <v>126406.72</v>
      </c>
      <c r="L4844" t="str">
        <f t="shared" si="300"/>
        <v>Oct</v>
      </c>
      <c r="M4844">
        <f t="shared" si="301"/>
        <v>2025</v>
      </c>
      <c r="N4844">
        <f t="shared" si="302"/>
        <v>126406.72</v>
      </c>
      <c r="O4844" t="str">
        <f t="shared" si="303"/>
        <v>Minor Delay</v>
      </c>
    </row>
    <row r="4845" spans="1:15" x14ac:dyDescent="0.25">
      <c r="A4845">
        <v>4844</v>
      </c>
      <c r="B4845" s="2">
        <v>45993</v>
      </c>
      <c r="C4845" t="s">
        <v>11</v>
      </c>
      <c r="D4845" t="s">
        <v>22</v>
      </c>
      <c r="E4845" t="s">
        <v>20</v>
      </c>
      <c r="F4845" t="s">
        <v>24</v>
      </c>
      <c r="G4845">
        <v>193</v>
      </c>
      <c r="H4845">
        <v>353.89</v>
      </c>
      <c r="I4845">
        <v>30</v>
      </c>
      <c r="J4845" t="s">
        <v>15</v>
      </c>
      <c r="K4845">
        <v>68300.77</v>
      </c>
      <c r="L4845" t="str">
        <f t="shared" si="300"/>
        <v>Dec</v>
      </c>
      <c r="M4845">
        <f t="shared" si="301"/>
        <v>2025</v>
      </c>
      <c r="N4845">
        <f t="shared" si="302"/>
        <v>68300.77</v>
      </c>
      <c r="O4845" t="str">
        <f t="shared" si="303"/>
        <v>Minor Delay</v>
      </c>
    </row>
    <row r="4846" spans="1:15" x14ac:dyDescent="0.25">
      <c r="A4846">
        <v>4845</v>
      </c>
      <c r="B4846" s="2">
        <v>45818</v>
      </c>
      <c r="C4846" t="s">
        <v>18</v>
      </c>
      <c r="D4846" t="s">
        <v>17</v>
      </c>
      <c r="E4846" t="s">
        <v>19</v>
      </c>
      <c r="F4846" t="s">
        <v>14</v>
      </c>
      <c r="G4846">
        <v>58</v>
      </c>
      <c r="H4846">
        <v>343.33</v>
      </c>
      <c r="I4846">
        <v>34</v>
      </c>
      <c r="J4846" t="s">
        <v>15</v>
      </c>
      <c r="K4846">
        <v>19913.14</v>
      </c>
      <c r="L4846" t="str">
        <f t="shared" si="300"/>
        <v>Jun</v>
      </c>
      <c r="M4846">
        <f t="shared" si="301"/>
        <v>2025</v>
      </c>
      <c r="N4846">
        <f t="shared" si="302"/>
        <v>19913.14</v>
      </c>
      <c r="O4846" t="str">
        <f t="shared" si="303"/>
        <v>Moderate Delay</v>
      </c>
    </row>
    <row r="4847" spans="1:15" x14ac:dyDescent="0.25">
      <c r="A4847">
        <v>4846</v>
      </c>
      <c r="B4847" s="2">
        <v>45958</v>
      </c>
      <c r="C4847" t="s">
        <v>18</v>
      </c>
      <c r="D4847" t="s">
        <v>12</v>
      </c>
      <c r="E4847" t="s">
        <v>27</v>
      </c>
      <c r="F4847" t="s">
        <v>21</v>
      </c>
      <c r="G4847">
        <v>293</v>
      </c>
      <c r="H4847">
        <v>328.79</v>
      </c>
      <c r="I4847">
        <v>54</v>
      </c>
      <c r="J4847" t="s">
        <v>30</v>
      </c>
      <c r="K4847">
        <v>96335.47</v>
      </c>
      <c r="L4847" t="str">
        <f t="shared" si="300"/>
        <v>Oct</v>
      </c>
      <c r="M4847">
        <f t="shared" si="301"/>
        <v>2025</v>
      </c>
      <c r="N4847">
        <f t="shared" si="302"/>
        <v>96335.47</v>
      </c>
      <c r="O4847" t="str">
        <f t="shared" si="303"/>
        <v>Moderate Delay</v>
      </c>
    </row>
    <row r="4848" spans="1:15" x14ac:dyDescent="0.25">
      <c r="A4848">
        <v>4847</v>
      </c>
      <c r="B4848" s="2">
        <v>45924</v>
      </c>
      <c r="C4848" t="s">
        <v>26</v>
      </c>
      <c r="D4848" t="s">
        <v>19</v>
      </c>
      <c r="E4848" t="s">
        <v>27</v>
      </c>
      <c r="F4848" t="s">
        <v>21</v>
      </c>
      <c r="G4848">
        <v>135</v>
      </c>
      <c r="H4848">
        <v>221.23</v>
      </c>
      <c r="I4848">
        <v>27</v>
      </c>
      <c r="J4848" t="s">
        <v>30</v>
      </c>
      <c r="K4848">
        <v>29866.05</v>
      </c>
      <c r="L4848" t="str">
        <f t="shared" si="300"/>
        <v>Sep</v>
      </c>
      <c r="M4848">
        <f t="shared" si="301"/>
        <v>2025</v>
      </c>
      <c r="N4848">
        <f t="shared" si="302"/>
        <v>29866.05</v>
      </c>
      <c r="O4848" t="str">
        <f t="shared" si="303"/>
        <v>Minor Delay</v>
      </c>
    </row>
    <row r="4849" spans="1:15" x14ac:dyDescent="0.25">
      <c r="A4849">
        <v>4848</v>
      </c>
      <c r="B4849" s="2">
        <v>45829</v>
      </c>
      <c r="C4849" t="s">
        <v>31</v>
      </c>
      <c r="D4849" t="s">
        <v>23</v>
      </c>
      <c r="E4849" t="s">
        <v>22</v>
      </c>
      <c r="F4849" t="s">
        <v>21</v>
      </c>
      <c r="G4849">
        <v>55</v>
      </c>
      <c r="H4849">
        <v>555.09</v>
      </c>
      <c r="I4849">
        <v>6</v>
      </c>
      <c r="J4849" t="s">
        <v>15</v>
      </c>
      <c r="K4849">
        <v>30529.95</v>
      </c>
      <c r="L4849" t="str">
        <f t="shared" si="300"/>
        <v>Jun</v>
      </c>
      <c r="M4849">
        <f t="shared" si="301"/>
        <v>2025</v>
      </c>
      <c r="N4849">
        <f t="shared" si="302"/>
        <v>30529.95</v>
      </c>
      <c r="O4849" t="str">
        <f t="shared" si="303"/>
        <v>Minor Delay</v>
      </c>
    </row>
    <row r="4850" spans="1:15" x14ac:dyDescent="0.25">
      <c r="A4850">
        <v>4849</v>
      </c>
      <c r="B4850" s="2">
        <v>46010</v>
      </c>
      <c r="C4850" t="s">
        <v>11</v>
      </c>
      <c r="D4850" t="s">
        <v>20</v>
      </c>
      <c r="E4850" t="s">
        <v>17</v>
      </c>
      <c r="F4850" t="s">
        <v>14</v>
      </c>
      <c r="G4850">
        <v>100</v>
      </c>
      <c r="H4850">
        <v>754.06</v>
      </c>
      <c r="I4850">
        <v>10</v>
      </c>
      <c r="J4850" t="s">
        <v>15</v>
      </c>
      <c r="K4850">
        <v>75406</v>
      </c>
      <c r="L4850" t="str">
        <f t="shared" si="300"/>
        <v>Dec</v>
      </c>
      <c r="M4850">
        <f t="shared" si="301"/>
        <v>2025</v>
      </c>
      <c r="N4850">
        <f t="shared" si="302"/>
        <v>75406</v>
      </c>
      <c r="O4850" t="str">
        <f t="shared" si="303"/>
        <v>Minor Delay</v>
      </c>
    </row>
    <row r="4851" spans="1:15" x14ac:dyDescent="0.25">
      <c r="A4851">
        <v>4850</v>
      </c>
      <c r="B4851" s="2">
        <v>45821</v>
      </c>
      <c r="C4851" t="s">
        <v>11</v>
      </c>
      <c r="D4851" t="s">
        <v>17</v>
      </c>
      <c r="E4851" t="s">
        <v>12</v>
      </c>
      <c r="F4851" t="s">
        <v>21</v>
      </c>
      <c r="G4851">
        <v>255</v>
      </c>
      <c r="H4851">
        <v>737.8</v>
      </c>
      <c r="I4851">
        <v>25</v>
      </c>
      <c r="J4851" t="s">
        <v>15</v>
      </c>
      <c r="K4851">
        <v>188139</v>
      </c>
      <c r="L4851" t="str">
        <f t="shared" si="300"/>
        <v>Jun</v>
      </c>
      <c r="M4851">
        <f t="shared" si="301"/>
        <v>2025</v>
      </c>
      <c r="N4851">
        <f t="shared" si="302"/>
        <v>188139</v>
      </c>
      <c r="O4851" t="str">
        <f t="shared" si="303"/>
        <v>Minor Delay</v>
      </c>
    </row>
    <row r="4852" spans="1:15" x14ac:dyDescent="0.25">
      <c r="A4852">
        <v>4851</v>
      </c>
      <c r="B4852" s="2">
        <v>45730</v>
      </c>
      <c r="C4852" t="s">
        <v>11</v>
      </c>
      <c r="D4852" t="s">
        <v>19</v>
      </c>
      <c r="E4852" t="s">
        <v>29</v>
      </c>
      <c r="F4852" t="s">
        <v>21</v>
      </c>
      <c r="G4852">
        <v>252</v>
      </c>
      <c r="H4852">
        <v>253.67</v>
      </c>
      <c r="I4852">
        <v>39</v>
      </c>
      <c r="J4852" t="s">
        <v>15</v>
      </c>
      <c r="K4852">
        <v>63924.84</v>
      </c>
      <c r="L4852" t="str">
        <f t="shared" si="300"/>
        <v>Mar</v>
      </c>
      <c r="M4852">
        <f t="shared" si="301"/>
        <v>2025</v>
      </c>
      <c r="N4852">
        <f t="shared" si="302"/>
        <v>63924.84</v>
      </c>
      <c r="O4852" t="str">
        <f t="shared" si="303"/>
        <v>Moderate Delay</v>
      </c>
    </row>
    <row r="4853" spans="1:15" x14ac:dyDescent="0.25">
      <c r="A4853">
        <v>4852</v>
      </c>
      <c r="B4853" s="2">
        <v>45659</v>
      </c>
      <c r="C4853" t="s">
        <v>16</v>
      </c>
      <c r="D4853" t="s">
        <v>27</v>
      </c>
      <c r="E4853" t="s">
        <v>12</v>
      </c>
      <c r="F4853" t="s">
        <v>24</v>
      </c>
      <c r="G4853">
        <v>185</v>
      </c>
      <c r="H4853">
        <v>571.33000000000004</v>
      </c>
      <c r="I4853">
        <v>1</v>
      </c>
      <c r="J4853" t="s">
        <v>15</v>
      </c>
      <c r="K4853">
        <v>105696.05</v>
      </c>
      <c r="L4853" t="str">
        <f t="shared" si="300"/>
        <v>Jan</v>
      </c>
      <c r="M4853">
        <f t="shared" si="301"/>
        <v>2025</v>
      </c>
      <c r="N4853">
        <f t="shared" si="302"/>
        <v>105696.05</v>
      </c>
      <c r="O4853" t="str">
        <f t="shared" si="303"/>
        <v>Minor Delay</v>
      </c>
    </row>
    <row r="4854" spans="1:15" x14ac:dyDescent="0.25">
      <c r="A4854">
        <v>4853</v>
      </c>
      <c r="B4854" s="2">
        <v>45973</v>
      </c>
      <c r="C4854" t="s">
        <v>31</v>
      </c>
      <c r="D4854" t="s">
        <v>20</v>
      </c>
      <c r="E4854" t="s">
        <v>12</v>
      </c>
      <c r="F4854" t="s">
        <v>21</v>
      </c>
      <c r="G4854">
        <v>119</v>
      </c>
      <c r="H4854">
        <v>92.23</v>
      </c>
      <c r="I4854">
        <v>38</v>
      </c>
      <c r="J4854" t="s">
        <v>30</v>
      </c>
      <c r="K4854">
        <v>10975.37</v>
      </c>
      <c r="L4854" t="str">
        <f t="shared" si="300"/>
        <v>Nov</v>
      </c>
      <c r="M4854">
        <f t="shared" si="301"/>
        <v>2025</v>
      </c>
      <c r="N4854">
        <f t="shared" si="302"/>
        <v>10975.37</v>
      </c>
      <c r="O4854" t="str">
        <f t="shared" si="303"/>
        <v>Moderate Delay</v>
      </c>
    </row>
    <row r="4855" spans="1:15" x14ac:dyDescent="0.25">
      <c r="A4855">
        <v>4854</v>
      </c>
      <c r="B4855" s="2">
        <v>45887</v>
      </c>
      <c r="C4855" t="s">
        <v>26</v>
      </c>
      <c r="D4855" t="s">
        <v>23</v>
      </c>
      <c r="E4855" t="s">
        <v>19</v>
      </c>
      <c r="F4855" t="s">
        <v>21</v>
      </c>
      <c r="G4855">
        <v>220</v>
      </c>
      <c r="H4855">
        <v>625.59</v>
      </c>
      <c r="I4855">
        <v>0</v>
      </c>
      <c r="J4855" t="s">
        <v>30</v>
      </c>
      <c r="K4855">
        <v>137629.79999999999</v>
      </c>
      <c r="L4855" t="str">
        <f t="shared" si="300"/>
        <v>Aug</v>
      </c>
      <c r="M4855">
        <f t="shared" si="301"/>
        <v>2025</v>
      </c>
      <c r="N4855">
        <f t="shared" si="302"/>
        <v>137629.80000000002</v>
      </c>
      <c r="O4855" t="str">
        <f t="shared" si="303"/>
        <v>On Time</v>
      </c>
    </row>
    <row r="4856" spans="1:15" x14ac:dyDescent="0.25">
      <c r="A4856">
        <v>4855</v>
      </c>
      <c r="B4856" s="2">
        <v>45863</v>
      </c>
      <c r="C4856" t="s">
        <v>31</v>
      </c>
      <c r="D4856" t="s">
        <v>12</v>
      </c>
      <c r="E4856" t="s">
        <v>19</v>
      </c>
      <c r="F4856" t="s">
        <v>14</v>
      </c>
      <c r="G4856">
        <v>174</v>
      </c>
      <c r="H4856">
        <v>618.02</v>
      </c>
      <c r="I4856">
        <v>17</v>
      </c>
      <c r="J4856" t="s">
        <v>15</v>
      </c>
      <c r="K4856">
        <v>107535.48</v>
      </c>
      <c r="L4856" t="str">
        <f t="shared" si="300"/>
        <v>Jul</v>
      </c>
      <c r="M4856">
        <f t="shared" si="301"/>
        <v>2025</v>
      </c>
      <c r="N4856">
        <f t="shared" si="302"/>
        <v>107535.48</v>
      </c>
      <c r="O4856" t="str">
        <f t="shared" si="303"/>
        <v>Minor Delay</v>
      </c>
    </row>
    <row r="4857" spans="1:15" x14ac:dyDescent="0.25">
      <c r="A4857">
        <v>4856</v>
      </c>
      <c r="B4857" s="2">
        <v>45921</v>
      </c>
      <c r="C4857" t="s">
        <v>31</v>
      </c>
      <c r="D4857" t="s">
        <v>13</v>
      </c>
      <c r="E4857" t="s">
        <v>17</v>
      </c>
      <c r="F4857" t="s">
        <v>21</v>
      </c>
      <c r="G4857">
        <v>205</v>
      </c>
      <c r="H4857">
        <v>705.74</v>
      </c>
      <c r="I4857">
        <v>18</v>
      </c>
      <c r="J4857" t="s">
        <v>15</v>
      </c>
      <c r="K4857">
        <v>144676.70000000001</v>
      </c>
      <c r="L4857" t="str">
        <f t="shared" si="300"/>
        <v>Sep</v>
      </c>
      <c r="M4857">
        <f t="shared" si="301"/>
        <v>2025</v>
      </c>
      <c r="N4857">
        <f t="shared" si="302"/>
        <v>144676.70000000001</v>
      </c>
      <c r="O4857" t="str">
        <f t="shared" si="303"/>
        <v>Minor Delay</v>
      </c>
    </row>
    <row r="4858" spans="1:15" x14ac:dyDescent="0.25">
      <c r="A4858">
        <v>4857</v>
      </c>
      <c r="B4858" s="2">
        <v>45937</v>
      </c>
      <c r="C4858" t="s">
        <v>16</v>
      </c>
      <c r="D4858" t="s">
        <v>27</v>
      </c>
      <c r="E4858" t="s">
        <v>13</v>
      </c>
      <c r="F4858" t="s">
        <v>24</v>
      </c>
      <c r="G4858">
        <v>54</v>
      </c>
      <c r="H4858">
        <v>202.52</v>
      </c>
      <c r="I4858">
        <v>10</v>
      </c>
      <c r="J4858" t="s">
        <v>15</v>
      </c>
      <c r="K4858">
        <v>10936.08</v>
      </c>
      <c r="L4858" t="str">
        <f t="shared" si="300"/>
        <v>Oct</v>
      </c>
      <c r="M4858">
        <f t="shared" si="301"/>
        <v>2025</v>
      </c>
      <c r="N4858">
        <f t="shared" si="302"/>
        <v>10936.08</v>
      </c>
      <c r="O4858" t="str">
        <f t="shared" si="303"/>
        <v>Minor Delay</v>
      </c>
    </row>
    <row r="4859" spans="1:15" x14ac:dyDescent="0.25">
      <c r="A4859">
        <v>4858</v>
      </c>
      <c r="B4859" s="2">
        <v>46013</v>
      </c>
      <c r="C4859" t="s">
        <v>25</v>
      </c>
      <c r="D4859" t="s">
        <v>13</v>
      </c>
      <c r="E4859" t="s">
        <v>29</v>
      </c>
      <c r="F4859" t="s">
        <v>14</v>
      </c>
      <c r="G4859">
        <v>136</v>
      </c>
      <c r="H4859">
        <v>338.72</v>
      </c>
      <c r="I4859">
        <v>66</v>
      </c>
      <c r="J4859" t="s">
        <v>30</v>
      </c>
      <c r="K4859">
        <v>46065.919999999998</v>
      </c>
      <c r="L4859" t="str">
        <f t="shared" si="300"/>
        <v>Dec</v>
      </c>
      <c r="M4859">
        <f t="shared" si="301"/>
        <v>2025</v>
      </c>
      <c r="N4859">
        <f t="shared" si="302"/>
        <v>46065.920000000006</v>
      </c>
      <c r="O4859" t="str">
        <f t="shared" si="303"/>
        <v>Major Delay</v>
      </c>
    </row>
    <row r="4860" spans="1:15" x14ac:dyDescent="0.25">
      <c r="A4860">
        <v>4859</v>
      </c>
      <c r="B4860" s="2">
        <v>45986</v>
      </c>
      <c r="C4860" t="s">
        <v>31</v>
      </c>
      <c r="D4860" t="s">
        <v>19</v>
      </c>
      <c r="E4860" t="s">
        <v>17</v>
      </c>
      <c r="F4860" t="s">
        <v>21</v>
      </c>
      <c r="G4860">
        <v>260</v>
      </c>
      <c r="H4860">
        <v>546.4</v>
      </c>
      <c r="I4860">
        <v>32</v>
      </c>
      <c r="J4860" t="s">
        <v>15</v>
      </c>
      <c r="K4860">
        <v>142064</v>
      </c>
      <c r="L4860" t="str">
        <f t="shared" si="300"/>
        <v>Nov</v>
      </c>
      <c r="M4860">
        <f t="shared" si="301"/>
        <v>2025</v>
      </c>
      <c r="N4860">
        <f t="shared" si="302"/>
        <v>142064</v>
      </c>
      <c r="O4860" t="str">
        <f t="shared" si="303"/>
        <v>Moderate Delay</v>
      </c>
    </row>
    <row r="4861" spans="1:15" x14ac:dyDescent="0.25">
      <c r="A4861">
        <v>4860</v>
      </c>
      <c r="B4861" s="2">
        <v>45778</v>
      </c>
      <c r="C4861" t="s">
        <v>16</v>
      </c>
      <c r="D4861" t="s">
        <v>29</v>
      </c>
      <c r="E4861" t="s">
        <v>12</v>
      </c>
      <c r="F4861" t="s">
        <v>14</v>
      </c>
      <c r="G4861">
        <v>155</v>
      </c>
      <c r="H4861">
        <v>579.22</v>
      </c>
      <c r="I4861">
        <v>0</v>
      </c>
      <c r="J4861" t="s">
        <v>15</v>
      </c>
      <c r="K4861">
        <v>89779.1</v>
      </c>
      <c r="L4861" t="str">
        <f t="shared" si="300"/>
        <v>May</v>
      </c>
      <c r="M4861">
        <f t="shared" si="301"/>
        <v>2025</v>
      </c>
      <c r="N4861">
        <f t="shared" si="302"/>
        <v>89779.1</v>
      </c>
      <c r="O4861" t="str">
        <f t="shared" si="303"/>
        <v>On Time</v>
      </c>
    </row>
    <row r="4862" spans="1:15" x14ac:dyDescent="0.25">
      <c r="A4862">
        <v>4861</v>
      </c>
      <c r="B4862" s="2">
        <v>45728</v>
      </c>
      <c r="C4862" t="s">
        <v>25</v>
      </c>
      <c r="D4862" t="s">
        <v>17</v>
      </c>
      <c r="E4862" t="s">
        <v>13</v>
      </c>
      <c r="F4862" t="s">
        <v>14</v>
      </c>
      <c r="G4862">
        <v>91</v>
      </c>
      <c r="H4862">
        <v>735.32</v>
      </c>
      <c r="I4862">
        <v>59</v>
      </c>
      <c r="J4862" t="s">
        <v>30</v>
      </c>
      <c r="K4862">
        <v>66914.12</v>
      </c>
      <c r="L4862" t="str">
        <f t="shared" si="300"/>
        <v>Mar</v>
      </c>
      <c r="M4862">
        <f t="shared" si="301"/>
        <v>2025</v>
      </c>
      <c r="N4862">
        <f t="shared" si="302"/>
        <v>66914.12000000001</v>
      </c>
      <c r="O4862" t="str">
        <f t="shared" si="303"/>
        <v>Moderate Delay</v>
      </c>
    </row>
    <row r="4863" spans="1:15" x14ac:dyDescent="0.25">
      <c r="A4863">
        <v>4862</v>
      </c>
      <c r="B4863" s="2">
        <v>45731</v>
      </c>
      <c r="C4863" t="s">
        <v>31</v>
      </c>
      <c r="D4863" t="s">
        <v>17</v>
      </c>
      <c r="E4863" t="s">
        <v>23</v>
      </c>
      <c r="F4863" t="s">
        <v>14</v>
      </c>
      <c r="G4863">
        <v>88</v>
      </c>
      <c r="H4863">
        <v>582.17999999999995</v>
      </c>
      <c r="I4863">
        <v>0</v>
      </c>
      <c r="J4863" t="s">
        <v>15</v>
      </c>
      <c r="K4863">
        <v>51231.839999999997</v>
      </c>
      <c r="L4863" t="str">
        <f t="shared" si="300"/>
        <v>Mar</v>
      </c>
      <c r="M4863">
        <f t="shared" si="301"/>
        <v>2025</v>
      </c>
      <c r="N4863">
        <f t="shared" si="302"/>
        <v>51231.839999999997</v>
      </c>
      <c r="O4863" t="str">
        <f t="shared" si="303"/>
        <v>On Time</v>
      </c>
    </row>
    <row r="4864" spans="1:15" x14ac:dyDescent="0.25">
      <c r="A4864">
        <v>4863</v>
      </c>
      <c r="B4864" s="2">
        <v>45861</v>
      </c>
      <c r="C4864" t="s">
        <v>11</v>
      </c>
      <c r="D4864" t="s">
        <v>22</v>
      </c>
      <c r="E4864" t="s">
        <v>19</v>
      </c>
      <c r="F4864" t="s">
        <v>14</v>
      </c>
      <c r="G4864">
        <v>167</v>
      </c>
      <c r="H4864">
        <v>665.5</v>
      </c>
      <c r="I4864">
        <v>16</v>
      </c>
      <c r="J4864" t="s">
        <v>15</v>
      </c>
      <c r="K4864">
        <v>111138.5</v>
      </c>
      <c r="L4864" t="str">
        <f t="shared" si="300"/>
        <v>Jul</v>
      </c>
      <c r="M4864">
        <f t="shared" si="301"/>
        <v>2025</v>
      </c>
      <c r="N4864">
        <f t="shared" si="302"/>
        <v>111138.5</v>
      </c>
      <c r="O4864" t="str">
        <f t="shared" si="303"/>
        <v>Minor Delay</v>
      </c>
    </row>
    <row r="4865" spans="1:15" x14ac:dyDescent="0.25">
      <c r="A4865">
        <v>4864</v>
      </c>
      <c r="B4865" s="2">
        <v>45964</v>
      </c>
      <c r="C4865" t="s">
        <v>16</v>
      </c>
      <c r="D4865" t="s">
        <v>23</v>
      </c>
      <c r="E4865" t="s">
        <v>17</v>
      </c>
      <c r="F4865" t="s">
        <v>14</v>
      </c>
      <c r="G4865">
        <v>149</v>
      </c>
      <c r="H4865">
        <v>63.33</v>
      </c>
      <c r="I4865">
        <v>49</v>
      </c>
      <c r="J4865" t="s">
        <v>15</v>
      </c>
      <c r="K4865">
        <v>9436.17</v>
      </c>
      <c r="L4865" t="str">
        <f t="shared" si="300"/>
        <v>Nov</v>
      </c>
      <c r="M4865">
        <f t="shared" si="301"/>
        <v>2025</v>
      </c>
      <c r="N4865">
        <f t="shared" si="302"/>
        <v>9436.17</v>
      </c>
      <c r="O4865" t="str">
        <f t="shared" si="303"/>
        <v>Moderate Delay</v>
      </c>
    </row>
    <row r="4866" spans="1:15" x14ac:dyDescent="0.25">
      <c r="A4866">
        <v>4865</v>
      </c>
      <c r="B4866" s="2">
        <v>45772</v>
      </c>
      <c r="C4866" t="s">
        <v>16</v>
      </c>
      <c r="D4866" t="s">
        <v>13</v>
      </c>
      <c r="E4866" t="s">
        <v>23</v>
      </c>
      <c r="F4866" t="s">
        <v>21</v>
      </c>
      <c r="G4866">
        <v>265</v>
      </c>
      <c r="H4866">
        <v>252.19</v>
      </c>
      <c r="I4866">
        <v>0</v>
      </c>
      <c r="J4866" t="s">
        <v>15</v>
      </c>
      <c r="K4866">
        <v>66830.350000000006</v>
      </c>
      <c r="L4866" t="str">
        <f t="shared" si="300"/>
        <v>Apr</v>
      </c>
      <c r="M4866">
        <f t="shared" si="301"/>
        <v>2025</v>
      </c>
      <c r="N4866">
        <f t="shared" si="302"/>
        <v>66830.350000000006</v>
      </c>
      <c r="O4866" t="str">
        <f t="shared" si="303"/>
        <v>On Time</v>
      </c>
    </row>
    <row r="4867" spans="1:15" x14ac:dyDescent="0.25">
      <c r="A4867">
        <v>4866</v>
      </c>
      <c r="B4867" s="2">
        <v>45872</v>
      </c>
      <c r="C4867" t="s">
        <v>18</v>
      </c>
      <c r="D4867" t="s">
        <v>20</v>
      </c>
      <c r="E4867" t="s">
        <v>12</v>
      </c>
      <c r="F4867" t="s">
        <v>24</v>
      </c>
      <c r="G4867">
        <v>175</v>
      </c>
      <c r="H4867">
        <v>689.46</v>
      </c>
      <c r="I4867">
        <v>30</v>
      </c>
      <c r="J4867" t="s">
        <v>30</v>
      </c>
      <c r="K4867">
        <v>120655.5</v>
      </c>
      <c r="L4867" t="str">
        <f t="shared" ref="L4867:L4930" si="304">TEXT(B4867,"MMM")</f>
        <v>Aug</v>
      </c>
      <c r="M4867">
        <f t="shared" ref="M4867:M4930" si="305">YEAR(B4867)</f>
        <v>2025</v>
      </c>
      <c r="N4867">
        <f t="shared" ref="N4867:N4930" si="306">G4867*H4867</f>
        <v>120655.5</v>
      </c>
      <c r="O4867" t="str">
        <f t="shared" ref="O4867:O4930" si="307">IF(I4867=0,"On Time",IF(I4867&lt;=30,"Minor Delay",IF(I4867&lt;=60,"Moderate Delay","Major Delay")))</f>
        <v>Minor Delay</v>
      </c>
    </row>
    <row r="4868" spans="1:15" x14ac:dyDescent="0.25">
      <c r="A4868">
        <v>4867</v>
      </c>
      <c r="B4868" s="2">
        <v>45669</v>
      </c>
      <c r="C4868" t="s">
        <v>26</v>
      </c>
      <c r="D4868" t="s">
        <v>12</v>
      </c>
      <c r="E4868" t="s">
        <v>23</v>
      </c>
      <c r="F4868" t="s">
        <v>21</v>
      </c>
      <c r="G4868">
        <v>209</v>
      </c>
      <c r="H4868">
        <v>315.57</v>
      </c>
      <c r="I4868">
        <v>37</v>
      </c>
      <c r="J4868" t="s">
        <v>15</v>
      </c>
      <c r="K4868">
        <v>65954.13</v>
      </c>
      <c r="L4868" t="str">
        <f t="shared" si="304"/>
        <v>Jan</v>
      </c>
      <c r="M4868">
        <f t="shared" si="305"/>
        <v>2025</v>
      </c>
      <c r="N4868">
        <f t="shared" si="306"/>
        <v>65954.13</v>
      </c>
      <c r="O4868" t="str">
        <f t="shared" si="307"/>
        <v>Moderate Delay</v>
      </c>
    </row>
    <row r="4869" spans="1:15" x14ac:dyDescent="0.25">
      <c r="A4869">
        <v>4868</v>
      </c>
      <c r="B4869" s="2">
        <v>45990</v>
      </c>
      <c r="C4869" t="s">
        <v>16</v>
      </c>
      <c r="D4869" t="s">
        <v>17</v>
      </c>
      <c r="E4869" t="s">
        <v>23</v>
      </c>
      <c r="F4869" t="s">
        <v>24</v>
      </c>
      <c r="G4869">
        <v>119</v>
      </c>
      <c r="H4869">
        <v>320.27</v>
      </c>
      <c r="I4869">
        <v>26</v>
      </c>
      <c r="J4869" t="s">
        <v>15</v>
      </c>
      <c r="K4869">
        <v>38112.129999999997</v>
      </c>
      <c r="L4869" t="str">
        <f t="shared" si="304"/>
        <v>Nov</v>
      </c>
      <c r="M4869">
        <f t="shared" si="305"/>
        <v>2025</v>
      </c>
      <c r="N4869">
        <f t="shared" si="306"/>
        <v>38112.129999999997</v>
      </c>
      <c r="O4869" t="str">
        <f t="shared" si="307"/>
        <v>Minor Delay</v>
      </c>
    </row>
    <row r="4870" spans="1:15" x14ac:dyDescent="0.25">
      <c r="A4870">
        <v>4869</v>
      </c>
      <c r="B4870" s="2">
        <v>45755</v>
      </c>
      <c r="C4870" t="s">
        <v>11</v>
      </c>
      <c r="D4870" t="s">
        <v>29</v>
      </c>
      <c r="E4870" t="s">
        <v>17</v>
      </c>
      <c r="F4870" t="s">
        <v>14</v>
      </c>
      <c r="G4870">
        <v>266</v>
      </c>
      <c r="H4870">
        <v>227.32</v>
      </c>
      <c r="I4870">
        <v>6</v>
      </c>
      <c r="J4870" t="s">
        <v>15</v>
      </c>
      <c r="K4870">
        <v>60467.12</v>
      </c>
      <c r="L4870" t="str">
        <f t="shared" si="304"/>
        <v>Apr</v>
      </c>
      <c r="M4870">
        <f t="shared" si="305"/>
        <v>2025</v>
      </c>
      <c r="N4870">
        <f t="shared" si="306"/>
        <v>60467.119999999995</v>
      </c>
      <c r="O4870" t="str">
        <f t="shared" si="307"/>
        <v>Minor Delay</v>
      </c>
    </row>
    <row r="4871" spans="1:15" x14ac:dyDescent="0.25">
      <c r="A4871">
        <v>4870</v>
      </c>
      <c r="B4871" s="2">
        <v>45855</v>
      </c>
      <c r="C4871" t="s">
        <v>26</v>
      </c>
      <c r="D4871" t="s">
        <v>27</v>
      </c>
      <c r="E4871" t="s">
        <v>20</v>
      </c>
      <c r="F4871" t="s">
        <v>14</v>
      </c>
      <c r="G4871">
        <v>284</v>
      </c>
      <c r="H4871">
        <v>197.9</v>
      </c>
      <c r="I4871">
        <v>22</v>
      </c>
      <c r="J4871" t="s">
        <v>15</v>
      </c>
      <c r="K4871">
        <v>56203.6</v>
      </c>
      <c r="L4871" t="str">
        <f t="shared" si="304"/>
        <v>Jul</v>
      </c>
      <c r="M4871">
        <f t="shared" si="305"/>
        <v>2025</v>
      </c>
      <c r="N4871">
        <f t="shared" si="306"/>
        <v>56203.6</v>
      </c>
      <c r="O4871" t="str">
        <f t="shared" si="307"/>
        <v>Minor Delay</v>
      </c>
    </row>
    <row r="4872" spans="1:15" x14ac:dyDescent="0.25">
      <c r="A4872">
        <v>4871</v>
      </c>
      <c r="B4872" s="2">
        <v>45843</v>
      </c>
      <c r="C4872" t="s">
        <v>18</v>
      </c>
      <c r="D4872" t="s">
        <v>19</v>
      </c>
      <c r="E4872" t="s">
        <v>17</v>
      </c>
      <c r="F4872" t="s">
        <v>24</v>
      </c>
      <c r="G4872">
        <v>132</v>
      </c>
      <c r="H4872">
        <v>462.63</v>
      </c>
      <c r="I4872">
        <v>50</v>
      </c>
      <c r="J4872" t="s">
        <v>15</v>
      </c>
      <c r="K4872">
        <v>61067.16</v>
      </c>
      <c r="L4872" t="str">
        <f t="shared" si="304"/>
        <v>Jul</v>
      </c>
      <c r="M4872">
        <f t="shared" si="305"/>
        <v>2025</v>
      </c>
      <c r="N4872">
        <f t="shared" si="306"/>
        <v>61067.159999999996</v>
      </c>
      <c r="O4872" t="str">
        <f t="shared" si="307"/>
        <v>Moderate Delay</v>
      </c>
    </row>
    <row r="4873" spans="1:15" x14ac:dyDescent="0.25">
      <c r="A4873">
        <v>4872</v>
      </c>
      <c r="B4873" s="2">
        <v>45953</v>
      </c>
      <c r="C4873" t="s">
        <v>11</v>
      </c>
      <c r="D4873" t="s">
        <v>27</v>
      </c>
      <c r="E4873" t="s">
        <v>19</v>
      </c>
      <c r="F4873" t="s">
        <v>24</v>
      </c>
      <c r="G4873">
        <v>276</v>
      </c>
      <c r="H4873">
        <v>773.63</v>
      </c>
      <c r="I4873">
        <v>48</v>
      </c>
      <c r="J4873" t="s">
        <v>15</v>
      </c>
      <c r="K4873">
        <v>213521.88</v>
      </c>
      <c r="L4873" t="str">
        <f t="shared" si="304"/>
        <v>Oct</v>
      </c>
      <c r="M4873">
        <f t="shared" si="305"/>
        <v>2025</v>
      </c>
      <c r="N4873">
        <f t="shared" si="306"/>
        <v>213521.88</v>
      </c>
      <c r="O4873" t="str">
        <f t="shared" si="307"/>
        <v>Moderate Delay</v>
      </c>
    </row>
    <row r="4874" spans="1:15" x14ac:dyDescent="0.25">
      <c r="A4874">
        <v>4873</v>
      </c>
      <c r="B4874" s="2">
        <v>45982</v>
      </c>
      <c r="C4874" t="s">
        <v>26</v>
      </c>
      <c r="D4874" t="s">
        <v>22</v>
      </c>
      <c r="E4874" t="s">
        <v>23</v>
      </c>
      <c r="F4874" t="s">
        <v>14</v>
      </c>
      <c r="G4874">
        <v>222</v>
      </c>
      <c r="H4874">
        <v>532.91</v>
      </c>
      <c r="I4874">
        <v>0</v>
      </c>
      <c r="J4874" t="s">
        <v>15</v>
      </c>
      <c r="K4874">
        <v>118306.02</v>
      </c>
      <c r="L4874" t="str">
        <f t="shared" si="304"/>
        <v>Nov</v>
      </c>
      <c r="M4874">
        <f t="shared" si="305"/>
        <v>2025</v>
      </c>
      <c r="N4874">
        <f t="shared" si="306"/>
        <v>118306.01999999999</v>
      </c>
      <c r="O4874" t="str">
        <f t="shared" si="307"/>
        <v>On Time</v>
      </c>
    </row>
    <row r="4875" spans="1:15" x14ac:dyDescent="0.25">
      <c r="A4875">
        <v>4874</v>
      </c>
      <c r="B4875" s="2">
        <v>45959</v>
      </c>
      <c r="C4875" t="s">
        <v>11</v>
      </c>
      <c r="D4875" t="s">
        <v>27</v>
      </c>
      <c r="E4875" t="s">
        <v>12</v>
      </c>
      <c r="F4875" t="s">
        <v>14</v>
      </c>
      <c r="G4875">
        <v>160</v>
      </c>
      <c r="H4875">
        <v>512.82000000000005</v>
      </c>
      <c r="I4875">
        <v>17</v>
      </c>
      <c r="J4875" t="s">
        <v>15</v>
      </c>
      <c r="K4875">
        <v>82051.199999999997</v>
      </c>
      <c r="L4875" t="str">
        <f t="shared" si="304"/>
        <v>Oct</v>
      </c>
      <c r="M4875">
        <f t="shared" si="305"/>
        <v>2025</v>
      </c>
      <c r="N4875">
        <f t="shared" si="306"/>
        <v>82051.200000000012</v>
      </c>
      <c r="O4875" t="str">
        <f t="shared" si="307"/>
        <v>Minor Delay</v>
      </c>
    </row>
    <row r="4876" spans="1:15" x14ac:dyDescent="0.25">
      <c r="A4876">
        <v>4875</v>
      </c>
      <c r="B4876" s="2">
        <v>45847</v>
      </c>
      <c r="C4876" t="s">
        <v>25</v>
      </c>
      <c r="D4876" t="s">
        <v>19</v>
      </c>
      <c r="E4876" t="s">
        <v>29</v>
      </c>
      <c r="F4876" t="s">
        <v>21</v>
      </c>
      <c r="G4876">
        <v>156</v>
      </c>
      <c r="H4876">
        <v>659.57</v>
      </c>
      <c r="I4876">
        <v>45</v>
      </c>
      <c r="J4876" t="s">
        <v>15</v>
      </c>
      <c r="K4876">
        <v>102892.92</v>
      </c>
      <c r="L4876" t="str">
        <f t="shared" si="304"/>
        <v>Jul</v>
      </c>
      <c r="M4876">
        <f t="shared" si="305"/>
        <v>2025</v>
      </c>
      <c r="N4876">
        <f t="shared" si="306"/>
        <v>102892.92000000001</v>
      </c>
      <c r="O4876" t="str">
        <f t="shared" si="307"/>
        <v>Moderate Delay</v>
      </c>
    </row>
    <row r="4877" spans="1:15" x14ac:dyDescent="0.25">
      <c r="A4877">
        <v>4876</v>
      </c>
      <c r="B4877" s="2">
        <v>45933</v>
      </c>
      <c r="C4877" t="s">
        <v>11</v>
      </c>
      <c r="D4877" t="s">
        <v>19</v>
      </c>
      <c r="E4877" t="s">
        <v>20</v>
      </c>
      <c r="F4877" t="s">
        <v>14</v>
      </c>
      <c r="G4877">
        <v>256</v>
      </c>
      <c r="H4877">
        <v>188.77</v>
      </c>
      <c r="I4877">
        <v>12</v>
      </c>
      <c r="J4877" t="s">
        <v>15</v>
      </c>
      <c r="K4877">
        <v>48325.120000000003</v>
      </c>
      <c r="L4877" t="str">
        <f t="shared" si="304"/>
        <v>Oct</v>
      </c>
      <c r="M4877">
        <f t="shared" si="305"/>
        <v>2025</v>
      </c>
      <c r="N4877">
        <f t="shared" si="306"/>
        <v>48325.120000000003</v>
      </c>
      <c r="O4877" t="str">
        <f t="shared" si="307"/>
        <v>Minor Delay</v>
      </c>
    </row>
    <row r="4878" spans="1:15" x14ac:dyDescent="0.25">
      <c r="A4878">
        <v>4877</v>
      </c>
      <c r="B4878" s="2">
        <v>45930</v>
      </c>
      <c r="C4878" t="s">
        <v>11</v>
      </c>
      <c r="D4878" t="s">
        <v>23</v>
      </c>
      <c r="E4878" t="s">
        <v>12</v>
      </c>
      <c r="F4878" t="s">
        <v>21</v>
      </c>
      <c r="G4878">
        <v>239</v>
      </c>
      <c r="H4878">
        <v>509.43</v>
      </c>
      <c r="I4878">
        <v>20</v>
      </c>
      <c r="J4878" t="s">
        <v>15</v>
      </c>
      <c r="K4878">
        <v>121753.77</v>
      </c>
      <c r="L4878" t="str">
        <f t="shared" si="304"/>
        <v>Sep</v>
      </c>
      <c r="M4878">
        <f t="shared" si="305"/>
        <v>2025</v>
      </c>
      <c r="N4878">
        <f t="shared" si="306"/>
        <v>121753.77</v>
      </c>
      <c r="O4878" t="str">
        <f t="shared" si="307"/>
        <v>Minor Delay</v>
      </c>
    </row>
    <row r="4879" spans="1:15" x14ac:dyDescent="0.25">
      <c r="A4879">
        <v>4878</v>
      </c>
      <c r="B4879" s="2">
        <v>45740</v>
      </c>
      <c r="C4879" t="s">
        <v>11</v>
      </c>
      <c r="D4879" t="s">
        <v>20</v>
      </c>
      <c r="E4879" t="s">
        <v>13</v>
      </c>
      <c r="F4879" t="s">
        <v>21</v>
      </c>
      <c r="G4879">
        <v>54</v>
      </c>
      <c r="H4879">
        <v>125.07</v>
      </c>
      <c r="I4879">
        <v>0</v>
      </c>
      <c r="J4879" t="s">
        <v>15</v>
      </c>
      <c r="K4879">
        <v>6753.78</v>
      </c>
      <c r="L4879" t="str">
        <f t="shared" si="304"/>
        <v>Mar</v>
      </c>
      <c r="M4879">
        <f t="shared" si="305"/>
        <v>2025</v>
      </c>
      <c r="N4879">
        <f t="shared" si="306"/>
        <v>6753.78</v>
      </c>
      <c r="O4879" t="str">
        <f t="shared" si="307"/>
        <v>On Time</v>
      </c>
    </row>
    <row r="4880" spans="1:15" x14ac:dyDescent="0.25">
      <c r="A4880">
        <v>4879</v>
      </c>
      <c r="B4880" s="2">
        <v>45873</v>
      </c>
      <c r="C4880" t="s">
        <v>11</v>
      </c>
      <c r="D4880" t="s">
        <v>12</v>
      </c>
      <c r="E4880" t="s">
        <v>13</v>
      </c>
      <c r="F4880" t="s">
        <v>21</v>
      </c>
      <c r="G4880">
        <v>125</v>
      </c>
      <c r="H4880">
        <v>328.51</v>
      </c>
      <c r="I4880">
        <v>31</v>
      </c>
      <c r="J4880" t="s">
        <v>15</v>
      </c>
      <c r="K4880">
        <v>41063.75</v>
      </c>
      <c r="L4880" t="str">
        <f t="shared" si="304"/>
        <v>Aug</v>
      </c>
      <c r="M4880">
        <f t="shared" si="305"/>
        <v>2025</v>
      </c>
      <c r="N4880">
        <f t="shared" si="306"/>
        <v>41063.75</v>
      </c>
      <c r="O4880" t="str">
        <f t="shared" si="307"/>
        <v>Moderate Delay</v>
      </c>
    </row>
    <row r="4881" spans="1:15" x14ac:dyDescent="0.25">
      <c r="A4881">
        <v>4880</v>
      </c>
      <c r="B4881" s="2">
        <v>45890</v>
      </c>
      <c r="C4881" t="s">
        <v>11</v>
      </c>
      <c r="D4881" t="s">
        <v>23</v>
      </c>
      <c r="E4881" t="s">
        <v>22</v>
      </c>
      <c r="F4881" t="s">
        <v>24</v>
      </c>
      <c r="G4881">
        <v>220</v>
      </c>
      <c r="H4881">
        <v>218.02</v>
      </c>
      <c r="I4881">
        <v>13</v>
      </c>
      <c r="J4881" t="s">
        <v>15</v>
      </c>
      <c r="K4881">
        <v>47964.4</v>
      </c>
      <c r="L4881" t="str">
        <f t="shared" si="304"/>
        <v>Aug</v>
      </c>
      <c r="M4881">
        <f t="shared" si="305"/>
        <v>2025</v>
      </c>
      <c r="N4881">
        <f t="shared" si="306"/>
        <v>47964.4</v>
      </c>
      <c r="O4881" t="str">
        <f t="shared" si="307"/>
        <v>Minor Delay</v>
      </c>
    </row>
    <row r="4882" spans="1:15" x14ac:dyDescent="0.25">
      <c r="A4882">
        <v>4881</v>
      </c>
      <c r="B4882" s="2">
        <v>45976</v>
      </c>
      <c r="C4882" t="s">
        <v>16</v>
      </c>
      <c r="D4882" t="s">
        <v>23</v>
      </c>
      <c r="E4882" t="s">
        <v>19</v>
      </c>
      <c r="F4882" t="s">
        <v>14</v>
      </c>
      <c r="G4882">
        <v>240</v>
      </c>
      <c r="H4882">
        <v>220.55</v>
      </c>
      <c r="I4882">
        <v>58</v>
      </c>
      <c r="J4882" t="s">
        <v>15</v>
      </c>
      <c r="K4882">
        <v>52932</v>
      </c>
      <c r="L4882" t="str">
        <f t="shared" si="304"/>
        <v>Nov</v>
      </c>
      <c r="M4882">
        <f t="shared" si="305"/>
        <v>2025</v>
      </c>
      <c r="N4882">
        <f t="shared" si="306"/>
        <v>52932</v>
      </c>
      <c r="O4882" t="str">
        <f t="shared" si="307"/>
        <v>Moderate Delay</v>
      </c>
    </row>
    <row r="4883" spans="1:15" x14ac:dyDescent="0.25">
      <c r="A4883">
        <v>4882</v>
      </c>
      <c r="B4883" s="2">
        <v>45997</v>
      </c>
      <c r="C4883" t="s">
        <v>25</v>
      </c>
      <c r="D4883" t="s">
        <v>27</v>
      </c>
      <c r="E4883" t="s">
        <v>17</v>
      </c>
      <c r="F4883" t="s">
        <v>24</v>
      </c>
      <c r="G4883">
        <v>297</v>
      </c>
      <c r="H4883">
        <v>406.81</v>
      </c>
      <c r="I4883">
        <v>7</v>
      </c>
      <c r="J4883" t="s">
        <v>15</v>
      </c>
      <c r="K4883">
        <v>120822.57</v>
      </c>
      <c r="L4883" t="str">
        <f t="shared" si="304"/>
        <v>Dec</v>
      </c>
      <c r="M4883">
        <f t="shared" si="305"/>
        <v>2025</v>
      </c>
      <c r="N4883">
        <f t="shared" si="306"/>
        <v>120822.57</v>
      </c>
      <c r="O4883" t="str">
        <f t="shared" si="307"/>
        <v>Minor Delay</v>
      </c>
    </row>
    <row r="4884" spans="1:15" x14ac:dyDescent="0.25">
      <c r="A4884">
        <v>4883</v>
      </c>
      <c r="B4884" s="2">
        <v>45874</v>
      </c>
      <c r="C4884" t="s">
        <v>25</v>
      </c>
      <c r="D4884" t="s">
        <v>13</v>
      </c>
      <c r="E4884" t="s">
        <v>20</v>
      </c>
      <c r="F4884" t="s">
        <v>24</v>
      </c>
      <c r="G4884">
        <v>295</v>
      </c>
      <c r="H4884">
        <v>611.07000000000005</v>
      </c>
      <c r="I4884">
        <v>0</v>
      </c>
      <c r="J4884" t="s">
        <v>15</v>
      </c>
      <c r="K4884">
        <v>180265.65</v>
      </c>
      <c r="L4884" t="str">
        <f t="shared" si="304"/>
        <v>Aug</v>
      </c>
      <c r="M4884">
        <f t="shared" si="305"/>
        <v>2025</v>
      </c>
      <c r="N4884">
        <f t="shared" si="306"/>
        <v>180265.65000000002</v>
      </c>
      <c r="O4884" t="str">
        <f t="shared" si="307"/>
        <v>On Time</v>
      </c>
    </row>
    <row r="4885" spans="1:15" x14ac:dyDescent="0.25">
      <c r="A4885">
        <v>4884</v>
      </c>
      <c r="B4885" s="2">
        <v>45698</v>
      </c>
      <c r="C4885" t="s">
        <v>25</v>
      </c>
      <c r="D4885" t="s">
        <v>13</v>
      </c>
      <c r="E4885" t="s">
        <v>29</v>
      </c>
      <c r="F4885" t="s">
        <v>14</v>
      </c>
      <c r="G4885">
        <v>125</v>
      </c>
      <c r="H4885">
        <v>61.14</v>
      </c>
      <c r="I4885">
        <v>26</v>
      </c>
      <c r="J4885" t="s">
        <v>15</v>
      </c>
      <c r="K4885">
        <v>7642.5</v>
      </c>
      <c r="L4885" t="str">
        <f t="shared" si="304"/>
        <v>Feb</v>
      </c>
      <c r="M4885">
        <f t="shared" si="305"/>
        <v>2025</v>
      </c>
      <c r="N4885">
        <f t="shared" si="306"/>
        <v>7642.5</v>
      </c>
      <c r="O4885" t="str">
        <f t="shared" si="307"/>
        <v>Minor Delay</v>
      </c>
    </row>
    <row r="4886" spans="1:15" x14ac:dyDescent="0.25">
      <c r="A4886">
        <v>4885</v>
      </c>
      <c r="B4886" s="2">
        <v>45897</v>
      </c>
      <c r="C4886" t="s">
        <v>31</v>
      </c>
      <c r="D4886" t="s">
        <v>23</v>
      </c>
      <c r="E4886" t="s">
        <v>19</v>
      </c>
      <c r="F4886" t="s">
        <v>14</v>
      </c>
      <c r="G4886">
        <v>150</v>
      </c>
      <c r="H4886">
        <v>73.2</v>
      </c>
      <c r="I4886">
        <v>47</v>
      </c>
      <c r="J4886" t="s">
        <v>15</v>
      </c>
      <c r="K4886">
        <v>10980</v>
      </c>
      <c r="L4886" t="str">
        <f t="shared" si="304"/>
        <v>Aug</v>
      </c>
      <c r="M4886">
        <f t="shared" si="305"/>
        <v>2025</v>
      </c>
      <c r="N4886">
        <f t="shared" si="306"/>
        <v>10980</v>
      </c>
      <c r="O4886" t="str">
        <f t="shared" si="307"/>
        <v>Moderate Delay</v>
      </c>
    </row>
    <row r="4887" spans="1:15" x14ac:dyDescent="0.25">
      <c r="A4887">
        <v>4886</v>
      </c>
      <c r="B4887" s="2">
        <v>45987</v>
      </c>
      <c r="C4887" t="s">
        <v>11</v>
      </c>
      <c r="D4887" t="s">
        <v>20</v>
      </c>
      <c r="E4887" t="s">
        <v>22</v>
      </c>
      <c r="F4887" t="s">
        <v>14</v>
      </c>
      <c r="G4887">
        <v>271</v>
      </c>
      <c r="H4887">
        <v>750.56</v>
      </c>
      <c r="I4887">
        <v>35</v>
      </c>
      <c r="J4887" t="s">
        <v>30</v>
      </c>
      <c r="K4887">
        <v>203401.76</v>
      </c>
      <c r="L4887" t="str">
        <f t="shared" si="304"/>
        <v>Nov</v>
      </c>
      <c r="M4887">
        <f t="shared" si="305"/>
        <v>2025</v>
      </c>
      <c r="N4887">
        <f t="shared" si="306"/>
        <v>203401.75999999998</v>
      </c>
      <c r="O4887" t="str">
        <f t="shared" si="307"/>
        <v>Moderate Delay</v>
      </c>
    </row>
    <row r="4888" spans="1:15" x14ac:dyDescent="0.25">
      <c r="A4888">
        <v>4887</v>
      </c>
      <c r="B4888" s="2">
        <v>45824</v>
      </c>
      <c r="C4888" t="s">
        <v>11</v>
      </c>
      <c r="D4888" t="s">
        <v>29</v>
      </c>
      <c r="E4888" t="s">
        <v>19</v>
      </c>
      <c r="F4888" t="s">
        <v>21</v>
      </c>
      <c r="G4888">
        <v>107</v>
      </c>
      <c r="H4888">
        <v>756.47</v>
      </c>
      <c r="I4888">
        <v>33</v>
      </c>
      <c r="J4888" t="s">
        <v>15</v>
      </c>
      <c r="K4888">
        <v>80942.289999999994</v>
      </c>
      <c r="L4888" t="str">
        <f t="shared" si="304"/>
        <v>Jun</v>
      </c>
      <c r="M4888">
        <f t="shared" si="305"/>
        <v>2025</v>
      </c>
      <c r="N4888">
        <f t="shared" si="306"/>
        <v>80942.290000000008</v>
      </c>
      <c r="O4888" t="str">
        <f t="shared" si="307"/>
        <v>Moderate Delay</v>
      </c>
    </row>
    <row r="4889" spans="1:15" x14ac:dyDescent="0.25">
      <c r="A4889">
        <v>4888</v>
      </c>
      <c r="B4889" s="2">
        <v>45888</v>
      </c>
      <c r="C4889" t="s">
        <v>11</v>
      </c>
      <c r="D4889" t="s">
        <v>20</v>
      </c>
      <c r="E4889" t="s">
        <v>27</v>
      </c>
      <c r="F4889" t="s">
        <v>24</v>
      </c>
      <c r="G4889">
        <v>166</v>
      </c>
      <c r="H4889">
        <v>246.67</v>
      </c>
      <c r="I4889">
        <v>34</v>
      </c>
      <c r="J4889" t="s">
        <v>15</v>
      </c>
      <c r="K4889">
        <v>40947.22</v>
      </c>
      <c r="L4889" t="str">
        <f t="shared" si="304"/>
        <v>Aug</v>
      </c>
      <c r="M4889">
        <f t="shared" si="305"/>
        <v>2025</v>
      </c>
      <c r="N4889">
        <f t="shared" si="306"/>
        <v>40947.22</v>
      </c>
      <c r="O4889" t="str">
        <f t="shared" si="307"/>
        <v>Moderate Delay</v>
      </c>
    </row>
    <row r="4890" spans="1:15" x14ac:dyDescent="0.25">
      <c r="A4890">
        <v>4889</v>
      </c>
      <c r="B4890" s="2">
        <v>45742</v>
      </c>
      <c r="C4890" t="s">
        <v>16</v>
      </c>
      <c r="D4890" t="s">
        <v>22</v>
      </c>
      <c r="E4890" t="s">
        <v>13</v>
      </c>
      <c r="F4890" t="s">
        <v>21</v>
      </c>
      <c r="G4890">
        <v>255</v>
      </c>
      <c r="H4890">
        <v>445.66</v>
      </c>
      <c r="I4890">
        <v>31</v>
      </c>
      <c r="J4890" t="s">
        <v>15</v>
      </c>
      <c r="K4890">
        <v>113643.3</v>
      </c>
      <c r="L4890" t="str">
        <f t="shared" si="304"/>
        <v>Mar</v>
      </c>
      <c r="M4890">
        <f t="shared" si="305"/>
        <v>2025</v>
      </c>
      <c r="N4890">
        <f t="shared" si="306"/>
        <v>113643.3</v>
      </c>
      <c r="O4890" t="str">
        <f t="shared" si="307"/>
        <v>Moderate Delay</v>
      </c>
    </row>
    <row r="4891" spans="1:15" x14ac:dyDescent="0.25">
      <c r="A4891">
        <v>4890</v>
      </c>
      <c r="B4891" s="2">
        <v>45879</v>
      </c>
      <c r="C4891" t="s">
        <v>16</v>
      </c>
      <c r="D4891" t="s">
        <v>23</v>
      </c>
      <c r="E4891" t="s">
        <v>22</v>
      </c>
      <c r="F4891" t="s">
        <v>14</v>
      </c>
      <c r="G4891">
        <v>232</v>
      </c>
      <c r="H4891">
        <v>340.06</v>
      </c>
      <c r="I4891">
        <v>8</v>
      </c>
      <c r="J4891" t="s">
        <v>15</v>
      </c>
      <c r="K4891">
        <v>78893.919999999998</v>
      </c>
      <c r="L4891" t="str">
        <f t="shared" si="304"/>
        <v>Aug</v>
      </c>
      <c r="M4891">
        <f t="shared" si="305"/>
        <v>2025</v>
      </c>
      <c r="N4891">
        <f t="shared" si="306"/>
        <v>78893.919999999998</v>
      </c>
      <c r="O4891" t="str">
        <f t="shared" si="307"/>
        <v>Minor Delay</v>
      </c>
    </row>
    <row r="4892" spans="1:15" x14ac:dyDescent="0.25">
      <c r="A4892">
        <v>4891</v>
      </c>
      <c r="B4892" s="2">
        <v>45935</v>
      </c>
      <c r="C4892" t="s">
        <v>31</v>
      </c>
      <c r="D4892" t="s">
        <v>17</v>
      </c>
      <c r="E4892" t="s">
        <v>27</v>
      </c>
      <c r="F4892" t="s">
        <v>24</v>
      </c>
      <c r="G4892">
        <v>95</v>
      </c>
      <c r="H4892">
        <v>660.39</v>
      </c>
      <c r="I4892">
        <v>61</v>
      </c>
      <c r="J4892" t="s">
        <v>15</v>
      </c>
      <c r="K4892">
        <v>62737.05</v>
      </c>
      <c r="L4892" t="str">
        <f t="shared" si="304"/>
        <v>Oct</v>
      </c>
      <c r="M4892">
        <f t="shared" si="305"/>
        <v>2025</v>
      </c>
      <c r="N4892">
        <f t="shared" si="306"/>
        <v>62737.049999999996</v>
      </c>
      <c r="O4892" t="str">
        <f t="shared" si="307"/>
        <v>Major Delay</v>
      </c>
    </row>
    <row r="4893" spans="1:15" x14ac:dyDescent="0.25">
      <c r="A4893">
        <v>4892</v>
      </c>
      <c r="B4893" s="2">
        <v>46010</v>
      </c>
      <c r="C4893" t="s">
        <v>25</v>
      </c>
      <c r="D4893" t="s">
        <v>20</v>
      </c>
      <c r="E4893" t="s">
        <v>22</v>
      </c>
      <c r="F4893" t="s">
        <v>21</v>
      </c>
      <c r="G4893">
        <v>276</v>
      </c>
      <c r="H4893">
        <v>495.01</v>
      </c>
      <c r="I4893">
        <v>24</v>
      </c>
      <c r="J4893" t="s">
        <v>15</v>
      </c>
      <c r="K4893">
        <v>136622.76</v>
      </c>
      <c r="L4893" t="str">
        <f t="shared" si="304"/>
        <v>Dec</v>
      </c>
      <c r="M4893">
        <f t="shared" si="305"/>
        <v>2025</v>
      </c>
      <c r="N4893">
        <f t="shared" si="306"/>
        <v>136622.76</v>
      </c>
      <c r="O4893" t="str">
        <f t="shared" si="307"/>
        <v>Minor Delay</v>
      </c>
    </row>
    <row r="4894" spans="1:15" x14ac:dyDescent="0.25">
      <c r="A4894">
        <v>4893</v>
      </c>
      <c r="B4894" s="2">
        <v>45886</v>
      </c>
      <c r="C4894" t="s">
        <v>18</v>
      </c>
      <c r="D4894" t="s">
        <v>22</v>
      </c>
      <c r="E4894" t="s">
        <v>23</v>
      </c>
      <c r="F4894" t="s">
        <v>14</v>
      </c>
      <c r="G4894">
        <v>275</v>
      </c>
      <c r="H4894">
        <v>343.66</v>
      </c>
      <c r="I4894">
        <v>8</v>
      </c>
      <c r="J4894" t="s">
        <v>15</v>
      </c>
      <c r="K4894">
        <v>94506.5</v>
      </c>
      <c r="L4894" t="str">
        <f t="shared" si="304"/>
        <v>Aug</v>
      </c>
      <c r="M4894">
        <f t="shared" si="305"/>
        <v>2025</v>
      </c>
      <c r="N4894">
        <f t="shared" si="306"/>
        <v>94506.5</v>
      </c>
      <c r="O4894" t="str">
        <f t="shared" si="307"/>
        <v>Minor Delay</v>
      </c>
    </row>
    <row r="4895" spans="1:15" x14ac:dyDescent="0.25">
      <c r="A4895">
        <v>4894</v>
      </c>
      <c r="B4895" s="2">
        <v>45781</v>
      </c>
      <c r="C4895" t="s">
        <v>11</v>
      </c>
      <c r="D4895" t="s">
        <v>29</v>
      </c>
      <c r="E4895" t="s">
        <v>17</v>
      </c>
      <c r="F4895" t="s">
        <v>21</v>
      </c>
      <c r="G4895">
        <v>213</v>
      </c>
      <c r="H4895">
        <v>100.38</v>
      </c>
      <c r="I4895">
        <v>0</v>
      </c>
      <c r="J4895" t="s">
        <v>28</v>
      </c>
      <c r="K4895">
        <v>21380.94</v>
      </c>
      <c r="L4895" t="str">
        <f t="shared" si="304"/>
        <v>May</v>
      </c>
      <c r="M4895">
        <f t="shared" si="305"/>
        <v>2025</v>
      </c>
      <c r="N4895">
        <f t="shared" si="306"/>
        <v>21380.94</v>
      </c>
      <c r="O4895" t="str">
        <f t="shared" si="307"/>
        <v>On Time</v>
      </c>
    </row>
    <row r="4896" spans="1:15" x14ac:dyDescent="0.25">
      <c r="A4896">
        <v>4895</v>
      </c>
      <c r="B4896" s="2">
        <v>45866</v>
      </c>
      <c r="C4896" t="s">
        <v>16</v>
      </c>
      <c r="D4896" t="s">
        <v>22</v>
      </c>
      <c r="E4896" t="s">
        <v>23</v>
      </c>
      <c r="F4896" t="s">
        <v>24</v>
      </c>
      <c r="G4896">
        <v>232</v>
      </c>
      <c r="H4896">
        <v>552.22</v>
      </c>
      <c r="I4896">
        <v>0</v>
      </c>
      <c r="J4896" t="s">
        <v>15</v>
      </c>
      <c r="K4896">
        <v>128115.04</v>
      </c>
      <c r="L4896" t="str">
        <f t="shared" si="304"/>
        <v>Jul</v>
      </c>
      <c r="M4896">
        <f t="shared" si="305"/>
        <v>2025</v>
      </c>
      <c r="N4896">
        <f t="shared" si="306"/>
        <v>128115.04000000001</v>
      </c>
      <c r="O4896" t="str">
        <f t="shared" si="307"/>
        <v>On Time</v>
      </c>
    </row>
    <row r="4897" spans="1:15" x14ac:dyDescent="0.25">
      <c r="A4897">
        <v>4896</v>
      </c>
      <c r="B4897" s="2">
        <v>45926</v>
      </c>
      <c r="C4897" t="s">
        <v>25</v>
      </c>
      <c r="D4897" t="s">
        <v>20</v>
      </c>
      <c r="E4897" t="s">
        <v>27</v>
      </c>
      <c r="F4897" t="s">
        <v>14</v>
      </c>
      <c r="G4897">
        <v>183</v>
      </c>
      <c r="H4897">
        <v>795.31</v>
      </c>
      <c r="I4897">
        <v>0</v>
      </c>
      <c r="J4897" t="s">
        <v>15</v>
      </c>
      <c r="K4897">
        <v>145541.73000000001</v>
      </c>
      <c r="L4897" t="str">
        <f t="shared" si="304"/>
        <v>Sep</v>
      </c>
      <c r="M4897">
        <f t="shared" si="305"/>
        <v>2025</v>
      </c>
      <c r="N4897">
        <f t="shared" si="306"/>
        <v>145541.72999999998</v>
      </c>
      <c r="O4897" t="str">
        <f t="shared" si="307"/>
        <v>On Time</v>
      </c>
    </row>
    <row r="4898" spans="1:15" x14ac:dyDescent="0.25">
      <c r="A4898">
        <v>4897</v>
      </c>
      <c r="B4898" s="2">
        <v>45870</v>
      </c>
      <c r="C4898" t="s">
        <v>25</v>
      </c>
      <c r="D4898" t="s">
        <v>17</v>
      </c>
      <c r="E4898" t="s">
        <v>19</v>
      </c>
      <c r="F4898" t="s">
        <v>14</v>
      </c>
      <c r="G4898">
        <v>273</v>
      </c>
      <c r="H4898">
        <v>226.37</v>
      </c>
      <c r="I4898">
        <v>0</v>
      </c>
      <c r="J4898" t="s">
        <v>15</v>
      </c>
      <c r="K4898">
        <v>61799.01</v>
      </c>
      <c r="L4898" t="str">
        <f t="shared" si="304"/>
        <v>Aug</v>
      </c>
      <c r="M4898">
        <f t="shared" si="305"/>
        <v>2025</v>
      </c>
      <c r="N4898">
        <f t="shared" si="306"/>
        <v>61799.01</v>
      </c>
      <c r="O4898" t="str">
        <f t="shared" si="307"/>
        <v>On Time</v>
      </c>
    </row>
    <row r="4899" spans="1:15" x14ac:dyDescent="0.25">
      <c r="A4899">
        <v>4898</v>
      </c>
      <c r="B4899" s="2">
        <v>46018</v>
      </c>
      <c r="C4899" t="s">
        <v>16</v>
      </c>
      <c r="D4899" t="s">
        <v>22</v>
      </c>
      <c r="E4899" t="s">
        <v>29</v>
      </c>
      <c r="F4899" t="s">
        <v>14</v>
      </c>
      <c r="G4899">
        <v>232</v>
      </c>
      <c r="H4899">
        <v>474.6</v>
      </c>
      <c r="I4899">
        <v>4</v>
      </c>
      <c r="J4899" t="s">
        <v>15</v>
      </c>
      <c r="K4899">
        <v>110107.2</v>
      </c>
      <c r="L4899" t="str">
        <f t="shared" si="304"/>
        <v>Dec</v>
      </c>
      <c r="M4899">
        <f t="shared" si="305"/>
        <v>2025</v>
      </c>
      <c r="N4899">
        <f t="shared" si="306"/>
        <v>110107.20000000001</v>
      </c>
      <c r="O4899" t="str">
        <f t="shared" si="307"/>
        <v>Minor Delay</v>
      </c>
    </row>
    <row r="4900" spans="1:15" x14ac:dyDescent="0.25">
      <c r="A4900">
        <v>4899</v>
      </c>
      <c r="B4900" s="2">
        <v>45981</v>
      </c>
      <c r="C4900" t="s">
        <v>26</v>
      </c>
      <c r="D4900" t="s">
        <v>29</v>
      </c>
      <c r="E4900" t="s">
        <v>23</v>
      </c>
      <c r="F4900" t="s">
        <v>21</v>
      </c>
      <c r="G4900">
        <v>63</v>
      </c>
      <c r="H4900">
        <v>124.66</v>
      </c>
      <c r="I4900">
        <v>16</v>
      </c>
      <c r="J4900" t="s">
        <v>15</v>
      </c>
      <c r="K4900">
        <v>7853.58</v>
      </c>
      <c r="L4900" t="str">
        <f t="shared" si="304"/>
        <v>Nov</v>
      </c>
      <c r="M4900">
        <f t="shared" si="305"/>
        <v>2025</v>
      </c>
      <c r="N4900">
        <f t="shared" si="306"/>
        <v>7853.58</v>
      </c>
      <c r="O4900" t="str">
        <f t="shared" si="307"/>
        <v>Minor Delay</v>
      </c>
    </row>
    <row r="4901" spans="1:15" x14ac:dyDescent="0.25">
      <c r="A4901">
        <v>4900</v>
      </c>
      <c r="B4901" s="2">
        <v>45863</v>
      </c>
      <c r="C4901" t="s">
        <v>25</v>
      </c>
      <c r="D4901" t="s">
        <v>17</v>
      </c>
      <c r="E4901" t="s">
        <v>29</v>
      </c>
      <c r="F4901" t="s">
        <v>14</v>
      </c>
      <c r="G4901">
        <v>179</v>
      </c>
      <c r="H4901">
        <v>737.3</v>
      </c>
      <c r="I4901">
        <v>37</v>
      </c>
      <c r="J4901" t="s">
        <v>15</v>
      </c>
      <c r="K4901">
        <v>131976.70000000001</v>
      </c>
      <c r="L4901" t="str">
        <f t="shared" si="304"/>
        <v>Jul</v>
      </c>
      <c r="M4901">
        <f t="shared" si="305"/>
        <v>2025</v>
      </c>
      <c r="N4901">
        <f t="shared" si="306"/>
        <v>131976.69999999998</v>
      </c>
      <c r="O4901" t="str">
        <f t="shared" si="307"/>
        <v>Moderate Delay</v>
      </c>
    </row>
    <row r="4902" spans="1:15" x14ac:dyDescent="0.25">
      <c r="A4902">
        <v>4901</v>
      </c>
      <c r="B4902" s="2">
        <v>45946</v>
      </c>
      <c r="C4902" t="s">
        <v>31</v>
      </c>
      <c r="D4902" t="s">
        <v>22</v>
      </c>
      <c r="E4902" t="s">
        <v>23</v>
      </c>
      <c r="F4902" t="s">
        <v>24</v>
      </c>
      <c r="G4902">
        <v>223</v>
      </c>
      <c r="H4902">
        <v>403.93</v>
      </c>
      <c r="I4902">
        <v>44</v>
      </c>
      <c r="J4902" t="s">
        <v>15</v>
      </c>
      <c r="K4902">
        <v>90076.39</v>
      </c>
      <c r="L4902" t="str">
        <f t="shared" si="304"/>
        <v>Oct</v>
      </c>
      <c r="M4902">
        <f t="shared" si="305"/>
        <v>2025</v>
      </c>
      <c r="N4902">
        <f t="shared" si="306"/>
        <v>90076.39</v>
      </c>
      <c r="O4902" t="str">
        <f t="shared" si="307"/>
        <v>Moderate Delay</v>
      </c>
    </row>
    <row r="4903" spans="1:15" x14ac:dyDescent="0.25">
      <c r="A4903">
        <v>4902</v>
      </c>
      <c r="B4903" s="2">
        <v>45668</v>
      </c>
      <c r="C4903" t="s">
        <v>16</v>
      </c>
      <c r="D4903" t="s">
        <v>29</v>
      </c>
      <c r="E4903" t="s">
        <v>19</v>
      </c>
      <c r="F4903" t="s">
        <v>21</v>
      </c>
      <c r="G4903">
        <v>233</v>
      </c>
      <c r="H4903">
        <v>537.16</v>
      </c>
      <c r="I4903">
        <v>34</v>
      </c>
      <c r="J4903" t="s">
        <v>15</v>
      </c>
      <c r="K4903">
        <v>125158.28</v>
      </c>
      <c r="L4903" t="str">
        <f t="shared" si="304"/>
        <v>Jan</v>
      </c>
      <c r="M4903">
        <f t="shared" si="305"/>
        <v>2025</v>
      </c>
      <c r="N4903">
        <f t="shared" si="306"/>
        <v>125158.28</v>
      </c>
      <c r="O4903" t="str">
        <f t="shared" si="307"/>
        <v>Moderate Delay</v>
      </c>
    </row>
    <row r="4904" spans="1:15" x14ac:dyDescent="0.25">
      <c r="A4904">
        <v>4903</v>
      </c>
      <c r="B4904" s="2">
        <v>45788</v>
      </c>
      <c r="C4904" t="s">
        <v>11</v>
      </c>
      <c r="D4904" t="s">
        <v>13</v>
      </c>
      <c r="E4904" t="s">
        <v>29</v>
      </c>
      <c r="F4904" t="s">
        <v>21</v>
      </c>
      <c r="G4904">
        <v>259</v>
      </c>
      <c r="H4904">
        <v>361.77</v>
      </c>
      <c r="I4904">
        <v>12</v>
      </c>
      <c r="J4904" t="s">
        <v>15</v>
      </c>
      <c r="K4904">
        <v>93698.43</v>
      </c>
      <c r="L4904" t="str">
        <f t="shared" si="304"/>
        <v>May</v>
      </c>
      <c r="M4904">
        <f t="shared" si="305"/>
        <v>2025</v>
      </c>
      <c r="N4904">
        <f t="shared" si="306"/>
        <v>93698.43</v>
      </c>
      <c r="O4904" t="str">
        <f t="shared" si="307"/>
        <v>Minor Delay</v>
      </c>
    </row>
    <row r="4905" spans="1:15" x14ac:dyDescent="0.25">
      <c r="A4905">
        <v>4904</v>
      </c>
      <c r="B4905" s="2">
        <v>45908</v>
      </c>
      <c r="C4905" t="s">
        <v>26</v>
      </c>
      <c r="D4905" t="s">
        <v>12</v>
      </c>
      <c r="E4905" t="s">
        <v>17</v>
      </c>
      <c r="F4905" t="s">
        <v>21</v>
      </c>
      <c r="G4905">
        <v>137</v>
      </c>
      <c r="H4905">
        <v>139.68</v>
      </c>
      <c r="I4905">
        <v>24</v>
      </c>
      <c r="J4905" t="s">
        <v>30</v>
      </c>
      <c r="K4905">
        <v>19136.16</v>
      </c>
      <c r="L4905" t="str">
        <f t="shared" si="304"/>
        <v>Sep</v>
      </c>
      <c r="M4905">
        <f t="shared" si="305"/>
        <v>2025</v>
      </c>
      <c r="N4905">
        <f t="shared" si="306"/>
        <v>19136.16</v>
      </c>
      <c r="O4905" t="str">
        <f t="shared" si="307"/>
        <v>Minor Delay</v>
      </c>
    </row>
    <row r="4906" spans="1:15" x14ac:dyDescent="0.25">
      <c r="A4906">
        <v>4905</v>
      </c>
      <c r="B4906" s="2">
        <v>45885</v>
      </c>
      <c r="C4906" t="s">
        <v>16</v>
      </c>
      <c r="D4906" t="s">
        <v>13</v>
      </c>
      <c r="E4906" t="s">
        <v>20</v>
      </c>
      <c r="F4906" t="s">
        <v>21</v>
      </c>
      <c r="G4906">
        <v>228</v>
      </c>
      <c r="H4906">
        <v>640.53</v>
      </c>
      <c r="I4906">
        <v>24</v>
      </c>
      <c r="J4906" t="s">
        <v>15</v>
      </c>
      <c r="K4906">
        <v>146040.84</v>
      </c>
      <c r="L4906" t="str">
        <f t="shared" si="304"/>
        <v>Aug</v>
      </c>
      <c r="M4906">
        <f t="shared" si="305"/>
        <v>2025</v>
      </c>
      <c r="N4906">
        <f t="shared" si="306"/>
        <v>146040.84</v>
      </c>
      <c r="O4906" t="str">
        <f t="shared" si="307"/>
        <v>Minor Delay</v>
      </c>
    </row>
    <row r="4907" spans="1:15" x14ac:dyDescent="0.25">
      <c r="A4907">
        <v>4906</v>
      </c>
      <c r="B4907" s="2">
        <v>45981</v>
      </c>
      <c r="C4907" t="s">
        <v>26</v>
      </c>
      <c r="D4907" t="s">
        <v>13</v>
      </c>
      <c r="E4907" t="s">
        <v>22</v>
      </c>
      <c r="F4907" t="s">
        <v>21</v>
      </c>
      <c r="G4907">
        <v>227</v>
      </c>
      <c r="H4907">
        <v>417.97</v>
      </c>
      <c r="I4907">
        <v>19</v>
      </c>
      <c r="J4907" t="s">
        <v>15</v>
      </c>
      <c r="K4907">
        <v>94879.19</v>
      </c>
      <c r="L4907" t="str">
        <f t="shared" si="304"/>
        <v>Nov</v>
      </c>
      <c r="M4907">
        <f t="shared" si="305"/>
        <v>2025</v>
      </c>
      <c r="N4907">
        <f t="shared" si="306"/>
        <v>94879.19</v>
      </c>
      <c r="O4907" t="str">
        <f t="shared" si="307"/>
        <v>Minor Delay</v>
      </c>
    </row>
    <row r="4908" spans="1:15" x14ac:dyDescent="0.25">
      <c r="A4908">
        <v>4907</v>
      </c>
      <c r="B4908" s="2">
        <v>45905</v>
      </c>
      <c r="C4908" t="s">
        <v>25</v>
      </c>
      <c r="D4908" t="s">
        <v>29</v>
      </c>
      <c r="E4908" t="s">
        <v>19</v>
      </c>
      <c r="F4908" t="s">
        <v>21</v>
      </c>
      <c r="G4908">
        <v>125</v>
      </c>
      <c r="H4908">
        <v>708.66</v>
      </c>
      <c r="I4908">
        <v>13</v>
      </c>
      <c r="J4908" t="s">
        <v>15</v>
      </c>
      <c r="K4908">
        <v>88582.5</v>
      </c>
      <c r="L4908" t="str">
        <f t="shared" si="304"/>
        <v>Sep</v>
      </c>
      <c r="M4908">
        <f t="shared" si="305"/>
        <v>2025</v>
      </c>
      <c r="N4908">
        <f t="shared" si="306"/>
        <v>88582.5</v>
      </c>
      <c r="O4908" t="str">
        <f t="shared" si="307"/>
        <v>Minor Delay</v>
      </c>
    </row>
    <row r="4909" spans="1:15" x14ac:dyDescent="0.25">
      <c r="A4909">
        <v>4908</v>
      </c>
      <c r="B4909" s="2">
        <v>45975</v>
      </c>
      <c r="C4909" t="s">
        <v>26</v>
      </c>
      <c r="D4909" t="s">
        <v>22</v>
      </c>
      <c r="E4909" t="s">
        <v>29</v>
      </c>
      <c r="F4909" t="s">
        <v>21</v>
      </c>
      <c r="G4909">
        <v>100</v>
      </c>
      <c r="H4909">
        <v>691.58</v>
      </c>
      <c r="I4909">
        <v>0</v>
      </c>
      <c r="J4909" t="s">
        <v>30</v>
      </c>
      <c r="K4909">
        <v>69158</v>
      </c>
      <c r="L4909" t="str">
        <f t="shared" si="304"/>
        <v>Nov</v>
      </c>
      <c r="M4909">
        <f t="shared" si="305"/>
        <v>2025</v>
      </c>
      <c r="N4909">
        <f t="shared" si="306"/>
        <v>69158</v>
      </c>
      <c r="O4909" t="str">
        <f t="shared" si="307"/>
        <v>On Time</v>
      </c>
    </row>
    <row r="4910" spans="1:15" x14ac:dyDescent="0.25">
      <c r="A4910">
        <v>4909</v>
      </c>
      <c r="B4910" s="2">
        <v>45891</v>
      </c>
      <c r="C4910" t="s">
        <v>16</v>
      </c>
      <c r="D4910" t="s">
        <v>22</v>
      </c>
      <c r="E4910" t="s">
        <v>12</v>
      </c>
      <c r="F4910" t="s">
        <v>21</v>
      </c>
      <c r="G4910">
        <v>168</v>
      </c>
      <c r="H4910">
        <v>174.91</v>
      </c>
      <c r="I4910">
        <v>12</v>
      </c>
      <c r="J4910" t="s">
        <v>15</v>
      </c>
      <c r="K4910">
        <v>29384.880000000001</v>
      </c>
      <c r="L4910" t="str">
        <f t="shared" si="304"/>
        <v>Aug</v>
      </c>
      <c r="M4910">
        <f t="shared" si="305"/>
        <v>2025</v>
      </c>
      <c r="N4910">
        <f t="shared" si="306"/>
        <v>29384.880000000001</v>
      </c>
      <c r="O4910" t="str">
        <f t="shared" si="307"/>
        <v>Minor Delay</v>
      </c>
    </row>
    <row r="4911" spans="1:15" x14ac:dyDescent="0.25">
      <c r="A4911">
        <v>4910</v>
      </c>
      <c r="B4911" s="2">
        <v>45778</v>
      </c>
      <c r="C4911" t="s">
        <v>26</v>
      </c>
      <c r="D4911" t="s">
        <v>23</v>
      </c>
      <c r="E4911" t="s">
        <v>19</v>
      </c>
      <c r="F4911" t="s">
        <v>14</v>
      </c>
      <c r="G4911">
        <v>291</v>
      </c>
      <c r="H4911">
        <v>379.69</v>
      </c>
      <c r="I4911">
        <v>33</v>
      </c>
      <c r="J4911" t="s">
        <v>15</v>
      </c>
      <c r="K4911">
        <v>110489.79</v>
      </c>
      <c r="L4911" t="str">
        <f t="shared" si="304"/>
        <v>May</v>
      </c>
      <c r="M4911">
        <f t="shared" si="305"/>
        <v>2025</v>
      </c>
      <c r="N4911">
        <f t="shared" si="306"/>
        <v>110489.79</v>
      </c>
      <c r="O4911" t="str">
        <f t="shared" si="307"/>
        <v>Moderate Delay</v>
      </c>
    </row>
    <row r="4912" spans="1:15" x14ac:dyDescent="0.25">
      <c r="A4912">
        <v>4911</v>
      </c>
      <c r="B4912" s="2">
        <v>45912</v>
      </c>
      <c r="C4912" t="s">
        <v>18</v>
      </c>
      <c r="D4912" t="s">
        <v>20</v>
      </c>
      <c r="E4912" t="s">
        <v>27</v>
      </c>
      <c r="F4912" t="s">
        <v>14</v>
      </c>
      <c r="G4912">
        <v>114</v>
      </c>
      <c r="H4912">
        <v>728.37</v>
      </c>
      <c r="I4912">
        <v>23</v>
      </c>
      <c r="J4912" t="s">
        <v>15</v>
      </c>
      <c r="K4912">
        <v>83034.179999999993</v>
      </c>
      <c r="L4912" t="str">
        <f t="shared" si="304"/>
        <v>Sep</v>
      </c>
      <c r="M4912">
        <f t="shared" si="305"/>
        <v>2025</v>
      </c>
      <c r="N4912">
        <f t="shared" si="306"/>
        <v>83034.180000000008</v>
      </c>
      <c r="O4912" t="str">
        <f t="shared" si="307"/>
        <v>Minor Delay</v>
      </c>
    </row>
    <row r="4913" spans="1:15" x14ac:dyDescent="0.25">
      <c r="A4913">
        <v>4912</v>
      </c>
      <c r="B4913" s="2">
        <v>45823</v>
      </c>
      <c r="C4913" t="s">
        <v>16</v>
      </c>
      <c r="D4913" t="s">
        <v>22</v>
      </c>
      <c r="E4913" t="s">
        <v>27</v>
      </c>
      <c r="F4913" t="s">
        <v>14</v>
      </c>
      <c r="G4913">
        <v>220</v>
      </c>
      <c r="H4913">
        <v>111.5</v>
      </c>
      <c r="I4913">
        <v>7</v>
      </c>
      <c r="J4913" t="s">
        <v>15</v>
      </c>
      <c r="K4913">
        <v>24530</v>
      </c>
      <c r="L4913" t="str">
        <f t="shared" si="304"/>
        <v>Jun</v>
      </c>
      <c r="M4913">
        <f t="shared" si="305"/>
        <v>2025</v>
      </c>
      <c r="N4913">
        <f t="shared" si="306"/>
        <v>24530</v>
      </c>
      <c r="O4913" t="str">
        <f t="shared" si="307"/>
        <v>Minor Delay</v>
      </c>
    </row>
    <row r="4914" spans="1:15" x14ac:dyDescent="0.25">
      <c r="A4914">
        <v>4913</v>
      </c>
      <c r="B4914" s="2">
        <v>45789</v>
      </c>
      <c r="C4914" t="s">
        <v>16</v>
      </c>
      <c r="D4914" t="s">
        <v>20</v>
      </c>
      <c r="E4914" t="s">
        <v>12</v>
      </c>
      <c r="F4914" t="s">
        <v>24</v>
      </c>
      <c r="G4914">
        <v>283</v>
      </c>
      <c r="H4914">
        <v>413.26</v>
      </c>
      <c r="I4914">
        <v>0</v>
      </c>
      <c r="J4914" t="s">
        <v>15</v>
      </c>
      <c r="K4914">
        <v>116952.58</v>
      </c>
      <c r="L4914" t="str">
        <f t="shared" si="304"/>
        <v>May</v>
      </c>
      <c r="M4914">
        <f t="shared" si="305"/>
        <v>2025</v>
      </c>
      <c r="N4914">
        <f t="shared" si="306"/>
        <v>116952.58</v>
      </c>
      <c r="O4914" t="str">
        <f t="shared" si="307"/>
        <v>On Time</v>
      </c>
    </row>
    <row r="4915" spans="1:15" x14ac:dyDescent="0.25">
      <c r="A4915">
        <v>4914</v>
      </c>
      <c r="B4915" s="2">
        <v>45869</v>
      </c>
      <c r="C4915" t="s">
        <v>16</v>
      </c>
      <c r="D4915" t="s">
        <v>27</v>
      </c>
      <c r="E4915" t="s">
        <v>13</v>
      </c>
      <c r="F4915" t="s">
        <v>21</v>
      </c>
      <c r="G4915">
        <v>197</v>
      </c>
      <c r="H4915">
        <v>501.28</v>
      </c>
      <c r="I4915">
        <v>0</v>
      </c>
      <c r="J4915" t="s">
        <v>15</v>
      </c>
      <c r="K4915">
        <v>98752.16</v>
      </c>
      <c r="L4915" t="str">
        <f t="shared" si="304"/>
        <v>Jul</v>
      </c>
      <c r="M4915">
        <f t="shared" si="305"/>
        <v>2025</v>
      </c>
      <c r="N4915">
        <f t="shared" si="306"/>
        <v>98752.159999999989</v>
      </c>
      <c r="O4915" t="str">
        <f t="shared" si="307"/>
        <v>On Time</v>
      </c>
    </row>
    <row r="4916" spans="1:15" x14ac:dyDescent="0.25">
      <c r="A4916">
        <v>4915</v>
      </c>
      <c r="B4916" s="2">
        <v>45859</v>
      </c>
      <c r="C4916" t="s">
        <v>25</v>
      </c>
      <c r="D4916" t="s">
        <v>23</v>
      </c>
      <c r="E4916" t="s">
        <v>20</v>
      </c>
      <c r="F4916" t="s">
        <v>24</v>
      </c>
      <c r="G4916">
        <v>204</v>
      </c>
      <c r="H4916">
        <v>624.58000000000004</v>
      </c>
      <c r="I4916">
        <v>29</v>
      </c>
      <c r="J4916" t="s">
        <v>15</v>
      </c>
      <c r="K4916">
        <v>127414.32</v>
      </c>
      <c r="L4916" t="str">
        <f t="shared" si="304"/>
        <v>Jul</v>
      </c>
      <c r="M4916">
        <f t="shared" si="305"/>
        <v>2025</v>
      </c>
      <c r="N4916">
        <f t="shared" si="306"/>
        <v>127414.32</v>
      </c>
      <c r="O4916" t="str">
        <f t="shared" si="307"/>
        <v>Minor Delay</v>
      </c>
    </row>
    <row r="4917" spans="1:15" x14ac:dyDescent="0.25">
      <c r="A4917">
        <v>4916</v>
      </c>
      <c r="B4917" s="2">
        <v>45719</v>
      </c>
      <c r="C4917" t="s">
        <v>11</v>
      </c>
      <c r="D4917" t="s">
        <v>12</v>
      </c>
      <c r="E4917" t="s">
        <v>27</v>
      </c>
      <c r="F4917" t="s">
        <v>24</v>
      </c>
      <c r="G4917">
        <v>246</v>
      </c>
      <c r="H4917">
        <v>230.39</v>
      </c>
      <c r="I4917">
        <v>2</v>
      </c>
      <c r="J4917" t="s">
        <v>15</v>
      </c>
      <c r="K4917">
        <v>56675.94</v>
      </c>
      <c r="L4917" t="str">
        <f t="shared" si="304"/>
        <v>Mar</v>
      </c>
      <c r="M4917">
        <f t="shared" si="305"/>
        <v>2025</v>
      </c>
      <c r="N4917">
        <f t="shared" si="306"/>
        <v>56675.939999999995</v>
      </c>
      <c r="O4917" t="str">
        <f t="shared" si="307"/>
        <v>Minor Delay</v>
      </c>
    </row>
    <row r="4918" spans="1:15" x14ac:dyDescent="0.25">
      <c r="A4918">
        <v>4917</v>
      </c>
      <c r="B4918" s="2">
        <v>45683</v>
      </c>
      <c r="C4918" t="s">
        <v>11</v>
      </c>
      <c r="D4918" t="s">
        <v>27</v>
      </c>
      <c r="E4918" t="s">
        <v>19</v>
      </c>
      <c r="F4918" t="s">
        <v>14</v>
      </c>
      <c r="G4918">
        <v>139</v>
      </c>
      <c r="H4918">
        <v>620.29999999999995</v>
      </c>
      <c r="I4918">
        <v>0</v>
      </c>
      <c r="J4918" t="s">
        <v>30</v>
      </c>
      <c r="K4918">
        <v>86221.7</v>
      </c>
      <c r="L4918" t="str">
        <f t="shared" si="304"/>
        <v>Jan</v>
      </c>
      <c r="M4918">
        <f t="shared" si="305"/>
        <v>2025</v>
      </c>
      <c r="N4918">
        <f t="shared" si="306"/>
        <v>86221.7</v>
      </c>
      <c r="O4918" t="str">
        <f t="shared" si="307"/>
        <v>On Time</v>
      </c>
    </row>
    <row r="4919" spans="1:15" x14ac:dyDescent="0.25">
      <c r="A4919">
        <v>4918</v>
      </c>
      <c r="B4919" s="2">
        <v>45843</v>
      </c>
      <c r="C4919" t="s">
        <v>26</v>
      </c>
      <c r="D4919" t="s">
        <v>22</v>
      </c>
      <c r="E4919" t="s">
        <v>29</v>
      </c>
      <c r="F4919" t="s">
        <v>21</v>
      </c>
      <c r="G4919">
        <v>164</v>
      </c>
      <c r="H4919">
        <v>598.46</v>
      </c>
      <c r="I4919">
        <v>68</v>
      </c>
      <c r="J4919" t="s">
        <v>30</v>
      </c>
      <c r="K4919">
        <v>98147.44</v>
      </c>
      <c r="L4919" t="str">
        <f t="shared" si="304"/>
        <v>Jul</v>
      </c>
      <c r="M4919">
        <f t="shared" si="305"/>
        <v>2025</v>
      </c>
      <c r="N4919">
        <f t="shared" si="306"/>
        <v>98147.44</v>
      </c>
      <c r="O4919" t="str">
        <f t="shared" si="307"/>
        <v>Major Delay</v>
      </c>
    </row>
    <row r="4920" spans="1:15" x14ac:dyDescent="0.25">
      <c r="A4920">
        <v>4919</v>
      </c>
      <c r="B4920" s="2">
        <v>45821</v>
      </c>
      <c r="C4920" t="s">
        <v>25</v>
      </c>
      <c r="D4920" t="s">
        <v>20</v>
      </c>
      <c r="E4920" t="s">
        <v>19</v>
      </c>
      <c r="F4920" t="s">
        <v>14</v>
      </c>
      <c r="G4920">
        <v>171</v>
      </c>
      <c r="H4920">
        <v>777.49</v>
      </c>
      <c r="I4920">
        <v>22</v>
      </c>
      <c r="J4920" t="s">
        <v>15</v>
      </c>
      <c r="K4920">
        <v>132950.79</v>
      </c>
      <c r="L4920" t="str">
        <f t="shared" si="304"/>
        <v>Jun</v>
      </c>
      <c r="M4920">
        <f t="shared" si="305"/>
        <v>2025</v>
      </c>
      <c r="N4920">
        <f t="shared" si="306"/>
        <v>132950.79</v>
      </c>
      <c r="O4920" t="str">
        <f t="shared" si="307"/>
        <v>Minor Delay</v>
      </c>
    </row>
    <row r="4921" spans="1:15" x14ac:dyDescent="0.25">
      <c r="A4921">
        <v>4920</v>
      </c>
      <c r="B4921" s="2">
        <v>45992</v>
      </c>
      <c r="C4921" t="s">
        <v>31</v>
      </c>
      <c r="D4921" t="s">
        <v>29</v>
      </c>
      <c r="E4921" t="s">
        <v>23</v>
      </c>
      <c r="F4921" t="s">
        <v>24</v>
      </c>
      <c r="G4921">
        <v>257</v>
      </c>
      <c r="H4921">
        <v>401.33</v>
      </c>
      <c r="I4921">
        <v>0</v>
      </c>
      <c r="J4921" t="s">
        <v>15</v>
      </c>
      <c r="K4921">
        <v>103141.81</v>
      </c>
      <c r="L4921" t="str">
        <f t="shared" si="304"/>
        <v>Dec</v>
      </c>
      <c r="M4921">
        <f t="shared" si="305"/>
        <v>2025</v>
      </c>
      <c r="N4921">
        <f t="shared" si="306"/>
        <v>103141.81</v>
      </c>
      <c r="O4921" t="str">
        <f t="shared" si="307"/>
        <v>On Time</v>
      </c>
    </row>
    <row r="4922" spans="1:15" x14ac:dyDescent="0.25">
      <c r="A4922">
        <v>4921</v>
      </c>
      <c r="B4922" s="2">
        <v>45751</v>
      </c>
      <c r="C4922" t="s">
        <v>25</v>
      </c>
      <c r="D4922" t="s">
        <v>17</v>
      </c>
      <c r="E4922" t="s">
        <v>12</v>
      </c>
      <c r="F4922" t="s">
        <v>24</v>
      </c>
      <c r="G4922">
        <v>72</v>
      </c>
      <c r="H4922">
        <v>252.63</v>
      </c>
      <c r="I4922">
        <v>5</v>
      </c>
      <c r="J4922" t="s">
        <v>15</v>
      </c>
      <c r="K4922">
        <v>18189.36</v>
      </c>
      <c r="L4922" t="str">
        <f t="shared" si="304"/>
        <v>Apr</v>
      </c>
      <c r="M4922">
        <f t="shared" si="305"/>
        <v>2025</v>
      </c>
      <c r="N4922">
        <f t="shared" si="306"/>
        <v>18189.36</v>
      </c>
      <c r="O4922" t="str">
        <f t="shared" si="307"/>
        <v>Minor Delay</v>
      </c>
    </row>
    <row r="4923" spans="1:15" x14ac:dyDescent="0.25">
      <c r="A4923">
        <v>4922</v>
      </c>
      <c r="B4923" s="2">
        <v>45712</v>
      </c>
      <c r="C4923" t="s">
        <v>31</v>
      </c>
      <c r="D4923" t="s">
        <v>17</v>
      </c>
      <c r="E4923" t="s">
        <v>19</v>
      </c>
      <c r="F4923" t="s">
        <v>24</v>
      </c>
      <c r="G4923">
        <v>95</v>
      </c>
      <c r="H4923">
        <v>696.87</v>
      </c>
      <c r="I4923">
        <v>0</v>
      </c>
      <c r="J4923" t="s">
        <v>30</v>
      </c>
      <c r="K4923">
        <v>66202.649999999994</v>
      </c>
      <c r="L4923" t="str">
        <f t="shared" si="304"/>
        <v>Feb</v>
      </c>
      <c r="M4923">
        <f t="shared" si="305"/>
        <v>2025</v>
      </c>
      <c r="N4923">
        <f t="shared" si="306"/>
        <v>66202.649999999994</v>
      </c>
      <c r="O4923" t="str">
        <f t="shared" si="307"/>
        <v>On Time</v>
      </c>
    </row>
    <row r="4924" spans="1:15" x14ac:dyDescent="0.25">
      <c r="A4924">
        <v>4923</v>
      </c>
      <c r="B4924" s="2">
        <v>46015</v>
      </c>
      <c r="C4924" t="s">
        <v>26</v>
      </c>
      <c r="D4924" t="s">
        <v>22</v>
      </c>
      <c r="E4924" t="s">
        <v>20</v>
      </c>
      <c r="F4924" t="s">
        <v>24</v>
      </c>
      <c r="G4924">
        <v>107</v>
      </c>
      <c r="H4924">
        <v>489.27</v>
      </c>
      <c r="I4924">
        <v>22</v>
      </c>
      <c r="J4924" t="s">
        <v>15</v>
      </c>
      <c r="K4924">
        <v>52351.89</v>
      </c>
      <c r="L4924" t="str">
        <f t="shared" si="304"/>
        <v>Dec</v>
      </c>
      <c r="M4924">
        <f t="shared" si="305"/>
        <v>2025</v>
      </c>
      <c r="N4924">
        <f t="shared" si="306"/>
        <v>52351.89</v>
      </c>
      <c r="O4924" t="str">
        <f t="shared" si="307"/>
        <v>Minor Delay</v>
      </c>
    </row>
    <row r="4925" spans="1:15" x14ac:dyDescent="0.25">
      <c r="A4925">
        <v>4924</v>
      </c>
      <c r="B4925" s="2">
        <v>45863</v>
      </c>
      <c r="C4925" t="s">
        <v>11</v>
      </c>
      <c r="D4925" t="s">
        <v>22</v>
      </c>
      <c r="E4925" t="s">
        <v>20</v>
      </c>
      <c r="F4925" t="s">
        <v>14</v>
      </c>
      <c r="G4925">
        <v>65</v>
      </c>
      <c r="H4925">
        <v>542.44000000000005</v>
      </c>
      <c r="I4925">
        <v>0</v>
      </c>
      <c r="J4925" t="s">
        <v>15</v>
      </c>
      <c r="K4925">
        <v>35258.6</v>
      </c>
      <c r="L4925" t="str">
        <f t="shared" si="304"/>
        <v>Jul</v>
      </c>
      <c r="M4925">
        <f t="shared" si="305"/>
        <v>2025</v>
      </c>
      <c r="N4925">
        <f t="shared" si="306"/>
        <v>35258.600000000006</v>
      </c>
      <c r="O4925" t="str">
        <f t="shared" si="307"/>
        <v>On Time</v>
      </c>
    </row>
    <row r="4926" spans="1:15" x14ac:dyDescent="0.25">
      <c r="A4926">
        <v>4925</v>
      </c>
      <c r="B4926" s="2">
        <v>45685</v>
      </c>
      <c r="C4926" t="s">
        <v>26</v>
      </c>
      <c r="D4926" t="s">
        <v>29</v>
      </c>
      <c r="E4926" t="s">
        <v>12</v>
      </c>
      <c r="F4926" t="s">
        <v>21</v>
      </c>
      <c r="G4926">
        <v>69</v>
      </c>
      <c r="H4926">
        <v>347.74</v>
      </c>
      <c r="I4926">
        <v>48</v>
      </c>
      <c r="J4926" t="s">
        <v>30</v>
      </c>
      <c r="K4926">
        <v>23994.06</v>
      </c>
      <c r="L4926" t="str">
        <f t="shared" si="304"/>
        <v>Jan</v>
      </c>
      <c r="M4926">
        <f t="shared" si="305"/>
        <v>2025</v>
      </c>
      <c r="N4926">
        <f t="shared" si="306"/>
        <v>23994.06</v>
      </c>
      <c r="O4926" t="str">
        <f t="shared" si="307"/>
        <v>Moderate Delay</v>
      </c>
    </row>
    <row r="4927" spans="1:15" x14ac:dyDescent="0.25">
      <c r="A4927">
        <v>4926</v>
      </c>
      <c r="B4927" s="2">
        <v>45914</v>
      </c>
      <c r="C4927" t="s">
        <v>16</v>
      </c>
      <c r="D4927" t="s">
        <v>13</v>
      </c>
      <c r="E4927" t="s">
        <v>22</v>
      </c>
      <c r="F4927" t="s">
        <v>14</v>
      </c>
      <c r="G4927">
        <v>102</v>
      </c>
      <c r="H4927">
        <v>608.26</v>
      </c>
      <c r="I4927">
        <v>30</v>
      </c>
      <c r="J4927" t="s">
        <v>15</v>
      </c>
      <c r="K4927">
        <v>62042.52</v>
      </c>
      <c r="L4927" t="str">
        <f t="shared" si="304"/>
        <v>Sep</v>
      </c>
      <c r="M4927">
        <f t="shared" si="305"/>
        <v>2025</v>
      </c>
      <c r="N4927">
        <f t="shared" si="306"/>
        <v>62042.52</v>
      </c>
      <c r="O4927" t="str">
        <f t="shared" si="307"/>
        <v>Minor Delay</v>
      </c>
    </row>
    <row r="4928" spans="1:15" x14ac:dyDescent="0.25">
      <c r="A4928">
        <v>4927</v>
      </c>
      <c r="B4928" s="2">
        <v>45981</v>
      </c>
      <c r="C4928" t="s">
        <v>25</v>
      </c>
      <c r="D4928" t="s">
        <v>19</v>
      </c>
      <c r="E4928" t="s">
        <v>27</v>
      </c>
      <c r="F4928" t="s">
        <v>21</v>
      </c>
      <c r="G4928">
        <v>113</v>
      </c>
      <c r="H4928">
        <v>507.22</v>
      </c>
      <c r="I4928">
        <v>10</v>
      </c>
      <c r="J4928" t="s">
        <v>30</v>
      </c>
      <c r="K4928">
        <v>57315.86</v>
      </c>
      <c r="L4928" t="str">
        <f t="shared" si="304"/>
        <v>Nov</v>
      </c>
      <c r="M4928">
        <f t="shared" si="305"/>
        <v>2025</v>
      </c>
      <c r="N4928">
        <f t="shared" si="306"/>
        <v>57315.86</v>
      </c>
      <c r="O4928" t="str">
        <f t="shared" si="307"/>
        <v>Minor Delay</v>
      </c>
    </row>
    <row r="4929" spans="1:15" x14ac:dyDescent="0.25">
      <c r="A4929">
        <v>4928</v>
      </c>
      <c r="B4929" s="2">
        <v>45955</v>
      </c>
      <c r="C4929" t="s">
        <v>25</v>
      </c>
      <c r="D4929" t="s">
        <v>29</v>
      </c>
      <c r="E4929" t="s">
        <v>17</v>
      </c>
      <c r="F4929" t="s">
        <v>21</v>
      </c>
      <c r="G4929">
        <v>150</v>
      </c>
      <c r="H4929">
        <v>386.09</v>
      </c>
      <c r="I4929">
        <v>31</v>
      </c>
      <c r="J4929" t="s">
        <v>15</v>
      </c>
      <c r="K4929">
        <v>57913.5</v>
      </c>
      <c r="L4929" t="str">
        <f t="shared" si="304"/>
        <v>Oct</v>
      </c>
      <c r="M4929">
        <f t="shared" si="305"/>
        <v>2025</v>
      </c>
      <c r="N4929">
        <f t="shared" si="306"/>
        <v>57913.499999999993</v>
      </c>
      <c r="O4929" t="str">
        <f t="shared" si="307"/>
        <v>Moderate Delay</v>
      </c>
    </row>
    <row r="4930" spans="1:15" x14ac:dyDescent="0.25">
      <c r="A4930">
        <v>4929</v>
      </c>
      <c r="B4930" s="2">
        <v>45842</v>
      </c>
      <c r="C4930" t="s">
        <v>26</v>
      </c>
      <c r="D4930" t="s">
        <v>13</v>
      </c>
      <c r="E4930" t="s">
        <v>17</v>
      </c>
      <c r="F4930" t="s">
        <v>21</v>
      </c>
      <c r="G4930">
        <v>201</v>
      </c>
      <c r="H4930">
        <v>492.73</v>
      </c>
      <c r="I4930">
        <v>23</v>
      </c>
      <c r="J4930" t="s">
        <v>28</v>
      </c>
      <c r="K4930">
        <v>99038.73</v>
      </c>
      <c r="L4930" t="str">
        <f t="shared" si="304"/>
        <v>Jul</v>
      </c>
      <c r="M4930">
        <f t="shared" si="305"/>
        <v>2025</v>
      </c>
      <c r="N4930">
        <f t="shared" si="306"/>
        <v>99038.73000000001</v>
      </c>
      <c r="O4930" t="str">
        <f t="shared" si="307"/>
        <v>Minor Delay</v>
      </c>
    </row>
    <row r="4931" spans="1:15" x14ac:dyDescent="0.25">
      <c r="A4931">
        <v>4930</v>
      </c>
      <c r="B4931" s="2">
        <v>45824</v>
      </c>
      <c r="C4931" t="s">
        <v>26</v>
      </c>
      <c r="D4931" t="s">
        <v>17</v>
      </c>
      <c r="E4931" t="s">
        <v>12</v>
      </c>
      <c r="F4931" t="s">
        <v>21</v>
      </c>
      <c r="G4931">
        <v>190</v>
      </c>
      <c r="H4931">
        <v>195.48</v>
      </c>
      <c r="I4931">
        <v>0</v>
      </c>
      <c r="J4931" t="s">
        <v>30</v>
      </c>
      <c r="K4931">
        <v>37141.199999999997</v>
      </c>
      <c r="L4931" t="str">
        <f t="shared" ref="L4931:L4994" si="308">TEXT(B4931,"MMM")</f>
        <v>Jun</v>
      </c>
      <c r="M4931">
        <f t="shared" ref="M4931:M4994" si="309">YEAR(B4931)</f>
        <v>2025</v>
      </c>
      <c r="N4931">
        <f t="shared" ref="N4931:N4994" si="310">G4931*H4931</f>
        <v>37141.199999999997</v>
      </c>
      <c r="O4931" t="str">
        <f t="shared" ref="O4931:O4994" si="311">IF(I4931=0,"On Time",IF(I4931&lt;=30,"Minor Delay",IF(I4931&lt;=60,"Moderate Delay","Major Delay")))</f>
        <v>On Time</v>
      </c>
    </row>
    <row r="4932" spans="1:15" x14ac:dyDescent="0.25">
      <c r="A4932">
        <v>4931</v>
      </c>
      <c r="B4932" s="2">
        <v>45683</v>
      </c>
      <c r="C4932" t="s">
        <v>25</v>
      </c>
      <c r="D4932" t="s">
        <v>20</v>
      </c>
      <c r="E4932" t="s">
        <v>13</v>
      </c>
      <c r="F4932" t="s">
        <v>14</v>
      </c>
      <c r="G4932">
        <v>196</v>
      </c>
      <c r="H4932">
        <v>242.99</v>
      </c>
      <c r="I4932">
        <v>27</v>
      </c>
      <c r="J4932" t="s">
        <v>15</v>
      </c>
      <c r="K4932">
        <v>47626.04</v>
      </c>
      <c r="L4932" t="str">
        <f t="shared" si="308"/>
        <v>Jan</v>
      </c>
      <c r="M4932">
        <f t="shared" si="309"/>
        <v>2025</v>
      </c>
      <c r="N4932">
        <f t="shared" si="310"/>
        <v>47626.04</v>
      </c>
      <c r="O4932" t="str">
        <f t="shared" si="311"/>
        <v>Minor Delay</v>
      </c>
    </row>
    <row r="4933" spans="1:15" x14ac:dyDescent="0.25">
      <c r="A4933">
        <v>4932</v>
      </c>
      <c r="B4933" s="2">
        <v>45918</v>
      </c>
      <c r="C4933" t="s">
        <v>31</v>
      </c>
      <c r="D4933" t="s">
        <v>29</v>
      </c>
      <c r="E4933" t="s">
        <v>20</v>
      </c>
      <c r="F4933" t="s">
        <v>14</v>
      </c>
      <c r="G4933">
        <v>170</v>
      </c>
      <c r="H4933">
        <v>663.37</v>
      </c>
      <c r="I4933">
        <v>0</v>
      </c>
      <c r="J4933" t="s">
        <v>15</v>
      </c>
      <c r="K4933">
        <v>112772.9</v>
      </c>
      <c r="L4933" t="str">
        <f t="shared" si="308"/>
        <v>Sep</v>
      </c>
      <c r="M4933">
        <f t="shared" si="309"/>
        <v>2025</v>
      </c>
      <c r="N4933">
        <f t="shared" si="310"/>
        <v>112772.9</v>
      </c>
      <c r="O4933" t="str">
        <f t="shared" si="311"/>
        <v>On Time</v>
      </c>
    </row>
    <row r="4934" spans="1:15" x14ac:dyDescent="0.25">
      <c r="A4934">
        <v>4933</v>
      </c>
      <c r="B4934" s="2">
        <v>45785</v>
      </c>
      <c r="C4934" t="s">
        <v>18</v>
      </c>
      <c r="D4934" t="s">
        <v>29</v>
      </c>
      <c r="E4934" t="s">
        <v>12</v>
      </c>
      <c r="F4934" t="s">
        <v>21</v>
      </c>
      <c r="G4934">
        <v>266</v>
      </c>
      <c r="H4934">
        <v>456.45</v>
      </c>
      <c r="I4934">
        <v>46</v>
      </c>
      <c r="J4934" t="s">
        <v>15</v>
      </c>
      <c r="K4934">
        <v>121415.7</v>
      </c>
      <c r="L4934" t="str">
        <f t="shared" si="308"/>
        <v>May</v>
      </c>
      <c r="M4934">
        <f t="shared" si="309"/>
        <v>2025</v>
      </c>
      <c r="N4934">
        <f t="shared" si="310"/>
        <v>121415.7</v>
      </c>
      <c r="O4934" t="str">
        <f t="shared" si="311"/>
        <v>Moderate Delay</v>
      </c>
    </row>
    <row r="4935" spans="1:15" x14ac:dyDescent="0.25">
      <c r="A4935">
        <v>4934</v>
      </c>
      <c r="B4935" s="2">
        <v>45927</v>
      </c>
      <c r="C4935" t="s">
        <v>26</v>
      </c>
      <c r="D4935" t="s">
        <v>29</v>
      </c>
      <c r="E4935" t="s">
        <v>12</v>
      </c>
      <c r="F4935" t="s">
        <v>14</v>
      </c>
      <c r="G4935">
        <v>229</v>
      </c>
      <c r="H4935">
        <v>522.79999999999995</v>
      </c>
      <c r="I4935">
        <v>33</v>
      </c>
      <c r="J4935" t="s">
        <v>15</v>
      </c>
      <c r="K4935">
        <v>119721.2</v>
      </c>
      <c r="L4935" t="str">
        <f t="shared" si="308"/>
        <v>Sep</v>
      </c>
      <c r="M4935">
        <f t="shared" si="309"/>
        <v>2025</v>
      </c>
      <c r="N4935">
        <f t="shared" si="310"/>
        <v>119721.19999999998</v>
      </c>
      <c r="O4935" t="str">
        <f t="shared" si="311"/>
        <v>Moderate Delay</v>
      </c>
    </row>
    <row r="4936" spans="1:15" x14ac:dyDescent="0.25">
      <c r="A4936">
        <v>4935</v>
      </c>
      <c r="B4936" s="2">
        <v>45701</v>
      </c>
      <c r="C4936" t="s">
        <v>18</v>
      </c>
      <c r="D4936" t="s">
        <v>22</v>
      </c>
      <c r="E4936" t="s">
        <v>20</v>
      </c>
      <c r="F4936" t="s">
        <v>24</v>
      </c>
      <c r="G4936">
        <v>220</v>
      </c>
      <c r="H4936">
        <v>790.9</v>
      </c>
      <c r="I4936">
        <v>0</v>
      </c>
      <c r="J4936" t="s">
        <v>15</v>
      </c>
      <c r="K4936">
        <v>173998</v>
      </c>
      <c r="L4936" t="str">
        <f t="shared" si="308"/>
        <v>Feb</v>
      </c>
      <c r="M4936">
        <f t="shared" si="309"/>
        <v>2025</v>
      </c>
      <c r="N4936">
        <f t="shared" si="310"/>
        <v>173998</v>
      </c>
      <c r="O4936" t="str">
        <f t="shared" si="311"/>
        <v>On Time</v>
      </c>
    </row>
    <row r="4937" spans="1:15" x14ac:dyDescent="0.25">
      <c r="A4937">
        <v>4936</v>
      </c>
      <c r="B4937" s="2">
        <v>45843</v>
      </c>
      <c r="C4937" t="s">
        <v>11</v>
      </c>
      <c r="D4937" t="s">
        <v>19</v>
      </c>
      <c r="E4937" t="s">
        <v>17</v>
      </c>
      <c r="F4937" t="s">
        <v>21</v>
      </c>
      <c r="G4937">
        <v>189</v>
      </c>
      <c r="H4937">
        <v>299.14</v>
      </c>
      <c r="I4937">
        <v>44</v>
      </c>
      <c r="J4937" t="s">
        <v>15</v>
      </c>
      <c r="K4937">
        <v>56537.46</v>
      </c>
      <c r="L4937" t="str">
        <f t="shared" si="308"/>
        <v>Jul</v>
      </c>
      <c r="M4937">
        <f t="shared" si="309"/>
        <v>2025</v>
      </c>
      <c r="N4937">
        <f t="shared" si="310"/>
        <v>56537.46</v>
      </c>
      <c r="O4937" t="str">
        <f t="shared" si="311"/>
        <v>Moderate Delay</v>
      </c>
    </row>
    <row r="4938" spans="1:15" x14ac:dyDescent="0.25">
      <c r="A4938">
        <v>4937</v>
      </c>
      <c r="B4938" s="2">
        <v>45757</v>
      </c>
      <c r="C4938" t="s">
        <v>16</v>
      </c>
      <c r="D4938" t="s">
        <v>13</v>
      </c>
      <c r="E4938" t="s">
        <v>20</v>
      </c>
      <c r="F4938" t="s">
        <v>21</v>
      </c>
      <c r="G4938">
        <v>88</v>
      </c>
      <c r="H4938">
        <v>628.16</v>
      </c>
      <c r="I4938">
        <v>0</v>
      </c>
      <c r="J4938" t="s">
        <v>15</v>
      </c>
      <c r="K4938">
        <v>55278.080000000002</v>
      </c>
      <c r="L4938" t="str">
        <f t="shared" si="308"/>
        <v>Apr</v>
      </c>
      <c r="M4938">
        <f t="shared" si="309"/>
        <v>2025</v>
      </c>
      <c r="N4938">
        <f t="shared" si="310"/>
        <v>55278.079999999994</v>
      </c>
      <c r="O4938" t="str">
        <f t="shared" si="311"/>
        <v>On Time</v>
      </c>
    </row>
    <row r="4939" spans="1:15" x14ac:dyDescent="0.25">
      <c r="A4939">
        <v>4938</v>
      </c>
      <c r="B4939" s="2">
        <v>45840</v>
      </c>
      <c r="C4939" t="s">
        <v>11</v>
      </c>
      <c r="D4939" t="s">
        <v>19</v>
      </c>
      <c r="E4939" t="s">
        <v>23</v>
      </c>
      <c r="F4939" t="s">
        <v>21</v>
      </c>
      <c r="G4939">
        <v>268</v>
      </c>
      <c r="H4939">
        <v>384.73</v>
      </c>
      <c r="I4939">
        <v>5</v>
      </c>
      <c r="J4939" t="s">
        <v>15</v>
      </c>
      <c r="K4939">
        <v>103107.64</v>
      </c>
      <c r="L4939" t="str">
        <f t="shared" si="308"/>
        <v>Jul</v>
      </c>
      <c r="M4939">
        <f t="shared" si="309"/>
        <v>2025</v>
      </c>
      <c r="N4939">
        <f t="shared" si="310"/>
        <v>103107.64</v>
      </c>
      <c r="O4939" t="str">
        <f t="shared" si="311"/>
        <v>Minor Delay</v>
      </c>
    </row>
    <row r="4940" spans="1:15" x14ac:dyDescent="0.25">
      <c r="A4940">
        <v>4939</v>
      </c>
      <c r="B4940" s="2">
        <v>45757</v>
      </c>
      <c r="C4940" t="s">
        <v>26</v>
      </c>
      <c r="D4940" t="s">
        <v>12</v>
      </c>
      <c r="E4940" t="s">
        <v>17</v>
      </c>
      <c r="F4940" t="s">
        <v>21</v>
      </c>
      <c r="G4940">
        <v>216</v>
      </c>
      <c r="H4940">
        <v>363.36</v>
      </c>
      <c r="I4940">
        <v>5</v>
      </c>
      <c r="J4940" t="s">
        <v>15</v>
      </c>
      <c r="K4940">
        <v>78485.759999999995</v>
      </c>
      <c r="L4940" t="str">
        <f t="shared" si="308"/>
        <v>Apr</v>
      </c>
      <c r="M4940">
        <f t="shared" si="309"/>
        <v>2025</v>
      </c>
      <c r="N4940">
        <f t="shared" si="310"/>
        <v>78485.760000000009</v>
      </c>
      <c r="O4940" t="str">
        <f t="shared" si="311"/>
        <v>Minor Delay</v>
      </c>
    </row>
    <row r="4941" spans="1:15" x14ac:dyDescent="0.25">
      <c r="A4941">
        <v>4940</v>
      </c>
      <c r="B4941" s="2">
        <v>45794</v>
      </c>
      <c r="C4941" t="s">
        <v>18</v>
      </c>
      <c r="D4941" t="s">
        <v>23</v>
      </c>
      <c r="E4941" t="s">
        <v>27</v>
      </c>
      <c r="F4941" t="s">
        <v>24</v>
      </c>
      <c r="G4941">
        <v>223</v>
      </c>
      <c r="H4941">
        <v>326.35000000000002</v>
      </c>
      <c r="I4941">
        <v>21</v>
      </c>
      <c r="J4941" t="s">
        <v>15</v>
      </c>
      <c r="K4941">
        <v>72776.05</v>
      </c>
      <c r="L4941" t="str">
        <f t="shared" si="308"/>
        <v>May</v>
      </c>
      <c r="M4941">
        <f t="shared" si="309"/>
        <v>2025</v>
      </c>
      <c r="N4941">
        <f t="shared" si="310"/>
        <v>72776.05</v>
      </c>
      <c r="O4941" t="str">
        <f t="shared" si="311"/>
        <v>Minor Delay</v>
      </c>
    </row>
    <row r="4942" spans="1:15" x14ac:dyDescent="0.25">
      <c r="A4942">
        <v>4941</v>
      </c>
      <c r="B4942" s="2">
        <v>45710</v>
      </c>
      <c r="C4942" t="s">
        <v>16</v>
      </c>
      <c r="D4942" t="s">
        <v>29</v>
      </c>
      <c r="E4942" t="s">
        <v>23</v>
      </c>
      <c r="F4942" t="s">
        <v>14</v>
      </c>
      <c r="G4942">
        <v>190</v>
      </c>
      <c r="H4942">
        <v>762.4</v>
      </c>
      <c r="I4942">
        <v>18</v>
      </c>
      <c r="J4942" t="s">
        <v>15</v>
      </c>
      <c r="K4942">
        <v>144856</v>
      </c>
      <c r="L4942" t="str">
        <f t="shared" si="308"/>
        <v>Feb</v>
      </c>
      <c r="M4942">
        <f t="shared" si="309"/>
        <v>2025</v>
      </c>
      <c r="N4942">
        <f t="shared" si="310"/>
        <v>144856</v>
      </c>
      <c r="O4942" t="str">
        <f t="shared" si="311"/>
        <v>Minor Delay</v>
      </c>
    </row>
    <row r="4943" spans="1:15" x14ac:dyDescent="0.25">
      <c r="A4943">
        <v>4942</v>
      </c>
      <c r="B4943" s="2">
        <v>45819</v>
      </c>
      <c r="C4943" t="s">
        <v>18</v>
      </c>
      <c r="D4943" t="s">
        <v>27</v>
      </c>
      <c r="E4943" t="s">
        <v>20</v>
      </c>
      <c r="F4943" t="s">
        <v>21</v>
      </c>
      <c r="G4943">
        <v>129</v>
      </c>
      <c r="H4943">
        <v>665.93</v>
      </c>
      <c r="I4943">
        <v>12</v>
      </c>
      <c r="J4943" t="s">
        <v>30</v>
      </c>
      <c r="K4943">
        <v>85904.97</v>
      </c>
      <c r="L4943" t="str">
        <f t="shared" si="308"/>
        <v>Jun</v>
      </c>
      <c r="M4943">
        <f t="shared" si="309"/>
        <v>2025</v>
      </c>
      <c r="N4943">
        <f t="shared" si="310"/>
        <v>85904.969999999987</v>
      </c>
      <c r="O4943" t="str">
        <f t="shared" si="311"/>
        <v>Minor Delay</v>
      </c>
    </row>
    <row r="4944" spans="1:15" x14ac:dyDescent="0.25">
      <c r="A4944">
        <v>4943</v>
      </c>
      <c r="B4944" s="2">
        <v>45935</v>
      </c>
      <c r="C4944" t="s">
        <v>16</v>
      </c>
      <c r="D4944" t="s">
        <v>13</v>
      </c>
      <c r="E4944" t="s">
        <v>17</v>
      </c>
      <c r="F4944" t="s">
        <v>21</v>
      </c>
      <c r="G4944">
        <v>53</v>
      </c>
      <c r="H4944">
        <v>296.83999999999997</v>
      </c>
      <c r="I4944">
        <v>21</v>
      </c>
      <c r="J4944" t="s">
        <v>30</v>
      </c>
      <c r="K4944">
        <v>15732.52</v>
      </c>
      <c r="L4944" t="str">
        <f t="shared" si="308"/>
        <v>Oct</v>
      </c>
      <c r="M4944">
        <f t="shared" si="309"/>
        <v>2025</v>
      </c>
      <c r="N4944">
        <f t="shared" si="310"/>
        <v>15732.519999999999</v>
      </c>
      <c r="O4944" t="str">
        <f t="shared" si="311"/>
        <v>Minor Delay</v>
      </c>
    </row>
    <row r="4945" spans="1:15" x14ac:dyDescent="0.25">
      <c r="A4945">
        <v>4944</v>
      </c>
      <c r="B4945" s="2">
        <v>45907</v>
      </c>
      <c r="C4945" t="s">
        <v>31</v>
      </c>
      <c r="D4945" t="s">
        <v>27</v>
      </c>
      <c r="E4945" t="s">
        <v>17</v>
      </c>
      <c r="F4945" t="s">
        <v>24</v>
      </c>
      <c r="G4945">
        <v>255</v>
      </c>
      <c r="H4945">
        <v>774.99</v>
      </c>
      <c r="I4945">
        <v>20</v>
      </c>
      <c r="J4945" t="s">
        <v>15</v>
      </c>
      <c r="K4945">
        <v>197622.45</v>
      </c>
      <c r="L4945" t="str">
        <f t="shared" si="308"/>
        <v>Sep</v>
      </c>
      <c r="M4945">
        <f t="shared" si="309"/>
        <v>2025</v>
      </c>
      <c r="N4945">
        <f t="shared" si="310"/>
        <v>197622.45</v>
      </c>
      <c r="O4945" t="str">
        <f t="shared" si="311"/>
        <v>Minor Delay</v>
      </c>
    </row>
    <row r="4946" spans="1:15" x14ac:dyDescent="0.25">
      <c r="A4946">
        <v>4945</v>
      </c>
      <c r="B4946" s="2">
        <v>45959</v>
      </c>
      <c r="C4946" t="s">
        <v>11</v>
      </c>
      <c r="D4946" t="s">
        <v>17</v>
      </c>
      <c r="E4946" t="s">
        <v>12</v>
      </c>
      <c r="F4946" t="s">
        <v>24</v>
      </c>
      <c r="G4946">
        <v>186</v>
      </c>
      <c r="H4946">
        <v>660.38</v>
      </c>
      <c r="I4946">
        <v>12</v>
      </c>
      <c r="J4946" t="s">
        <v>15</v>
      </c>
      <c r="K4946">
        <v>122830.68</v>
      </c>
      <c r="L4946" t="str">
        <f t="shared" si="308"/>
        <v>Oct</v>
      </c>
      <c r="M4946">
        <f t="shared" si="309"/>
        <v>2025</v>
      </c>
      <c r="N4946">
        <f t="shared" si="310"/>
        <v>122830.68</v>
      </c>
      <c r="O4946" t="str">
        <f t="shared" si="311"/>
        <v>Minor Delay</v>
      </c>
    </row>
    <row r="4947" spans="1:15" x14ac:dyDescent="0.25">
      <c r="A4947">
        <v>4946</v>
      </c>
      <c r="B4947" s="2">
        <v>45856</v>
      </c>
      <c r="C4947" t="s">
        <v>26</v>
      </c>
      <c r="D4947" t="s">
        <v>17</v>
      </c>
      <c r="E4947" t="s">
        <v>23</v>
      </c>
      <c r="F4947" t="s">
        <v>14</v>
      </c>
      <c r="G4947">
        <v>289</v>
      </c>
      <c r="H4947">
        <v>222.25</v>
      </c>
      <c r="I4947">
        <v>0</v>
      </c>
      <c r="J4947" t="s">
        <v>15</v>
      </c>
      <c r="K4947">
        <v>64230.25</v>
      </c>
      <c r="L4947" t="str">
        <f t="shared" si="308"/>
        <v>Jul</v>
      </c>
      <c r="M4947">
        <f t="shared" si="309"/>
        <v>2025</v>
      </c>
      <c r="N4947">
        <f t="shared" si="310"/>
        <v>64230.25</v>
      </c>
      <c r="O4947" t="str">
        <f t="shared" si="311"/>
        <v>On Time</v>
      </c>
    </row>
    <row r="4948" spans="1:15" x14ac:dyDescent="0.25">
      <c r="A4948">
        <v>4947</v>
      </c>
      <c r="B4948" s="2">
        <v>45799</v>
      </c>
      <c r="C4948" t="s">
        <v>25</v>
      </c>
      <c r="D4948" t="s">
        <v>20</v>
      </c>
      <c r="E4948" t="s">
        <v>27</v>
      </c>
      <c r="F4948" t="s">
        <v>21</v>
      </c>
      <c r="G4948">
        <v>154</v>
      </c>
      <c r="H4948">
        <v>780.81</v>
      </c>
      <c r="I4948">
        <v>29</v>
      </c>
      <c r="J4948" t="s">
        <v>30</v>
      </c>
      <c r="K4948">
        <v>120244.74</v>
      </c>
      <c r="L4948" t="str">
        <f t="shared" si="308"/>
        <v>May</v>
      </c>
      <c r="M4948">
        <f t="shared" si="309"/>
        <v>2025</v>
      </c>
      <c r="N4948">
        <f t="shared" si="310"/>
        <v>120244.73999999999</v>
      </c>
      <c r="O4948" t="str">
        <f t="shared" si="311"/>
        <v>Minor Delay</v>
      </c>
    </row>
    <row r="4949" spans="1:15" x14ac:dyDescent="0.25">
      <c r="A4949">
        <v>4948</v>
      </c>
      <c r="B4949" s="2">
        <v>46012</v>
      </c>
      <c r="C4949" t="s">
        <v>18</v>
      </c>
      <c r="D4949" t="s">
        <v>29</v>
      </c>
      <c r="E4949" t="s">
        <v>19</v>
      </c>
      <c r="F4949" t="s">
        <v>14</v>
      </c>
      <c r="G4949">
        <v>178</v>
      </c>
      <c r="H4949">
        <v>144.69</v>
      </c>
      <c r="I4949">
        <v>47</v>
      </c>
      <c r="J4949" t="s">
        <v>30</v>
      </c>
      <c r="K4949">
        <v>25754.82</v>
      </c>
      <c r="L4949" t="str">
        <f t="shared" si="308"/>
        <v>Dec</v>
      </c>
      <c r="M4949">
        <f t="shared" si="309"/>
        <v>2025</v>
      </c>
      <c r="N4949">
        <f t="shared" si="310"/>
        <v>25754.82</v>
      </c>
      <c r="O4949" t="str">
        <f t="shared" si="311"/>
        <v>Moderate Delay</v>
      </c>
    </row>
    <row r="4950" spans="1:15" x14ac:dyDescent="0.25">
      <c r="A4950">
        <v>4949</v>
      </c>
      <c r="B4950" s="2">
        <v>45750</v>
      </c>
      <c r="C4950" t="s">
        <v>11</v>
      </c>
      <c r="D4950" t="s">
        <v>22</v>
      </c>
      <c r="E4950" t="s">
        <v>13</v>
      </c>
      <c r="F4950" t="s">
        <v>24</v>
      </c>
      <c r="G4950">
        <v>124</v>
      </c>
      <c r="H4950">
        <v>212.98</v>
      </c>
      <c r="I4950">
        <v>42</v>
      </c>
      <c r="J4950" t="s">
        <v>15</v>
      </c>
      <c r="K4950">
        <v>26409.52</v>
      </c>
      <c r="L4950" t="str">
        <f t="shared" si="308"/>
        <v>Apr</v>
      </c>
      <c r="M4950">
        <f t="shared" si="309"/>
        <v>2025</v>
      </c>
      <c r="N4950">
        <f t="shared" si="310"/>
        <v>26409.52</v>
      </c>
      <c r="O4950" t="str">
        <f t="shared" si="311"/>
        <v>Moderate Delay</v>
      </c>
    </row>
    <row r="4951" spans="1:15" x14ac:dyDescent="0.25">
      <c r="A4951">
        <v>4950</v>
      </c>
      <c r="B4951" s="2">
        <v>45823</v>
      </c>
      <c r="C4951" t="s">
        <v>11</v>
      </c>
      <c r="D4951" t="s">
        <v>22</v>
      </c>
      <c r="E4951" t="s">
        <v>13</v>
      </c>
      <c r="F4951" t="s">
        <v>14</v>
      </c>
      <c r="G4951">
        <v>203</v>
      </c>
      <c r="H4951">
        <v>274.45</v>
      </c>
      <c r="I4951">
        <v>0</v>
      </c>
      <c r="J4951" t="s">
        <v>15</v>
      </c>
      <c r="K4951">
        <v>55713.35</v>
      </c>
      <c r="L4951" t="str">
        <f t="shared" si="308"/>
        <v>Jun</v>
      </c>
      <c r="M4951">
        <f t="shared" si="309"/>
        <v>2025</v>
      </c>
      <c r="N4951">
        <f t="shared" si="310"/>
        <v>55713.35</v>
      </c>
      <c r="O4951" t="str">
        <f t="shared" si="311"/>
        <v>On Time</v>
      </c>
    </row>
    <row r="4952" spans="1:15" x14ac:dyDescent="0.25">
      <c r="A4952">
        <v>4951</v>
      </c>
      <c r="B4952" s="2">
        <v>45900</v>
      </c>
      <c r="C4952" t="s">
        <v>11</v>
      </c>
      <c r="D4952" t="s">
        <v>13</v>
      </c>
      <c r="E4952" t="s">
        <v>22</v>
      </c>
      <c r="F4952" t="s">
        <v>24</v>
      </c>
      <c r="G4952">
        <v>56</v>
      </c>
      <c r="H4952">
        <v>521.99</v>
      </c>
      <c r="I4952">
        <v>43</v>
      </c>
      <c r="J4952" t="s">
        <v>15</v>
      </c>
      <c r="K4952">
        <v>29231.439999999999</v>
      </c>
      <c r="L4952" t="str">
        <f t="shared" si="308"/>
        <v>Aug</v>
      </c>
      <c r="M4952">
        <f t="shared" si="309"/>
        <v>2025</v>
      </c>
      <c r="N4952">
        <f t="shared" si="310"/>
        <v>29231.440000000002</v>
      </c>
      <c r="O4952" t="str">
        <f t="shared" si="311"/>
        <v>Moderate Delay</v>
      </c>
    </row>
    <row r="4953" spans="1:15" x14ac:dyDescent="0.25">
      <c r="A4953">
        <v>4952</v>
      </c>
      <c r="B4953" s="2">
        <v>45839</v>
      </c>
      <c r="C4953" t="s">
        <v>31</v>
      </c>
      <c r="D4953" t="s">
        <v>12</v>
      </c>
      <c r="E4953" t="s">
        <v>22</v>
      </c>
      <c r="F4953" t="s">
        <v>24</v>
      </c>
      <c r="G4953">
        <v>165</v>
      </c>
      <c r="H4953">
        <v>234.82</v>
      </c>
      <c r="I4953">
        <v>0</v>
      </c>
      <c r="J4953" t="s">
        <v>30</v>
      </c>
      <c r="K4953">
        <v>38745.300000000003</v>
      </c>
      <c r="L4953" t="str">
        <f t="shared" si="308"/>
        <v>Jul</v>
      </c>
      <c r="M4953">
        <f t="shared" si="309"/>
        <v>2025</v>
      </c>
      <c r="N4953">
        <f t="shared" si="310"/>
        <v>38745.299999999996</v>
      </c>
      <c r="O4953" t="str">
        <f t="shared" si="311"/>
        <v>On Time</v>
      </c>
    </row>
    <row r="4954" spans="1:15" x14ac:dyDescent="0.25">
      <c r="A4954">
        <v>4953</v>
      </c>
      <c r="B4954" s="2">
        <v>45950</v>
      </c>
      <c r="C4954" t="s">
        <v>31</v>
      </c>
      <c r="D4954" t="s">
        <v>17</v>
      </c>
      <c r="E4954" t="s">
        <v>13</v>
      </c>
      <c r="F4954" t="s">
        <v>21</v>
      </c>
      <c r="G4954">
        <v>289</v>
      </c>
      <c r="H4954">
        <v>294.64</v>
      </c>
      <c r="I4954">
        <v>43</v>
      </c>
      <c r="J4954" t="s">
        <v>15</v>
      </c>
      <c r="K4954">
        <v>85150.96</v>
      </c>
      <c r="L4954" t="str">
        <f t="shared" si="308"/>
        <v>Oct</v>
      </c>
      <c r="M4954">
        <f t="shared" si="309"/>
        <v>2025</v>
      </c>
      <c r="N4954">
        <f t="shared" si="310"/>
        <v>85150.959999999992</v>
      </c>
      <c r="O4954" t="str">
        <f t="shared" si="311"/>
        <v>Moderate Delay</v>
      </c>
    </row>
    <row r="4955" spans="1:15" x14ac:dyDescent="0.25">
      <c r="A4955">
        <v>4954</v>
      </c>
      <c r="B4955" s="2">
        <v>45776</v>
      </c>
      <c r="C4955" t="s">
        <v>18</v>
      </c>
      <c r="D4955" t="s">
        <v>23</v>
      </c>
      <c r="E4955" t="s">
        <v>27</v>
      </c>
      <c r="F4955" t="s">
        <v>24</v>
      </c>
      <c r="G4955">
        <v>143</v>
      </c>
      <c r="H4955">
        <v>211.69</v>
      </c>
      <c r="I4955">
        <v>41</v>
      </c>
      <c r="J4955" t="s">
        <v>15</v>
      </c>
      <c r="K4955">
        <v>30271.67</v>
      </c>
      <c r="L4955" t="str">
        <f t="shared" si="308"/>
        <v>Apr</v>
      </c>
      <c r="M4955">
        <f t="shared" si="309"/>
        <v>2025</v>
      </c>
      <c r="N4955">
        <f t="shared" si="310"/>
        <v>30271.67</v>
      </c>
      <c r="O4955" t="str">
        <f t="shared" si="311"/>
        <v>Moderate Delay</v>
      </c>
    </row>
    <row r="4956" spans="1:15" x14ac:dyDescent="0.25">
      <c r="A4956">
        <v>4955</v>
      </c>
      <c r="B4956" s="2">
        <v>45926</v>
      </c>
      <c r="C4956" t="s">
        <v>18</v>
      </c>
      <c r="D4956" t="s">
        <v>27</v>
      </c>
      <c r="E4956" t="s">
        <v>22</v>
      </c>
      <c r="F4956" t="s">
        <v>24</v>
      </c>
      <c r="G4956">
        <v>179</v>
      </c>
      <c r="H4956">
        <v>613.16</v>
      </c>
      <c r="I4956">
        <v>10</v>
      </c>
      <c r="J4956" t="s">
        <v>15</v>
      </c>
      <c r="K4956">
        <v>109755.64</v>
      </c>
      <c r="L4956" t="str">
        <f t="shared" si="308"/>
        <v>Sep</v>
      </c>
      <c r="M4956">
        <f t="shared" si="309"/>
        <v>2025</v>
      </c>
      <c r="N4956">
        <f t="shared" si="310"/>
        <v>109755.64</v>
      </c>
      <c r="O4956" t="str">
        <f t="shared" si="311"/>
        <v>Minor Delay</v>
      </c>
    </row>
    <row r="4957" spans="1:15" x14ac:dyDescent="0.25">
      <c r="A4957">
        <v>4956</v>
      </c>
      <c r="B4957" s="2">
        <v>45717</v>
      </c>
      <c r="C4957" t="s">
        <v>11</v>
      </c>
      <c r="D4957" t="s">
        <v>22</v>
      </c>
      <c r="E4957" t="s">
        <v>27</v>
      </c>
      <c r="F4957" t="s">
        <v>14</v>
      </c>
      <c r="G4957">
        <v>254</v>
      </c>
      <c r="H4957">
        <v>527.49</v>
      </c>
      <c r="I4957">
        <v>0</v>
      </c>
      <c r="J4957" t="s">
        <v>15</v>
      </c>
      <c r="K4957">
        <v>133982.46</v>
      </c>
      <c r="L4957" t="str">
        <f t="shared" si="308"/>
        <v>Mar</v>
      </c>
      <c r="M4957">
        <f t="shared" si="309"/>
        <v>2025</v>
      </c>
      <c r="N4957">
        <f t="shared" si="310"/>
        <v>133982.46</v>
      </c>
      <c r="O4957" t="str">
        <f t="shared" si="311"/>
        <v>On Time</v>
      </c>
    </row>
    <row r="4958" spans="1:15" x14ac:dyDescent="0.25">
      <c r="A4958">
        <v>4957</v>
      </c>
      <c r="B4958" s="2">
        <v>45965</v>
      </c>
      <c r="C4958" t="s">
        <v>18</v>
      </c>
      <c r="D4958" t="s">
        <v>23</v>
      </c>
      <c r="E4958" t="s">
        <v>22</v>
      </c>
      <c r="F4958" t="s">
        <v>14</v>
      </c>
      <c r="G4958">
        <v>285</v>
      </c>
      <c r="H4958">
        <v>382</v>
      </c>
      <c r="I4958">
        <v>32</v>
      </c>
      <c r="J4958" t="s">
        <v>15</v>
      </c>
      <c r="K4958">
        <v>108870</v>
      </c>
      <c r="L4958" t="str">
        <f t="shared" si="308"/>
        <v>Nov</v>
      </c>
      <c r="M4958">
        <f t="shared" si="309"/>
        <v>2025</v>
      </c>
      <c r="N4958">
        <f t="shared" si="310"/>
        <v>108870</v>
      </c>
      <c r="O4958" t="str">
        <f t="shared" si="311"/>
        <v>Moderate Delay</v>
      </c>
    </row>
    <row r="4959" spans="1:15" x14ac:dyDescent="0.25">
      <c r="A4959">
        <v>4958</v>
      </c>
      <c r="B4959" s="2">
        <v>45902</v>
      </c>
      <c r="C4959" t="s">
        <v>18</v>
      </c>
      <c r="D4959" t="s">
        <v>23</v>
      </c>
      <c r="E4959" t="s">
        <v>27</v>
      </c>
      <c r="F4959" t="s">
        <v>24</v>
      </c>
      <c r="G4959">
        <v>110</v>
      </c>
      <c r="H4959">
        <v>384.56</v>
      </c>
      <c r="I4959">
        <v>1</v>
      </c>
      <c r="J4959" t="s">
        <v>15</v>
      </c>
      <c r="K4959">
        <v>42301.599999999999</v>
      </c>
      <c r="L4959" t="str">
        <f t="shared" si="308"/>
        <v>Sep</v>
      </c>
      <c r="M4959">
        <f t="shared" si="309"/>
        <v>2025</v>
      </c>
      <c r="N4959">
        <f t="shared" si="310"/>
        <v>42301.599999999999</v>
      </c>
      <c r="O4959" t="str">
        <f t="shared" si="311"/>
        <v>Minor Delay</v>
      </c>
    </row>
    <row r="4960" spans="1:15" x14ac:dyDescent="0.25">
      <c r="A4960">
        <v>4959</v>
      </c>
      <c r="B4960" s="2">
        <v>45917</v>
      </c>
      <c r="C4960" t="s">
        <v>26</v>
      </c>
      <c r="D4960" t="s">
        <v>29</v>
      </c>
      <c r="E4960" t="s">
        <v>23</v>
      </c>
      <c r="F4960" t="s">
        <v>21</v>
      </c>
      <c r="G4960">
        <v>166</v>
      </c>
      <c r="H4960">
        <v>388.84</v>
      </c>
      <c r="I4960">
        <v>0</v>
      </c>
      <c r="J4960" t="s">
        <v>15</v>
      </c>
      <c r="K4960">
        <v>64547.44</v>
      </c>
      <c r="L4960" t="str">
        <f t="shared" si="308"/>
        <v>Sep</v>
      </c>
      <c r="M4960">
        <f t="shared" si="309"/>
        <v>2025</v>
      </c>
      <c r="N4960">
        <f t="shared" si="310"/>
        <v>64547.439999999995</v>
      </c>
      <c r="O4960" t="str">
        <f t="shared" si="311"/>
        <v>On Time</v>
      </c>
    </row>
    <row r="4961" spans="1:15" x14ac:dyDescent="0.25">
      <c r="A4961">
        <v>4960</v>
      </c>
      <c r="B4961" s="2">
        <v>45828</v>
      </c>
      <c r="C4961" t="s">
        <v>26</v>
      </c>
      <c r="D4961" t="s">
        <v>12</v>
      </c>
      <c r="E4961" t="s">
        <v>27</v>
      </c>
      <c r="F4961" t="s">
        <v>24</v>
      </c>
      <c r="G4961">
        <v>201</v>
      </c>
      <c r="H4961">
        <v>704.15</v>
      </c>
      <c r="I4961">
        <v>50</v>
      </c>
      <c r="J4961" t="s">
        <v>15</v>
      </c>
      <c r="K4961">
        <v>141534.15</v>
      </c>
      <c r="L4961" t="str">
        <f t="shared" si="308"/>
        <v>Jun</v>
      </c>
      <c r="M4961">
        <f t="shared" si="309"/>
        <v>2025</v>
      </c>
      <c r="N4961">
        <f t="shared" si="310"/>
        <v>141534.15</v>
      </c>
      <c r="O4961" t="str">
        <f t="shared" si="311"/>
        <v>Moderate Delay</v>
      </c>
    </row>
    <row r="4962" spans="1:15" x14ac:dyDescent="0.25">
      <c r="A4962">
        <v>4961</v>
      </c>
      <c r="B4962" s="2">
        <v>45753</v>
      </c>
      <c r="C4962" t="s">
        <v>31</v>
      </c>
      <c r="D4962" t="s">
        <v>19</v>
      </c>
      <c r="E4962" t="s">
        <v>29</v>
      </c>
      <c r="F4962" t="s">
        <v>14</v>
      </c>
      <c r="G4962">
        <v>213</v>
      </c>
      <c r="H4962">
        <v>636.44000000000005</v>
      </c>
      <c r="I4962">
        <v>39</v>
      </c>
      <c r="J4962" t="s">
        <v>15</v>
      </c>
      <c r="K4962">
        <v>135561.72</v>
      </c>
      <c r="L4962" t="str">
        <f t="shared" si="308"/>
        <v>Apr</v>
      </c>
      <c r="M4962">
        <f t="shared" si="309"/>
        <v>2025</v>
      </c>
      <c r="N4962">
        <f t="shared" si="310"/>
        <v>135561.72</v>
      </c>
      <c r="O4962" t="str">
        <f t="shared" si="311"/>
        <v>Moderate Delay</v>
      </c>
    </row>
    <row r="4963" spans="1:15" x14ac:dyDescent="0.25">
      <c r="A4963">
        <v>4962</v>
      </c>
      <c r="B4963" s="2">
        <v>45716</v>
      </c>
      <c r="C4963" t="s">
        <v>18</v>
      </c>
      <c r="D4963" t="s">
        <v>23</v>
      </c>
      <c r="E4963" t="s">
        <v>17</v>
      </c>
      <c r="F4963" t="s">
        <v>14</v>
      </c>
      <c r="G4963">
        <v>147</v>
      </c>
      <c r="H4963">
        <v>298.33999999999997</v>
      </c>
      <c r="I4963">
        <v>9</v>
      </c>
      <c r="J4963" t="s">
        <v>15</v>
      </c>
      <c r="K4963">
        <v>43855.98</v>
      </c>
      <c r="L4963" t="str">
        <f t="shared" si="308"/>
        <v>Feb</v>
      </c>
      <c r="M4963">
        <f t="shared" si="309"/>
        <v>2025</v>
      </c>
      <c r="N4963">
        <f t="shared" si="310"/>
        <v>43855.979999999996</v>
      </c>
      <c r="O4963" t="str">
        <f t="shared" si="311"/>
        <v>Minor Delay</v>
      </c>
    </row>
    <row r="4964" spans="1:15" x14ac:dyDescent="0.25">
      <c r="A4964">
        <v>4963</v>
      </c>
      <c r="B4964" s="2">
        <v>45948</v>
      </c>
      <c r="C4964" t="s">
        <v>16</v>
      </c>
      <c r="D4964" t="s">
        <v>13</v>
      </c>
      <c r="E4964" t="s">
        <v>17</v>
      </c>
      <c r="F4964" t="s">
        <v>21</v>
      </c>
      <c r="G4964">
        <v>107</v>
      </c>
      <c r="H4964">
        <v>265.16000000000003</v>
      </c>
      <c r="I4964">
        <v>38</v>
      </c>
      <c r="J4964" t="s">
        <v>15</v>
      </c>
      <c r="K4964">
        <v>28372.12</v>
      </c>
      <c r="L4964" t="str">
        <f t="shared" si="308"/>
        <v>Oct</v>
      </c>
      <c r="M4964">
        <f t="shared" si="309"/>
        <v>2025</v>
      </c>
      <c r="N4964">
        <f t="shared" si="310"/>
        <v>28372.120000000003</v>
      </c>
      <c r="O4964" t="str">
        <f t="shared" si="311"/>
        <v>Moderate Delay</v>
      </c>
    </row>
    <row r="4965" spans="1:15" x14ac:dyDescent="0.25">
      <c r="A4965">
        <v>4964</v>
      </c>
      <c r="B4965" s="2">
        <v>45726</v>
      </c>
      <c r="C4965" t="s">
        <v>11</v>
      </c>
      <c r="D4965" t="s">
        <v>20</v>
      </c>
      <c r="E4965" t="s">
        <v>12</v>
      </c>
      <c r="F4965" t="s">
        <v>21</v>
      </c>
      <c r="G4965">
        <v>109</v>
      </c>
      <c r="H4965">
        <v>242.75</v>
      </c>
      <c r="I4965">
        <v>10</v>
      </c>
      <c r="J4965" t="s">
        <v>30</v>
      </c>
      <c r="K4965">
        <v>26459.75</v>
      </c>
      <c r="L4965" t="str">
        <f t="shared" si="308"/>
        <v>Mar</v>
      </c>
      <c r="M4965">
        <f t="shared" si="309"/>
        <v>2025</v>
      </c>
      <c r="N4965">
        <f t="shared" si="310"/>
        <v>26459.75</v>
      </c>
      <c r="O4965" t="str">
        <f t="shared" si="311"/>
        <v>Minor Delay</v>
      </c>
    </row>
    <row r="4966" spans="1:15" x14ac:dyDescent="0.25">
      <c r="A4966">
        <v>4965</v>
      </c>
      <c r="B4966" s="2">
        <v>45830</v>
      </c>
      <c r="C4966" t="s">
        <v>11</v>
      </c>
      <c r="D4966" t="s">
        <v>13</v>
      </c>
      <c r="E4966" t="s">
        <v>20</v>
      </c>
      <c r="F4966" t="s">
        <v>14</v>
      </c>
      <c r="G4966">
        <v>145</v>
      </c>
      <c r="H4966">
        <v>709.19</v>
      </c>
      <c r="I4966">
        <v>33</v>
      </c>
      <c r="J4966" t="s">
        <v>15</v>
      </c>
      <c r="K4966">
        <v>102832.55</v>
      </c>
      <c r="L4966" t="str">
        <f t="shared" si="308"/>
        <v>Jun</v>
      </c>
      <c r="M4966">
        <f t="shared" si="309"/>
        <v>2025</v>
      </c>
      <c r="N4966">
        <f t="shared" si="310"/>
        <v>102832.55</v>
      </c>
      <c r="O4966" t="str">
        <f t="shared" si="311"/>
        <v>Moderate Delay</v>
      </c>
    </row>
    <row r="4967" spans="1:15" x14ac:dyDescent="0.25">
      <c r="A4967">
        <v>4966</v>
      </c>
      <c r="B4967" s="2">
        <v>45957</v>
      </c>
      <c r="C4967" t="s">
        <v>25</v>
      </c>
      <c r="D4967" t="s">
        <v>20</v>
      </c>
      <c r="E4967" t="s">
        <v>22</v>
      </c>
      <c r="F4967" t="s">
        <v>21</v>
      </c>
      <c r="G4967">
        <v>55</v>
      </c>
      <c r="H4967">
        <v>482.04</v>
      </c>
      <c r="I4967">
        <v>57</v>
      </c>
      <c r="J4967" t="s">
        <v>28</v>
      </c>
      <c r="K4967">
        <v>26512.2</v>
      </c>
      <c r="L4967" t="str">
        <f t="shared" si="308"/>
        <v>Oct</v>
      </c>
      <c r="M4967">
        <f t="shared" si="309"/>
        <v>2025</v>
      </c>
      <c r="N4967">
        <f t="shared" si="310"/>
        <v>26512.2</v>
      </c>
      <c r="O4967" t="str">
        <f t="shared" si="311"/>
        <v>Moderate Delay</v>
      </c>
    </row>
    <row r="4968" spans="1:15" x14ac:dyDescent="0.25">
      <c r="A4968">
        <v>4967</v>
      </c>
      <c r="B4968" s="2">
        <v>46018</v>
      </c>
      <c r="C4968" t="s">
        <v>16</v>
      </c>
      <c r="D4968" t="s">
        <v>29</v>
      </c>
      <c r="E4968" t="s">
        <v>19</v>
      </c>
      <c r="F4968" t="s">
        <v>21</v>
      </c>
      <c r="G4968">
        <v>153</v>
      </c>
      <c r="H4968">
        <v>738.01</v>
      </c>
      <c r="I4968">
        <v>0</v>
      </c>
      <c r="J4968" t="s">
        <v>15</v>
      </c>
      <c r="K4968">
        <v>112915.53</v>
      </c>
      <c r="L4968" t="str">
        <f t="shared" si="308"/>
        <v>Dec</v>
      </c>
      <c r="M4968">
        <f t="shared" si="309"/>
        <v>2025</v>
      </c>
      <c r="N4968">
        <f t="shared" si="310"/>
        <v>112915.53</v>
      </c>
      <c r="O4968" t="str">
        <f t="shared" si="311"/>
        <v>On Time</v>
      </c>
    </row>
    <row r="4969" spans="1:15" x14ac:dyDescent="0.25">
      <c r="A4969">
        <v>4968</v>
      </c>
      <c r="B4969" s="2">
        <v>45916</v>
      </c>
      <c r="C4969" t="s">
        <v>25</v>
      </c>
      <c r="D4969" t="s">
        <v>22</v>
      </c>
      <c r="E4969" t="s">
        <v>27</v>
      </c>
      <c r="F4969" t="s">
        <v>21</v>
      </c>
      <c r="G4969">
        <v>87</v>
      </c>
      <c r="H4969">
        <v>635.91999999999996</v>
      </c>
      <c r="I4969">
        <v>14</v>
      </c>
      <c r="J4969" t="s">
        <v>15</v>
      </c>
      <c r="K4969">
        <v>55325.04</v>
      </c>
      <c r="L4969" t="str">
        <f t="shared" si="308"/>
        <v>Sep</v>
      </c>
      <c r="M4969">
        <f t="shared" si="309"/>
        <v>2025</v>
      </c>
      <c r="N4969">
        <f t="shared" si="310"/>
        <v>55325.039999999994</v>
      </c>
      <c r="O4969" t="str">
        <f t="shared" si="311"/>
        <v>Minor Delay</v>
      </c>
    </row>
    <row r="4970" spans="1:15" x14ac:dyDescent="0.25">
      <c r="A4970">
        <v>4969</v>
      </c>
      <c r="B4970" s="2">
        <v>45875</v>
      </c>
      <c r="C4970" t="s">
        <v>11</v>
      </c>
      <c r="D4970" t="s">
        <v>19</v>
      </c>
      <c r="E4970" t="s">
        <v>27</v>
      </c>
      <c r="F4970" t="s">
        <v>14</v>
      </c>
      <c r="G4970">
        <v>200</v>
      </c>
      <c r="H4970">
        <v>749.66</v>
      </c>
      <c r="I4970">
        <v>0</v>
      </c>
      <c r="J4970" t="s">
        <v>30</v>
      </c>
      <c r="K4970">
        <v>149932</v>
      </c>
      <c r="L4970" t="str">
        <f t="shared" si="308"/>
        <v>Aug</v>
      </c>
      <c r="M4970">
        <f t="shared" si="309"/>
        <v>2025</v>
      </c>
      <c r="N4970">
        <f t="shared" si="310"/>
        <v>149932</v>
      </c>
      <c r="O4970" t="str">
        <f t="shared" si="311"/>
        <v>On Time</v>
      </c>
    </row>
    <row r="4971" spans="1:15" x14ac:dyDescent="0.25">
      <c r="A4971">
        <v>4970</v>
      </c>
      <c r="B4971" s="2">
        <v>45855</v>
      </c>
      <c r="C4971" t="s">
        <v>18</v>
      </c>
      <c r="D4971" t="s">
        <v>19</v>
      </c>
      <c r="E4971" t="s">
        <v>20</v>
      </c>
      <c r="F4971" t="s">
        <v>14</v>
      </c>
      <c r="G4971">
        <v>195</v>
      </c>
      <c r="H4971">
        <v>429.64</v>
      </c>
      <c r="I4971">
        <v>29</v>
      </c>
      <c r="J4971" t="s">
        <v>15</v>
      </c>
      <c r="K4971">
        <v>83779.8</v>
      </c>
      <c r="L4971" t="str">
        <f t="shared" si="308"/>
        <v>Jul</v>
      </c>
      <c r="M4971">
        <f t="shared" si="309"/>
        <v>2025</v>
      </c>
      <c r="N4971">
        <f t="shared" si="310"/>
        <v>83779.8</v>
      </c>
      <c r="O4971" t="str">
        <f t="shared" si="311"/>
        <v>Minor Delay</v>
      </c>
    </row>
    <row r="4972" spans="1:15" x14ac:dyDescent="0.25">
      <c r="A4972">
        <v>4971</v>
      </c>
      <c r="B4972" s="2">
        <v>45829</v>
      </c>
      <c r="C4972" t="s">
        <v>16</v>
      </c>
      <c r="D4972" t="s">
        <v>20</v>
      </c>
      <c r="E4972" t="s">
        <v>22</v>
      </c>
      <c r="F4972" t="s">
        <v>14</v>
      </c>
      <c r="G4972">
        <v>225</v>
      </c>
      <c r="H4972">
        <v>535.51</v>
      </c>
      <c r="I4972">
        <v>15</v>
      </c>
      <c r="J4972" t="s">
        <v>15</v>
      </c>
      <c r="K4972">
        <v>120489.75</v>
      </c>
      <c r="L4972" t="str">
        <f t="shared" si="308"/>
        <v>Jun</v>
      </c>
      <c r="M4972">
        <f t="shared" si="309"/>
        <v>2025</v>
      </c>
      <c r="N4972">
        <f t="shared" si="310"/>
        <v>120489.75</v>
      </c>
      <c r="O4972" t="str">
        <f t="shared" si="311"/>
        <v>Minor Delay</v>
      </c>
    </row>
    <row r="4973" spans="1:15" x14ac:dyDescent="0.25">
      <c r="A4973">
        <v>4972</v>
      </c>
      <c r="B4973" s="2">
        <v>45738</v>
      </c>
      <c r="C4973" t="s">
        <v>31</v>
      </c>
      <c r="D4973" t="s">
        <v>29</v>
      </c>
      <c r="E4973" t="s">
        <v>20</v>
      </c>
      <c r="F4973" t="s">
        <v>21</v>
      </c>
      <c r="G4973">
        <v>298</v>
      </c>
      <c r="H4973">
        <v>632.30999999999995</v>
      </c>
      <c r="I4973">
        <v>43</v>
      </c>
      <c r="J4973" t="s">
        <v>15</v>
      </c>
      <c r="K4973">
        <v>188428.38</v>
      </c>
      <c r="L4973" t="str">
        <f t="shared" si="308"/>
        <v>Mar</v>
      </c>
      <c r="M4973">
        <f t="shared" si="309"/>
        <v>2025</v>
      </c>
      <c r="N4973">
        <f t="shared" si="310"/>
        <v>188428.37999999998</v>
      </c>
      <c r="O4973" t="str">
        <f t="shared" si="311"/>
        <v>Moderate Delay</v>
      </c>
    </row>
    <row r="4974" spans="1:15" x14ac:dyDescent="0.25">
      <c r="A4974">
        <v>4973</v>
      </c>
      <c r="B4974" s="2">
        <v>45884</v>
      </c>
      <c r="C4974" t="s">
        <v>31</v>
      </c>
      <c r="D4974" t="s">
        <v>12</v>
      </c>
      <c r="E4974" t="s">
        <v>13</v>
      </c>
      <c r="F4974" t="s">
        <v>14</v>
      </c>
      <c r="G4974">
        <v>231</v>
      </c>
      <c r="H4974">
        <v>194.66</v>
      </c>
      <c r="I4974">
        <v>44</v>
      </c>
      <c r="J4974" t="s">
        <v>15</v>
      </c>
      <c r="K4974">
        <v>44966.46</v>
      </c>
      <c r="L4974" t="str">
        <f t="shared" si="308"/>
        <v>Aug</v>
      </c>
      <c r="M4974">
        <f t="shared" si="309"/>
        <v>2025</v>
      </c>
      <c r="N4974">
        <f t="shared" si="310"/>
        <v>44966.46</v>
      </c>
      <c r="O4974" t="str">
        <f t="shared" si="311"/>
        <v>Moderate Delay</v>
      </c>
    </row>
    <row r="4975" spans="1:15" x14ac:dyDescent="0.25">
      <c r="A4975">
        <v>4974</v>
      </c>
      <c r="B4975" s="2">
        <v>45834</v>
      </c>
      <c r="C4975" t="s">
        <v>26</v>
      </c>
      <c r="D4975" t="s">
        <v>27</v>
      </c>
      <c r="E4975" t="s">
        <v>29</v>
      </c>
      <c r="F4975" t="s">
        <v>24</v>
      </c>
      <c r="G4975">
        <v>110</v>
      </c>
      <c r="H4975">
        <v>71.62</v>
      </c>
      <c r="I4975">
        <v>12</v>
      </c>
      <c r="J4975" t="s">
        <v>15</v>
      </c>
      <c r="K4975">
        <v>7878.2</v>
      </c>
      <c r="L4975" t="str">
        <f t="shared" si="308"/>
        <v>Jun</v>
      </c>
      <c r="M4975">
        <f t="shared" si="309"/>
        <v>2025</v>
      </c>
      <c r="N4975">
        <f t="shared" si="310"/>
        <v>7878.2000000000007</v>
      </c>
      <c r="O4975" t="str">
        <f t="shared" si="311"/>
        <v>Minor Delay</v>
      </c>
    </row>
    <row r="4976" spans="1:15" x14ac:dyDescent="0.25">
      <c r="A4976">
        <v>4975</v>
      </c>
      <c r="B4976" s="2">
        <v>45875</v>
      </c>
      <c r="C4976" t="s">
        <v>18</v>
      </c>
      <c r="D4976" t="s">
        <v>12</v>
      </c>
      <c r="E4976" t="s">
        <v>17</v>
      </c>
      <c r="F4976" t="s">
        <v>14</v>
      </c>
      <c r="G4976">
        <v>67</v>
      </c>
      <c r="H4976">
        <v>399.52</v>
      </c>
      <c r="I4976">
        <v>5</v>
      </c>
      <c r="J4976" t="s">
        <v>30</v>
      </c>
      <c r="K4976">
        <v>26767.84</v>
      </c>
      <c r="L4976" t="str">
        <f t="shared" si="308"/>
        <v>Aug</v>
      </c>
      <c r="M4976">
        <f t="shared" si="309"/>
        <v>2025</v>
      </c>
      <c r="N4976">
        <f t="shared" si="310"/>
        <v>26767.84</v>
      </c>
      <c r="O4976" t="str">
        <f t="shared" si="311"/>
        <v>Minor Delay</v>
      </c>
    </row>
    <row r="4977" spans="1:15" x14ac:dyDescent="0.25">
      <c r="A4977">
        <v>4976</v>
      </c>
      <c r="B4977" s="2">
        <v>45800</v>
      </c>
      <c r="C4977" t="s">
        <v>25</v>
      </c>
      <c r="D4977" t="s">
        <v>20</v>
      </c>
      <c r="E4977" t="s">
        <v>29</v>
      </c>
      <c r="F4977" t="s">
        <v>24</v>
      </c>
      <c r="G4977">
        <v>191</v>
      </c>
      <c r="H4977">
        <v>127.01</v>
      </c>
      <c r="I4977">
        <v>50</v>
      </c>
      <c r="J4977" t="s">
        <v>30</v>
      </c>
      <c r="K4977">
        <v>24258.91</v>
      </c>
      <c r="L4977" t="str">
        <f t="shared" si="308"/>
        <v>May</v>
      </c>
      <c r="M4977">
        <f t="shared" si="309"/>
        <v>2025</v>
      </c>
      <c r="N4977">
        <f t="shared" si="310"/>
        <v>24258.91</v>
      </c>
      <c r="O4977" t="str">
        <f t="shared" si="311"/>
        <v>Moderate Delay</v>
      </c>
    </row>
    <row r="4978" spans="1:15" x14ac:dyDescent="0.25">
      <c r="A4978">
        <v>4977</v>
      </c>
      <c r="B4978" s="2">
        <v>46001</v>
      </c>
      <c r="C4978" t="s">
        <v>16</v>
      </c>
      <c r="D4978" t="s">
        <v>27</v>
      </c>
      <c r="E4978" t="s">
        <v>20</v>
      </c>
      <c r="F4978" t="s">
        <v>21</v>
      </c>
      <c r="G4978">
        <v>221</v>
      </c>
      <c r="H4978">
        <v>430.6</v>
      </c>
      <c r="I4978">
        <v>42</v>
      </c>
      <c r="J4978" t="s">
        <v>15</v>
      </c>
      <c r="K4978">
        <v>95162.6</v>
      </c>
      <c r="L4978" t="str">
        <f t="shared" si="308"/>
        <v>Dec</v>
      </c>
      <c r="M4978">
        <f t="shared" si="309"/>
        <v>2025</v>
      </c>
      <c r="N4978">
        <f t="shared" si="310"/>
        <v>95162.6</v>
      </c>
      <c r="O4978" t="str">
        <f t="shared" si="311"/>
        <v>Moderate Delay</v>
      </c>
    </row>
    <row r="4979" spans="1:15" x14ac:dyDescent="0.25">
      <c r="A4979">
        <v>4978</v>
      </c>
      <c r="B4979" s="2">
        <v>45844</v>
      </c>
      <c r="C4979" t="s">
        <v>11</v>
      </c>
      <c r="D4979" t="s">
        <v>19</v>
      </c>
      <c r="E4979" t="s">
        <v>13</v>
      </c>
      <c r="F4979" t="s">
        <v>21</v>
      </c>
      <c r="G4979">
        <v>150</v>
      </c>
      <c r="H4979">
        <v>310.66000000000003</v>
      </c>
      <c r="I4979">
        <v>21</v>
      </c>
      <c r="J4979" t="s">
        <v>15</v>
      </c>
      <c r="K4979">
        <v>46599</v>
      </c>
      <c r="L4979" t="str">
        <f t="shared" si="308"/>
        <v>Jul</v>
      </c>
      <c r="M4979">
        <f t="shared" si="309"/>
        <v>2025</v>
      </c>
      <c r="N4979">
        <f t="shared" si="310"/>
        <v>46599.000000000007</v>
      </c>
      <c r="O4979" t="str">
        <f t="shared" si="311"/>
        <v>Minor Delay</v>
      </c>
    </row>
    <row r="4980" spans="1:15" x14ac:dyDescent="0.25">
      <c r="A4980">
        <v>4979</v>
      </c>
      <c r="B4980" s="2">
        <v>45925</v>
      </c>
      <c r="C4980" t="s">
        <v>11</v>
      </c>
      <c r="D4980" t="s">
        <v>29</v>
      </c>
      <c r="E4980" t="s">
        <v>20</v>
      </c>
      <c r="F4980" t="s">
        <v>21</v>
      </c>
      <c r="G4980">
        <v>292</v>
      </c>
      <c r="H4980">
        <v>334.51</v>
      </c>
      <c r="I4980">
        <v>25</v>
      </c>
      <c r="J4980" t="s">
        <v>30</v>
      </c>
      <c r="K4980">
        <v>97676.92</v>
      </c>
      <c r="L4980" t="str">
        <f t="shared" si="308"/>
        <v>Sep</v>
      </c>
      <c r="M4980">
        <f t="shared" si="309"/>
        <v>2025</v>
      </c>
      <c r="N4980">
        <f t="shared" si="310"/>
        <v>97676.92</v>
      </c>
      <c r="O4980" t="str">
        <f t="shared" si="311"/>
        <v>Minor Delay</v>
      </c>
    </row>
    <row r="4981" spans="1:15" x14ac:dyDescent="0.25">
      <c r="A4981">
        <v>4980</v>
      </c>
      <c r="B4981" s="2">
        <v>45755</v>
      </c>
      <c r="C4981" t="s">
        <v>16</v>
      </c>
      <c r="D4981" t="s">
        <v>22</v>
      </c>
      <c r="E4981" t="s">
        <v>12</v>
      </c>
      <c r="F4981" t="s">
        <v>24</v>
      </c>
      <c r="G4981">
        <v>205</v>
      </c>
      <c r="H4981">
        <v>367.4</v>
      </c>
      <c r="I4981">
        <v>0</v>
      </c>
      <c r="J4981" t="s">
        <v>15</v>
      </c>
      <c r="K4981">
        <v>75317</v>
      </c>
      <c r="L4981" t="str">
        <f t="shared" si="308"/>
        <v>Apr</v>
      </c>
      <c r="M4981">
        <f t="shared" si="309"/>
        <v>2025</v>
      </c>
      <c r="N4981">
        <f t="shared" si="310"/>
        <v>75317</v>
      </c>
      <c r="O4981" t="str">
        <f t="shared" si="311"/>
        <v>On Time</v>
      </c>
    </row>
    <row r="4982" spans="1:15" x14ac:dyDescent="0.25">
      <c r="A4982">
        <v>4981</v>
      </c>
      <c r="B4982" s="2">
        <v>45820</v>
      </c>
      <c r="C4982" t="s">
        <v>18</v>
      </c>
      <c r="D4982" t="s">
        <v>29</v>
      </c>
      <c r="E4982" t="s">
        <v>12</v>
      </c>
      <c r="F4982" t="s">
        <v>21</v>
      </c>
      <c r="G4982">
        <v>112</v>
      </c>
      <c r="H4982">
        <v>469.07</v>
      </c>
      <c r="I4982">
        <v>29</v>
      </c>
      <c r="J4982" t="s">
        <v>15</v>
      </c>
      <c r="K4982">
        <v>52535.839999999997</v>
      </c>
      <c r="L4982" t="str">
        <f t="shared" si="308"/>
        <v>Jun</v>
      </c>
      <c r="M4982">
        <f t="shared" si="309"/>
        <v>2025</v>
      </c>
      <c r="N4982">
        <f t="shared" si="310"/>
        <v>52535.839999999997</v>
      </c>
      <c r="O4982" t="str">
        <f t="shared" si="311"/>
        <v>Minor Delay</v>
      </c>
    </row>
    <row r="4983" spans="1:15" x14ac:dyDescent="0.25">
      <c r="A4983">
        <v>4982</v>
      </c>
      <c r="B4983" s="2">
        <v>45772</v>
      </c>
      <c r="C4983" t="s">
        <v>18</v>
      </c>
      <c r="D4983" t="s">
        <v>27</v>
      </c>
      <c r="E4983" t="s">
        <v>22</v>
      </c>
      <c r="F4983" t="s">
        <v>21</v>
      </c>
      <c r="G4983">
        <v>274</v>
      </c>
      <c r="H4983">
        <v>662.52</v>
      </c>
      <c r="I4983">
        <v>0</v>
      </c>
      <c r="J4983" t="s">
        <v>15</v>
      </c>
      <c r="K4983">
        <v>181530.48</v>
      </c>
      <c r="L4983" t="str">
        <f t="shared" si="308"/>
        <v>Apr</v>
      </c>
      <c r="M4983">
        <f t="shared" si="309"/>
        <v>2025</v>
      </c>
      <c r="N4983">
        <f t="shared" si="310"/>
        <v>181530.47999999998</v>
      </c>
      <c r="O4983" t="str">
        <f t="shared" si="311"/>
        <v>On Time</v>
      </c>
    </row>
    <row r="4984" spans="1:15" x14ac:dyDescent="0.25">
      <c r="A4984">
        <v>4983</v>
      </c>
      <c r="B4984" s="2">
        <v>45951</v>
      </c>
      <c r="C4984" t="s">
        <v>11</v>
      </c>
      <c r="D4984" t="s">
        <v>12</v>
      </c>
      <c r="E4984" t="s">
        <v>22</v>
      </c>
      <c r="F4984" t="s">
        <v>24</v>
      </c>
      <c r="G4984">
        <v>71</v>
      </c>
      <c r="H4984">
        <v>224.79</v>
      </c>
      <c r="I4984">
        <v>34</v>
      </c>
      <c r="J4984" t="s">
        <v>30</v>
      </c>
      <c r="K4984">
        <v>15960.09</v>
      </c>
      <c r="L4984" t="str">
        <f t="shared" si="308"/>
        <v>Oct</v>
      </c>
      <c r="M4984">
        <f t="shared" si="309"/>
        <v>2025</v>
      </c>
      <c r="N4984">
        <f t="shared" si="310"/>
        <v>15960.09</v>
      </c>
      <c r="O4984" t="str">
        <f t="shared" si="311"/>
        <v>Moderate Delay</v>
      </c>
    </row>
    <row r="4985" spans="1:15" x14ac:dyDescent="0.25">
      <c r="A4985">
        <v>4984</v>
      </c>
      <c r="B4985" s="2">
        <v>45947</v>
      </c>
      <c r="C4985" t="s">
        <v>16</v>
      </c>
      <c r="D4985" t="s">
        <v>17</v>
      </c>
      <c r="E4985" t="s">
        <v>19</v>
      </c>
      <c r="F4985" t="s">
        <v>21</v>
      </c>
      <c r="G4985">
        <v>145</v>
      </c>
      <c r="H4985">
        <v>452.71</v>
      </c>
      <c r="I4985">
        <v>31</v>
      </c>
      <c r="J4985" t="s">
        <v>15</v>
      </c>
      <c r="K4985">
        <v>65642.95</v>
      </c>
      <c r="L4985" t="str">
        <f t="shared" si="308"/>
        <v>Oct</v>
      </c>
      <c r="M4985">
        <f t="shared" si="309"/>
        <v>2025</v>
      </c>
      <c r="N4985">
        <f t="shared" si="310"/>
        <v>65642.95</v>
      </c>
      <c r="O4985" t="str">
        <f t="shared" si="311"/>
        <v>Moderate Delay</v>
      </c>
    </row>
    <row r="4986" spans="1:15" x14ac:dyDescent="0.25">
      <c r="A4986">
        <v>4985</v>
      </c>
      <c r="B4986" s="2">
        <v>46007</v>
      </c>
      <c r="C4986" t="s">
        <v>31</v>
      </c>
      <c r="D4986" t="s">
        <v>27</v>
      </c>
      <c r="E4986" t="s">
        <v>23</v>
      </c>
      <c r="F4986" t="s">
        <v>14</v>
      </c>
      <c r="G4986">
        <v>300</v>
      </c>
      <c r="H4986">
        <v>696.66</v>
      </c>
      <c r="I4986">
        <v>27</v>
      </c>
      <c r="J4986" t="s">
        <v>30</v>
      </c>
      <c r="K4986">
        <v>208998</v>
      </c>
      <c r="L4986" t="str">
        <f t="shared" si="308"/>
        <v>Dec</v>
      </c>
      <c r="M4986">
        <f t="shared" si="309"/>
        <v>2025</v>
      </c>
      <c r="N4986">
        <f t="shared" si="310"/>
        <v>208998</v>
      </c>
      <c r="O4986" t="str">
        <f t="shared" si="311"/>
        <v>Minor Delay</v>
      </c>
    </row>
    <row r="4987" spans="1:15" x14ac:dyDescent="0.25">
      <c r="A4987">
        <v>4986</v>
      </c>
      <c r="B4987" s="2">
        <v>45740</v>
      </c>
      <c r="C4987" t="s">
        <v>11</v>
      </c>
      <c r="D4987" t="s">
        <v>17</v>
      </c>
      <c r="E4987" t="s">
        <v>27</v>
      </c>
      <c r="F4987" t="s">
        <v>21</v>
      </c>
      <c r="G4987">
        <v>151</v>
      </c>
      <c r="H4987">
        <v>374.92</v>
      </c>
      <c r="I4987">
        <v>0</v>
      </c>
      <c r="J4987" t="s">
        <v>15</v>
      </c>
      <c r="K4987">
        <v>56612.92</v>
      </c>
      <c r="L4987" t="str">
        <f t="shared" si="308"/>
        <v>Mar</v>
      </c>
      <c r="M4987">
        <f t="shared" si="309"/>
        <v>2025</v>
      </c>
      <c r="N4987">
        <f t="shared" si="310"/>
        <v>56612.920000000006</v>
      </c>
      <c r="O4987" t="str">
        <f t="shared" si="311"/>
        <v>On Time</v>
      </c>
    </row>
    <row r="4988" spans="1:15" x14ac:dyDescent="0.25">
      <c r="A4988">
        <v>4987</v>
      </c>
      <c r="B4988" s="2">
        <v>45901</v>
      </c>
      <c r="C4988" t="s">
        <v>18</v>
      </c>
      <c r="D4988" t="s">
        <v>13</v>
      </c>
      <c r="E4988" t="s">
        <v>20</v>
      </c>
      <c r="F4988" t="s">
        <v>24</v>
      </c>
      <c r="G4988">
        <v>289</v>
      </c>
      <c r="H4988">
        <v>318.92</v>
      </c>
      <c r="I4988">
        <v>0</v>
      </c>
      <c r="J4988" t="s">
        <v>15</v>
      </c>
      <c r="K4988">
        <v>92167.88</v>
      </c>
      <c r="L4988" t="str">
        <f t="shared" si="308"/>
        <v>Sep</v>
      </c>
      <c r="M4988">
        <f t="shared" si="309"/>
        <v>2025</v>
      </c>
      <c r="N4988">
        <f t="shared" si="310"/>
        <v>92167.88</v>
      </c>
      <c r="O4988" t="str">
        <f t="shared" si="311"/>
        <v>On Time</v>
      </c>
    </row>
    <row r="4989" spans="1:15" x14ac:dyDescent="0.25">
      <c r="A4989">
        <v>4988</v>
      </c>
      <c r="B4989" s="2">
        <v>45709</v>
      </c>
      <c r="C4989" t="s">
        <v>16</v>
      </c>
      <c r="D4989" t="s">
        <v>22</v>
      </c>
      <c r="E4989" t="s">
        <v>23</v>
      </c>
      <c r="F4989" t="s">
        <v>24</v>
      </c>
      <c r="G4989">
        <v>291</v>
      </c>
      <c r="H4989">
        <v>611.34</v>
      </c>
      <c r="I4989">
        <v>54</v>
      </c>
      <c r="J4989" t="s">
        <v>15</v>
      </c>
      <c r="K4989">
        <v>177899.94</v>
      </c>
      <c r="L4989" t="str">
        <f t="shared" si="308"/>
        <v>Feb</v>
      </c>
      <c r="M4989">
        <f t="shared" si="309"/>
        <v>2025</v>
      </c>
      <c r="N4989">
        <f t="shared" si="310"/>
        <v>177899.94</v>
      </c>
      <c r="O4989" t="str">
        <f t="shared" si="311"/>
        <v>Moderate Delay</v>
      </c>
    </row>
    <row r="4990" spans="1:15" x14ac:dyDescent="0.25">
      <c r="A4990">
        <v>4989</v>
      </c>
      <c r="B4990" s="2">
        <v>45995</v>
      </c>
      <c r="C4990" t="s">
        <v>11</v>
      </c>
      <c r="D4990" t="s">
        <v>20</v>
      </c>
      <c r="E4990" t="s">
        <v>27</v>
      </c>
      <c r="F4990" t="s">
        <v>24</v>
      </c>
      <c r="G4990">
        <v>300</v>
      </c>
      <c r="H4990">
        <v>68.83</v>
      </c>
      <c r="I4990">
        <v>41</v>
      </c>
      <c r="J4990" t="s">
        <v>30</v>
      </c>
      <c r="K4990">
        <v>20649</v>
      </c>
      <c r="L4990" t="str">
        <f t="shared" si="308"/>
        <v>Dec</v>
      </c>
      <c r="M4990">
        <f t="shared" si="309"/>
        <v>2025</v>
      </c>
      <c r="N4990">
        <f t="shared" si="310"/>
        <v>20649</v>
      </c>
      <c r="O4990" t="str">
        <f t="shared" si="311"/>
        <v>Moderate Delay</v>
      </c>
    </row>
    <row r="4991" spans="1:15" x14ac:dyDescent="0.25">
      <c r="A4991">
        <v>4990</v>
      </c>
      <c r="B4991" s="2">
        <v>45671</v>
      </c>
      <c r="C4991" t="s">
        <v>25</v>
      </c>
      <c r="D4991" t="s">
        <v>27</v>
      </c>
      <c r="E4991" t="s">
        <v>12</v>
      </c>
      <c r="F4991" t="s">
        <v>21</v>
      </c>
      <c r="G4991">
        <v>283</v>
      </c>
      <c r="H4991">
        <v>296.92</v>
      </c>
      <c r="I4991">
        <v>25</v>
      </c>
      <c r="J4991" t="s">
        <v>15</v>
      </c>
      <c r="K4991">
        <v>84028.36</v>
      </c>
      <c r="L4991" t="str">
        <f t="shared" si="308"/>
        <v>Jan</v>
      </c>
      <c r="M4991">
        <f t="shared" si="309"/>
        <v>2025</v>
      </c>
      <c r="N4991">
        <f t="shared" si="310"/>
        <v>84028.36</v>
      </c>
      <c r="O4991" t="str">
        <f t="shared" si="311"/>
        <v>Minor Delay</v>
      </c>
    </row>
    <row r="4992" spans="1:15" x14ac:dyDescent="0.25">
      <c r="A4992">
        <v>4991</v>
      </c>
      <c r="B4992" s="2">
        <v>45766</v>
      </c>
      <c r="C4992" t="s">
        <v>26</v>
      </c>
      <c r="D4992" t="s">
        <v>20</v>
      </c>
      <c r="E4992" t="s">
        <v>29</v>
      </c>
      <c r="F4992" t="s">
        <v>24</v>
      </c>
      <c r="G4992">
        <v>178</v>
      </c>
      <c r="H4992">
        <v>276.05</v>
      </c>
      <c r="I4992">
        <v>2</v>
      </c>
      <c r="J4992" t="s">
        <v>15</v>
      </c>
      <c r="K4992">
        <v>49136.9</v>
      </c>
      <c r="L4992" t="str">
        <f t="shared" si="308"/>
        <v>Apr</v>
      </c>
      <c r="M4992">
        <f t="shared" si="309"/>
        <v>2025</v>
      </c>
      <c r="N4992">
        <f t="shared" si="310"/>
        <v>49136.9</v>
      </c>
      <c r="O4992" t="str">
        <f t="shared" si="311"/>
        <v>Minor Delay</v>
      </c>
    </row>
    <row r="4993" spans="1:15" x14ac:dyDescent="0.25">
      <c r="A4993">
        <v>4992</v>
      </c>
      <c r="B4993" s="2">
        <v>45736</v>
      </c>
      <c r="C4993" t="s">
        <v>26</v>
      </c>
      <c r="D4993" t="s">
        <v>27</v>
      </c>
      <c r="E4993" t="s">
        <v>13</v>
      </c>
      <c r="F4993" t="s">
        <v>14</v>
      </c>
      <c r="G4993">
        <v>54</v>
      </c>
      <c r="H4993">
        <v>646.79999999999995</v>
      </c>
      <c r="I4993">
        <v>41</v>
      </c>
      <c r="J4993" t="s">
        <v>15</v>
      </c>
      <c r="K4993">
        <v>34927.199999999997</v>
      </c>
      <c r="L4993" t="str">
        <f t="shared" si="308"/>
        <v>Mar</v>
      </c>
      <c r="M4993">
        <f t="shared" si="309"/>
        <v>2025</v>
      </c>
      <c r="N4993">
        <f t="shared" si="310"/>
        <v>34927.199999999997</v>
      </c>
      <c r="O4993" t="str">
        <f t="shared" si="311"/>
        <v>Moderate Delay</v>
      </c>
    </row>
    <row r="4994" spans="1:15" x14ac:dyDescent="0.25">
      <c r="A4994">
        <v>4993</v>
      </c>
      <c r="B4994" s="2">
        <v>45813</v>
      </c>
      <c r="C4994" t="s">
        <v>31</v>
      </c>
      <c r="D4994" t="s">
        <v>13</v>
      </c>
      <c r="E4994" t="s">
        <v>27</v>
      </c>
      <c r="F4994" t="s">
        <v>14</v>
      </c>
      <c r="G4994">
        <v>79</v>
      </c>
      <c r="H4994">
        <v>360.49</v>
      </c>
      <c r="I4994">
        <v>57</v>
      </c>
      <c r="J4994" t="s">
        <v>15</v>
      </c>
      <c r="K4994">
        <v>28478.71</v>
      </c>
      <c r="L4994" t="str">
        <f t="shared" si="308"/>
        <v>Jun</v>
      </c>
      <c r="M4994">
        <f t="shared" si="309"/>
        <v>2025</v>
      </c>
      <c r="N4994">
        <f t="shared" si="310"/>
        <v>28478.71</v>
      </c>
      <c r="O4994" t="str">
        <f t="shared" si="311"/>
        <v>Moderate Delay</v>
      </c>
    </row>
    <row r="4995" spans="1:15" x14ac:dyDescent="0.25">
      <c r="A4995">
        <v>4994</v>
      </c>
      <c r="B4995" s="2">
        <v>45833</v>
      </c>
      <c r="C4995" t="s">
        <v>25</v>
      </c>
      <c r="D4995" t="s">
        <v>12</v>
      </c>
      <c r="E4995" t="s">
        <v>29</v>
      </c>
      <c r="F4995" t="s">
        <v>24</v>
      </c>
      <c r="G4995">
        <v>211</v>
      </c>
      <c r="H4995">
        <v>342.98</v>
      </c>
      <c r="I4995">
        <v>23</v>
      </c>
      <c r="J4995" t="s">
        <v>15</v>
      </c>
      <c r="K4995">
        <v>72368.78</v>
      </c>
      <c r="L4995" t="str">
        <f t="shared" ref="L4995:L5001" si="312">TEXT(B4995,"MMM")</f>
        <v>Jun</v>
      </c>
      <c r="M4995">
        <f t="shared" ref="M4995:M5001" si="313">YEAR(B4995)</f>
        <v>2025</v>
      </c>
      <c r="N4995">
        <f t="shared" ref="N4995:N5001" si="314">G4995*H4995</f>
        <v>72368.78</v>
      </c>
      <c r="O4995" t="str">
        <f t="shared" ref="O4995:O5001" si="315">IF(I4995=0,"On Time",IF(I4995&lt;=30,"Minor Delay",IF(I4995&lt;=60,"Moderate Delay","Major Delay")))</f>
        <v>Minor Delay</v>
      </c>
    </row>
    <row r="4996" spans="1:15" x14ac:dyDescent="0.25">
      <c r="A4996">
        <v>4995</v>
      </c>
      <c r="B4996" s="2">
        <v>45666</v>
      </c>
      <c r="C4996" t="s">
        <v>25</v>
      </c>
      <c r="D4996" t="s">
        <v>19</v>
      </c>
      <c r="E4996" t="s">
        <v>22</v>
      </c>
      <c r="F4996" t="s">
        <v>24</v>
      </c>
      <c r="G4996">
        <v>162</v>
      </c>
      <c r="H4996">
        <v>551.04</v>
      </c>
      <c r="I4996">
        <v>15</v>
      </c>
      <c r="J4996" t="s">
        <v>30</v>
      </c>
      <c r="K4996">
        <v>89268.479999999996</v>
      </c>
      <c r="L4996" t="str">
        <f t="shared" si="312"/>
        <v>Jan</v>
      </c>
      <c r="M4996">
        <f t="shared" si="313"/>
        <v>2025</v>
      </c>
      <c r="N4996">
        <f t="shared" si="314"/>
        <v>89268.479999999996</v>
      </c>
      <c r="O4996" t="str">
        <f t="shared" si="315"/>
        <v>Minor Delay</v>
      </c>
    </row>
    <row r="4997" spans="1:15" x14ac:dyDescent="0.25">
      <c r="A4997">
        <v>4996</v>
      </c>
      <c r="B4997" s="2">
        <v>45940</v>
      </c>
      <c r="C4997" t="s">
        <v>26</v>
      </c>
      <c r="D4997" t="s">
        <v>23</v>
      </c>
      <c r="E4997" t="s">
        <v>17</v>
      </c>
      <c r="F4997" t="s">
        <v>14</v>
      </c>
      <c r="G4997">
        <v>292</v>
      </c>
      <c r="H4997">
        <v>534.13</v>
      </c>
      <c r="I4997">
        <v>25</v>
      </c>
      <c r="J4997" t="s">
        <v>15</v>
      </c>
      <c r="K4997">
        <v>155965.96</v>
      </c>
      <c r="L4997" t="str">
        <f t="shared" si="312"/>
        <v>Oct</v>
      </c>
      <c r="M4997">
        <f t="shared" si="313"/>
        <v>2025</v>
      </c>
      <c r="N4997">
        <f t="shared" si="314"/>
        <v>155965.96</v>
      </c>
      <c r="O4997" t="str">
        <f t="shared" si="315"/>
        <v>Minor Delay</v>
      </c>
    </row>
    <row r="4998" spans="1:15" x14ac:dyDescent="0.25">
      <c r="A4998">
        <v>4997</v>
      </c>
      <c r="B4998" s="2">
        <v>45669</v>
      </c>
      <c r="C4998" t="s">
        <v>18</v>
      </c>
      <c r="D4998" t="s">
        <v>29</v>
      </c>
      <c r="E4998" t="s">
        <v>27</v>
      </c>
      <c r="F4998" t="s">
        <v>21</v>
      </c>
      <c r="G4998">
        <v>209</v>
      </c>
      <c r="H4998">
        <v>564.51</v>
      </c>
      <c r="I4998">
        <v>42</v>
      </c>
      <c r="J4998" t="s">
        <v>15</v>
      </c>
      <c r="K4998">
        <v>117982.59</v>
      </c>
      <c r="L4998" t="str">
        <f t="shared" si="312"/>
        <v>Jan</v>
      </c>
      <c r="M4998">
        <f t="shared" si="313"/>
        <v>2025</v>
      </c>
      <c r="N4998">
        <f t="shared" si="314"/>
        <v>117982.59</v>
      </c>
      <c r="O4998" t="str">
        <f t="shared" si="315"/>
        <v>Moderate Delay</v>
      </c>
    </row>
    <row r="4999" spans="1:15" x14ac:dyDescent="0.25">
      <c r="A4999">
        <v>4998</v>
      </c>
      <c r="B4999" s="2">
        <v>45828</v>
      </c>
      <c r="C4999" t="s">
        <v>18</v>
      </c>
      <c r="D4999" t="s">
        <v>23</v>
      </c>
      <c r="E4999" t="s">
        <v>19</v>
      </c>
      <c r="F4999" t="s">
        <v>21</v>
      </c>
      <c r="G4999">
        <v>139</v>
      </c>
      <c r="H4999">
        <v>606.94000000000005</v>
      </c>
      <c r="I4999">
        <v>9</v>
      </c>
      <c r="J4999" t="s">
        <v>30</v>
      </c>
      <c r="K4999">
        <v>84364.66</v>
      </c>
      <c r="L4999" t="str">
        <f t="shared" si="312"/>
        <v>Jun</v>
      </c>
      <c r="M4999">
        <f t="shared" si="313"/>
        <v>2025</v>
      </c>
      <c r="N4999">
        <f t="shared" si="314"/>
        <v>84364.66</v>
      </c>
      <c r="O4999" t="str">
        <f t="shared" si="315"/>
        <v>Minor Delay</v>
      </c>
    </row>
    <row r="5000" spans="1:15" x14ac:dyDescent="0.25">
      <c r="A5000">
        <v>4999</v>
      </c>
      <c r="B5000" s="2">
        <v>46005</v>
      </c>
      <c r="C5000" t="s">
        <v>11</v>
      </c>
      <c r="D5000" t="s">
        <v>27</v>
      </c>
      <c r="E5000" t="s">
        <v>13</v>
      </c>
      <c r="F5000" t="s">
        <v>21</v>
      </c>
      <c r="G5000">
        <v>150</v>
      </c>
      <c r="H5000">
        <v>216.26</v>
      </c>
      <c r="I5000">
        <v>24</v>
      </c>
      <c r="J5000" t="s">
        <v>15</v>
      </c>
      <c r="K5000">
        <v>32439</v>
      </c>
      <c r="L5000" t="str">
        <f t="shared" si="312"/>
        <v>Dec</v>
      </c>
      <c r="M5000">
        <f t="shared" si="313"/>
        <v>2025</v>
      </c>
      <c r="N5000">
        <f t="shared" si="314"/>
        <v>32439</v>
      </c>
      <c r="O5000" t="str">
        <f t="shared" si="315"/>
        <v>Minor Delay</v>
      </c>
    </row>
    <row r="5001" spans="1:15" x14ac:dyDescent="0.25">
      <c r="A5001">
        <v>5000</v>
      </c>
      <c r="B5001" s="2">
        <v>45843</v>
      </c>
      <c r="C5001" t="s">
        <v>26</v>
      </c>
      <c r="D5001" t="s">
        <v>29</v>
      </c>
      <c r="E5001" t="s">
        <v>22</v>
      </c>
      <c r="F5001" t="s">
        <v>21</v>
      </c>
      <c r="G5001">
        <v>284</v>
      </c>
      <c r="H5001">
        <v>610.41</v>
      </c>
      <c r="I5001">
        <v>40</v>
      </c>
      <c r="J5001" t="s">
        <v>15</v>
      </c>
      <c r="K5001">
        <v>173356.44</v>
      </c>
      <c r="L5001" t="str">
        <f t="shared" si="312"/>
        <v>Jul</v>
      </c>
      <c r="M5001">
        <f t="shared" si="313"/>
        <v>2025</v>
      </c>
      <c r="N5001">
        <f t="shared" si="314"/>
        <v>173356.44</v>
      </c>
      <c r="O5001" t="str">
        <f t="shared" si="315"/>
        <v>Moderate Delay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AirlineData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Clark Ballesteros</cp:lastModifiedBy>
  <dcterms:created xsi:type="dcterms:W3CDTF">2026-06-13T07:39:10Z</dcterms:created>
  <dcterms:modified xsi:type="dcterms:W3CDTF">2026-06-15T00:15:07Z</dcterms:modified>
</cp:coreProperties>
</file>